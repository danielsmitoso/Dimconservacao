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ccr-my.sharepoint.com/personal/daniel_mitoso_motiva_com_br/Documents/Área de Trabalho/Dim.Conserva/dados_quasar/"/>
    </mc:Choice>
  </mc:AlternateContent>
  <xr:revisionPtr revIDLastSave="656" documentId="13_ncr:1_{5F892E9C-1652-4B24-A4B7-2BA298EDE580}" xr6:coauthVersionLast="47" xr6:coauthVersionMax="47" xr10:uidLastSave="{6A290802-4C08-4F1F-9D7A-61584043C2F6}"/>
  <bookViews>
    <workbookView xWindow="28680" yWindow="-120" windowWidth="29040" windowHeight="15720" firstSheet="1" activeTab="1" xr2:uid="{00000000-000D-0000-FFFF-FFFF00000000}"/>
  </bookViews>
  <sheets>
    <sheet name="Canteiro central" sheetId="3" state="hidden" r:id="rId1"/>
    <sheet name="AB " sheetId="1" r:id="rId2"/>
    <sheet name="Resumo" sheetId="2" r:id="rId3"/>
  </sheets>
  <definedNames>
    <definedName name="_xlnm._FilterDatabase" localSheetId="1" hidden="1">'AB '!$E$1:$F$3684</definedName>
  </definedNames>
  <calcPr calcId="191029" iterateDelta="1E-4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2" i="1" l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J3681" i="1"/>
  <c r="J3678" i="1"/>
  <c r="J3677" i="1"/>
  <c r="J3676" i="1"/>
  <c r="J3671" i="1"/>
  <c r="J3670" i="1"/>
  <c r="J3668" i="1"/>
  <c r="J3663" i="1"/>
  <c r="J3662" i="1"/>
  <c r="J3661" i="1"/>
  <c r="J3660" i="1"/>
  <c r="J3659" i="1"/>
  <c r="J3655" i="1"/>
  <c r="J3654" i="1"/>
  <c r="J3652" i="1"/>
  <c r="J3651" i="1"/>
  <c r="J3647" i="1"/>
  <c r="J3646" i="1"/>
  <c r="J3640" i="1"/>
  <c r="J3637" i="1"/>
  <c r="J3635" i="1"/>
  <c r="J3630" i="1"/>
  <c r="J3629" i="1"/>
  <c r="J3623" i="1"/>
  <c r="J3620" i="1"/>
  <c r="J3617" i="1"/>
  <c r="J3615" i="1"/>
  <c r="J3613" i="1"/>
  <c r="J3611" i="1"/>
  <c r="J3610" i="1"/>
  <c r="J3606" i="1"/>
  <c r="J3600" i="1"/>
  <c r="J3595" i="1"/>
  <c r="J3592" i="1"/>
  <c r="J3590" i="1"/>
  <c r="J3586" i="1"/>
  <c r="J3584" i="1"/>
  <c r="J3577" i="1"/>
  <c r="J3576" i="1"/>
  <c r="J3569" i="1"/>
  <c r="J3568" i="1"/>
  <c r="J3566" i="1"/>
  <c r="J3559" i="1"/>
  <c r="J3558" i="1"/>
  <c r="J3549" i="1"/>
  <c r="J3547" i="1"/>
  <c r="J3545" i="1"/>
  <c r="J3544" i="1"/>
  <c r="J3543" i="1"/>
  <c r="J3542" i="1"/>
  <c r="J3540" i="1"/>
  <c r="J3533" i="1"/>
  <c r="J3530" i="1"/>
  <c r="J3526" i="1"/>
  <c r="J3525" i="1"/>
  <c r="J3521" i="1"/>
  <c r="J3520" i="1"/>
  <c r="J3519" i="1"/>
  <c r="J3517" i="1"/>
  <c r="J3500" i="1"/>
  <c r="J3498" i="1"/>
  <c r="J3494" i="1"/>
  <c r="J3481" i="1"/>
  <c r="J3480" i="1"/>
  <c r="J3479" i="1"/>
  <c r="J3469" i="1"/>
  <c r="J3467" i="1"/>
  <c r="J3466" i="1"/>
  <c r="J3460" i="1"/>
  <c r="J3456" i="1"/>
  <c r="J3451" i="1"/>
  <c r="J3449" i="1"/>
  <c r="J3448" i="1"/>
  <c r="J3446" i="1"/>
  <c r="J3443" i="1"/>
  <c r="J3442" i="1"/>
  <c r="J3441" i="1"/>
  <c r="J3438" i="1"/>
  <c r="J3433" i="1"/>
  <c r="J3426" i="1"/>
  <c r="J3425" i="1"/>
  <c r="J3424" i="1"/>
  <c r="J3411" i="1"/>
  <c r="J3410" i="1"/>
  <c r="J3408" i="1"/>
  <c r="J3407" i="1"/>
  <c r="J3406" i="1"/>
  <c r="J3399" i="1"/>
  <c r="J3398" i="1"/>
  <c r="J3394" i="1"/>
  <c r="J3389" i="1"/>
  <c r="J3386" i="1"/>
  <c r="J3382" i="1"/>
  <c r="J3376" i="1"/>
  <c r="J3366" i="1"/>
  <c r="J3365" i="1"/>
  <c r="J3362" i="1"/>
  <c r="J3358" i="1"/>
  <c r="J3355" i="1"/>
  <c r="J3343" i="1"/>
  <c r="J3337" i="1"/>
  <c r="J3336" i="1"/>
  <c r="J3335" i="1"/>
  <c r="J3334" i="1"/>
  <c r="J3333" i="1"/>
  <c r="J3329" i="1"/>
  <c r="J3328" i="1"/>
  <c r="J3322" i="1"/>
  <c r="J3315" i="1"/>
  <c r="J3314" i="1"/>
  <c r="J3304" i="1"/>
  <c r="J3302" i="1"/>
  <c r="J3296" i="1"/>
  <c r="J3281" i="1"/>
  <c r="J3280" i="1"/>
  <c r="J3278" i="1"/>
  <c r="J3276" i="1"/>
  <c r="J3275" i="1"/>
  <c r="J3263" i="1"/>
  <c r="J3260" i="1"/>
  <c r="J3256" i="1"/>
  <c r="J3245" i="1"/>
  <c r="J3243" i="1"/>
  <c r="J3227" i="1"/>
  <c r="J3219" i="1"/>
  <c r="J3214" i="1"/>
  <c r="J3197" i="1"/>
  <c r="J3193" i="1"/>
  <c r="J3188" i="1"/>
  <c r="J3186" i="1"/>
  <c r="J3185" i="1"/>
  <c r="J3164" i="1"/>
  <c r="J3163" i="1"/>
  <c r="J3162" i="1"/>
  <c r="J3150" i="1"/>
  <c r="J3149" i="1"/>
  <c r="J3134" i="1"/>
  <c r="J3130" i="1"/>
  <c r="J3120" i="1"/>
  <c r="J3116" i="1"/>
  <c r="J3103" i="1"/>
  <c r="J3102" i="1"/>
  <c r="J3099" i="1"/>
  <c r="J3094" i="1"/>
  <c r="J3087" i="1"/>
  <c r="J3082" i="1"/>
  <c r="J3079" i="1"/>
  <c r="J3075" i="1"/>
  <c r="J3062" i="1"/>
  <c r="J3054" i="1"/>
  <c r="J3047" i="1"/>
  <c r="J3028" i="1"/>
  <c r="J3026" i="1"/>
  <c r="J3017" i="1"/>
  <c r="J3014" i="1"/>
  <c r="J3008" i="1"/>
  <c r="J3004" i="1"/>
  <c r="J3003" i="1"/>
  <c r="J3002" i="1"/>
  <c r="J3000" i="1"/>
  <c r="J2999" i="1"/>
  <c r="J2994" i="1"/>
  <c r="J2989" i="1"/>
  <c r="J2987" i="1"/>
  <c r="J2986" i="1"/>
  <c r="J2984" i="1"/>
  <c r="J2981" i="1"/>
  <c r="J2979" i="1"/>
  <c r="J2977" i="1"/>
  <c r="J2973" i="1"/>
  <c r="J2967" i="1"/>
  <c r="J2966" i="1"/>
  <c r="J2958" i="1"/>
  <c r="J2956" i="1"/>
  <c r="J2948" i="1"/>
  <c r="J2946" i="1"/>
  <c r="J2938" i="1"/>
  <c r="J2933" i="1"/>
  <c r="J2920" i="1"/>
  <c r="J2918" i="1"/>
  <c r="J2917" i="1"/>
  <c r="J2908" i="1"/>
  <c r="J2907" i="1"/>
  <c r="J2905" i="1"/>
  <c r="J2904" i="1"/>
  <c r="J2902" i="1"/>
  <c r="J2900" i="1"/>
  <c r="J2881" i="1"/>
  <c r="J2879" i="1"/>
  <c r="J2872" i="1"/>
  <c r="J2870" i="1"/>
  <c r="J2869" i="1"/>
  <c r="J2868" i="1"/>
  <c r="J2851" i="1"/>
  <c r="J2850" i="1"/>
  <c r="J2829" i="1"/>
  <c r="J2828" i="1"/>
  <c r="J2821" i="1"/>
  <c r="J2820" i="1"/>
  <c r="J2812" i="1"/>
  <c r="J2804" i="1"/>
  <c r="J2803" i="1"/>
  <c r="J2790" i="1"/>
  <c r="J2783" i="1"/>
  <c r="J2778" i="1"/>
  <c r="J2770" i="1"/>
  <c r="J2769" i="1"/>
  <c r="J2767" i="1"/>
  <c r="J2766" i="1"/>
  <c r="J2765" i="1"/>
  <c r="J2763" i="1"/>
  <c r="J2761" i="1"/>
  <c r="J2749" i="1"/>
  <c r="J2733" i="1"/>
  <c r="J2728" i="1"/>
  <c r="J2723" i="1"/>
  <c r="J2695" i="1"/>
  <c r="J2694" i="1"/>
  <c r="J2693" i="1"/>
  <c r="J2689" i="1"/>
  <c r="J2683" i="1"/>
  <c r="J2682" i="1"/>
  <c r="J2675" i="1"/>
  <c r="J2673" i="1"/>
  <c r="J2672" i="1"/>
  <c r="J2657" i="1"/>
  <c r="J2655" i="1"/>
  <c r="J2650" i="1"/>
  <c r="J2641" i="1"/>
  <c r="J2638" i="1"/>
  <c r="J2637" i="1"/>
  <c r="J2625" i="1"/>
  <c r="J2624" i="1"/>
  <c r="J2623" i="1"/>
  <c r="J2622" i="1"/>
  <c r="J2620" i="1"/>
  <c r="J2616" i="1"/>
  <c r="J2611" i="1"/>
  <c r="J2594" i="1"/>
  <c r="J2593" i="1"/>
  <c r="J2592" i="1"/>
  <c r="J2591" i="1"/>
  <c r="J2590" i="1"/>
  <c r="J2589" i="1"/>
  <c r="J2581" i="1"/>
  <c r="J2577" i="1"/>
  <c r="J2576" i="1"/>
  <c r="J2571" i="1"/>
  <c r="J2567" i="1"/>
  <c r="J2556" i="1"/>
  <c r="J2552" i="1"/>
  <c r="J2551" i="1"/>
  <c r="J2538" i="1"/>
  <c r="J2525" i="1"/>
  <c r="J2521" i="1"/>
  <c r="J2520" i="1"/>
  <c r="J2519" i="1"/>
  <c r="J2513" i="1"/>
  <c r="J2510" i="1"/>
  <c r="J2507" i="1"/>
  <c r="J2506" i="1"/>
  <c r="J2505" i="1"/>
  <c r="J2501" i="1"/>
  <c r="J2499" i="1"/>
  <c r="J2487" i="1"/>
  <c r="J2472" i="1"/>
  <c r="J2471" i="1"/>
  <c r="J2458" i="1"/>
  <c r="J2455" i="1"/>
  <c r="J2451" i="1"/>
  <c r="J2446" i="1"/>
  <c r="J2445" i="1"/>
  <c r="J2442" i="1"/>
  <c r="J2425" i="1"/>
  <c r="J2422" i="1"/>
  <c r="J2421" i="1"/>
  <c r="J2408" i="1"/>
  <c r="J2407" i="1"/>
  <c r="J2406" i="1"/>
  <c r="J2405" i="1"/>
  <c r="J2402" i="1"/>
  <c r="J2393" i="1"/>
  <c r="J2392" i="1"/>
  <c r="J2389" i="1"/>
  <c r="J2383" i="1"/>
  <c r="J2382" i="1"/>
  <c r="J2381" i="1"/>
  <c r="J2380" i="1"/>
  <c r="J2372" i="1"/>
  <c r="J2360" i="1"/>
  <c r="J2353" i="1"/>
  <c r="J2350" i="1"/>
  <c r="J2348" i="1"/>
  <c r="J2344" i="1"/>
  <c r="J2342" i="1"/>
  <c r="J2336" i="1"/>
  <c r="J2331" i="1"/>
  <c r="J2327" i="1"/>
  <c r="J2326" i="1"/>
  <c r="J2322" i="1"/>
  <c r="J2308" i="1"/>
  <c r="J2304" i="1"/>
  <c r="J2303" i="1"/>
  <c r="J2302" i="1"/>
  <c r="J2298" i="1"/>
  <c r="J2296" i="1"/>
  <c r="J2295" i="1"/>
  <c r="J2282" i="1"/>
  <c r="J2273" i="1"/>
  <c r="J2270" i="1"/>
  <c r="J2269" i="1"/>
  <c r="J2261" i="1"/>
  <c r="J2259" i="1"/>
  <c r="J2258" i="1"/>
  <c r="J2243" i="1"/>
  <c r="J2242" i="1"/>
  <c r="J2241" i="1"/>
  <c r="J2240" i="1"/>
  <c r="J2236" i="1"/>
  <c r="J2234" i="1"/>
  <c r="J2218" i="1"/>
  <c r="J2217" i="1"/>
  <c r="J2212" i="1"/>
  <c r="J2209" i="1"/>
  <c r="J2208" i="1"/>
  <c r="J2206" i="1"/>
  <c r="J2195" i="1"/>
  <c r="J2187" i="1"/>
  <c r="J2182" i="1"/>
  <c r="J2180" i="1"/>
  <c r="J2177" i="1"/>
  <c r="J2175" i="1"/>
  <c r="J2167" i="1"/>
  <c r="J2158" i="1"/>
  <c r="J2155" i="1"/>
  <c r="J2150" i="1"/>
  <c r="J2149" i="1"/>
  <c r="J2147" i="1"/>
  <c r="J2143" i="1"/>
  <c r="J2136" i="1"/>
  <c r="J2131" i="1"/>
  <c r="J2126" i="1"/>
  <c r="J2120" i="1"/>
  <c r="J2114" i="1"/>
  <c r="J2100" i="1"/>
  <c r="J2091" i="1"/>
  <c r="J2090" i="1"/>
  <c r="J2070" i="1"/>
  <c r="J2060" i="1"/>
  <c r="J2054" i="1"/>
  <c r="J2049" i="1"/>
  <c r="J2048" i="1"/>
  <c r="J2033" i="1"/>
  <c r="J2023" i="1"/>
  <c r="J2022" i="1"/>
  <c r="J2006" i="1"/>
  <c r="J1996" i="1"/>
  <c r="J1981" i="1"/>
  <c r="J1976" i="1"/>
  <c r="J1975" i="1"/>
  <c r="J1972" i="1"/>
  <c r="J1959" i="1"/>
  <c r="J1956" i="1"/>
  <c r="J1955" i="1"/>
  <c r="J1949" i="1"/>
  <c r="J1948" i="1"/>
  <c r="J1947" i="1"/>
  <c r="J1946" i="1"/>
  <c r="J1945" i="1"/>
  <c r="J1922" i="1"/>
  <c r="J1920" i="1"/>
  <c r="J1915" i="1"/>
  <c r="J1894" i="1"/>
  <c r="J1888" i="1"/>
  <c r="J1887" i="1"/>
  <c r="J1884" i="1"/>
  <c r="J1867" i="1"/>
  <c r="J1859" i="1"/>
  <c r="J1851" i="1"/>
  <c r="J1850" i="1"/>
  <c r="J1843" i="1"/>
  <c r="J1840" i="1"/>
  <c r="J1839" i="1"/>
  <c r="J1837" i="1"/>
  <c r="J1835" i="1"/>
  <c r="J1834" i="1"/>
  <c r="J1828" i="1"/>
  <c r="J1811" i="1"/>
  <c r="J1807" i="1"/>
  <c r="J1806" i="1"/>
  <c r="J1795" i="1"/>
  <c r="J1792" i="1"/>
  <c r="J1769" i="1"/>
  <c r="J1741" i="1"/>
  <c r="J1738" i="1"/>
  <c r="J1724" i="1"/>
  <c r="J1719" i="1"/>
  <c r="J1718" i="1"/>
  <c r="J1717" i="1"/>
  <c r="J1716" i="1"/>
  <c r="J1715" i="1"/>
  <c r="J1710" i="1"/>
  <c r="J1702" i="1"/>
  <c r="J1701" i="1"/>
  <c r="J1697" i="1"/>
  <c r="J1685" i="1"/>
  <c r="J1670" i="1"/>
  <c r="J1664" i="1"/>
  <c r="J1662" i="1"/>
  <c r="J1654" i="1"/>
  <c r="J1653" i="1"/>
  <c r="J1645" i="1"/>
  <c r="J1643" i="1"/>
  <c r="J1642" i="1"/>
  <c r="J1636" i="1"/>
  <c r="J1635" i="1"/>
  <c r="J1621" i="1"/>
  <c r="J1615" i="1"/>
  <c r="J1607" i="1"/>
  <c r="J1605" i="1"/>
  <c r="J1604" i="1"/>
  <c r="J1603" i="1"/>
  <c r="J1600" i="1"/>
  <c r="J1596" i="1"/>
  <c r="J1595" i="1"/>
  <c r="J1575" i="1"/>
  <c r="J1574" i="1"/>
  <c r="J1572" i="1"/>
  <c r="J1558" i="1"/>
  <c r="J1551" i="1"/>
  <c r="J1549" i="1"/>
  <c r="J1538" i="1"/>
  <c r="J1535" i="1"/>
  <c r="J1519" i="1"/>
  <c r="J1518" i="1"/>
  <c r="J1512" i="1"/>
  <c r="J1508" i="1"/>
  <c r="J1503" i="1"/>
  <c r="J1496" i="1"/>
  <c r="J1485" i="1"/>
  <c r="J1484" i="1"/>
  <c r="J1481" i="1"/>
  <c r="J1443" i="1"/>
  <c r="J1440" i="1"/>
  <c r="J1435" i="1"/>
  <c r="J1424" i="1"/>
  <c r="J1423" i="1"/>
  <c r="J1414" i="1"/>
  <c r="J1408" i="1"/>
  <c r="J1407" i="1"/>
  <c r="J1406" i="1"/>
  <c r="J1403" i="1"/>
  <c r="J1393" i="1"/>
  <c r="J1391" i="1"/>
  <c r="J1387" i="1"/>
  <c r="J1386" i="1"/>
  <c r="J1380" i="1"/>
  <c r="J1371" i="1"/>
  <c r="J1366" i="1"/>
  <c r="J1359" i="1"/>
  <c r="J1355" i="1"/>
  <c r="J1354" i="1"/>
  <c r="J1343" i="1"/>
  <c r="J1342" i="1"/>
  <c r="J1338" i="1"/>
  <c r="J1337" i="1"/>
  <c r="J1331" i="1"/>
  <c r="J1327" i="1"/>
  <c r="J1323" i="1"/>
  <c r="J1317" i="1"/>
  <c r="J1305" i="1"/>
  <c r="J1300" i="1"/>
  <c r="J1288" i="1"/>
  <c r="J1286" i="1"/>
  <c r="J1284" i="1"/>
  <c r="J1280" i="1"/>
  <c r="J1271" i="1"/>
  <c r="J1269" i="1"/>
  <c r="J1267" i="1"/>
  <c r="J1256" i="1"/>
  <c r="J1254" i="1"/>
  <c r="J1250" i="1"/>
  <c r="J1249" i="1"/>
  <c r="J1248" i="1"/>
  <c r="J1217" i="1"/>
  <c r="J1216" i="1"/>
  <c r="J1201" i="1"/>
  <c r="J1199" i="1"/>
  <c r="J1194" i="1"/>
  <c r="J1192" i="1"/>
  <c r="J1171" i="1"/>
  <c r="J1169" i="1"/>
  <c r="J1167" i="1"/>
  <c r="J1156" i="1"/>
  <c r="J1143" i="1"/>
  <c r="J1141" i="1"/>
  <c r="J1126" i="1"/>
  <c r="J1122" i="1"/>
  <c r="J1115" i="1"/>
  <c r="J1109" i="1"/>
  <c r="J1108" i="1"/>
  <c r="J1094" i="1"/>
  <c r="J1093" i="1"/>
  <c r="J1091" i="1"/>
  <c r="J1084" i="1"/>
  <c r="J1083" i="1"/>
  <c r="J1061" i="1"/>
  <c r="J1059" i="1"/>
  <c r="J1040" i="1"/>
  <c r="J1038" i="1"/>
  <c r="J1031" i="1"/>
  <c r="J1018" i="1"/>
  <c r="J999" i="1"/>
  <c r="J997" i="1"/>
  <c r="J993" i="1"/>
  <c r="J988" i="1"/>
  <c r="J987" i="1"/>
  <c r="J986" i="1"/>
  <c r="J983" i="1"/>
  <c r="J969" i="1"/>
  <c r="J967" i="1"/>
  <c r="J965" i="1"/>
  <c r="J964" i="1"/>
  <c r="J963" i="1"/>
  <c r="J959" i="1"/>
  <c r="J951" i="1"/>
  <c r="J944" i="1"/>
  <c r="J941" i="1"/>
  <c r="J940" i="1"/>
  <c r="J937" i="1"/>
  <c r="J933" i="1"/>
  <c r="J919" i="1"/>
  <c r="J917" i="1"/>
  <c r="J912" i="1"/>
  <c r="J905" i="1"/>
  <c r="J902" i="1"/>
  <c r="J886" i="1"/>
  <c r="J882" i="1"/>
  <c r="J879" i="1"/>
  <c r="J873" i="1"/>
  <c r="J871" i="1"/>
  <c r="J855" i="1"/>
  <c r="J854" i="1"/>
  <c r="J845" i="1"/>
  <c r="J832" i="1"/>
  <c r="J831" i="1"/>
  <c r="J830" i="1"/>
  <c r="J829" i="1"/>
  <c r="J816" i="1"/>
  <c r="J802" i="1"/>
  <c r="J793" i="1"/>
  <c r="J789" i="1"/>
  <c r="J788" i="1"/>
  <c r="J781" i="1"/>
  <c r="J776" i="1"/>
  <c r="J775" i="1"/>
  <c r="J774" i="1"/>
  <c r="J772" i="1"/>
  <c r="J771" i="1"/>
  <c r="J761" i="1"/>
  <c r="J752" i="1"/>
  <c r="J737" i="1"/>
  <c r="J736" i="1"/>
  <c r="J721" i="1"/>
  <c r="J719" i="1"/>
  <c r="J708" i="1"/>
  <c r="J705" i="1"/>
  <c r="J704" i="1"/>
  <c r="J703" i="1"/>
  <c r="J700" i="1"/>
  <c r="J697" i="1"/>
  <c r="J696" i="1"/>
  <c r="J695" i="1"/>
  <c r="J686" i="1"/>
  <c r="J685" i="1"/>
  <c r="J676" i="1"/>
  <c r="J672" i="1"/>
  <c r="J664" i="1"/>
  <c r="J653" i="1"/>
  <c r="J652" i="1"/>
  <c r="J639" i="1"/>
  <c r="J637" i="1"/>
  <c r="J635" i="1"/>
  <c r="J630" i="1"/>
  <c r="J628" i="1"/>
  <c r="J611" i="1"/>
  <c r="J608" i="1"/>
  <c r="J599" i="1"/>
  <c r="J597" i="1"/>
  <c r="J596" i="1"/>
  <c r="J592" i="1"/>
  <c r="J589" i="1"/>
  <c r="J575" i="1"/>
  <c r="J565" i="1"/>
  <c r="J562" i="1"/>
  <c r="J558" i="1"/>
  <c r="J550" i="1"/>
  <c r="J533" i="1"/>
  <c r="J531" i="1"/>
  <c r="J529" i="1"/>
  <c r="J519" i="1"/>
  <c r="J514" i="1"/>
  <c r="J513" i="1"/>
  <c r="J500" i="1"/>
  <c r="J499" i="1"/>
  <c r="J495" i="1"/>
  <c r="J494" i="1"/>
  <c r="J493" i="1"/>
  <c r="J490" i="1"/>
  <c r="J452" i="1"/>
  <c r="J448" i="1"/>
  <c r="J447" i="1"/>
  <c r="J445" i="1"/>
  <c r="J444" i="1"/>
  <c r="J427" i="1"/>
  <c r="J420" i="1"/>
  <c r="J419" i="1"/>
  <c r="J418" i="1"/>
  <c r="J401" i="1"/>
  <c r="J399" i="1"/>
  <c r="J386" i="1"/>
  <c r="J378" i="1"/>
  <c r="J375" i="1"/>
  <c r="J365" i="1"/>
  <c r="J363" i="1"/>
  <c r="J361" i="1"/>
  <c r="J357" i="1"/>
  <c r="J352" i="1"/>
  <c r="J350" i="1"/>
  <c r="J349" i="1"/>
  <c r="J348" i="1"/>
  <c r="J340" i="1"/>
  <c r="J339" i="1"/>
  <c r="J338" i="1"/>
  <c r="J331" i="1"/>
  <c r="J327" i="1"/>
  <c r="J312" i="1"/>
  <c r="J308" i="1"/>
  <c r="J306" i="1"/>
  <c r="J290" i="1"/>
  <c r="J284" i="1"/>
  <c r="J244" i="1"/>
  <c r="J223" i="1"/>
  <c r="J221" i="1"/>
  <c r="J203" i="1"/>
  <c r="J198" i="1"/>
  <c r="J191" i="1"/>
  <c r="J184" i="1"/>
  <c r="J181" i="1"/>
  <c r="J180" i="1"/>
  <c r="J179" i="1"/>
  <c r="J162" i="1"/>
  <c r="J159" i="1"/>
  <c r="J141" i="1"/>
  <c r="J129" i="1"/>
  <c r="J127" i="1"/>
  <c r="J121" i="1"/>
  <c r="J117" i="1"/>
  <c r="J114" i="1"/>
  <c r="J91" i="1"/>
  <c r="J59" i="1"/>
  <c r="J58" i="1"/>
  <c r="J57" i="1"/>
  <c r="J54" i="1"/>
  <c r="J52" i="1"/>
  <c r="J47" i="1"/>
  <c r="J45" i="1"/>
  <c r="J44" i="1"/>
  <c r="J37" i="1"/>
  <c r="J35" i="1"/>
  <c r="J24" i="1"/>
  <c r="J23" i="1"/>
  <c r="J22" i="1"/>
  <c r="J20" i="1"/>
  <c r="J18" i="1"/>
  <c r="J16" i="1"/>
  <c r="J13" i="1"/>
  <c r="J6" i="1"/>
  <c r="J3" i="1"/>
  <c r="F13" i="3"/>
  <c r="G7" i="3"/>
  <c r="D141" i="1" l="1"/>
  <c r="V141" i="1" l="1"/>
  <c r="V3" i="1"/>
  <c r="V2" i="1"/>
  <c r="N4" i="1"/>
  <c r="U4" i="1" s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1" i="1"/>
  <c r="V3310" i="1"/>
  <c r="V3309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2" i="1"/>
  <c r="V3251" i="1"/>
  <c r="V3250" i="1"/>
  <c r="V3249" i="1"/>
  <c r="V3248" i="1"/>
  <c r="V3247" i="1"/>
  <c r="V3246" i="1"/>
  <c r="V3245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3" i="1"/>
  <c r="V3142" i="1"/>
  <c r="V3141" i="1"/>
  <c r="V3140" i="1"/>
  <c r="V3137" i="1"/>
  <c r="V3136" i="1"/>
  <c r="V3134" i="1"/>
  <c r="V3133" i="1"/>
  <c r="V3132" i="1"/>
  <c r="V3130" i="1"/>
  <c r="V3129" i="1"/>
  <c r="V3128" i="1"/>
  <c r="V3127" i="1"/>
  <c r="V3126" i="1"/>
  <c r="V3125" i="1"/>
  <c r="V3124" i="1"/>
  <c r="V3123" i="1"/>
  <c r="V3122" i="1"/>
  <c r="V3120" i="1"/>
  <c r="V3119" i="1"/>
  <c r="V3118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49" i="1"/>
  <c r="V3048" i="1"/>
  <c r="V3047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3" i="1"/>
  <c r="V3012" i="1"/>
  <c r="V3011" i="1"/>
  <c r="V3010" i="1"/>
  <c r="V3009" i="1"/>
  <c r="V3008" i="1"/>
  <c r="V3007" i="1"/>
  <c r="V3006" i="1"/>
  <c r="V3005" i="1"/>
  <c r="V3004" i="1"/>
  <c r="V3001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6" i="1"/>
  <c r="V2985" i="1"/>
  <c r="V2984" i="1"/>
  <c r="V2983" i="1"/>
  <c r="V2982" i="1"/>
  <c r="V2981" i="1"/>
  <c r="V2980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0" i="1"/>
  <c r="V2799" i="1"/>
  <c r="V2798" i="1"/>
  <c r="V2795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6" i="1"/>
  <c r="V2775" i="1"/>
  <c r="V2774" i="1"/>
  <c r="V2773" i="1"/>
  <c r="V2772" i="1"/>
  <c r="V2770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7" i="1"/>
  <c r="V2746" i="1"/>
  <c r="V2745" i="1"/>
  <c r="V2744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699" i="1"/>
  <c r="V2698" i="1"/>
  <c r="V2697" i="1"/>
  <c r="V2696" i="1"/>
  <c r="V2695" i="1"/>
  <c r="V2694" i="1"/>
  <c r="V2693" i="1"/>
  <c r="V2692" i="1"/>
  <c r="V2691" i="1"/>
  <c r="V2690" i="1"/>
  <c r="V2689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1" i="1"/>
  <c r="V2590" i="1"/>
  <c r="V2589" i="1"/>
  <c r="V2588" i="1"/>
  <c r="V2587" i="1"/>
  <c r="V2586" i="1"/>
  <c r="V2585" i="1"/>
  <c r="V2584" i="1"/>
  <c r="V2582" i="1"/>
  <c r="V2581" i="1"/>
  <c r="V2579" i="1"/>
  <c r="V2578" i="1"/>
  <c r="V2576" i="1"/>
  <c r="V2575" i="1"/>
  <c r="V2574" i="1"/>
  <c r="V2571" i="1"/>
  <c r="V2567" i="1"/>
  <c r="V2566" i="1"/>
  <c r="V2565" i="1"/>
  <c r="V2564" i="1"/>
  <c r="V2563" i="1"/>
  <c r="V2562" i="1"/>
  <c r="V2561" i="1"/>
  <c r="V2560" i="1"/>
  <c r="V2559" i="1"/>
  <c r="V2558" i="1"/>
  <c r="V2556" i="1"/>
  <c r="V2554" i="1"/>
  <c r="V2553" i="1"/>
  <c r="V2552" i="1"/>
  <c r="V2551" i="1"/>
  <c r="V2550" i="1"/>
  <c r="V2549" i="1"/>
  <c r="V2548" i="1"/>
  <c r="V2547" i="1"/>
  <c r="V2545" i="1"/>
  <c r="V2544" i="1"/>
  <c r="V2543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8" i="1"/>
  <c r="V2507" i="1"/>
  <c r="V2506" i="1"/>
  <c r="V2505" i="1"/>
  <c r="V2504" i="1"/>
  <c r="V2503" i="1"/>
  <c r="V2502" i="1"/>
  <c r="V2500" i="1"/>
  <c r="V2499" i="1"/>
  <c r="V2498" i="1"/>
  <c r="V2496" i="1"/>
  <c r="V2495" i="1"/>
  <c r="V2494" i="1"/>
  <c r="V2493" i="1"/>
  <c r="V2491" i="1"/>
  <c r="V2490" i="1"/>
  <c r="V2489" i="1"/>
  <c r="V2488" i="1"/>
  <c r="V2487" i="1"/>
  <c r="V2486" i="1"/>
  <c r="V2485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49" i="1"/>
  <c r="V2448" i="1"/>
  <c r="V2445" i="1"/>
  <c r="V2444" i="1"/>
  <c r="V2443" i="1"/>
  <c r="V2442" i="1"/>
  <c r="V2441" i="1"/>
  <c r="V2440" i="1"/>
  <c r="V2438" i="1"/>
  <c r="V2437" i="1"/>
  <c r="V2436" i="1"/>
  <c r="V2434" i="1"/>
  <c r="V2432" i="1"/>
  <c r="V2431" i="1"/>
  <c r="V2430" i="1"/>
  <c r="V2429" i="1"/>
  <c r="V2428" i="1"/>
  <c r="V2427" i="1"/>
  <c r="V2426" i="1"/>
  <c r="V2425" i="1"/>
  <c r="V2424" i="1"/>
  <c r="V2422" i="1"/>
  <c r="V2421" i="1"/>
  <c r="V2420" i="1"/>
  <c r="V2419" i="1"/>
  <c r="V2418" i="1"/>
  <c r="V2417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2" i="1"/>
  <c r="V1961" i="1"/>
  <c r="V1960" i="1"/>
  <c r="V1958" i="1"/>
  <c r="V1957" i="1"/>
  <c r="V1956" i="1"/>
  <c r="V1955" i="1"/>
  <c r="V1954" i="1"/>
  <c r="V1953" i="1"/>
  <c r="V1952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5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18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0" i="1"/>
  <c r="V1799" i="1"/>
  <c r="V1796" i="1"/>
  <c r="V1795" i="1"/>
  <c r="V1794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38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2" i="1"/>
  <c r="V1551" i="1"/>
  <c r="V1550" i="1"/>
  <c r="V1549" i="1"/>
  <c r="V1548" i="1"/>
  <c r="V1547" i="1"/>
  <c r="V1546" i="1"/>
  <c r="V1545" i="1"/>
  <c r="V1544" i="1"/>
  <c r="V1543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6" i="1"/>
  <c r="V905" i="1"/>
  <c r="V904" i="1"/>
  <c r="V903" i="1"/>
  <c r="V902" i="1"/>
  <c r="V901" i="1"/>
  <c r="V900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8" i="1"/>
  <c r="V847" i="1"/>
  <c r="V846" i="1"/>
  <c r="V845" i="1"/>
  <c r="V844" i="1"/>
  <c r="V843" i="1"/>
  <c r="V842" i="1"/>
  <c r="V840" i="1"/>
  <c r="V839" i="1"/>
  <c r="V838" i="1"/>
  <c r="V837" i="1"/>
  <c r="V836" i="1"/>
  <c r="V835" i="1"/>
  <c r="V833" i="1"/>
  <c r="V832" i="1"/>
  <c r="V831" i="1"/>
  <c r="V830" i="1"/>
  <c r="V829" i="1"/>
  <c r="V827" i="1"/>
  <c r="V826" i="1"/>
  <c r="V825" i="1"/>
  <c r="V823" i="1"/>
  <c r="V821" i="1"/>
  <c r="V820" i="1"/>
  <c r="V819" i="1"/>
  <c r="V818" i="1"/>
  <c r="V816" i="1"/>
  <c r="V815" i="1"/>
  <c r="V814" i="1"/>
  <c r="V813" i="1"/>
  <c r="V812" i="1"/>
  <c r="V810" i="1"/>
  <c r="V809" i="1"/>
  <c r="V808" i="1"/>
  <c r="V806" i="1"/>
  <c r="V805" i="1"/>
  <c r="V804" i="1"/>
  <c r="V803" i="1"/>
  <c r="V802" i="1"/>
  <c r="V801" i="1"/>
  <c r="V799" i="1"/>
  <c r="V798" i="1"/>
  <c r="V797" i="1"/>
  <c r="V796" i="1"/>
  <c r="V795" i="1"/>
  <c r="V794" i="1"/>
  <c r="V793" i="1"/>
  <c r="V792" i="1"/>
  <c r="V791" i="1"/>
  <c r="V789" i="1"/>
  <c r="V788" i="1"/>
  <c r="V787" i="1"/>
  <c r="V785" i="1"/>
  <c r="V784" i="1"/>
  <c r="V783" i="1"/>
  <c r="V782" i="1"/>
  <c r="V781" i="1"/>
  <c r="V779" i="1"/>
  <c r="V777" i="1"/>
  <c r="V776" i="1"/>
  <c r="V775" i="1"/>
  <c r="V774" i="1"/>
  <c r="V773" i="1"/>
  <c r="V772" i="1"/>
  <c r="V771" i="1"/>
  <c r="V770" i="1"/>
  <c r="V768" i="1"/>
  <c r="V767" i="1"/>
  <c r="V764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5" i="1"/>
  <c r="V714" i="1"/>
  <c r="V713" i="1"/>
  <c r="V712" i="1"/>
  <c r="V711" i="1"/>
  <c r="V710" i="1"/>
  <c r="V709" i="1"/>
  <c r="V708" i="1"/>
  <c r="V707" i="1"/>
  <c r="V706" i="1"/>
  <c r="V705" i="1"/>
  <c r="V702" i="1"/>
  <c r="V701" i="1"/>
  <c r="V700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3" i="1"/>
  <c r="V652" i="1"/>
  <c r="V651" i="1"/>
  <c r="V650" i="1"/>
  <c r="V649" i="1"/>
  <c r="V648" i="1"/>
  <c r="V647" i="1"/>
  <c r="V645" i="1"/>
  <c r="V644" i="1"/>
  <c r="V643" i="1"/>
  <c r="V642" i="1"/>
  <c r="V639" i="1"/>
  <c r="V637" i="1"/>
  <c r="V636" i="1"/>
  <c r="V635" i="1"/>
  <c r="V634" i="1"/>
  <c r="V633" i="1"/>
  <c r="V631" i="1"/>
  <c r="V630" i="1"/>
  <c r="V629" i="1"/>
  <c r="V628" i="1"/>
  <c r="V627" i="1"/>
  <c r="V626" i="1"/>
  <c r="V625" i="1"/>
  <c r="V624" i="1"/>
  <c r="V623" i="1"/>
  <c r="V621" i="1"/>
  <c r="V620" i="1"/>
  <c r="V619" i="1"/>
  <c r="V618" i="1"/>
  <c r="V617" i="1"/>
  <c r="V616" i="1"/>
  <c r="V615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7" i="1"/>
  <c r="V534" i="1"/>
  <c r="V533" i="1"/>
  <c r="V531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4" i="1"/>
  <c r="V503" i="1"/>
  <c r="V502" i="1"/>
  <c r="V501" i="1"/>
  <c r="V500" i="1"/>
  <c r="V499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7" i="1"/>
  <c r="V286" i="1"/>
  <c r="V285" i="1"/>
  <c r="V284" i="1"/>
  <c r="V283" i="1"/>
  <c r="V281" i="1"/>
  <c r="V280" i="1"/>
  <c r="V279" i="1"/>
  <c r="V278" i="1"/>
  <c r="V277" i="1"/>
  <c r="V276" i="1"/>
  <c r="V275" i="1"/>
  <c r="V274" i="1"/>
  <c r="V272" i="1"/>
  <c r="V271" i="1"/>
  <c r="V270" i="1"/>
  <c r="V269" i="1"/>
  <c r="V268" i="1"/>
  <c r="V267" i="1"/>
  <c r="V266" i="1"/>
  <c r="V265" i="1"/>
  <c r="V264" i="1"/>
  <c r="V263" i="1"/>
  <c r="V260" i="1"/>
  <c r="V259" i="1"/>
  <c r="V258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1" i="1"/>
  <c r="V120" i="1"/>
  <c r="V119" i="1"/>
  <c r="V118" i="1"/>
  <c r="V117" i="1"/>
  <c r="V116" i="1"/>
  <c r="V115" i="1"/>
  <c r="V114" i="1"/>
  <c r="V112" i="1"/>
  <c r="V111" i="1"/>
  <c r="V110" i="1"/>
  <c r="V109" i="1"/>
  <c r="V108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6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0" i="1"/>
  <c r="V49" i="1"/>
  <c r="V48" i="1"/>
  <c r="V47" i="1"/>
  <c r="V45" i="1"/>
  <c r="V44" i="1"/>
  <c r="V43" i="1"/>
  <c r="V42" i="1"/>
  <c r="V41" i="1"/>
  <c r="V38" i="1"/>
  <c r="V37" i="1"/>
  <c r="V35" i="1"/>
  <c r="V34" i="1"/>
  <c r="V33" i="1"/>
  <c r="V31" i="1"/>
  <c r="V30" i="1"/>
  <c r="V27" i="1"/>
  <c r="V26" i="1"/>
  <c r="V25" i="1"/>
  <c r="V24" i="1"/>
  <c r="V23" i="1"/>
  <c r="V22" i="1"/>
  <c r="V20" i="1"/>
  <c r="V18" i="1"/>
  <c r="V17" i="1"/>
  <c r="V16" i="1"/>
  <c r="V13" i="1"/>
  <c r="V12" i="1"/>
  <c r="V10" i="1"/>
  <c r="V6" i="1"/>
  <c r="V5" i="1"/>
  <c r="N20" i="2"/>
  <c r="N5" i="1"/>
  <c r="U5" i="1" s="1"/>
  <c r="N6" i="1"/>
  <c r="U6" i="1" s="1"/>
  <c r="N7" i="1"/>
  <c r="U7" i="1" s="1"/>
  <c r="V3684" i="1" l="1"/>
  <c r="N2" i="1"/>
  <c r="U2" i="1" s="1"/>
  <c r="F6" i="1"/>
  <c r="F4" i="1"/>
  <c r="J53" i="2" l="1"/>
  <c r="J54" i="2"/>
  <c r="J55" i="2"/>
  <c r="J56" i="2"/>
  <c r="J57" i="2"/>
  <c r="J58" i="2"/>
  <c r="J59" i="2"/>
  <c r="J60" i="2"/>
  <c r="J61" i="2"/>
  <c r="I61" i="2"/>
  <c r="I60" i="2"/>
  <c r="I59" i="2"/>
  <c r="I58" i="2"/>
  <c r="I57" i="2"/>
  <c r="I56" i="2"/>
  <c r="I55" i="2"/>
  <c r="I54" i="2"/>
  <c r="I53" i="2"/>
  <c r="H61" i="2"/>
  <c r="H60" i="2"/>
  <c r="H59" i="2"/>
  <c r="H58" i="2"/>
  <c r="H57" i="2"/>
  <c r="H56" i="2"/>
  <c r="H55" i="2"/>
  <c r="H54" i="2"/>
  <c r="H53" i="2"/>
  <c r="G53" i="2"/>
  <c r="G54" i="2"/>
  <c r="G55" i="2"/>
  <c r="G56" i="2"/>
  <c r="G57" i="2"/>
  <c r="G58" i="2"/>
  <c r="G59" i="2"/>
  <c r="G60" i="2"/>
  <c r="G61" i="2"/>
  <c r="F61" i="2"/>
  <c r="F60" i="2"/>
  <c r="F59" i="2"/>
  <c r="F58" i="2"/>
  <c r="F57" i="2"/>
  <c r="F56" i="2"/>
  <c r="F55" i="2"/>
  <c r="F54" i="2"/>
  <c r="F53" i="2"/>
  <c r="I50" i="2"/>
  <c r="G50" i="2"/>
  <c r="F50" i="2"/>
  <c r="I49" i="2"/>
  <c r="G49" i="2"/>
  <c r="F49" i="2"/>
  <c r="I48" i="2"/>
  <c r="G48" i="2"/>
  <c r="F48" i="2"/>
  <c r="I36" i="2"/>
  <c r="G36" i="2"/>
  <c r="F36" i="2"/>
  <c r="I47" i="2"/>
  <c r="G47" i="2"/>
  <c r="F47" i="2"/>
  <c r="I46" i="2"/>
  <c r="G46" i="2"/>
  <c r="F46" i="2"/>
  <c r="I45" i="2"/>
  <c r="G45" i="2"/>
  <c r="F45" i="2"/>
  <c r="I44" i="2"/>
  <c r="G44" i="2"/>
  <c r="F44" i="2"/>
  <c r="I43" i="2"/>
  <c r="G43" i="2"/>
  <c r="F43" i="2"/>
  <c r="I42" i="2"/>
  <c r="G42" i="2"/>
  <c r="F42" i="2"/>
  <c r="I41" i="2"/>
  <c r="G41" i="2"/>
  <c r="F41" i="2"/>
  <c r="I40" i="2"/>
  <c r="G40" i="2"/>
  <c r="F40" i="2"/>
  <c r="I39" i="2"/>
  <c r="G39" i="2"/>
  <c r="F39" i="2"/>
  <c r="I38" i="2"/>
  <c r="G38" i="2"/>
  <c r="F38" i="2"/>
  <c r="I37" i="2"/>
  <c r="G37" i="2"/>
  <c r="F37" i="2"/>
  <c r="I35" i="2"/>
  <c r="G35" i="2"/>
  <c r="F35" i="2"/>
  <c r="I34" i="2"/>
  <c r="G34" i="2"/>
  <c r="F34" i="2"/>
  <c r="I33" i="2"/>
  <c r="G33" i="2"/>
  <c r="F33" i="2"/>
  <c r="I31" i="2"/>
  <c r="G31" i="2"/>
  <c r="F31" i="2"/>
  <c r="I32" i="2"/>
  <c r="G32" i="2"/>
  <c r="F32" i="2"/>
  <c r="G30" i="2"/>
  <c r="F30" i="2"/>
  <c r="I29" i="2"/>
  <c r="G29" i="2"/>
  <c r="F29" i="2"/>
  <c r="I28" i="2"/>
  <c r="G28" i="2"/>
  <c r="F28" i="2"/>
  <c r="G27" i="2"/>
  <c r="F27" i="2"/>
  <c r="I26" i="2"/>
  <c r="G26" i="2"/>
  <c r="F26" i="2"/>
  <c r="I25" i="2"/>
  <c r="G25" i="2"/>
  <c r="F25" i="2"/>
  <c r="I24" i="2"/>
  <c r="I23" i="2"/>
  <c r="G24" i="2"/>
  <c r="F24" i="2"/>
  <c r="G23" i="2"/>
  <c r="F23" i="2"/>
  <c r="I22" i="2"/>
  <c r="G22" i="2"/>
  <c r="F22" i="2"/>
  <c r="G20" i="2"/>
  <c r="F20" i="2"/>
  <c r="I21" i="2"/>
  <c r="G21" i="2"/>
  <c r="F21" i="2"/>
  <c r="I20" i="2"/>
  <c r="G19" i="2"/>
  <c r="I19" i="2"/>
  <c r="F19" i="2"/>
  <c r="I18" i="2"/>
  <c r="G18" i="2"/>
  <c r="F18" i="2"/>
  <c r="G17" i="2"/>
  <c r="F17" i="2"/>
  <c r="I16" i="2"/>
  <c r="G16" i="2"/>
  <c r="F16" i="2"/>
  <c r="I15" i="2"/>
  <c r="G15" i="2"/>
  <c r="F15" i="2"/>
  <c r="I14" i="2"/>
  <c r="G14" i="2"/>
  <c r="F14" i="2"/>
  <c r="I13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N638" i="1"/>
  <c r="U638" i="1" s="1"/>
  <c r="F3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3" i="1"/>
  <c r="F824" i="1"/>
  <c r="F825" i="1"/>
  <c r="F826" i="1"/>
  <c r="F827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2" i="1"/>
  <c r="N3" i="1"/>
  <c r="U3" i="1" s="1"/>
  <c r="N8" i="1"/>
  <c r="U8" i="1" s="1"/>
  <c r="N9" i="1"/>
  <c r="U9" i="1" s="1"/>
  <c r="N10" i="1"/>
  <c r="U10" i="1" s="1"/>
  <c r="N11" i="1"/>
  <c r="U11" i="1" s="1"/>
  <c r="N12" i="1"/>
  <c r="U12" i="1" s="1"/>
  <c r="N13" i="1"/>
  <c r="U13" i="1" s="1"/>
  <c r="N14" i="1"/>
  <c r="U14" i="1" s="1"/>
  <c r="N15" i="1"/>
  <c r="U15" i="1" s="1"/>
  <c r="N16" i="1"/>
  <c r="U16" i="1" s="1"/>
  <c r="N17" i="1"/>
  <c r="U17" i="1" s="1"/>
  <c r="N18" i="1"/>
  <c r="U18" i="1" s="1"/>
  <c r="N19" i="1"/>
  <c r="U19" i="1" s="1"/>
  <c r="N20" i="1"/>
  <c r="U20" i="1" s="1"/>
  <c r="N21" i="1"/>
  <c r="U21" i="1" s="1"/>
  <c r="N22" i="1"/>
  <c r="U22" i="1" s="1"/>
  <c r="N23" i="1"/>
  <c r="U23" i="1" s="1"/>
  <c r="N24" i="1"/>
  <c r="U24" i="1" s="1"/>
  <c r="N25" i="1"/>
  <c r="U25" i="1" s="1"/>
  <c r="N26" i="1"/>
  <c r="U26" i="1" s="1"/>
  <c r="N27" i="1"/>
  <c r="U27" i="1" s="1"/>
  <c r="N28" i="1"/>
  <c r="U28" i="1" s="1"/>
  <c r="N29" i="1"/>
  <c r="U29" i="1" s="1"/>
  <c r="N30" i="1"/>
  <c r="U30" i="1" s="1"/>
  <c r="N31" i="1"/>
  <c r="U31" i="1" s="1"/>
  <c r="N32" i="1"/>
  <c r="U32" i="1" s="1"/>
  <c r="N33" i="1"/>
  <c r="U33" i="1" s="1"/>
  <c r="N34" i="1"/>
  <c r="U34" i="1" s="1"/>
  <c r="N35" i="1"/>
  <c r="U35" i="1" s="1"/>
  <c r="N36" i="1"/>
  <c r="U36" i="1" s="1"/>
  <c r="N37" i="1"/>
  <c r="U37" i="1" s="1"/>
  <c r="N38" i="1"/>
  <c r="U38" i="1" s="1"/>
  <c r="N39" i="1"/>
  <c r="U39" i="1" s="1"/>
  <c r="N40" i="1"/>
  <c r="U40" i="1" s="1"/>
  <c r="N41" i="1"/>
  <c r="U41" i="1" s="1"/>
  <c r="N42" i="1"/>
  <c r="U42" i="1" s="1"/>
  <c r="N43" i="1"/>
  <c r="U43" i="1" s="1"/>
  <c r="N44" i="1"/>
  <c r="U44" i="1" s="1"/>
  <c r="N45" i="1"/>
  <c r="U45" i="1" s="1"/>
  <c r="N46" i="1"/>
  <c r="U46" i="1" s="1"/>
  <c r="N47" i="1"/>
  <c r="U47" i="1" s="1"/>
  <c r="N48" i="1"/>
  <c r="U48" i="1" s="1"/>
  <c r="N49" i="1"/>
  <c r="U49" i="1" s="1"/>
  <c r="N50" i="1"/>
  <c r="U50" i="1" s="1"/>
  <c r="N51" i="1"/>
  <c r="U51" i="1" s="1"/>
  <c r="N52" i="1"/>
  <c r="U52" i="1" s="1"/>
  <c r="N53" i="1"/>
  <c r="U53" i="1" s="1"/>
  <c r="N54" i="1"/>
  <c r="U54" i="1" s="1"/>
  <c r="N55" i="1"/>
  <c r="U55" i="1" s="1"/>
  <c r="N56" i="1"/>
  <c r="U56" i="1" s="1"/>
  <c r="N57" i="1"/>
  <c r="U57" i="1" s="1"/>
  <c r="N58" i="1"/>
  <c r="U58" i="1" s="1"/>
  <c r="N59" i="1"/>
  <c r="U59" i="1" s="1"/>
  <c r="N60" i="1"/>
  <c r="U60" i="1" s="1"/>
  <c r="N61" i="1"/>
  <c r="U61" i="1" s="1"/>
  <c r="N62" i="1"/>
  <c r="U62" i="1" s="1"/>
  <c r="N63" i="1"/>
  <c r="U63" i="1" s="1"/>
  <c r="N64" i="1"/>
  <c r="U64" i="1" s="1"/>
  <c r="N65" i="1"/>
  <c r="N66" i="1"/>
  <c r="U66" i="1" s="1"/>
  <c r="N67" i="1"/>
  <c r="U67" i="1" s="1"/>
  <c r="N68" i="1"/>
  <c r="U68" i="1" s="1"/>
  <c r="N69" i="1"/>
  <c r="U69" i="1" s="1"/>
  <c r="N70" i="1"/>
  <c r="U70" i="1" s="1"/>
  <c r="N71" i="1"/>
  <c r="U71" i="1" s="1"/>
  <c r="N72" i="1"/>
  <c r="U72" i="1" s="1"/>
  <c r="N73" i="1"/>
  <c r="U73" i="1" s="1"/>
  <c r="N74" i="1"/>
  <c r="U74" i="1" s="1"/>
  <c r="N75" i="1"/>
  <c r="U75" i="1" s="1"/>
  <c r="N76" i="1"/>
  <c r="U76" i="1" s="1"/>
  <c r="N77" i="1"/>
  <c r="U77" i="1" s="1"/>
  <c r="N78" i="1"/>
  <c r="U78" i="1" s="1"/>
  <c r="N79" i="1"/>
  <c r="U79" i="1" s="1"/>
  <c r="N80" i="1"/>
  <c r="U80" i="1" s="1"/>
  <c r="N81" i="1"/>
  <c r="U81" i="1" s="1"/>
  <c r="N82" i="1"/>
  <c r="U82" i="1" s="1"/>
  <c r="N83" i="1"/>
  <c r="U83" i="1" s="1"/>
  <c r="N84" i="1"/>
  <c r="U84" i="1" s="1"/>
  <c r="N85" i="1"/>
  <c r="U85" i="1" s="1"/>
  <c r="N86" i="1"/>
  <c r="U86" i="1" s="1"/>
  <c r="N87" i="1"/>
  <c r="U87" i="1" s="1"/>
  <c r="N88" i="1"/>
  <c r="U88" i="1" s="1"/>
  <c r="N89" i="1"/>
  <c r="U89" i="1" s="1"/>
  <c r="N90" i="1"/>
  <c r="U90" i="1" s="1"/>
  <c r="N91" i="1"/>
  <c r="U91" i="1" s="1"/>
  <c r="N92" i="1"/>
  <c r="U92" i="1" s="1"/>
  <c r="N93" i="1"/>
  <c r="U93" i="1" s="1"/>
  <c r="N94" i="1"/>
  <c r="U94" i="1" s="1"/>
  <c r="N95" i="1"/>
  <c r="U95" i="1" s="1"/>
  <c r="N96" i="1"/>
  <c r="U96" i="1" s="1"/>
  <c r="N97" i="1"/>
  <c r="U97" i="1" s="1"/>
  <c r="N98" i="1"/>
  <c r="U98" i="1" s="1"/>
  <c r="N99" i="1"/>
  <c r="U99" i="1" s="1"/>
  <c r="N100" i="1"/>
  <c r="U100" i="1" s="1"/>
  <c r="N101" i="1"/>
  <c r="U101" i="1" s="1"/>
  <c r="N102" i="1"/>
  <c r="U102" i="1" s="1"/>
  <c r="N103" i="1"/>
  <c r="U103" i="1" s="1"/>
  <c r="N104" i="1"/>
  <c r="U104" i="1" s="1"/>
  <c r="N105" i="1"/>
  <c r="U105" i="1" s="1"/>
  <c r="N106" i="1"/>
  <c r="U106" i="1" s="1"/>
  <c r="N107" i="1"/>
  <c r="U107" i="1" s="1"/>
  <c r="N108" i="1"/>
  <c r="U108" i="1" s="1"/>
  <c r="N109" i="1"/>
  <c r="U109" i="1" s="1"/>
  <c r="N110" i="1"/>
  <c r="U110" i="1" s="1"/>
  <c r="N111" i="1"/>
  <c r="U111" i="1" s="1"/>
  <c r="N112" i="1"/>
  <c r="U112" i="1" s="1"/>
  <c r="N113" i="1"/>
  <c r="U113" i="1" s="1"/>
  <c r="N114" i="1"/>
  <c r="U114" i="1" s="1"/>
  <c r="N115" i="1"/>
  <c r="U115" i="1" s="1"/>
  <c r="N116" i="1"/>
  <c r="U116" i="1" s="1"/>
  <c r="N117" i="1"/>
  <c r="U117" i="1" s="1"/>
  <c r="N118" i="1"/>
  <c r="U118" i="1" s="1"/>
  <c r="N119" i="1"/>
  <c r="U119" i="1" s="1"/>
  <c r="N120" i="1"/>
  <c r="U120" i="1" s="1"/>
  <c r="N121" i="1"/>
  <c r="U121" i="1" s="1"/>
  <c r="N122" i="1"/>
  <c r="U122" i="1" s="1"/>
  <c r="N123" i="1"/>
  <c r="U123" i="1" s="1"/>
  <c r="N124" i="1"/>
  <c r="U124" i="1" s="1"/>
  <c r="N125" i="1"/>
  <c r="U125" i="1" s="1"/>
  <c r="N126" i="1"/>
  <c r="U126" i="1" s="1"/>
  <c r="N127" i="1"/>
  <c r="U127" i="1" s="1"/>
  <c r="N128" i="1"/>
  <c r="U128" i="1" s="1"/>
  <c r="N129" i="1"/>
  <c r="U129" i="1" s="1"/>
  <c r="N130" i="1"/>
  <c r="U130" i="1" s="1"/>
  <c r="N131" i="1"/>
  <c r="U131" i="1" s="1"/>
  <c r="N132" i="1"/>
  <c r="U132" i="1" s="1"/>
  <c r="N133" i="1"/>
  <c r="U133" i="1" s="1"/>
  <c r="N134" i="1"/>
  <c r="U134" i="1" s="1"/>
  <c r="N135" i="1"/>
  <c r="U135" i="1" s="1"/>
  <c r="N136" i="1"/>
  <c r="U136" i="1" s="1"/>
  <c r="N137" i="1"/>
  <c r="U137" i="1" s="1"/>
  <c r="N138" i="1"/>
  <c r="U138" i="1" s="1"/>
  <c r="N139" i="1"/>
  <c r="U139" i="1" s="1"/>
  <c r="N140" i="1"/>
  <c r="U140" i="1" s="1"/>
  <c r="N141" i="1"/>
  <c r="U141" i="1" s="1"/>
  <c r="N142" i="1"/>
  <c r="U142" i="1" s="1"/>
  <c r="N143" i="1"/>
  <c r="U143" i="1" s="1"/>
  <c r="N144" i="1"/>
  <c r="U144" i="1" s="1"/>
  <c r="N145" i="1"/>
  <c r="U145" i="1" s="1"/>
  <c r="N146" i="1"/>
  <c r="U146" i="1" s="1"/>
  <c r="N147" i="1"/>
  <c r="U147" i="1" s="1"/>
  <c r="N148" i="1"/>
  <c r="U148" i="1" s="1"/>
  <c r="N149" i="1"/>
  <c r="U149" i="1" s="1"/>
  <c r="N150" i="1"/>
  <c r="U150" i="1" s="1"/>
  <c r="N151" i="1"/>
  <c r="U151" i="1" s="1"/>
  <c r="N152" i="1"/>
  <c r="U152" i="1" s="1"/>
  <c r="N153" i="1"/>
  <c r="U153" i="1" s="1"/>
  <c r="N154" i="1"/>
  <c r="U154" i="1" s="1"/>
  <c r="N155" i="1"/>
  <c r="U155" i="1" s="1"/>
  <c r="N156" i="1"/>
  <c r="U156" i="1" s="1"/>
  <c r="N157" i="1"/>
  <c r="U157" i="1" s="1"/>
  <c r="N158" i="1"/>
  <c r="U158" i="1" s="1"/>
  <c r="N159" i="1"/>
  <c r="U159" i="1" s="1"/>
  <c r="N160" i="1"/>
  <c r="U160" i="1" s="1"/>
  <c r="N161" i="1"/>
  <c r="U161" i="1" s="1"/>
  <c r="N162" i="1"/>
  <c r="U162" i="1" s="1"/>
  <c r="N163" i="1"/>
  <c r="U163" i="1" s="1"/>
  <c r="N164" i="1"/>
  <c r="U164" i="1" s="1"/>
  <c r="N165" i="1"/>
  <c r="U165" i="1" s="1"/>
  <c r="N166" i="1"/>
  <c r="U166" i="1" s="1"/>
  <c r="N167" i="1"/>
  <c r="U167" i="1" s="1"/>
  <c r="N168" i="1"/>
  <c r="U168" i="1" s="1"/>
  <c r="N169" i="1"/>
  <c r="U169" i="1" s="1"/>
  <c r="N170" i="1"/>
  <c r="U170" i="1" s="1"/>
  <c r="N171" i="1"/>
  <c r="U171" i="1" s="1"/>
  <c r="N172" i="1"/>
  <c r="U172" i="1" s="1"/>
  <c r="N173" i="1"/>
  <c r="U173" i="1" s="1"/>
  <c r="N174" i="1"/>
  <c r="U174" i="1" s="1"/>
  <c r="N175" i="1"/>
  <c r="U175" i="1" s="1"/>
  <c r="N176" i="1"/>
  <c r="U176" i="1" s="1"/>
  <c r="N177" i="1"/>
  <c r="U177" i="1" s="1"/>
  <c r="N178" i="1"/>
  <c r="U178" i="1" s="1"/>
  <c r="N179" i="1"/>
  <c r="U179" i="1" s="1"/>
  <c r="N180" i="1"/>
  <c r="U180" i="1" s="1"/>
  <c r="N181" i="1"/>
  <c r="U181" i="1" s="1"/>
  <c r="N182" i="1"/>
  <c r="U182" i="1" s="1"/>
  <c r="N183" i="1"/>
  <c r="U183" i="1" s="1"/>
  <c r="N184" i="1"/>
  <c r="U184" i="1" s="1"/>
  <c r="N185" i="1"/>
  <c r="U185" i="1" s="1"/>
  <c r="N186" i="1"/>
  <c r="U186" i="1" s="1"/>
  <c r="N187" i="1"/>
  <c r="U187" i="1" s="1"/>
  <c r="N188" i="1"/>
  <c r="U188" i="1" s="1"/>
  <c r="N189" i="1"/>
  <c r="U189" i="1" s="1"/>
  <c r="N190" i="1"/>
  <c r="U190" i="1" s="1"/>
  <c r="N191" i="1"/>
  <c r="U191" i="1" s="1"/>
  <c r="N192" i="1"/>
  <c r="U192" i="1" s="1"/>
  <c r="N193" i="1"/>
  <c r="U193" i="1" s="1"/>
  <c r="N194" i="1"/>
  <c r="U194" i="1" s="1"/>
  <c r="N195" i="1"/>
  <c r="U195" i="1" s="1"/>
  <c r="N196" i="1"/>
  <c r="U196" i="1" s="1"/>
  <c r="N197" i="1"/>
  <c r="U197" i="1" s="1"/>
  <c r="N198" i="1"/>
  <c r="U198" i="1" s="1"/>
  <c r="N199" i="1"/>
  <c r="U199" i="1" s="1"/>
  <c r="N200" i="1"/>
  <c r="U200" i="1" s="1"/>
  <c r="N201" i="1"/>
  <c r="U201" i="1" s="1"/>
  <c r="N202" i="1"/>
  <c r="U202" i="1" s="1"/>
  <c r="N203" i="1"/>
  <c r="U203" i="1" s="1"/>
  <c r="N204" i="1"/>
  <c r="U204" i="1" s="1"/>
  <c r="N205" i="1"/>
  <c r="U205" i="1" s="1"/>
  <c r="N206" i="1"/>
  <c r="U206" i="1" s="1"/>
  <c r="N207" i="1"/>
  <c r="U207" i="1" s="1"/>
  <c r="N208" i="1"/>
  <c r="U208" i="1" s="1"/>
  <c r="N209" i="1"/>
  <c r="U209" i="1" s="1"/>
  <c r="N210" i="1"/>
  <c r="U210" i="1" s="1"/>
  <c r="N211" i="1"/>
  <c r="U211" i="1" s="1"/>
  <c r="N212" i="1"/>
  <c r="U212" i="1" s="1"/>
  <c r="N213" i="1"/>
  <c r="U213" i="1" s="1"/>
  <c r="N214" i="1"/>
  <c r="U214" i="1" s="1"/>
  <c r="N215" i="1"/>
  <c r="U215" i="1" s="1"/>
  <c r="N216" i="1"/>
  <c r="U216" i="1" s="1"/>
  <c r="N217" i="1"/>
  <c r="U217" i="1" s="1"/>
  <c r="N218" i="1"/>
  <c r="U218" i="1" s="1"/>
  <c r="N219" i="1"/>
  <c r="U219" i="1" s="1"/>
  <c r="N220" i="1"/>
  <c r="U220" i="1" s="1"/>
  <c r="N221" i="1"/>
  <c r="U221" i="1" s="1"/>
  <c r="N222" i="1"/>
  <c r="U222" i="1" s="1"/>
  <c r="N223" i="1"/>
  <c r="U223" i="1" s="1"/>
  <c r="N224" i="1"/>
  <c r="U224" i="1" s="1"/>
  <c r="N225" i="1"/>
  <c r="U225" i="1" s="1"/>
  <c r="N226" i="1"/>
  <c r="U226" i="1" s="1"/>
  <c r="N227" i="1"/>
  <c r="N228" i="1"/>
  <c r="U228" i="1" s="1"/>
  <c r="N229" i="1"/>
  <c r="U229" i="1" s="1"/>
  <c r="N230" i="1"/>
  <c r="U230" i="1" s="1"/>
  <c r="N231" i="1"/>
  <c r="U231" i="1" s="1"/>
  <c r="N232" i="1"/>
  <c r="U232" i="1" s="1"/>
  <c r="N233" i="1"/>
  <c r="U233" i="1" s="1"/>
  <c r="N234" i="1"/>
  <c r="U234" i="1" s="1"/>
  <c r="N235" i="1"/>
  <c r="U235" i="1" s="1"/>
  <c r="N236" i="1"/>
  <c r="U236" i="1" s="1"/>
  <c r="N237" i="1"/>
  <c r="U237" i="1" s="1"/>
  <c r="N238" i="1"/>
  <c r="U238" i="1" s="1"/>
  <c r="N239" i="1"/>
  <c r="U239" i="1" s="1"/>
  <c r="N240" i="1"/>
  <c r="U240" i="1" s="1"/>
  <c r="N241" i="1"/>
  <c r="U241" i="1" s="1"/>
  <c r="N242" i="1"/>
  <c r="U242" i="1" s="1"/>
  <c r="N243" i="1"/>
  <c r="U243" i="1" s="1"/>
  <c r="N244" i="1"/>
  <c r="U244" i="1" s="1"/>
  <c r="N245" i="1"/>
  <c r="U245" i="1" s="1"/>
  <c r="N246" i="1"/>
  <c r="U246" i="1" s="1"/>
  <c r="N247" i="1"/>
  <c r="U247" i="1" s="1"/>
  <c r="N248" i="1"/>
  <c r="U248" i="1" s="1"/>
  <c r="N249" i="1"/>
  <c r="U249" i="1" s="1"/>
  <c r="N250" i="1"/>
  <c r="U250" i="1" s="1"/>
  <c r="N251" i="1"/>
  <c r="U251" i="1" s="1"/>
  <c r="N252" i="1"/>
  <c r="U252" i="1" s="1"/>
  <c r="N253" i="1"/>
  <c r="U253" i="1" s="1"/>
  <c r="N254" i="1"/>
  <c r="U254" i="1" s="1"/>
  <c r="N255" i="1"/>
  <c r="U255" i="1" s="1"/>
  <c r="N256" i="1"/>
  <c r="U256" i="1" s="1"/>
  <c r="N257" i="1"/>
  <c r="U257" i="1" s="1"/>
  <c r="N258" i="1"/>
  <c r="U258" i="1" s="1"/>
  <c r="N259" i="1"/>
  <c r="U259" i="1" s="1"/>
  <c r="N260" i="1"/>
  <c r="U260" i="1" s="1"/>
  <c r="N261" i="1"/>
  <c r="N262" i="1"/>
  <c r="U262" i="1" s="1"/>
  <c r="N263" i="1"/>
  <c r="U263" i="1" s="1"/>
  <c r="N264" i="1"/>
  <c r="U264" i="1" s="1"/>
  <c r="N265" i="1"/>
  <c r="U265" i="1" s="1"/>
  <c r="N266" i="1"/>
  <c r="U266" i="1" s="1"/>
  <c r="N267" i="1"/>
  <c r="U267" i="1" s="1"/>
  <c r="N268" i="1"/>
  <c r="U268" i="1" s="1"/>
  <c r="N269" i="1"/>
  <c r="U269" i="1" s="1"/>
  <c r="N270" i="1"/>
  <c r="U270" i="1" s="1"/>
  <c r="N271" i="1"/>
  <c r="U271" i="1" s="1"/>
  <c r="N272" i="1"/>
  <c r="U272" i="1" s="1"/>
  <c r="N273" i="1"/>
  <c r="N274" i="1"/>
  <c r="U274" i="1" s="1"/>
  <c r="N275" i="1"/>
  <c r="U275" i="1" s="1"/>
  <c r="N276" i="1"/>
  <c r="U276" i="1" s="1"/>
  <c r="N277" i="1"/>
  <c r="U277" i="1" s="1"/>
  <c r="N278" i="1"/>
  <c r="U278" i="1" s="1"/>
  <c r="N279" i="1"/>
  <c r="U279" i="1" s="1"/>
  <c r="N280" i="1"/>
  <c r="U280" i="1" s="1"/>
  <c r="N281" i="1"/>
  <c r="U281" i="1" s="1"/>
  <c r="N282" i="1"/>
  <c r="U282" i="1" s="1"/>
  <c r="N283" i="1"/>
  <c r="U283" i="1" s="1"/>
  <c r="N284" i="1"/>
  <c r="U284" i="1" s="1"/>
  <c r="N285" i="1"/>
  <c r="U285" i="1" s="1"/>
  <c r="N286" i="1"/>
  <c r="U286" i="1" s="1"/>
  <c r="N287" i="1"/>
  <c r="U287" i="1" s="1"/>
  <c r="N288" i="1"/>
  <c r="U288" i="1" s="1"/>
  <c r="N289" i="1"/>
  <c r="U289" i="1" s="1"/>
  <c r="N290" i="1"/>
  <c r="U290" i="1" s="1"/>
  <c r="N291" i="1"/>
  <c r="U291" i="1" s="1"/>
  <c r="N292" i="1"/>
  <c r="U292" i="1" s="1"/>
  <c r="N293" i="1"/>
  <c r="U293" i="1" s="1"/>
  <c r="N294" i="1"/>
  <c r="U294" i="1" s="1"/>
  <c r="N295" i="1"/>
  <c r="U295" i="1" s="1"/>
  <c r="N296" i="1"/>
  <c r="U296" i="1" s="1"/>
  <c r="N297" i="1"/>
  <c r="U297" i="1" s="1"/>
  <c r="N298" i="1"/>
  <c r="U298" i="1" s="1"/>
  <c r="N299" i="1"/>
  <c r="U299" i="1" s="1"/>
  <c r="N300" i="1"/>
  <c r="U300" i="1" s="1"/>
  <c r="N301" i="1"/>
  <c r="U301" i="1" s="1"/>
  <c r="N302" i="1"/>
  <c r="U302" i="1" s="1"/>
  <c r="N303" i="1"/>
  <c r="U303" i="1" s="1"/>
  <c r="N304" i="1"/>
  <c r="U304" i="1" s="1"/>
  <c r="N305" i="1"/>
  <c r="U305" i="1" s="1"/>
  <c r="N306" i="1"/>
  <c r="U306" i="1" s="1"/>
  <c r="N307" i="1"/>
  <c r="U307" i="1" s="1"/>
  <c r="N308" i="1"/>
  <c r="U308" i="1" s="1"/>
  <c r="N309" i="1"/>
  <c r="U309" i="1" s="1"/>
  <c r="N310" i="1"/>
  <c r="U310" i="1" s="1"/>
  <c r="N311" i="1"/>
  <c r="U311" i="1" s="1"/>
  <c r="N312" i="1"/>
  <c r="U312" i="1" s="1"/>
  <c r="N313" i="1"/>
  <c r="U313" i="1" s="1"/>
  <c r="N314" i="1"/>
  <c r="U314" i="1" s="1"/>
  <c r="N315" i="1"/>
  <c r="U315" i="1" s="1"/>
  <c r="N316" i="1"/>
  <c r="U316" i="1" s="1"/>
  <c r="N317" i="1"/>
  <c r="U317" i="1" s="1"/>
  <c r="N318" i="1"/>
  <c r="U318" i="1" s="1"/>
  <c r="N319" i="1"/>
  <c r="U319" i="1" s="1"/>
  <c r="N320" i="1"/>
  <c r="U320" i="1" s="1"/>
  <c r="N321" i="1"/>
  <c r="U321" i="1" s="1"/>
  <c r="N322" i="1"/>
  <c r="U322" i="1" s="1"/>
  <c r="N323" i="1"/>
  <c r="U323" i="1" s="1"/>
  <c r="N324" i="1"/>
  <c r="U324" i="1" s="1"/>
  <c r="N325" i="1"/>
  <c r="U325" i="1" s="1"/>
  <c r="N326" i="1"/>
  <c r="U326" i="1" s="1"/>
  <c r="N327" i="1"/>
  <c r="U327" i="1" s="1"/>
  <c r="N328" i="1"/>
  <c r="U328" i="1" s="1"/>
  <c r="N329" i="1"/>
  <c r="U329" i="1" s="1"/>
  <c r="N330" i="1"/>
  <c r="U330" i="1" s="1"/>
  <c r="N331" i="1"/>
  <c r="U331" i="1" s="1"/>
  <c r="N332" i="1"/>
  <c r="U332" i="1" s="1"/>
  <c r="N333" i="1"/>
  <c r="U333" i="1" s="1"/>
  <c r="N334" i="1"/>
  <c r="U334" i="1" s="1"/>
  <c r="N335" i="1"/>
  <c r="U335" i="1" s="1"/>
  <c r="N336" i="1"/>
  <c r="U336" i="1" s="1"/>
  <c r="N337" i="1"/>
  <c r="U337" i="1" s="1"/>
  <c r="N338" i="1"/>
  <c r="U338" i="1" s="1"/>
  <c r="N339" i="1"/>
  <c r="U339" i="1" s="1"/>
  <c r="N340" i="1"/>
  <c r="U340" i="1" s="1"/>
  <c r="N341" i="1"/>
  <c r="U341" i="1" s="1"/>
  <c r="N342" i="1"/>
  <c r="U342" i="1" s="1"/>
  <c r="N343" i="1"/>
  <c r="U343" i="1" s="1"/>
  <c r="N344" i="1"/>
  <c r="U344" i="1" s="1"/>
  <c r="N345" i="1"/>
  <c r="U345" i="1" s="1"/>
  <c r="N346" i="1"/>
  <c r="U346" i="1" s="1"/>
  <c r="N347" i="1"/>
  <c r="U347" i="1" s="1"/>
  <c r="N348" i="1"/>
  <c r="U348" i="1" s="1"/>
  <c r="N349" i="1"/>
  <c r="U349" i="1" s="1"/>
  <c r="N350" i="1"/>
  <c r="U350" i="1" s="1"/>
  <c r="N351" i="1"/>
  <c r="U351" i="1" s="1"/>
  <c r="N352" i="1"/>
  <c r="U352" i="1" s="1"/>
  <c r="N353" i="1"/>
  <c r="U353" i="1" s="1"/>
  <c r="N354" i="1"/>
  <c r="U354" i="1" s="1"/>
  <c r="N355" i="1"/>
  <c r="U355" i="1" s="1"/>
  <c r="N356" i="1"/>
  <c r="U356" i="1" s="1"/>
  <c r="N357" i="1"/>
  <c r="U357" i="1" s="1"/>
  <c r="N358" i="1"/>
  <c r="U358" i="1" s="1"/>
  <c r="N359" i="1"/>
  <c r="U359" i="1" s="1"/>
  <c r="N360" i="1"/>
  <c r="U360" i="1" s="1"/>
  <c r="N361" i="1"/>
  <c r="U361" i="1" s="1"/>
  <c r="N362" i="1"/>
  <c r="U362" i="1" s="1"/>
  <c r="N363" i="1"/>
  <c r="U363" i="1" s="1"/>
  <c r="N364" i="1"/>
  <c r="U364" i="1" s="1"/>
  <c r="N365" i="1"/>
  <c r="U365" i="1" s="1"/>
  <c r="N366" i="1"/>
  <c r="U366" i="1" s="1"/>
  <c r="N367" i="1"/>
  <c r="U367" i="1" s="1"/>
  <c r="N368" i="1"/>
  <c r="U368" i="1" s="1"/>
  <c r="N369" i="1"/>
  <c r="U369" i="1" s="1"/>
  <c r="N370" i="1"/>
  <c r="U370" i="1" s="1"/>
  <c r="N371" i="1"/>
  <c r="U371" i="1" s="1"/>
  <c r="N372" i="1"/>
  <c r="U372" i="1" s="1"/>
  <c r="N373" i="1"/>
  <c r="U373" i="1" s="1"/>
  <c r="N374" i="1"/>
  <c r="U374" i="1" s="1"/>
  <c r="N375" i="1"/>
  <c r="U375" i="1" s="1"/>
  <c r="N376" i="1"/>
  <c r="U376" i="1" s="1"/>
  <c r="N377" i="1"/>
  <c r="U377" i="1" s="1"/>
  <c r="N378" i="1"/>
  <c r="U378" i="1" s="1"/>
  <c r="N379" i="1"/>
  <c r="U379" i="1" s="1"/>
  <c r="N380" i="1"/>
  <c r="U380" i="1" s="1"/>
  <c r="N381" i="1"/>
  <c r="U381" i="1" s="1"/>
  <c r="N382" i="1"/>
  <c r="U382" i="1" s="1"/>
  <c r="N383" i="1"/>
  <c r="U383" i="1" s="1"/>
  <c r="N384" i="1"/>
  <c r="U384" i="1" s="1"/>
  <c r="N385" i="1"/>
  <c r="U385" i="1" s="1"/>
  <c r="N386" i="1"/>
  <c r="U386" i="1" s="1"/>
  <c r="N387" i="1"/>
  <c r="U387" i="1" s="1"/>
  <c r="N388" i="1"/>
  <c r="U388" i="1" s="1"/>
  <c r="N389" i="1"/>
  <c r="U389" i="1" s="1"/>
  <c r="N390" i="1"/>
  <c r="N391" i="1"/>
  <c r="U391" i="1" s="1"/>
  <c r="N392" i="1"/>
  <c r="U392" i="1" s="1"/>
  <c r="N393" i="1"/>
  <c r="U393" i="1" s="1"/>
  <c r="N394" i="1"/>
  <c r="U394" i="1" s="1"/>
  <c r="N395" i="1"/>
  <c r="U395" i="1" s="1"/>
  <c r="N396" i="1"/>
  <c r="U396" i="1" s="1"/>
  <c r="N397" i="1"/>
  <c r="U397" i="1" s="1"/>
  <c r="N398" i="1"/>
  <c r="U398" i="1" s="1"/>
  <c r="N399" i="1"/>
  <c r="U399" i="1" s="1"/>
  <c r="N400" i="1"/>
  <c r="U400" i="1" s="1"/>
  <c r="N401" i="1"/>
  <c r="U401" i="1" s="1"/>
  <c r="N402" i="1"/>
  <c r="U402" i="1" s="1"/>
  <c r="N403" i="1"/>
  <c r="U403" i="1" s="1"/>
  <c r="N404" i="1"/>
  <c r="U404" i="1" s="1"/>
  <c r="N405" i="1"/>
  <c r="U405" i="1" s="1"/>
  <c r="N406" i="1"/>
  <c r="U406" i="1" s="1"/>
  <c r="N407" i="1"/>
  <c r="U407" i="1" s="1"/>
  <c r="N408" i="1"/>
  <c r="U408" i="1" s="1"/>
  <c r="N409" i="1"/>
  <c r="U409" i="1" s="1"/>
  <c r="N410" i="1"/>
  <c r="U410" i="1" s="1"/>
  <c r="N411" i="1"/>
  <c r="U411" i="1" s="1"/>
  <c r="N412" i="1"/>
  <c r="U412" i="1" s="1"/>
  <c r="N413" i="1"/>
  <c r="U413" i="1" s="1"/>
  <c r="N414" i="1"/>
  <c r="U414" i="1" s="1"/>
  <c r="N415" i="1"/>
  <c r="U415" i="1" s="1"/>
  <c r="N416" i="1"/>
  <c r="U416" i="1" s="1"/>
  <c r="N417" i="1"/>
  <c r="U417" i="1" s="1"/>
  <c r="N418" i="1"/>
  <c r="U418" i="1" s="1"/>
  <c r="N419" i="1"/>
  <c r="U419" i="1" s="1"/>
  <c r="N420" i="1"/>
  <c r="U420" i="1" s="1"/>
  <c r="N421" i="1"/>
  <c r="U421" i="1" s="1"/>
  <c r="N422" i="1"/>
  <c r="U422" i="1" s="1"/>
  <c r="N423" i="1"/>
  <c r="U423" i="1" s="1"/>
  <c r="N424" i="1"/>
  <c r="U424" i="1" s="1"/>
  <c r="N425" i="1"/>
  <c r="U425" i="1" s="1"/>
  <c r="N426" i="1"/>
  <c r="U426" i="1" s="1"/>
  <c r="N427" i="1"/>
  <c r="U427" i="1" s="1"/>
  <c r="N428" i="1"/>
  <c r="U428" i="1" s="1"/>
  <c r="N429" i="1"/>
  <c r="U429" i="1" s="1"/>
  <c r="N430" i="1"/>
  <c r="U430" i="1" s="1"/>
  <c r="N431" i="1"/>
  <c r="U431" i="1" s="1"/>
  <c r="N432" i="1"/>
  <c r="U432" i="1" s="1"/>
  <c r="N433" i="1"/>
  <c r="U433" i="1" s="1"/>
  <c r="N434" i="1"/>
  <c r="U434" i="1" s="1"/>
  <c r="N435" i="1"/>
  <c r="U435" i="1" s="1"/>
  <c r="N436" i="1"/>
  <c r="U436" i="1" s="1"/>
  <c r="N437" i="1"/>
  <c r="U437" i="1" s="1"/>
  <c r="N438" i="1"/>
  <c r="U438" i="1" s="1"/>
  <c r="N439" i="1"/>
  <c r="U439" i="1" s="1"/>
  <c r="N440" i="1"/>
  <c r="U440" i="1" s="1"/>
  <c r="N441" i="1"/>
  <c r="U441" i="1" s="1"/>
  <c r="N442" i="1"/>
  <c r="U442" i="1" s="1"/>
  <c r="N443" i="1"/>
  <c r="U443" i="1" s="1"/>
  <c r="N444" i="1"/>
  <c r="U444" i="1" s="1"/>
  <c r="N445" i="1"/>
  <c r="U445" i="1" s="1"/>
  <c r="N446" i="1"/>
  <c r="U446" i="1" s="1"/>
  <c r="N447" i="1"/>
  <c r="U447" i="1" s="1"/>
  <c r="N448" i="1"/>
  <c r="U448" i="1" s="1"/>
  <c r="N449" i="1"/>
  <c r="U449" i="1" s="1"/>
  <c r="N450" i="1"/>
  <c r="U450" i="1" s="1"/>
  <c r="N451" i="1"/>
  <c r="U451" i="1" s="1"/>
  <c r="N452" i="1"/>
  <c r="U452" i="1" s="1"/>
  <c r="N453" i="1"/>
  <c r="U453" i="1" s="1"/>
  <c r="N454" i="1"/>
  <c r="U454" i="1" s="1"/>
  <c r="N455" i="1"/>
  <c r="U455" i="1" s="1"/>
  <c r="N456" i="1"/>
  <c r="U456" i="1" s="1"/>
  <c r="N457" i="1"/>
  <c r="U457" i="1" s="1"/>
  <c r="N458" i="1"/>
  <c r="U458" i="1" s="1"/>
  <c r="N459" i="1"/>
  <c r="U459" i="1" s="1"/>
  <c r="N460" i="1"/>
  <c r="U460" i="1" s="1"/>
  <c r="N461" i="1"/>
  <c r="U461" i="1" s="1"/>
  <c r="N462" i="1"/>
  <c r="U462" i="1" s="1"/>
  <c r="N463" i="1"/>
  <c r="U463" i="1" s="1"/>
  <c r="N464" i="1"/>
  <c r="U464" i="1" s="1"/>
  <c r="N465" i="1"/>
  <c r="U465" i="1" s="1"/>
  <c r="N466" i="1"/>
  <c r="U466" i="1" s="1"/>
  <c r="N467" i="1"/>
  <c r="U467" i="1" s="1"/>
  <c r="N468" i="1"/>
  <c r="U468" i="1" s="1"/>
  <c r="N469" i="1"/>
  <c r="U469" i="1" s="1"/>
  <c r="N470" i="1"/>
  <c r="U470" i="1" s="1"/>
  <c r="N471" i="1"/>
  <c r="U471" i="1" s="1"/>
  <c r="N472" i="1"/>
  <c r="U472" i="1" s="1"/>
  <c r="N473" i="1"/>
  <c r="U473" i="1" s="1"/>
  <c r="N474" i="1"/>
  <c r="U474" i="1" s="1"/>
  <c r="N475" i="1"/>
  <c r="U475" i="1" s="1"/>
  <c r="N476" i="1"/>
  <c r="U476" i="1" s="1"/>
  <c r="N477" i="1"/>
  <c r="U477" i="1" s="1"/>
  <c r="N478" i="1"/>
  <c r="U478" i="1" s="1"/>
  <c r="N479" i="1"/>
  <c r="U479" i="1" s="1"/>
  <c r="N480" i="1"/>
  <c r="U480" i="1" s="1"/>
  <c r="N481" i="1"/>
  <c r="U481" i="1" s="1"/>
  <c r="N482" i="1"/>
  <c r="U482" i="1" s="1"/>
  <c r="N483" i="1"/>
  <c r="U483" i="1" s="1"/>
  <c r="N484" i="1"/>
  <c r="U484" i="1" s="1"/>
  <c r="N485" i="1"/>
  <c r="U485" i="1" s="1"/>
  <c r="N486" i="1"/>
  <c r="U486" i="1" s="1"/>
  <c r="N487" i="1"/>
  <c r="U487" i="1" s="1"/>
  <c r="N488" i="1"/>
  <c r="U488" i="1" s="1"/>
  <c r="N489" i="1"/>
  <c r="U489" i="1" s="1"/>
  <c r="N490" i="1"/>
  <c r="U490" i="1" s="1"/>
  <c r="N491" i="1"/>
  <c r="U491" i="1" s="1"/>
  <c r="N492" i="1"/>
  <c r="U492" i="1" s="1"/>
  <c r="N493" i="1"/>
  <c r="U493" i="1" s="1"/>
  <c r="N494" i="1"/>
  <c r="U494" i="1" s="1"/>
  <c r="N495" i="1"/>
  <c r="U495" i="1" s="1"/>
  <c r="N496" i="1"/>
  <c r="U496" i="1" s="1"/>
  <c r="N497" i="1"/>
  <c r="U497" i="1" s="1"/>
  <c r="N498" i="1"/>
  <c r="U498" i="1" s="1"/>
  <c r="N499" i="1"/>
  <c r="U499" i="1" s="1"/>
  <c r="N500" i="1"/>
  <c r="U500" i="1" s="1"/>
  <c r="N501" i="1"/>
  <c r="U501" i="1" s="1"/>
  <c r="N502" i="1"/>
  <c r="U502" i="1" s="1"/>
  <c r="N503" i="1"/>
  <c r="U503" i="1" s="1"/>
  <c r="N504" i="1"/>
  <c r="U504" i="1" s="1"/>
  <c r="N505" i="1"/>
  <c r="U505" i="1" s="1"/>
  <c r="N506" i="1"/>
  <c r="U506" i="1" s="1"/>
  <c r="N507" i="1"/>
  <c r="U507" i="1" s="1"/>
  <c r="N508" i="1"/>
  <c r="U508" i="1" s="1"/>
  <c r="N509" i="1"/>
  <c r="U509" i="1" s="1"/>
  <c r="N510" i="1"/>
  <c r="U510" i="1" s="1"/>
  <c r="N511" i="1"/>
  <c r="U511" i="1" s="1"/>
  <c r="N512" i="1"/>
  <c r="U512" i="1" s="1"/>
  <c r="N513" i="1"/>
  <c r="U513" i="1" s="1"/>
  <c r="N514" i="1"/>
  <c r="U514" i="1" s="1"/>
  <c r="N515" i="1"/>
  <c r="U515" i="1" s="1"/>
  <c r="N516" i="1"/>
  <c r="U516" i="1" s="1"/>
  <c r="N517" i="1"/>
  <c r="U517" i="1" s="1"/>
  <c r="N518" i="1"/>
  <c r="U518" i="1" s="1"/>
  <c r="N519" i="1"/>
  <c r="U519" i="1" s="1"/>
  <c r="N520" i="1"/>
  <c r="U520" i="1" s="1"/>
  <c r="N521" i="1"/>
  <c r="U521" i="1" s="1"/>
  <c r="N522" i="1"/>
  <c r="U522" i="1" s="1"/>
  <c r="N523" i="1"/>
  <c r="U523" i="1" s="1"/>
  <c r="N524" i="1"/>
  <c r="U524" i="1" s="1"/>
  <c r="N525" i="1"/>
  <c r="U525" i="1" s="1"/>
  <c r="N526" i="1"/>
  <c r="U526" i="1" s="1"/>
  <c r="N527" i="1"/>
  <c r="U527" i="1" s="1"/>
  <c r="N528" i="1"/>
  <c r="U528" i="1" s="1"/>
  <c r="N529" i="1"/>
  <c r="U529" i="1" s="1"/>
  <c r="N530" i="1"/>
  <c r="U530" i="1" s="1"/>
  <c r="N531" i="1"/>
  <c r="U531" i="1" s="1"/>
  <c r="N532" i="1"/>
  <c r="U532" i="1" s="1"/>
  <c r="N533" i="1"/>
  <c r="U533" i="1" s="1"/>
  <c r="N534" i="1"/>
  <c r="U534" i="1" s="1"/>
  <c r="N535" i="1"/>
  <c r="U535" i="1" s="1"/>
  <c r="N536" i="1"/>
  <c r="U536" i="1" s="1"/>
  <c r="N537" i="1"/>
  <c r="U537" i="1" s="1"/>
  <c r="N538" i="1"/>
  <c r="U538" i="1" s="1"/>
  <c r="N539" i="1"/>
  <c r="U539" i="1" s="1"/>
  <c r="N540" i="1"/>
  <c r="U540" i="1" s="1"/>
  <c r="N541" i="1"/>
  <c r="U541" i="1" s="1"/>
  <c r="N542" i="1"/>
  <c r="U542" i="1" s="1"/>
  <c r="N543" i="1"/>
  <c r="U543" i="1" s="1"/>
  <c r="N544" i="1"/>
  <c r="U544" i="1" s="1"/>
  <c r="N545" i="1"/>
  <c r="U545" i="1" s="1"/>
  <c r="N546" i="1"/>
  <c r="U546" i="1" s="1"/>
  <c r="N547" i="1"/>
  <c r="U547" i="1" s="1"/>
  <c r="N548" i="1"/>
  <c r="U548" i="1" s="1"/>
  <c r="N549" i="1"/>
  <c r="U549" i="1" s="1"/>
  <c r="N550" i="1"/>
  <c r="U550" i="1" s="1"/>
  <c r="N551" i="1"/>
  <c r="U551" i="1" s="1"/>
  <c r="N552" i="1"/>
  <c r="U552" i="1" s="1"/>
  <c r="N553" i="1"/>
  <c r="U553" i="1" s="1"/>
  <c r="N554" i="1"/>
  <c r="U554" i="1" s="1"/>
  <c r="N555" i="1"/>
  <c r="U555" i="1" s="1"/>
  <c r="N556" i="1"/>
  <c r="U556" i="1" s="1"/>
  <c r="N557" i="1"/>
  <c r="U557" i="1" s="1"/>
  <c r="N558" i="1"/>
  <c r="U558" i="1" s="1"/>
  <c r="N559" i="1"/>
  <c r="U559" i="1" s="1"/>
  <c r="N560" i="1"/>
  <c r="U560" i="1" s="1"/>
  <c r="N561" i="1"/>
  <c r="U561" i="1" s="1"/>
  <c r="N562" i="1"/>
  <c r="U562" i="1" s="1"/>
  <c r="N563" i="1"/>
  <c r="U563" i="1" s="1"/>
  <c r="N564" i="1"/>
  <c r="U564" i="1" s="1"/>
  <c r="N565" i="1"/>
  <c r="U565" i="1" s="1"/>
  <c r="N566" i="1"/>
  <c r="U566" i="1" s="1"/>
  <c r="N567" i="1"/>
  <c r="U567" i="1" s="1"/>
  <c r="N568" i="1"/>
  <c r="U568" i="1" s="1"/>
  <c r="N569" i="1"/>
  <c r="U569" i="1" s="1"/>
  <c r="N570" i="1"/>
  <c r="U570" i="1" s="1"/>
  <c r="N571" i="1"/>
  <c r="U571" i="1" s="1"/>
  <c r="N572" i="1"/>
  <c r="U572" i="1" s="1"/>
  <c r="N573" i="1"/>
  <c r="U573" i="1" s="1"/>
  <c r="N574" i="1"/>
  <c r="U574" i="1" s="1"/>
  <c r="N575" i="1"/>
  <c r="U575" i="1" s="1"/>
  <c r="N576" i="1"/>
  <c r="U576" i="1" s="1"/>
  <c r="N577" i="1"/>
  <c r="U577" i="1" s="1"/>
  <c r="N578" i="1"/>
  <c r="U578" i="1" s="1"/>
  <c r="N579" i="1"/>
  <c r="U579" i="1" s="1"/>
  <c r="N580" i="1"/>
  <c r="U580" i="1" s="1"/>
  <c r="N581" i="1"/>
  <c r="U581" i="1" s="1"/>
  <c r="N582" i="1"/>
  <c r="U582" i="1" s="1"/>
  <c r="N583" i="1"/>
  <c r="U583" i="1" s="1"/>
  <c r="N584" i="1"/>
  <c r="U584" i="1" s="1"/>
  <c r="N585" i="1"/>
  <c r="U585" i="1" s="1"/>
  <c r="N586" i="1"/>
  <c r="U586" i="1" s="1"/>
  <c r="N587" i="1"/>
  <c r="U587" i="1" s="1"/>
  <c r="N588" i="1"/>
  <c r="U588" i="1" s="1"/>
  <c r="N589" i="1"/>
  <c r="U589" i="1" s="1"/>
  <c r="N590" i="1"/>
  <c r="U590" i="1" s="1"/>
  <c r="N591" i="1"/>
  <c r="U591" i="1" s="1"/>
  <c r="N592" i="1"/>
  <c r="U592" i="1" s="1"/>
  <c r="N593" i="1"/>
  <c r="U593" i="1" s="1"/>
  <c r="N594" i="1"/>
  <c r="U594" i="1" s="1"/>
  <c r="N595" i="1"/>
  <c r="U595" i="1" s="1"/>
  <c r="N596" i="1"/>
  <c r="U596" i="1" s="1"/>
  <c r="N597" i="1"/>
  <c r="U597" i="1" s="1"/>
  <c r="N598" i="1"/>
  <c r="U598" i="1" s="1"/>
  <c r="N599" i="1"/>
  <c r="U599" i="1" s="1"/>
  <c r="N600" i="1"/>
  <c r="U600" i="1" s="1"/>
  <c r="N601" i="1"/>
  <c r="U601" i="1" s="1"/>
  <c r="N602" i="1"/>
  <c r="U602" i="1" s="1"/>
  <c r="N603" i="1"/>
  <c r="U603" i="1" s="1"/>
  <c r="N604" i="1"/>
  <c r="U604" i="1" s="1"/>
  <c r="N605" i="1"/>
  <c r="U605" i="1" s="1"/>
  <c r="N606" i="1"/>
  <c r="U606" i="1" s="1"/>
  <c r="N607" i="1"/>
  <c r="U607" i="1" s="1"/>
  <c r="N608" i="1"/>
  <c r="U608" i="1" s="1"/>
  <c r="N609" i="1"/>
  <c r="U609" i="1" s="1"/>
  <c r="N610" i="1"/>
  <c r="U610" i="1" s="1"/>
  <c r="N611" i="1"/>
  <c r="U611" i="1" s="1"/>
  <c r="N612" i="1"/>
  <c r="U612" i="1" s="1"/>
  <c r="N613" i="1"/>
  <c r="U613" i="1" s="1"/>
  <c r="N614" i="1"/>
  <c r="U614" i="1" s="1"/>
  <c r="N615" i="1"/>
  <c r="U615" i="1" s="1"/>
  <c r="N616" i="1"/>
  <c r="U616" i="1" s="1"/>
  <c r="N617" i="1"/>
  <c r="U617" i="1" s="1"/>
  <c r="N618" i="1"/>
  <c r="U618" i="1" s="1"/>
  <c r="N619" i="1"/>
  <c r="U619" i="1" s="1"/>
  <c r="N620" i="1"/>
  <c r="U620" i="1" s="1"/>
  <c r="N621" i="1"/>
  <c r="U621" i="1" s="1"/>
  <c r="N622" i="1"/>
  <c r="U622" i="1" s="1"/>
  <c r="N623" i="1"/>
  <c r="U623" i="1" s="1"/>
  <c r="N624" i="1"/>
  <c r="U624" i="1" s="1"/>
  <c r="N625" i="1"/>
  <c r="U625" i="1" s="1"/>
  <c r="N626" i="1"/>
  <c r="U626" i="1" s="1"/>
  <c r="N627" i="1"/>
  <c r="U627" i="1" s="1"/>
  <c r="N628" i="1"/>
  <c r="U628" i="1" s="1"/>
  <c r="N629" i="1"/>
  <c r="U629" i="1" s="1"/>
  <c r="N630" i="1"/>
  <c r="U630" i="1" s="1"/>
  <c r="N631" i="1"/>
  <c r="U631" i="1" s="1"/>
  <c r="N632" i="1"/>
  <c r="U632" i="1" s="1"/>
  <c r="N633" i="1"/>
  <c r="U633" i="1" s="1"/>
  <c r="N634" i="1"/>
  <c r="U634" i="1" s="1"/>
  <c r="N635" i="1"/>
  <c r="U635" i="1" s="1"/>
  <c r="N636" i="1"/>
  <c r="U636" i="1" s="1"/>
  <c r="N637" i="1"/>
  <c r="U637" i="1" s="1"/>
  <c r="N639" i="1"/>
  <c r="U639" i="1" s="1"/>
  <c r="N640" i="1"/>
  <c r="U640" i="1" s="1"/>
  <c r="N641" i="1"/>
  <c r="U641" i="1" s="1"/>
  <c r="N642" i="1"/>
  <c r="U642" i="1" s="1"/>
  <c r="N643" i="1"/>
  <c r="U643" i="1" s="1"/>
  <c r="N644" i="1"/>
  <c r="U644" i="1" s="1"/>
  <c r="N645" i="1"/>
  <c r="U645" i="1" s="1"/>
  <c r="N646" i="1"/>
  <c r="U646" i="1" s="1"/>
  <c r="N647" i="1"/>
  <c r="U647" i="1" s="1"/>
  <c r="N648" i="1"/>
  <c r="U648" i="1" s="1"/>
  <c r="N649" i="1"/>
  <c r="U649" i="1" s="1"/>
  <c r="N650" i="1"/>
  <c r="U650" i="1" s="1"/>
  <c r="N651" i="1"/>
  <c r="U651" i="1" s="1"/>
  <c r="N652" i="1"/>
  <c r="U652" i="1" s="1"/>
  <c r="N653" i="1"/>
  <c r="U653" i="1" s="1"/>
  <c r="N654" i="1"/>
  <c r="U654" i="1" s="1"/>
  <c r="N655" i="1"/>
  <c r="U655" i="1" s="1"/>
  <c r="N656" i="1"/>
  <c r="U656" i="1" s="1"/>
  <c r="N657" i="1"/>
  <c r="U657" i="1" s="1"/>
  <c r="N658" i="1"/>
  <c r="U658" i="1" s="1"/>
  <c r="N659" i="1"/>
  <c r="U659" i="1" s="1"/>
  <c r="N660" i="1"/>
  <c r="U660" i="1" s="1"/>
  <c r="N661" i="1"/>
  <c r="U661" i="1" s="1"/>
  <c r="N662" i="1"/>
  <c r="U662" i="1" s="1"/>
  <c r="N663" i="1"/>
  <c r="U663" i="1" s="1"/>
  <c r="N664" i="1"/>
  <c r="U664" i="1" s="1"/>
  <c r="N665" i="1"/>
  <c r="U665" i="1" s="1"/>
  <c r="N666" i="1"/>
  <c r="U666" i="1" s="1"/>
  <c r="N667" i="1"/>
  <c r="U667" i="1" s="1"/>
  <c r="N668" i="1"/>
  <c r="U668" i="1" s="1"/>
  <c r="N669" i="1"/>
  <c r="U669" i="1" s="1"/>
  <c r="N670" i="1"/>
  <c r="U670" i="1" s="1"/>
  <c r="N671" i="1"/>
  <c r="U671" i="1" s="1"/>
  <c r="N672" i="1"/>
  <c r="U672" i="1" s="1"/>
  <c r="N673" i="1"/>
  <c r="U673" i="1" s="1"/>
  <c r="N674" i="1"/>
  <c r="U674" i="1" s="1"/>
  <c r="N675" i="1"/>
  <c r="U675" i="1" s="1"/>
  <c r="N676" i="1"/>
  <c r="U676" i="1" s="1"/>
  <c r="N677" i="1"/>
  <c r="U677" i="1" s="1"/>
  <c r="N678" i="1"/>
  <c r="U678" i="1" s="1"/>
  <c r="N679" i="1"/>
  <c r="U679" i="1" s="1"/>
  <c r="N680" i="1"/>
  <c r="U680" i="1" s="1"/>
  <c r="N681" i="1"/>
  <c r="U681" i="1" s="1"/>
  <c r="N682" i="1"/>
  <c r="U682" i="1" s="1"/>
  <c r="N683" i="1"/>
  <c r="U683" i="1" s="1"/>
  <c r="N684" i="1"/>
  <c r="U684" i="1" s="1"/>
  <c r="N685" i="1"/>
  <c r="U685" i="1" s="1"/>
  <c r="N686" i="1"/>
  <c r="U686" i="1" s="1"/>
  <c r="N687" i="1"/>
  <c r="U687" i="1" s="1"/>
  <c r="N688" i="1"/>
  <c r="U688" i="1" s="1"/>
  <c r="N689" i="1"/>
  <c r="U689" i="1" s="1"/>
  <c r="N690" i="1"/>
  <c r="U690" i="1" s="1"/>
  <c r="N691" i="1"/>
  <c r="U691" i="1" s="1"/>
  <c r="N692" i="1"/>
  <c r="U692" i="1" s="1"/>
  <c r="N693" i="1"/>
  <c r="U693" i="1" s="1"/>
  <c r="N694" i="1"/>
  <c r="U694" i="1" s="1"/>
  <c r="N695" i="1"/>
  <c r="U695" i="1" s="1"/>
  <c r="N696" i="1"/>
  <c r="U696" i="1" s="1"/>
  <c r="N697" i="1"/>
  <c r="U697" i="1" s="1"/>
  <c r="N698" i="1"/>
  <c r="U698" i="1" s="1"/>
  <c r="N699" i="1"/>
  <c r="U699" i="1" s="1"/>
  <c r="N700" i="1"/>
  <c r="U700" i="1" s="1"/>
  <c r="N701" i="1"/>
  <c r="U701" i="1" s="1"/>
  <c r="N702" i="1"/>
  <c r="U702" i="1" s="1"/>
  <c r="N703" i="1"/>
  <c r="U703" i="1" s="1"/>
  <c r="N704" i="1"/>
  <c r="U704" i="1" s="1"/>
  <c r="N705" i="1"/>
  <c r="U705" i="1" s="1"/>
  <c r="N706" i="1"/>
  <c r="U706" i="1" s="1"/>
  <c r="N707" i="1"/>
  <c r="U707" i="1" s="1"/>
  <c r="N708" i="1"/>
  <c r="U708" i="1" s="1"/>
  <c r="N709" i="1"/>
  <c r="U709" i="1" s="1"/>
  <c r="N710" i="1"/>
  <c r="U710" i="1" s="1"/>
  <c r="N711" i="1"/>
  <c r="U711" i="1" s="1"/>
  <c r="N712" i="1"/>
  <c r="U712" i="1" s="1"/>
  <c r="N713" i="1"/>
  <c r="U713" i="1" s="1"/>
  <c r="N714" i="1"/>
  <c r="U714" i="1" s="1"/>
  <c r="N715" i="1"/>
  <c r="U715" i="1" s="1"/>
  <c r="N716" i="1"/>
  <c r="N717" i="1"/>
  <c r="U717" i="1" s="1"/>
  <c r="N718" i="1"/>
  <c r="U718" i="1" s="1"/>
  <c r="N719" i="1"/>
  <c r="U719" i="1" s="1"/>
  <c r="N720" i="1"/>
  <c r="U720" i="1" s="1"/>
  <c r="N721" i="1"/>
  <c r="U721" i="1" s="1"/>
  <c r="N722" i="1"/>
  <c r="U722" i="1" s="1"/>
  <c r="N723" i="1"/>
  <c r="U723" i="1" s="1"/>
  <c r="N724" i="1"/>
  <c r="U724" i="1" s="1"/>
  <c r="N725" i="1"/>
  <c r="U725" i="1" s="1"/>
  <c r="N726" i="1"/>
  <c r="U726" i="1" s="1"/>
  <c r="N727" i="1"/>
  <c r="U727" i="1" s="1"/>
  <c r="N728" i="1"/>
  <c r="U728" i="1" s="1"/>
  <c r="N729" i="1"/>
  <c r="U729" i="1" s="1"/>
  <c r="N730" i="1"/>
  <c r="U730" i="1" s="1"/>
  <c r="N731" i="1"/>
  <c r="U731" i="1" s="1"/>
  <c r="N732" i="1"/>
  <c r="U732" i="1" s="1"/>
  <c r="N733" i="1"/>
  <c r="U733" i="1" s="1"/>
  <c r="N734" i="1"/>
  <c r="U734" i="1" s="1"/>
  <c r="N735" i="1"/>
  <c r="U735" i="1" s="1"/>
  <c r="N736" i="1"/>
  <c r="U736" i="1" s="1"/>
  <c r="N737" i="1"/>
  <c r="U737" i="1" s="1"/>
  <c r="N738" i="1"/>
  <c r="U738" i="1" s="1"/>
  <c r="N739" i="1"/>
  <c r="U739" i="1" s="1"/>
  <c r="N740" i="1"/>
  <c r="U740" i="1" s="1"/>
  <c r="N741" i="1"/>
  <c r="U741" i="1" s="1"/>
  <c r="N742" i="1"/>
  <c r="U742" i="1" s="1"/>
  <c r="N743" i="1"/>
  <c r="U743" i="1" s="1"/>
  <c r="N744" i="1"/>
  <c r="U744" i="1" s="1"/>
  <c r="N745" i="1"/>
  <c r="U745" i="1" s="1"/>
  <c r="N746" i="1"/>
  <c r="U746" i="1" s="1"/>
  <c r="N747" i="1"/>
  <c r="U747" i="1" s="1"/>
  <c r="N748" i="1"/>
  <c r="U748" i="1" s="1"/>
  <c r="N749" i="1"/>
  <c r="U749" i="1" s="1"/>
  <c r="N750" i="1"/>
  <c r="U750" i="1" s="1"/>
  <c r="N751" i="1"/>
  <c r="U751" i="1" s="1"/>
  <c r="N752" i="1"/>
  <c r="U752" i="1" s="1"/>
  <c r="N753" i="1"/>
  <c r="U753" i="1" s="1"/>
  <c r="N754" i="1"/>
  <c r="U754" i="1" s="1"/>
  <c r="N755" i="1"/>
  <c r="U755" i="1" s="1"/>
  <c r="N756" i="1"/>
  <c r="U756" i="1" s="1"/>
  <c r="N757" i="1"/>
  <c r="U757" i="1" s="1"/>
  <c r="N758" i="1"/>
  <c r="U758" i="1" s="1"/>
  <c r="N759" i="1"/>
  <c r="U759" i="1" s="1"/>
  <c r="N760" i="1"/>
  <c r="U760" i="1" s="1"/>
  <c r="N761" i="1"/>
  <c r="U761" i="1" s="1"/>
  <c r="N762" i="1"/>
  <c r="U762" i="1" s="1"/>
  <c r="N763" i="1"/>
  <c r="U763" i="1" s="1"/>
  <c r="N764" i="1"/>
  <c r="U764" i="1" s="1"/>
  <c r="N765" i="1"/>
  <c r="U765" i="1" s="1"/>
  <c r="N766" i="1"/>
  <c r="U766" i="1" s="1"/>
  <c r="N767" i="1"/>
  <c r="U767" i="1" s="1"/>
  <c r="N768" i="1"/>
  <c r="U768" i="1" s="1"/>
  <c r="N769" i="1"/>
  <c r="U769" i="1" s="1"/>
  <c r="N770" i="1"/>
  <c r="U770" i="1" s="1"/>
  <c r="N771" i="1"/>
  <c r="U771" i="1" s="1"/>
  <c r="N772" i="1"/>
  <c r="U772" i="1" s="1"/>
  <c r="N773" i="1"/>
  <c r="U773" i="1" s="1"/>
  <c r="N774" i="1"/>
  <c r="U774" i="1" s="1"/>
  <c r="N775" i="1"/>
  <c r="U775" i="1" s="1"/>
  <c r="N776" i="1"/>
  <c r="U776" i="1" s="1"/>
  <c r="N777" i="1"/>
  <c r="U777" i="1" s="1"/>
  <c r="N778" i="1"/>
  <c r="U778" i="1" s="1"/>
  <c r="N779" i="1"/>
  <c r="U779" i="1" s="1"/>
  <c r="N780" i="1"/>
  <c r="U780" i="1" s="1"/>
  <c r="N781" i="1"/>
  <c r="U781" i="1" s="1"/>
  <c r="N782" i="1"/>
  <c r="U782" i="1" s="1"/>
  <c r="N783" i="1"/>
  <c r="U783" i="1" s="1"/>
  <c r="N784" i="1"/>
  <c r="U784" i="1" s="1"/>
  <c r="N785" i="1"/>
  <c r="U785" i="1" s="1"/>
  <c r="N786" i="1"/>
  <c r="U786" i="1" s="1"/>
  <c r="N787" i="1"/>
  <c r="U787" i="1" s="1"/>
  <c r="N788" i="1"/>
  <c r="U788" i="1" s="1"/>
  <c r="N789" i="1"/>
  <c r="U789" i="1" s="1"/>
  <c r="N790" i="1"/>
  <c r="U790" i="1" s="1"/>
  <c r="N791" i="1"/>
  <c r="U791" i="1" s="1"/>
  <c r="N792" i="1"/>
  <c r="U792" i="1" s="1"/>
  <c r="N793" i="1"/>
  <c r="U793" i="1" s="1"/>
  <c r="N794" i="1"/>
  <c r="U794" i="1" s="1"/>
  <c r="N795" i="1"/>
  <c r="U795" i="1" s="1"/>
  <c r="N796" i="1"/>
  <c r="U796" i="1" s="1"/>
  <c r="N797" i="1"/>
  <c r="U797" i="1" s="1"/>
  <c r="N798" i="1"/>
  <c r="U798" i="1" s="1"/>
  <c r="N799" i="1"/>
  <c r="U799" i="1" s="1"/>
  <c r="N800" i="1"/>
  <c r="U800" i="1" s="1"/>
  <c r="N801" i="1"/>
  <c r="U801" i="1" s="1"/>
  <c r="N802" i="1"/>
  <c r="U802" i="1" s="1"/>
  <c r="N803" i="1"/>
  <c r="U803" i="1" s="1"/>
  <c r="N804" i="1"/>
  <c r="U804" i="1" s="1"/>
  <c r="N805" i="1"/>
  <c r="U805" i="1" s="1"/>
  <c r="N806" i="1"/>
  <c r="U806" i="1" s="1"/>
  <c r="N807" i="1"/>
  <c r="U807" i="1" s="1"/>
  <c r="N808" i="1"/>
  <c r="U808" i="1" s="1"/>
  <c r="N809" i="1"/>
  <c r="U809" i="1" s="1"/>
  <c r="N810" i="1"/>
  <c r="U810" i="1" s="1"/>
  <c r="N811" i="1"/>
  <c r="U811" i="1" s="1"/>
  <c r="N812" i="1"/>
  <c r="U812" i="1" s="1"/>
  <c r="N813" i="1"/>
  <c r="U813" i="1" s="1"/>
  <c r="N814" i="1"/>
  <c r="U814" i="1" s="1"/>
  <c r="N815" i="1"/>
  <c r="U815" i="1" s="1"/>
  <c r="N816" i="1"/>
  <c r="U816" i="1" s="1"/>
  <c r="N817" i="1"/>
  <c r="U817" i="1" s="1"/>
  <c r="N818" i="1"/>
  <c r="U818" i="1" s="1"/>
  <c r="N819" i="1"/>
  <c r="U819" i="1" s="1"/>
  <c r="N820" i="1"/>
  <c r="U820" i="1" s="1"/>
  <c r="N821" i="1"/>
  <c r="U821" i="1" s="1"/>
  <c r="N822" i="1"/>
  <c r="U822" i="1" s="1"/>
  <c r="N823" i="1"/>
  <c r="U823" i="1" s="1"/>
  <c r="N824" i="1"/>
  <c r="U824" i="1" s="1"/>
  <c r="N825" i="1"/>
  <c r="U825" i="1" s="1"/>
  <c r="N826" i="1"/>
  <c r="U826" i="1" s="1"/>
  <c r="N827" i="1"/>
  <c r="U827" i="1" s="1"/>
  <c r="N828" i="1"/>
  <c r="U828" i="1" s="1"/>
  <c r="N829" i="1"/>
  <c r="U829" i="1" s="1"/>
  <c r="N830" i="1"/>
  <c r="U830" i="1" s="1"/>
  <c r="N831" i="1"/>
  <c r="U831" i="1" s="1"/>
  <c r="N832" i="1"/>
  <c r="U832" i="1" s="1"/>
  <c r="N833" i="1"/>
  <c r="U833" i="1" s="1"/>
  <c r="N834" i="1"/>
  <c r="U834" i="1" s="1"/>
  <c r="N835" i="1"/>
  <c r="U835" i="1" s="1"/>
  <c r="N836" i="1"/>
  <c r="U836" i="1" s="1"/>
  <c r="N837" i="1"/>
  <c r="U837" i="1" s="1"/>
  <c r="N838" i="1"/>
  <c r="U838" i="1" s="1"/>
  <c r="N839" i="1"/>
  <c r="U839" i="1" s="1"/>
  <c r="N840" i="1"/>
  <c r="U840" i="1" s="1"/>
  <c r="N841" i="1"/>
  <c r="U841" i="1" s="1"/>
  <c r="N842" i="1"/>
  <c r="U842" i="1" s="1"/>
  <c r="N843" i="1"/>
  <c r="U843" i="1" s="1"/>
  <c r="N844" i="1"/>
  <c r="U844" i="1" s="1"/>
  <c r="N845" i="1"/>
  <c r="U845" i="1" s="1"/>
  <c r="N846" i="1"/>
  <c r="U846" i="1" s="1"/>
  <c r="N847" i="1"/>
  <c r="U847" i="1" s="1"/>
  <c r="N848" i="1"/>
  <c r="U848" i="1" s="1"/>
  <c r="N849" i="1"/>
  <c r="U849" i="1" s="1"/>
  <c r="N850" i="1"/>
  <c r="U850" i="1" s="1"/>
  <c r="N851" i="1"/>
  <c r="U851" i="1" s="1"/>
  <c r="N852" i="1"/>
  <c r="U852" i="1" s="1"/>
  <c r="N853" i="1"/>
  <c r="U853" i="1" s="1"/>
  <c r="N854" i="1"/>
  <c r="U854" i="1" s="1"/>
  <c r="N855" i="1"/>
  <c r="U855" i="1" s="1"/>
  <c r="N856" i="1"/>
  <c r="U856" i="1" s="1"/>
  <c r="N857" i="1"/>
  <c r="U857" i="1" s="1"/>
  <c r="N858" i="1"/>
  <c r="U858" i="1" s="1"/>
  <c r="N859" i="1"/>
  <c r="U859" i="1" s="1"/>
  <c r="N860" i="1"/>
  <c r="U860" i="1" s="1"/>
  <c r="N861" i="1"/>
  <c r="U861" i="1" s="1"/>
  <c r="N862" i="1"/>
  <c r="U862" i="1" s="1"/>
  <c r="N863" i="1"/>
  <c r="U863" i="1" s="1"/>
  <c r="N864" i="1"/>
  <c r="U864" i="1" s="1"/>
  <c r="N865" i="1"/>
  <c r="U865" i="1" s="1"/>
  <c r="N866" i="1"/>
  <c r="U866" i="1" s="1"/>
  <c r="N867" i="1"/>
  <c r="U867" i="1" s="1"/>
  <c r="N868" i="1"/>
  <c r="U868" i="1" s="1"/>
  <c r="N869" i="1"/>
  <c r="U869" i="1" s="1"/>
  <c r="N870" i="1"/>
  <c r="U870" i="1" s="1"/>
  <c r="N871" i="1"/>
  <c r="U871" i="1" s="1"/>
  <c r="N872" i="1"/>
  <c r="U872" i="1" s="1"/>
  <c r="N873" i="1"/>
  <c r="U873" i="1" s="1"/>
  <c r="N874" i="1"/>
  <c r="U874" i="1" s="1"/>
  <c r="N875" i="1"/>
  <c r="U875" i="1" s="1"/>
  <c r="N876" i="1"/>
  <c r="U876" i="1" s="1"/>
  <c r="N877" i="1"/>
  <c r="U877" i="1" s="1"/>
  <c r="N878" i="1"/>
  <c r="U878" i="1" s="1"/>
  <c r="N879" i="1"/>
  <c r="U879" i="1" s="1"/>
  <c r="N880" i="1"/>
  <c r="U880" i="1" s="1"/>
  <c r="N881" i="1"/>
  <c r="U881" i="1" s="1"/>
  <c r="N882" i="1"/>
  <c r="U882" i="1" s="1"/>
  <c r="N883" i="1"/>
  <c r="U883" i="1" s="1"/>
  <c r="N884" i="1"/>
  <c r="U884" i="1" s="1"/>
  <c r="N885" i="1"/>
  <c r="U885" i="1" s="1"/>
  <c r="N886" i="1"/>
  <c r="U886" i="1" s="1"/>
  <c r="N887" i="1"/>
  <c r="U887" i="1" s="1"/>
  <c r="N888" i="1"/>
  <c r="U888" i="1" s="1"/>
  <c r="N889" i="1"/>
  <c r="U889" i="1" s="1"/>
  <c r="N890" i="1"/>
  <c r="U890" i="1" s="1"/>
  <c r="N891" i="1"/>
  <c r="U891" i="1" s="1"/>
  <c r="N892" i="1"/>
  <c r="U892" i="1" s="1"/>
  <c r="N893" i="1"/>
  <c r="U893" i="1" s="1"/>
  <c r="N894" i="1"/>
  <c r="U894" i="1" s="1"/>
  <c r="N895" i="1"/>
  <c r="U895" i="1" s="1"/>
  <c r="N896" i="1"/>
  <c r="U896" i="1" s="1"/>
  <c r="N897" i="1"/>
  <c r="U897" i="1" s="1"/>
  <c r="N898" i="1"/>
  <c r="U898" i="1" s="1"/>
  <c r="N899" i="1"/>
  <c r="U899" i="1" s="1"/>
  <c r="N900" i="1"/>
  <c r="U900" i="1" s="1"/>
  <c r="N901" i="1"/>
  <c r="U901" i="1" s="1"/>
  <c r="N902" i="1"/>
  <c r="U902" i="1" s="1"/>
  <c r="N903" i="1"/>
  <c r="U903" i="1" s="1"/>
  <c r="N904" i="1"/>
  <c r="U904" i="1" s="1"/>
  <c r="N905" i="1"/>
  <c r="U905" i="1" s="1"/>
  <c r="N906" i="1"/>
  <c r="U906" i="1" s="1"/>
  <c r="N907" i="1"/>
  <c r="U907" i="1" s="1"/>
  <c r="N908" i="1"/>
  <c r="U908" i="1" s="1"/>
  <c r="N909" i="1"/>
  <c r="U909" i="1" s="1"/>
  <c r="N910" i="1"/>
  <c r="U910" i="1" s="1"/>
  <c r="N911" i="1"/>
  <c r="U911" i="1" s="1"/>
  <c r="N912" i="1"/>
  <c r="U912" i="1" s="1"/>
  <c r="N913" i="1"/>
  <c r="U913" i="1" s="1"/>
  <c r="N914" i="1"/>
  <c r="U914" i="1" s="1"/>
  <c r="N915" i="1"/>
  <c r="U915" i="1" s="1"/>
  <c r="N916" i="1"/>
  <c r="U916" i="1" s="1"/>
  <c r="N917" i="1"/>
  <c r="U917" i="1" s="1"/>
  <c r="N918" i="1"/>
  <c r="U918" i="1" s="1"/>
  <c r="N919" i="1"/>
  <c r="U919" i="1" s="1"/>
  <c r="N920" i="1"/>
  <c r="U920" i="1" s="1"/>
  <c r="N921" i="1"/>
  <c r="U921" i="1" s="1"/>
  <c r="N922" i="1"/>
  <c r="U922" i="1" s="1"/>
  <c r="N923" i="1"/>
  <c r="U923" i="1" s="1"/>
  <c r="N924" i="1"/>
  <c r="U924" i="1" s="1"/>
  <c r="N925" i="1"/>
  <c r="U925" i="1" s="1"/>
  <c r="N926" i="1"/>
  <c r="U926" i="1" s="1"/>
  <c r="N927" i="1"/>
  <c r="U927" i="1" s="1"/>
  <c r="N928" i="1"/>
  <c r="U928" i="1" s="1"/>
  <c r="N929" i="1"/>
  <c r="U929" i="1" s="1"/>
  <c r="N930" i="1"/>
  <c r="U930" i="1" s="1"/>
  <c r="N931" i="1"/>
  <c r="U931" i="1" s="1"/>
  <c r="N932" i="1"/>
  <c r="U932" i="1" s="1"/>
  <c r="N933" i="1"/>
  <c r="U933" i="1" s="1"/>
  <c r="N934" i="1"/>
  <c r="U934" i="1" s="1"/>
  <c r="N935" i="1"/>
  <c r="U935" i="1" s="1"/>
  <c r="N936" i="1"/>
  <c r="U936" i="1" s="1"/>
  <c r="N937" i="1"/>
  <c r="U937" i="1" s="1"/>
  <c r="N938" i="1"/>
  <c r="U938" i="1" s="1"/>
  <c r="N939" i="1"/>
  <c r="U939" i="1" s="1"/>
  <c r="N940" i="1"/>
  <c r="U940" i="1" s="1"/>
  <c r="N941" i="1"/>
  <c r="U941" i="1" s="1"/>
  <c r="N942" i="1"/>
  <c r="U942" i="1" s="1"/>
  <c r="N943" i="1"/>
  <c r="U943" i="1" s="1"/>
  <c r="N944" i="1"/>
  <c r="U944" i="1" s="1"/>
  <c r="N945" i="1"/>
  <c r="U945" i="1" s="1"/>
  <c r="N946" i="1"/>
  <c r="U946" i="1" s="1"/>
  <c r="N947" i="1"/>
  <c r="U947" i="1" s="1"/>
  <c r="N948" i="1"/>
  <c r="U948" i="1" s="1"/>
  <c r="N949" i="1"/>
  <c r="U949" i="1" s="1"/>
  <c r="N950" i="1"/>
  <c r="U950" i="1" s="1"/>
  <c r="N951" i="1"/>
  <c r="U951" i="1" s="1"/>
  <c r="N952" i="1"/>
  <c r="U952" i="1" s="1"/>
  <c r="N953" i="1"/>
  <c r="U953" i="1" s="1"/>
  <c r="N954" i="1"/>
  <c r="U954" i="1" s="1"/>
  <c r="N955" i="1"/>
  <c r="U955" i="1" s="1"/>
  <c r="N956" i="1"/>
  <c r="U956" i="1" s="1"/>
  <c r="N957" i="1"/>
  <c r="U957" i="1" s="1"/>
  <c r="N958" i="1"/>
  <c r="U958" i="1" s="1"/>
  <c r="N959" i="1"/>
  <c r="U959" i="1" s="1"/>
  <c r="N960" i="1"/>
  <c r="U960" i="1" s="1"/>
  <c r="N961" i="1"/>
  <c r="U961" i="1" s="1"/>
  <c r="N962" i="1"/>
  <c r="U962" i="1" s="1"/>
  <c r="N963" i="1"/>
  <c r="U963" i="1" s="1"/>
  <c r="N964" i="1"/>
  <c r="U964" i="1" s="1"/>
  <c r="N965" i="1"/>
  <c r="U965" i="1" s="1"/>
  <c r="N966" i="1"/>
  <c r="U966" i="1" s="1"/>
  <c r="N967" i="1"/>
  <c r="U967" i="1" s="1"/>
  <c r="N968" i="1"/>
  <c r="U968" i="1" s="1"/>
  <c r="N969" i="1"/>
  <c r="U969" i="1" s="1"/>
  <c r="N970" i="1"/>
  <c r="U970" i="1" s="1"/>
  <c r="N971" i="1"/>
  <c r="U971" i="1" s="1"/>
  <c r="N972" i="1"/>
  <c r="U972" i="1" s="1"/>
  <c r="N973" i="1"/>
  <c r="U973" i="1" s="1"/>
  <c r="N974" i="1"/>
  <c r="U974" i="1" s="1"/>
  <c r="N975" i="1"/>
  <c r="U975" i="1" s="1"/>
  <c r="N976" i="1"/>
  <c r="U976" i="1" s="1"/>
  <c r="N977" i="1"/>
  <c r="U977" i="1" s="1"/>
  <c r="N978" i="1"/>
  <c r="U978" i="1" s="1"/>
  <c r="N979" i="1"/>
  <c r="U979" i="1" s="1"/>
  <c r="N980" i="1"/>
  <c r="U980" i="1" s="1"/>
  <c r="N981" i="1"/>
  <c r="U981" i="1" s="1"/>
  <c r="N982" i="1"/>
  <c r="U982" i="1" s="1"/>
  <c r="N983" i="1"/>
  <c r="U983" i="1" s="1"/>
  <c r="N984" i="1"/>
  <c r="U984" i="1" s="1"/>
  <c r="N985" i="1"/>
  <c r="U985" i="1" s="1"/>
  <c r="N986" i="1"/>
  <c r="U986" i="1" s="1"/>
  <c r="N987" i="1"/>
  <c r="U987" i="1" s="1"/>
  <c r="N988" i="1"/>
  <c r="U988" i="1" s="1"/>
  <c r="N989" i="1"/>
  <c r="U989" i="1" s="1"/>
  <c r="N990" i="1"/>
  <c r="U990" i="1" s="1"/>
  <c r="N991" i="1"/>
  <c r="U991" i="1" s="1"/>
  <c r="N992" i="1"/>
  <c r="U992" i="1" s="1"/>
  <c r="N993" i="1"/>
  <c r="U993" i="1" s="1"/>
  <c r="N994" i="1"/>
  <c r="U994" i="1" s="1"/>
  <c r="N995" i="1"/>
  <c r="U995" i="1" s="1"/>
  <c r="N996" i="1"/>
  <c r="U996" i="1" s="1"/>
  <c r="N997" i="1"/>
  <c r="U997" i="1" s="1"/>
  <c r="N998" i="1"/>
  <c r="U998" i="1" s="1"/>
  <c r="N999" i="1"/>
  <c r="U999" i="1" s="1"/>
  <c r="N1000" i="1"/>
  <c r="U1000" i="1" s="1"/>
  <c r="N1001" i="1"/>
  <c r="U1001" i="1" s="1"/>
  <c r="N1002" i="1"/>
  <c r="U1002" i="1" s="1"/>
  <c r="N1003" i="1"/>
  <c r="U1003" i="1" s="1"/>
  <c r="N1004" i="1"/>
  <c r="U1004" i="1" s="1"/>
  <c r="N1005" i="1"/>
  <c r="U1005" i="1" s="1"/>
  <c r="N1006" i="1"/>
  <c r="U1006" i="1" s="1"/>
  <c r="N1007" i="1"/>
  <c r="U1007" i="1" s="1"/>
  <c r="N1008" i="1"/>
  <c r="U1008" i="1" s="1"/>
  <c r="N1009" i="1"/>
  <c r="U1009" i="1" s="1"/>
  <c r="N1010" i="1"/>
  <c r="U1010" i="1" s="1"/>
  <c r="N1011" i="1"/>
  <c r="U1011" i="1" s="1"/>
  <c r="N1012" i="1"/>
  <c r="U1012" i="1" s="1"/>
  <c r="N1013" i="1"/>
  <c r="U1013" i="1" s="1"/>
  <c r="N1014" i="1"/>
  <c r="U1014" i="1" s="1"/>
  <c r="N1015" i="1"/>
  <c r="U1015" i="1" s="1"/>
  <c r="N1016" i="1"/>
  <c r="U1016" i="1" s="1"/>
  <c r="N1017" i="1"/>
  <c r="U1017" i="1" s="1"/>
  <c r="N1018" i="1"/>
  <c r="U1018" i="1" s="1"/>
  <c r="N1019" i="1"/>
  <c r="U1019" i="1" s="1"/>
  <c r="N1020" i="1"/>
  <c r="U1020" i="1" s="1"/>
  <c r="N1021" i="1"/>
  <c r="U1021" i="1" s="1"/>
  <c r="N1022" i="1"/>
  <c r="U1022" i="1" s="1"/>
  <c r="N1023" i="1"/>
  <c r="U1023" i="1" s="1"/>
  <c r="N1024" i="1"/>
  <c r="U1024" i="1" s="1"/>
  <c r="N1025" i="1"/>
  <c r="U1025" i="1" s="1"/>
  <c r="N1026" i="1"/>
  <c r="U1026" i="1" s="1"/>
  <c r="N1027" i="1"/>
  <c r="U1027" i="1" s="1"/>
  <c r="N1028" i="1"/>
  <c r="U1028" i="1" s="1"/>
  <c r="N1029" i="1"/>
  <c r="U1029" i="1" s="1"/>
  <c r="N1030" i="1"/>
  <c r="U1030" i="1" s="1"/>
  <c r="N1031" i="1"/>
  <c r="U1031" i="1" s="1"/>
  <c r="N1032" i="1"/>
  <c r="U1032" i="1" s="1"/>
  <c r="N1033" i="1"/>
  <c r="U1033" i="1" s="1"/>
  <c r="N1034" i="1"/>
  <c r="U1034" i="1" s="1"/>
  <c r="N1035" i="1"/>
  <c r="U1035" i="1" s="1"/>
  <c r="N1036" i="1"/>
  <c r="U1036" i="1" s="1"/>
  <c r="N1037" i="1"/>
  <c r="U1037" i="1" s="1"/>
  <c r="N1038" i="1"/>
  <c r="U1038" i="1" s="1"/>
  <c r="N1039" i="1"/>
  <c r="U1039" i="1" s="1"/>
  <c r="N1040" i="1"/>
  <c r="U1040" i="1" s="1"/>
  <c r="N1041" i="1"/>
  <c r="U1041" i="1" s="1"/>
  <c r="N1042" i="1"/>
  <c r="U1042" i="1" s="1"/>
  <c r="N1043" i="1"/>
  <c r="U1043" i="1" s="1"/>
  <c r="N1044" i="1"/>
  <c r="U1044" i="1" s="1"/>
  <c r="N1045" i="1"/>
  <c r="U1045" i="1" s="1"/>
  <c r="N1046" i="1"/>
  <c r="U1046" i="1" s="1"/>
  <c r="N1047" i="1"/>
  <c r="U1047" i="1" s="1"/>
  <c r="N1048" i="1"/>
  <c r="U1048" i="1" s="1"/>
  <c r="N1049" i="1"/>
  <c r="U1049" i="1" s="1"/>
  <c r="N1050" i="1"/>
  <c r="U1050" i="1" s="1"/>
  <c r="N1051" i="1"/>
  <c r="U1051" i="1" s="1"/>
  <c r="N1052" i="1"/>
  <c r="U1052" i="1" s="1"/>
  <c r="N1053" i="1"/>
  <c r="U1053" i="1" s="1"/>
  <c r="N1054" i="1"/>
  <c r="U1054" i="1" s="1"/>
  <c r="N1055" i="1"/>
  <c r="U1055" i="1" s="1"/>
  <c r="N1056" i="1"/>
  <c r="U1056" i="1" s="1"/>
  <c r="N1057" i="1"/>
  <c r="U1057" i="1" s="1"/>
  <c r="N1058" i="1"/>
  <c r="U1058" i="1" s="1"/>
  <c r="N1059" i="1"/>
  <c r="U1059" i="1" s="1"/>
  <c r="N1060" i="1"/>
  <c r="U1060" i="1" s="1"/>
  <c r="N1061" i="1"/>
  <c r="U1061" i="1" s="1"/>
  <c r="N1062" i="1"/>
  <c r="U1062" i="1" s="1"/>
  <c r="N1063" i="1"/>
  <c r="U1063" i="1" s="1"/>
  <c r="N1064" i="1"/>
  <c r="U1064" i="1" s="1"/>
  <c r="N1065" i="1"/>
  <c r="U1065" i="1" s="1"/>
  <c r="N1066" i="1"/>
  <c r="U1066" i="1" s="1"/>
  <c r="N1067" i="1"/>
  <c r="U1067" i="1" s="1"/>
  <c r="N1068" i="1"/>
  <c r="U1068" i="1" s="1"/>
  <c r="N1069" i="1"/>
  <c r="U1069" i="1" s="1"/>
  <c r="N1070" i="1"/>
  <c r="U1070" i="1" s="1"/>
  <c r="N1071" i="1"/>
  <c r="U1071" i="1" s="1"/>
  <c r="N1072" i="1"/>
  <c r="U1072" i="1" s="1"/>
  <c r="N1073" i="1"/>
  <c r="U1073" i="1" s="1"/>
  <c r="N1074" i="1"/>
  <c r="U1074" i="1" s="1"/>
  <c r="N1075" i="1"/>
  <c r="U1075" i="1" s="1"/>
  <c r="N1076" i="1"/>
  <c r="U1076" i="1" s="1"/>
  <c r="N1077" i="1"/>
  <c r="U1077" i="1" s="1"/>
  <c r="N1078" i="1"/>
  <c r="U1078" i="1" s="1"/>
  <c r="N1079" i="1"/>
  <c r="U1079" i="1" s="1"/>
  <c r="N1080" i="1"/>
  <c r="U1080" i="1" s="1"/>
  <c r="N1081" i="1"/>
  <c r="U1081" i="1" s="1"/>
  <c r="N1082" i="1"/>
  <c r="U1082" i="1" s="1"/>
  <c r="N1083" i="1"/>
  <c r="U1083" i="1" s="1"/>
  <c r="N1084" i="1"/>
  <c r="U1084" i="1" s="1"/>
  <c r="N1085" i="1"/>
  <c r="U1085" i="1" s="1"/>
  <c r="N1086" i="1"/>
  <c r="U1086" i="1" s="1"/>
  <c r="N1087" i="1"/>
  <c r="U1087" i="1" s="1"/>
  <c r="N1088" i="1"/>
  <c r="U1088" i="1" s="1"/>
  <c r="N1089" i="1"/>
  <c r="U1089" i="1" s="1"/>
  <c r="N1090" i="1"/>
  <c r="U1090" i="1" s="1"/>
  <c r="N1091" i="1"/>
  <c r="U1091" i="1" s="1"/>
  <c r="N1092" i="1"/>
  <c r="U1092" i="1" s="1"/>
  <c r="N1093" i="1"/>
  <c r="U1093" i="1" s="1"/>
  <c r="N1094" i="1"/>
  <c r="U1094" i="1" s="1"/>
  <c r="N1095" i="1"/>
  <c r="U1095" i="1" s="1"/>
  <c r="N1096" i="1"/>
  <c r="U1096" i="1" s="1"/>
  <c r="N1097" i="1"/>
  <c r="U1097" i="1" s="1"/>
  <c r="N1098" i="1"/>
  <c r="U1098" i="1" s="1"/>
  <c r="N1099" i="1"/>
  <c r="U1099" i="1" s="1"/>
  <c r="N1100" i="1"/>
  <c r="U1100" i="1" s="1"/>
  <c r="N1101" i="1"/>
  <c r="U1101" i="1" s="1"/>
  <c r="N1102" i="1"/>
  <c r="U1102" i="1" s="1"/>
  <c r="N1103" i="1"/>
  <c r="U1103" i="1" s="1"/>
  <c r="N1104" i="1"/>
  <c r="U1104" i="1" s="1"/>
  <c r="N1105" i="1"/>
  <c r="U1105" i="1" s="1"/>
  <c r="N1106" i="1"/>
  <c r="U1106" i="1" s="1"/>
  <c r="N1107" i="1"/>
  <c r="U1107" i="1" s="1"/>
  <c r="N1108" i="1"/>
  <c r="U1108" i="1" s="1"/>
  <c r="N1109" i="1"/>
  <c r="U1109" i="1" s="1"/>
  <c r="N1110" i="1"/>
  <c r="U1110" i="1" s="1"/>
  <c r="N1111" i="1"/>
  <c r="U1111" i="1" s="1"/>
  <c r="N1112" i="1"/>
  <c r="U1112" i="1" s="1"/>
  <c r="N1113" i="1"/>
  <c r="U1113" i="1" s="1"/>
  <c r="N1114" i="1"/>
  <c r="U1114" i="1" s="1"/>
  <c r="N1115" i="1"/>
  <c r="U1115" i="1" s="1"/>
  <c r="N1116" i="1"/>
  <c r="U1116" i="1" s="1"/>
  <c r="N1117" i="1"/>
  <c r="U1117" i="1" s="1"/>
  <c r="N1118" i="1"/>
  <c r="U1118" i="1" s="1"/>
  <c r="N1119" i="1"/>
  <c r="U1119" i="1" s="1"/>
  <c r="N1120" i="1"/>
  <c r="U1120" i="1" s="1"/>
  <c r="N1121" i="1"/>
  <c r="U1121" i="1" s="1"/>
  <c r="N1122" i="1"/>
  <c r="U1122" i="1" s="1"/>
  <c r="N1123" i="1"/>
  <c r="U1123" i="1" s="1"/>
  <c r="N1124" i="1"/>
  <c r="U1124" i="1" s="1"/>
  <c r="N1125" i="1"/>
  <c r="U1125" i="1" s="1"/>
  <c r="N1126" i="1"/>
  <c r="U1126" i="1" s="1"/>
  <c r="N1127" i="1"/>
  <c r="U1127" i="1" s="1"/>
  <c r="N1128" i="1"/>
  <c r="U1128" i="1" s="1"/>
  <c r="N1129" i="1"/>
  <c r="U1129" i="1" s="1"/>
  <c r="N1130" i="1"/>
  <c r="U1130" i="1" s="1"/>
  <c r="N1131" i="1"/>
  <c r="U1131" i="1" s="1"/>
  <c r="N1132" i="1"/>
  <c r="U1132" i="1" s="1"/>
  <c r="N1133" i="1"/>
  <c r="U1133" i="1" s="1"/>
  <c r="N1134" i="1"/>
  <c r="U1134" i="1" s="1"/>
  <c r="N1135" i="1"/>
  <c r="U1135" i="1" s="1"/>
  <c r="N1136" i="1"/>
  <c r="U1136" i="1" s="1"/>
  <c r="N1137" i="1"/>
  <c r="U1137" i="1" s="1"/>
  <c r="N1138" i="1"/>
  <c r="U1138" i="1" s="1"/>
  <c r="N1139" i="1"/>
  <c r="U1139" i="1" s="1"/>
  <c r="N1140" i="1"/>
  <c r="U1140" i="1" s="1"/>
  <c r="N1141" i="1"/>
  <c r="U1141" i="1" s="1"/>
  <c r="N1142" i="1"/>
  <c r="U1142" i="1" s="1"/>
  <c r="N1143" i="1"/>
  <c r="U1143" i="1" s="1"/>
  <c r="N1144" i="1"/>
  <c r="U1144" i="1" s="1"/>
  <c r="N1145" i="1"/>
  <c r="U1145" i="1" s="1"/>
  <c r="N1146" i="1"/>
  <c r="U1146" i="1" s="1"/>
  <c r="N1147" i="1"/>
  <c r="U1147" i="1" s="1"/>
  <c r="N1148" i="1"/>
  <c r="U1148" i="1" s="1"/>
  <c r="N1149" i="1"/>
  <c r="U1149" i="1" s="1"/>
  <c r="N1150" i="1"/>
  <c r="U1150" i="1" s="1"/>
  <c r="N1151" i="1"/>
  <c r="U1151" i="1" s="1"/>
  <c r="N1152" i="1"/>
  <c r="U1152" i="1" s="1"/>
  <c r="N1153" i="1"/>
  <c r="U1153" i="1" s="1"/>
  <c r="N1154" i="1"/>
  <c r="U1154" i="1" s="1"/>
  <c r="N1155" i="1"/>
  <c r="U1155" i="1" s="1"/>
  <c r="N1156" i="1"/>
  <c r="U1156" i="1" s="1"/>
  <c r="N1157" i="1"/>
  <c r="U1157" i="1" s="1"/>
  <c r="N1158" i="1"/>
  <c r="U1158" i="1" s="1"/>
  <c r="N1159" i="1"/>
  <c r="U1159" i="1" s="1"/>
  <c r="N1160" i="1"/>
  <c r="U1160" i="1" s="1"/>
  <c r="N1161" i="1"/>
  <c r="U1161" i="1" s="1"/>
  <c r="N1162" i="1"/>
  <c r="U1162" i="1" s="1"/>
  <c r="N1163" i="1"/>
  <c r="U1163" i="1" s="1"/>
  <c r="N1164" i="1"/>
  <c r="U1164" i="1" s="1"/>
  <c r="N1165" i="1"/>
  <c r="U1165" i="1" s="1"/>
  <c r="N1166" i="1"/>
  <c r="U1166" i="1" s="1"/>
  <c r="N1167" i="1"/>
  <c r="U1167" i="1" s="1"/>
  <c r="N1168" i="1"/>
  <c r="U1168" i="1" s="1"/>
  <c r="N1169" i="1"/>
  <c r="U1169" i="1" s="1"/>
  <c r="N1170" i="1"/>
  <c r="U1170" i="1" s="1"/>
  <c r="N1171" i="1"/>
  <c r="U1171" i="1" s="1"/>
  <c r="N1172" i="1"/>
  <c r="U1172" i="1" s="1"/>
  <c r="N1173" i="1"/>
  <c r="U1173" i="1" s="1"/>
  <c r="N1174" i="1"/>
  <c r="U1174" i="1" s="1"/>
  <c r="N1175" i="1"/>
  <c r="U1175" i="1" s="1"/>
  <c r="N1176" i="1"/>
  <c r="U1176" i="1" s="1"/>
  <c r="N1177" i="1"/>
  <c r="U1177" i="1" s="1"/>
  <c r="N1178" i="1"/>
  <c r="U1178" i="1" s="1"/>
  <c r="N1179" i="1"/>
  <c r="U1179" i="1" s="1"/>
  <c r="N1180" i="1"/>
  <c r="U1180" i="1" s="1"/>
  <c r="N1181" i="1"/>
  <c r="U1181" i="1" s="1"/>
  <c r="N1182" i="1"/>
  <c r="U1182" i="1" s="1"/>
  <c r="N1183" i="1"/>
  <c r="U1183" i="1" s="1"/>
  <c r="N1184" i="1"/>
  <c r="U1184" i="1" s="1"/>
  <c r="N1185" i="1"/>
  <c r="U1185" i="1" s="1"/>
  <c r="N1186" i="1"/>
  <c r="U1186" i="1" s="1"/>
  <c r="N1187" i="1"/>
  <c r="U1187" i="1" s="1"/>
  <c r="N1188" i="1"/>
  <c r="U1188" i="1" s="1"/>
  <c r="N1189" i="1"/>
  <c r="U1189" i="1" s="1"/>
  <c r="N1190" i="1"/>
  <c r="U1190" i="1" s="1"/>
  <c r="N1191" i="1"/>
  <c r="U1191" i="1" s="1"/>
  <c r="N1192" i="1"/>
  <c r="U1192" i="1" s="1"/>
  <c r="N1193" i="1"/>
  <c r="U1193" i="1" s="1"/>
  <c r="N1194" i="1"/>
  <c r="U1194" i="1" s="1"/>
  <c r="N1195" i="1"/>
  <c r="U1195" i="1" s="1"/>
  <c r="N1196" i="1"/>
  <c r="U1196" i="1" s="1"/>
  <c r="N1197" i="1"/>
  <c r="U1197" i="1" s="1"/>
  <c r="N1198" i="1"/>
  <c r="U1198" i="1" s="1"/>
  <c r="N1199" i="1"/>
  <c r="U1199" i="1" s="1"/>
  <c r="N1200" i="1"/>
  <c r="U1200" i="1" s="1"/>
  <c r="N1201" i="1"/>
  <c r="U1201" i="1" s="1"/>
  <c r="N1202" i="1"/>
  <c r="U1202" i="1" s="1"/>
  <c r="N1203" i="1"/>
  <c r="U1203" i="1" s="1"/>
  <c r="N1204" i="1"/>
  <c r="U1204" i="1" s="1"/>
  <c r="N1205" i="1"/>
  <c r="U1205" i="1" s="1"/>
  <c r="N1206" i="1"/>
  <c r="U1206" i="1" s="1"/>
  <c r="N1207" i="1"/>
  <c r="U1207" i="1" s="1"/>
  <c r="N1208" i="1"/>
  <c r="U1208" i="1" s="1"/>
  <c r="N1209" i="1"/>
  <c r="U1209" i="1" s="1"/>
  <c r="N1210" i="1"/>
  <c r="U1210" i="1" s="1"/>
  <c r="N1211" i="1"/>
  <c r="U1211" i="1" s="1"/>
  <c r="N1212" i="1"/>
  <c r="U1212" i="1" s="1"/>
  <c r="N1213" i="1"/>
  <c r="U1213" i="1" s="1"/>
  <c r="N1214" i="1"/>
  <c r="U1214" i="1" s="1"/>
  <c r="N1215" i="1"/>
  <c r="U1215" i="1" s="1"/>
  <c r="N1216" i="1"/>
  <c r="U1216" i="1" s="1"/>
  <c r="N1217" i="1"/>
  <c r="U1217" i="1" s="1"/>
  <c r="N1218" i="1"/>
  <c r="U1218" i="1" s="1"/>
  <c r="N1219" i="1"/>
  <c r="U1219" i="1" s="1"/>
  <c r="N1220" i="1"/>
  <c r="U1220" i="1" s="1"/>
  <c r="N1221" i="1"/>
  <c r="U1221" i="1" s="1"/>
  <c r="N1222" i="1"/>
  <c r="U1222" i="1" s="1"/>
  <c r="N1223" i="1"/>
  <c r="U1223" i="1" s="1"/>
  <c r="N1224" i="1"/>
  <c r="U1224" i="1" s="1"/>
  <c r="N1225" i="1"/>
  <c r="U1225" i="1" s="1"/>
  <c r="N1226" i="1"/>
  <c r="U1226" i="1" s="1"/>
  <c r="N1227" i="1"/>
  <c r="U1227" i="1" s="1"/>
  <c r="N1228" i="1"/>
  <c r="U1228" i="1" s="1"/>
  <c r="N1229" i="1"/>
  <c r="U1229" i="1" s="1"/>
  <c r="N1230" i="1"/>
  <c r="U1230" i="1" s="1"/>
  <c r="N1231" i="1"/>
  <c r="U1231" i="1" s="1"/>
  <c r="N1232" i="1"/>
  <c r="U1232" i="1" s="1"/>
  <c r="N1233" i="1"/>
  <c r="U1233" i="1" s="1"/>
  <c r="N1234" i="1"/>
  <c r="U1234" i="1" s="1"/>
  <c r="N1235" i="1"/>
  <c r="U1235" i="1" s="1"/>
  <c r="N1236" i="1"/>
  <c r="U1236" i="1" s="1"/>
  <c r="N1237" i="1"/>
  <c r="U1237" i="1" s="1"/>
  <c r="N1238" i="1"/>
  <c r="U1238" i="1" s="1"/>
  <c r="N1239" i="1"/>
  <c r="U1239" i="1" s="1"/>
  <c r="N1240" i="1"/>
  <c r="U1240" i="1" s="1"/>
  <c r="N1241" i="1"/>
  <c r="U1241" i="1" s="1"/>
  <c r="N1242" i="1"/>
  <c r="U1242" i="1" s="1"/>
  <c r="N1243" i="1"/>
  <c r="U1243" i="1" s="1"/>
  <c r="N1244" i="1"/>
  <c r="U1244" i="1" s="1"/>
  <c r="N1245" i="1"/>
  <c r="U1245" i="1" s="1"/>
  <c r="N1246" i="1"/>
  <c r="U1246" i="1" s="1"/>
  <c r="N1247" i="1"/>
  <c r="U1247" i="1" s="1"/>
  <c r="N1248" i="1"/>
  <c r="U1248" i="1" s="1"/>
  <c r="N1249" i="1"/>
  <c r="U1249" i="1" s="1"/>
  <c r="N1250" i="1"/>
  <c r="U1250" i="1" s="1"/>
  <c r="N1251" i="1"/>
  <c r="U1251" i="1" s="1"/>
  <c r="N1252" i="1"/>
  <c r="U1252" i="1" s="1"/>
  <c r="N1253" i="1"/>
  <c r="U1253" i="1" s="1"/>
  <c r="N1254" i="1"/>
  <c r="U1254" i="1" s="1"/>
  <c r="N1255" i="1"/>
  <c r="U1255" i="1" s="1"/>
  <c r="N1256" i="1"/>
  <c r="U1256" i="1" s="1"/>
  <c r="N1257" i="1"/>
  <c r="U1257" i="1" s="1"/>
  <c r="N1258" i="1"/>
  <c r="U1258" i="1" s="1"/>
  <c r="N1259" i="1"/>
  <c r="U1259" i="1" s="1"/>
  <c r="N1260" i="1"/>
  <c r="U1260" i="1" s="1"/>
  <c r="N1261" i="1"/>
  <c r="U1261" i="1" s="1"/>
  <c r="N1262" i="1"/>
  <c r="U1262" i="1" s="1"/>
  <c r="N1263" i="1"/>
  <c r="U1263" i="1" s="1"/>
  <c r="N1264" i="1"/>
  <c r="U1264" i="1" s="1"/>
  <c r="N1265" i="1"/>
  <c r="U1265" i="1" s="1"/>
  <c r="N1266" i="1"/>
  <c r="U1266" i="1" s="1"/>
  <c r="N1267" i="1"/>
  <c r="U1267" i="1" s="1"/>
  <c r="N1268" i="1"/>
  <c r="U1268" i="1" s="1"/>
  <c r="N1269" i="1"/>
  <c r="U1269" i="1" s="1"/>
  <c r="N1270" i="1"/>
  <c r="U1270" i="1" s="1"/>
  <c r="N1271" i="1"/>
  <c r="U1271" i="1" s="1"/>
  <c r="N1272" i="1"/>
  <c r="U1272" i="1" s="1"/>
  <c r="N1273" i="1"/>
  <c r="U1273" i="1" s="1"/>
  <c r="N1274" i="1"/>
  <c r="U1274" i="1" s="1"/>
  <c r="N1275" i="1"/>
  <c r="U1275" i="1" s="1"/>
  <c r="N1276" i="1"/>
  <c r="U1276" i="1" s="1"/>
  <c r="N1277" i="1"/>
  <c r="U1277" i="1" s="1"/>
  <c r="N1278" i="1"/>
  <c r="U1278" i="1" s="1"/>
  <c r="N1279" i="1"/>
  <c r="U1279" i="1" s="1"/>
  <c r="N1280" i="1"/>
  <c r="U1280" i="1" s="1"/>
  <c r="N1281" i="1"/>
  <c r="U1281" i="1" s="1"/>
  <c r="N1282" i="1"/>
  <c r="U1282" i="1" s="1"/>
  <c r="N1283" i="1"/>
  <c r="U1283" i="1" s="1"/>
  <c r="N1284" i="1"/>
  <c r="U1284" i="1" s="1"/>
  <c r="N1285" i="1"/>
  <c r="U1285" i="1" s="1"/>
  <c r="N1286" i="1"/>
  <c r="U1286" i="1" s="1"/>
  <c r="N1287" i="1"/>
  <c r="U1287" i="1" s="1"/>
  <c r="N1288" i="1"/>
  <c r="U1288" i="1" s="1"/>
  <c r="N1289" i="1"/>
  <c r="U1289" i="1" s="1"/>
  <c r="N1290" i="1"/>
  <c r="U1290" i="1" s="1"/>
  <c r="N1291" i="1"/>
  <c r="U1291" i="1" s="1"/>
  <c r="N1292" i="1"/>
  <c r="U1292" i="1" s="1"/>
  <c r="N1293" i="1"/>
  <c r="U1293" i="1" s="1"/>
  <c r="N1294" i="1"/>
  <c r="U1294" i="1" s="1"/>
  <c r="N1295" i="1"/>
  <c r="U1295" i="1" s="1"/>
  <c r="N1296" i="1"/>
  <c r="U1296" i="1" s="1"/>
  <c r="N1297" i="1"/>
  <c r="U1297" i="1" s="1"/>
  <c r="N1298" i="1"/>
  <c r="U1298" i="1" s="1"/>
  <c r="N1299" i="1"/>
  <c r="U1299" i="1" s="1"/>
  <c r="N1300" i="1"/>
  <c r="U1300" i="1" s="1"/>
  <c r="N1301" i="1"/>
  <c r="U1301" i="1" s="1"/>
  <c r="N1302" i="1"/>
  <c r="U1302" i="1" s="1"/>
  <c r="N1303" i="1"/>
  <c r="U1303" i="1" s="1"/>
  <c r="N1304" i="1"/>
  <c r="U1304" i="1" s="1"/>
  <c r="N1305" i="1"/>
  <c r="U1305" i="1" s="1"/>
  <c r="N1306" i="1"/>
  <c r="U1306" i="1" s="1"/>
  <c r="N1307" i="1"/>
  <c r="U1307" i="1" s="1"/>
  <c r="N1308" i="1"/>
  <c r="U1308" i="1" s="1"/>
  <c r="N1309" i="1"/>
  <c r="U1309" i="1" s="1"/>
  <c r="N1310" i="1"/>
  <c r="U1310" i="1" s="1"/>
  <c r="N1311" i="1"/>
  <c r="U1311" i="1" s="1"/>
  <c r="N1312" i="1"/>
  <c r="U1312" i="1" s="1"/>
  <c r="N1313" i="1"/>
  <c r="U1313" i="1" s="1"/>
  <c r="N1314" i="1"/>
  <c r="U1314" i="1" s="1"/>
  <c r="N1315" i="1"/>
  <c r="U1315" i="1" s="1"/>
  <c r="N1316" i="1"/>
  <c r="U1316" i="1" s="1"/>
  <c r="N1317" i="1"/>
  <c r="U1317" i="1" s="1"/>
  <c r="N1318" i="1"/>
  <c r="U1318" i="1" s="1"/>
  <c r="N1319" i="1"/>
  <c r="U1319" i="1" s="1"/>
  <c r="N1320" i="1"/>
  <c r="U1320" i="1" s="1"/>
  <c r="N1321" i="1"/>
  <c r="U1321" i="1" s="1"/>
  <c r="N1322" i="1"/>
  <c r="U1322" i="1" s="1"/>
  <c r="N1323" i="1"/>
  <c r="U1323" i="1" s="1"/>
  <c r="N1324" i="1"/>
  <c r="U1324" i="1" s="1"/>
  <c r="N1325" i="1"/>
  <c r="U1325" i="1" s="1"/>
  <c r="N1326" i="1"/>
  <c r="U1326" i="1" s="1"/>
  <c r="N1327" i="1"/>
  <c r="U1327" i="1" s="1"/>
  <c r="N1328" i="1"/>
  <c r="U1328" i="1" s="1"/>
  <c r="N1329" i="1"/>
  <c r="U1329" i="1" s="1"/>
  <c r="N1330" i="1"/>
  <c r="U1330" i="1" s="1"/>
  <c r="N1331" i="1"/>
  <c r="U1331" i="1" s="1"/>
  <c r="N1332" i="1"/>
  <c r="U1332" i="1" s="1"/>
  <c r="N1333" i="1"/>
  <c r="U1333" i="1" s="1"/>
  <c r="N1334" i="1"/>
  <c r="U1334" i="1" s="1"/>
  <c r="N1335" i="1"/>
  <c r="U1335" i="1" s="1"/>
  <c r="N1336" i="1"/>
  <c r="U1336" i="1" s="1"/>
  <c r="N1337" i="1"/>
  <c r="U1337" i="1" s="1"/>
  <c r="N1338" i="1"/>
  <c r="U1338" i="1" s="1"/>
  <c r="N1339" i="1"/>
  <c r="U1339" i="1" s="1"/>
  <c r="N1340" i="1"/>
  <c r="U1340" i="1" s="1"/>
  <c r="N1341" i="1"/>
  <c r="U1341" i="1" s="1"/>
  <c r="N1342" i="1"/>
  <c r="U1342" i="1" s="1"/>
  <c r="N1343" i="1"/>
  <c r="U1343" i="1" s="1"/>
  <c r="N1344" i="1"/>
  <c r="U1344" i="1" s="1"/>
  <c r="N1345" i="1"/>
  <c r="U1345" i="1" s="1"/>
  <c r="N1346" i="1"/>
  <c r="U1346" i="1" s="1"/>
  <c r="N1347" i="1"/>
  <c r="U1347" i="1" s="1"/>
  <c r="N1348" i="1"/>
  <c r="U1348" i="1" s="1"/>
  <c r="N1349" i="1"/>
  <c r="U1349" i="1" s="1"/>
  <c r="N1350" i="1"/>
  <c r="U1350" i="1" s="1"/>
  <c r="N1351" i="1"/>
  <c r="U1351" i="1" s="1"/>
  <c r="N1352" i="1"/>
  <c r="U1352" i="1" s="1"/>
  <c r="N1353" i="1"/>
  <c r="U1353" i="1" s="1"/>
  <c r="N1354" i="1"/>
  <c r="U1354" i="1" s="1"/>
  <c r="N1355" i="1"/>
  <c r="U1355" i="1" s="1"/>
  <c r="N1356" i="1"/>
  <c r="U1356" i="1" s="1"/>
  <c r="N1357" i="1"/>
  <c r="U1357" i="1" s="1"/>
  <c r="N1358" i="1"/>
  <c r="U1358" i="1" s="1"/>
  <c r="N1359" i="1"/>
  <c r="U1359" i="1" s="1"/>
  <c r="N1360" i="1"/>
  <c r="U1360" i="1" s="1"/>
  <c r="N1361" i="1"/>
  <c r="U1361" i="1" s="1"/>
  <c r="N1362" i="1"/>
  <c r="U1362" i="1" s="1"/>
  <c r="N1363" i="1"/>
  <c r="U1363" i="1" s="1"/>
  <c r="N1364" i="1"/>
  <c r="U1364" i="1" s="1"/>
  <c r="N1365" i="1"/>
  <c r="U1365" i="1" s="1"/>
  <c r="N1366" i="1"/>
  <c r="U1366" i="1" s="1"/>
  <c r="N1367" i="1"/>
  <c r="U1367" i="1" s="1"/>
  <c r="N1368" i="1"/>
  <c r="U1368" i="1" s="1"/>
  <c r="N1369" i="1"/>
  <c r="U1369" i="1" s="1"/>
  <c r="N1370" i="1"/>
  <c r="U1370" i="1" s="1"/>
  <c r="N1371" i="1"/>
  <c r="U1371" i="1" s="1"/>
  <c r="N1372" i="1"/>
  <c r="U1372" i="1" s="1"/>
  <c r="N1373" i="1"/>
  <c r="U1373" i="1" s="1"/>
  <c r="N1374" i="1"/>
  <c r="U1374" i="1" s="1"/>
  <c r="N1375" i="1"/>
  <c r="U1375" i="1" s="1"/>
  <c r="N1376" i="1"/>
  <c r="U1376" i="1" s="1"/>
  <c r="N1377" i="1"/>
  <c r="U1377" i="1" s="1"/>
  <c r="N1378" i="1"/>
  <c r="U1378" i="1" s="1"/>
  <c r="N1379" i="1"/>
  <c r="U1379" i="1" s="1"/>
  <c r="N1380" i="1"/>
  <c r="U1380" i="1" s="1"/>
  <c r="N1381" i="1"/>
  <c r="U1381" i="1" s="1"/>
  <c r="N1382" i="1"/>
  <c r="U1382" i="1" s="1"/>
  <c r="N1383" i="1"/>
  <c r="U1383" i="1" s="1"/>
  <c r="N1384" i="1"/>
  <c r="U1384" i="1" s="1"/>
  <c r="N1385" i="1"/>
  <c r="U1385" i="1" s="1"/>
  <c r="N1386" i="1"/>
  <c r="U1386" i="1" s="1"/>
  <c r="N1387" i="1"/>
  <c r="U1387" i="1" s="1"/>
  <c r="N1388" i="1"/>
  <c r="U1388" i="1" s="1"/>
  <c r="N1389" i="1"/>
  <c r="U1389" i="1" s="1"/>
  <c r="N1390" i="1"/>
  <c r="U1390" i="1" s="1"/>
  <c r="N1391" i="1"/>
  <c r="U1391" i="1" s="1"/>
  <c r="N1392" i="1"/>
  <c r="U1392" i="1" s="1"/>
  <c r="N1393" i="1"/>
  <c r="U1393" i="1" s="1"/>
  <c r="N1394" i="1"/>
  <c r="U1394" i="1" s="1"/>
  <c r="N1395" i="1"/>
  <c r="U1395" i="1" s="1"/>
  <c r="N1396" i="1"/>
  <c r="U1396" i="1" s="1"/>
  <c r="N1397" i="1"/>
  <c r="U1397" i="1" s="1"/>
  <c r="N1398" i="1"/>
  <c r="U1398" i="1" s="1"/>
  <c r="N1399" i="1"/>
  <c r="U1399" i="1" s="1"/>
  <c r="N1400" i="1"/>
  <c r="U1400" i="1" s="1"/>
  <c r="N1401" i="1"/>
  <c r="U1401" i="1" s="1"/>
  <c r="N1402" i="1"/>
  <c r="U1402" i="1" s="1"/>
  <c r="N1403" i="1"/>
  <c r="U1403" i="1" s="1"/>
  <c r="N1404" i="1"/>
  <c r="U1404" i="1" s="1"/>
  <c r="N1405" i="1"/>
  <c r="U1405" i="1" s="1"/>
  <c r="N1406" i="1"/>
  <c r="U1406" i="1" s="1"/>
  <c r="N1407" i="1"/>
  <c r="U1407" i="1" s="1"/>
  <c r="N1408" i="1"/>
  <c r="U1408" i="1" s="1"/>
  <c r="N1409" i="1"/>
  <c r="U1409" i="1" s="1"/>
  <c r="N1410" i="1"/>
  <c r="U1410" i="1" s="1"/>
  <c r="N1411" i="1"/>
  <c r="U1411" i="1" s="1"/>
  <c r="N1412" i="1"/>
  <c r="U1412" i="1" s="1"/>
  <c r="N1413" i="1"/>
  <c r="U1413" i="1" s="1"/>
  <c r="N1414" i="1"/>
  <c r="U1414" i="1" s="1"/>
  <c r="N1415" i="1"/>
  <c r="U1415" i="1" s="1"/>
  <c r="N1416" i="1"/>
  <c r="U1416" i="1" s="1"/>
  <c r="N1417" i="1"/>
  <c r="U1417" i="1" s="1"/>
  <c r="N1418" i="1"/>
  <c r="U1418" i="1" s="1"/>
  <c r="N1419" i="1"/>
  <c r="U1419" i="1" s="1"/>
  <c r="N1420" i="1"/>
  <c r="U1420" i="1" s="1"/>
  <c r="N1421" i="1"/>
  <c r="U1421" i="1" s="1"/>
  <c r="N1422" i="1"/>
  <c r="U1422" i="1" s="1"/>
  <c r="N1423" i="1"/>
  <c r="U1423" i="1" s="1"/>
  <c r="N1424" i="1"/>
  <c r="U1424" i="1" s="1"/>
  <c r="N1425" i="1"/>
  <c r="U1425" i="1" s="1"/>
  <c r="N1426" i="1"/>
  <c r="U1426" i="1" s="1"/>
  <c r="N1427" i="1"/>
  <c r="U1427" i="1" s="1"/>
  <c r="N1428" i="1"/>
  <c r="U1428" i="1" s="1"/>
  <c r="N1429" i="1"/>
  <c r="U1429" i="1" s="1"/>
  <c r="N1430" i="1"/>
  <c r="U1430" i="1" s="1"/>
  <c r="N1431" i="1"/>
  <c r="U1431" i="1" s="1"/>
  <c r="N1432" i="1"/>
  <c r="U1432" i="1" s="1"/>
  <c r="N1433" i="1"/>
  <c r="U1433" i="1" s="1"/>
  <c r="N1434" i="1"/>
  <c r="U1434" i="1" s="1"/>
  <c r="N1435" i="1"/>
  <c r="U1435" i="1" s="1"/>
  <c r="N1436" i="1"/>
  <c r="U1436" i="1" s="1"/>
  <c r="N1437" i="1"/>
  <c r="U1437" i="1" s="1"/>
  <c r="N1438" i="1"/>
  <c r="U1438" i="1" s="1"/>
  <c r="N1439" i="1"/>
  <c r="U1439" i="1" s="1"/>
  <c r="N1440" i="1"/>
  <c r="U1440" i="1" s="1"/>
  <c r="N1441" i="1"/>
  <c r="U1441" i="1" s="1"/>
  <c r="N1442" i="1"/>
  <c r="U1442" i="1" s="1"/>
  <c r="N1443" i="1"/>
  <c r="U1443" i="1" s="1"/>
  <c r="N1444" i="1"/>
  <c r="U1444" i="1" s="1"/>
  <c r="N1445" i="1"/>
  <c r="U1445" i="1" s="1"/>
  <c r="N1446" i="1"/>
  <c r="U1446" i="1" s="1"/>
  <c r="N1447" i="1"/>
  <c r="U1447" i="1" s="1"/>
  <c r="N1448" i="1"/>
  <c r="U1448" i="1" s="1"/>
  <c r="N1449" i="1"/>
  <c r="U1449" i="1" s="1"/>
  <c r="N1450" i="1"/>
  <c r="U1450" i="1" s="1"/>
  <c r="N1451" i="1"/>
  <c r="U1451" i="1" s="1"/>
  <c r="N1452" i="1"/>
  <c r="U1452" i="1" s="1"/>
  <c r="N1453" i="1"/>
  <c r="U1453" i="1" s="1"/>
  <c r="N1454" i="1"/>
  <c r="U1454" i="1" s="1"/>
  <c r="N1455" i="1"/>
  <c r="U1455" i="1" s="1"/>
  <c r="N1456" i="1"/>
  <c r="U1456" i="1" s="1"/>
  <c r="N1457" i="1"/>
  <c r="U1457" i="1" s="1"/>
  <c r="N1458" i="1"/>
  <c r="U1458" i="1" s="1"/>
  <c r="N1459" i="1"/>
  <c r="U1459" i="1" s="1"/>
  <c r="N1460" i="1"/>
  <c r="U1460" i="1" s="1"/>
  <c r="N1461" i="1"/>
  <c r="U1461" i="1" s="1"/>
  <c r="N1462" i="1"/>
  <c r="U1462" i="1" s="1"/>
  <c r="N1463" i="1"/>
  <c r="U1463" i="1" s="1"/>
  <c r="N1464" i="1"/>
  <c r="U1464" i="1" s="1"/>
  <c r="N1465" i="1"/>
  <c r="U1465" i="1" s="1"/>
  <c r="N1466" i="1"/>
  <c r="U1466" i="1" s="1"/>
  <c r="N1467" i="1"/>
  <c r="U1467" i="1" s="1"/>
  <c r="N1468" i="1"/>
  <c r="U1468" i="1" s="1"/>
  <c r="N1469" i="1"/>
  <c r="U1469" i="1" s="1"/>
  <c r="N1470" i="1"/>
  <c r="U1470" i="1" s="1"/>
  <c r="N1471" i="1"/>
  <c r="U1471" i="1" s="1"/>
  <c r="N1472" i="1"/>
  <c r="U1472" i="1" s="1"/>
  <c r="N1473" i="1"/>
  <c r="U1473" i="1" s="1"/>
  <c r="N1474" i="1"/>
  <c r="U1474" i="1" s="1"/>
  <c r="N1475" i="1"/>
  <c r="U1475" i="1" s="1"/>
  <c r="N1476" i="1"/>
  <c r="U1476" i="1" s="1"/>
  <c r="N1477" i="1"/>
  <c r="U1477" i="1" s="1"/>
  <c r="N1478" i="1"/>
  <c r="U1478" i="1" s="1"/>
  <c r="N1479" i="1"/>
  <c r="U1479" i="1" s="1"/>
  <c r="N1480" i="1"/>
  <c r="U1480" i="1" s="1"/>
  <c r="N1481" i="1"/>
  <c r="U1481" i="1" s="1"/>
  <c r="N1482" i="1"/>
  <c r="U1482" i="1" s="1"/>
  <c r="N1483" i="1"/>
  <c r="U1483" i="1" s="1"/>
  <c r="N1484" i="1"/>
  <c r="U1484" i="1" s="1"/>
  <c r="N1485" i="1"/>
  <c r="U1485" i="1" s="1"/>
  <c r="N1486" i="1"/>
  <c r="U1486" i="1" s="1"/>
  <c r="N1487" i="1"/>
  <c r="U1487" i="1" s="1"/>
  <c r="N1488" i="1"/>
  <c r="U1488" i="1" s="1"/>
  <c r="N1489" i="1"/>
  <c r="U1489" i="1" s="1"/>
  <c r="N1490" i="1"/>
  <c r="U1490" i="1" s="1"/>
  <c r="N1491" i="1"/>
  <c r="U1491" i="1" s="1"/>
  <c r="N1492" i="1"/>
  <c r="U1492" i="1" s="1"/>
  <c r="N1493" i="1"/>
  <c r="U1493" i="1" s="1"/>
  <c r="N1494" i="1"/>
  <c r="U1494" i="1" s="1"/>
  <c r="N1495" i="1"/>
  <c r="U1495" i="1" s="1"/>
  <c r="N1496" i="1"/>
  <c r="U1496" i="1" s="1"/>
  <c r="N1497" i="1"/>
  <c r="U1497" i="1" s="1"/>
  <c r="N1498" i="1"/>
  <c r="U1498" i="1" s="1"/>
  <c r="N1499" i="1"/>
  <c r="U1499" i="1" s="1"/>
  <c r="N1500" i="1"/>
  <c r="U1500" i="1" s="1"/>
  <c r="N1501" i="1"/>
  <c r="U1501" i="1" s="1"/>
  <c r="N1502" i="1"/>
  <c r="U1502" i="1" s="1"/>
  <c r="N1503" i="1"/>
  <c r="U1503" i="1" s="1"/>
  <c r="N1504" i="1"/>
  <c r="U1504" i="1" s="1"/>
  <c r="N1505" i="1"/>
  <c r="U1505" i="1" s="1"/>
  <c r="N1506" i="1"/>
  <c r="U1506" i="1" s="1"/>
  <c r="N1507" i="1"/>
  <c r="U1507" i="1" s="1"/>
  <c r="N1508" i="1"/>
  <c r="U1508" i="1" s="1"/>
  <c r="N1509" i="1"/>
  <c r="U1509" i="1" s="1"/>
  <c r="N1510" i="1"/>
  <c r="U1510" i="1" s="1"/>
  <c r="N1511" i="1"/>
  <c r="U1511" i="1" s="1"/>
  <c r="N1512" i="1"/>
  <c r="U1512" i="1" s="1"/>
  <c r="N1513" i="1"/>
  <c r="U1513" i="1" s="1"/>
  <c r="N1514" i="1"/>
  <c r="U1514" i="1" s="1"/>
  <c r="N1515" i="1"/>
  <c r="U1515" i="1" s="1"/>
  <c r="N1516" i="1"/>
  <c r="U1516" i="1" s="1"/>
  <c r="N1517" i="1"/>
  <c r="U1517" i="1" s="1"/>
  <c r="N1518" i="1"/>
  <c r="U1518" i="1" s="1"/>
  <c r="N1519" i="1"/>
  <c r="U1519" i="1" s="1"/>
  <c r="N1520" i="1"/>
  <c r="U1520" i="1" s="1"/>
  <c r="N1521" i="1"/>
  <c r="U1521" i="1" s="1"/>
  <c r="N1522" i="1"/>
  <c r="U1522" i="1" s="1"/>
  <c r="N1523" i="1"/>
  <c r="N1524" i="1"/>
  <c r="U1524" i="1" s="1"/>
  <c r="N1525" i="1"/>
  <c r="U1525" i="1" s="1"/>
  <c r="N1526" i="1"/>
  <c r="U1526" i="1" s="1"/>
  <c r="N1527" i="1"/>
  <c r="U1527" i="1" s="1"/>
  <c r="N1528" i="1"/>
  <c r="U1528" i="1" s="1"/>
  <c r="N1529" i="1"/>
  <c r="U1529" i="1" s="1"/>
  <c r="N1530" i="1"/>
  <c r="U1530" i="1" s="1"/>
  <c r="N1531" i="1"/>
  <c r="U1531" i="1" s="1"/>
  <c r="N1532" i="1"/>
  <c r="U1532" i="1" s="1"/>
  <c r="N1533" i="1"/>
  <c r="U1533" i="1" s="1"/>
  <c r="N1534" i="1"/>
  <c r="U1534" i="1" s="1"/>
  <c r="N1535" i="1"/>
  <c r="U1535" i="1" s="1"/>
  <c r="N1536" i="1"/>
  <c r="U1536" i="1" s="1"/>
  <c r="N1537" i="1"/>
  <c r="U1537" i="1" s="1"/>
  <c r="N1538" i="1"/>
  <c r="U1538" i="1" s="1"/>
  <c r="N1539" i="1"/>
  <c r="U1539" i="1" s="1"/>
  <c r="N1540" i="1"/>
  <c r="U1540" i="1" s="1"/>
  <c r="N1541" i="1"/>
  <c r="U1541" i="1" s="1"/>
  <c r="N1542" i="1"/>
  <c r="N1543" i="1"/>
  <c r="U1543" i="1" s="1"/>
  <c r="N1544" i="1"/>
  <c r="U1544" i="1" s="1"/>
  <c r="N1545" i="1"/>
  <c r="U1545" i="1" s="1"/>
  <c r="N1546" i="1"/>
  <c r="U1546" i="1" s="1"/>
  <c r="N1547" i="1"/>
  <c r="U1547" i="1" s="1"/>
  <c r="N1548" i="1"/>
  <c r="U1548" i="1" s="1"/>
  <c r="N1549" i="1"/>
  <c r="U1549" i="1" s="1"/>
  <c r="N1550" i="1"/>
  <c r="U1550" i="1" s="1"/>
  <c r="N1551" i="1"/>
  <c r="U1551" i="1" s="1"/>
  <c r="N1552" i="1"/>
  <c r="U1552" i="1" s="1"/>
  <c r="N1553" i="1"/>
  <c r="N1554" i="1"/>
  <c r="U1554" i="1" s="1"/>
  <c r="N1555" i="1"/>
  <c r="U1555" i="1" s="1"/>
  <c r="N1556" i="1"/>
  <c r="U1556" i="1" s="1"/>
  <c r="N1557" i="1"/>
  <c r="U1557" i="1" s="1"/>
  <c r="N1558" i="1"/>
  <c r="U1558" i="1" s="1"/>
  <c r="N1559" i="1"/>
  <c r="U1559" i="1" s="1"/>
  <c r="N1560" i="1"/>
  <c r="U1560" i="1" s="1"/>
  <c r="N1561" i="1"/>
  <c r="U1561" i="1" s="1"/>
  <c r="N1562" i="1"/>
  <c r="U1562" i="1" s="1"/>
  <c r="N1563" i="1"/>
  <c r="U1563" i="1" s="1"/>
  <c r="N1564" i="1"/>
  <c r="U1564" i="1" s="1"/>
  <c r="N1565" i="1"/>
  <c r="U1565" i="1" s="1"/>
  <c r="N1566" i="1"/>
  <c r="U1566" i="1" s="1"/>
  <c r="N1567" i="1"/>
  <c r="U1567" i="1" s="1"/>
  <c r="N1568" i="1"/>
  <c r="U1568" i="1" s="1"/>
  <c r="N1569" i="1"/>
  <c r="U1569" i="1" s="1"/>
  <c r="N1570" i="1"/>
  <c r="U1570" i="1" s="1"/>
  <c r="N1571" i="1"/>
  <c r="U1571" i="1" s="1"/>
  <c r="N1572" i="1"/>
  <c r="U1572" i="1" s="1"/>
  <c r="N1573" i="1"/>
  <c r="U1573" i="1" s="1"/>
  <c r="N1574" i="1"/>
  <c r="U1574" i="1" s="1"/>
  <c r="N1575" i="1"/>
  <c r="U1575" i="1" s="1"/>
  <c r="N1576" i="1"/>
  <c r="U1576" i="1" s="1"/>
  <c r="N1577" i="1"/>
  <c r="U1577" i="1" s="1"/>
  <c r="N1578" i="1"/>
  <c r="U1578" i="1" s="1"/>
  <c r="N1579" i="1"/>
  <c r="U1579" i="1" s="1"/>
  <c r="N1580" i="1"/>
  <c r="U1580" i="1" s="1"/>
  <c r="N1581" i="1"/>
  <c r="U1581" i="1" s="1"/>
  <c r="N1582" i="1"/>
  <c r="U1582" i="1" s="1"/>
  <c r="N1583" i="1"/>
  <c r="U1583" i="1" s="1"/>
  <c r="N1584" i="1"/>
  <c r="U1584" i="1" s="1"/>
  <c r="N1585" i="1"/>
  <c r="U1585" i="1" s="1"/>
  <c r="N1586" i="1"/>
  <c r="U1586" i="1" s="1"/>
  <c r="N1587" i="1"/>
  <c r="U1587" i="1" s="1"/>
  <c r="N1588" i="1"/>
  <c r="U1588" i="1" s="1"/>
  <c r="N1589" i="1"/>
  <c r="U1589" i="1" s="1"/>
  <c r="N1590" i="1"/>
  <c r="U1590" i="1" s="1"/>
  <c r="N1591" i="1"/>
  <c r="U1591" i="1" s="1"/>
  <c r="N1592" i="1"/>
  <c r="U1592" i="1" s="1"/>
  <c r="N1593" i="1"/>
  <c r="U1593" i="1" s="1"/>
  <c r="N1594" i="1"/>
  <c r="U1594" i="1" s="1"/>
  <c r="N1595" i="1"/>
  <c r="U1595" i="1" s="1"/>
  <c r="N1596" i="1"/>
  <c r="U1596" i="1" s="1"/>
  <c r="N1597" i="1"/>
  <c r="U1597" i="1" s="1"/>
  <c r="N1598" i="1"/>
  <c r="U1598" i="1" s="1"/>
  <c r="N1599" i="1"/>
  <c r="U1599" i="1" s="1"/>
  <c r="N1600" i="1"/>
  <c r="U1600" i="1" s="1"/>
  <c r="N1601" i="1"/>
  <c r="U1601" i="1" s="1"/>
  <c r="N1602" i="1"/>
  <c r="U1602" i="1" s="1"/>
  <c r="N1603" i="1"/>
  <c r="U1603" i="1" s="1"/>
  <c r="N1604" i="1"/>
  <c r="U1604" i="1" s="1"/>
  <c r="N1605" i="1"/>
  <c r="U1605" i="1" s="1"/>
  <c r="N1606" i="1"/>
  <c r="U1606" i="1" s="1"/>
  <c r="N1607" i="1"/>
  <c r="U1607" i="1" s="1"/>
  <c r="N1608" i="1"/>
  <c r="U1608" i="1" s="1"/>
  <c r="N1609" i="1"/>
  <c r="U1609" i="1" s="1"/>
  <c r="N1610" i="1"/>
  <c r="U1610" i="1" s="1"/>
  <c r="N1611" i="1"/>
  <c r="U1611" i="1" s="1"/>
  <c r="N1612" i="1"/>
  <c r="U1612" i="1" s="1"/>
  <c r="N1613" i="1"/>
  <c r="U1613" i="1" s="1"/>
  <c r="N1614" i="1"/>
  <c r="U1614" i="1" s="1"/>
  <c r="N1615" i="1"/>
  <c r="U1615" i="1" s="1"/>
  <c r="N1616" i="1"/>
  <c r="U1616" i="1" s="1"/>
  <c r="N1617" i="1"/>
  <c r="U1617" i="1" s="1"/>
  <c r="N1618" i="1"/>
  <c r="U1618" i="1" s="1"/>
  <c r="N1619" i="1"/>
  <c r="U1619" i="1" s="1"/>
  <c r="N1620" i="1"/>
  <c r="U1620" i="1" s="1"/>
  <c r="N1621" i="1"/>
  <c r="U1621" i="1" s="1"/>
  <c r="N1622" i="1"/>
  <c r="N1623" i="1"/>
  <c r="U1623" i="1" s="1"/>
  <c r="N1624" i="1"/>
  <c r="U1624" i="1" s="1"/>
  <c r="N1625" i="1"/>
  <c r="U1625" i="1" s="1"/>
  <c r="N1626" i="1"/>
  <c r="U1626" i="1" s="1"/>
  <c r="N1627" i="1"/>
  <c r="U1627" i="1" s="1"/>
  <c r="N1628" i="1"/>
  <c r="U1628" i="1" s="1"/>
  <c r="N1629" i="1"/>
  <c r="U1629" i="1" s="1"/>
  <c r="N1630" i="1"/>
  <c r="U1630" i="1" s="1"/>
  <c r="N1631" i="1"/>
  <c r="U1631" i="1" s="1"/>
  <c r="N1632" i="1"/>
  <c r="U1632" i="1" s="1"/>
  <c r="N1633" i="1"/>
  <c r="U1633" i="1" s="1"/>
  <c r="N1634" i="1"/>
  <c r="U1634" i="1" s="1"/>
  <c r="N1635" i="1"/>
  <c r="U1635" i="1" s="1"/>
  <c r="N1636" i="1"/>
  <c r="U1636" i="1" s="1"/>
  <c r="N1637" i="1"/>
  <c r="U1637" i="1" s="1"/>
  <c r="N1638" i="1"/>
  <c r="U1638" i="1" s="1"/>
  <c r="N1639" i="1"/>
  <c r="U1639" i="1" s="1"/>
  <c r="N1640" i="1"/>
  <c r="U1640" i="1" s="1"/>
  <c r="N1641" i="1"/>
  <c r="U1641" i="1" s="1"/>
  <c r="N1642" i="1"/>
  <c r="U1642" i="1" s="1"/>
  <c r="N1643" i="1"/>
  <c r="U1643" i="1" s="1"/>
  <c r="N1644" i="1"/>
  <c r="U1644" i="1" s="1"/>
  <c r="N1645" i="1"/>
  <c r="U1645" i="1" s="1"/>
  <c r="N1646" i="1"/>
  <c r="U1646" i="1" s="1"/>
  <c r="N1647" i="1"/>
  <c r="U1647" i="1" s="1"/>
  <c r="N1648" i="1"/>
  <c r="U1648" i="1" s="1"/>
  <c r="N1649" i="1"/>
  <c r="U1649" i="1" s="1"/>
  <c r="N1650" i="1"/>
  <c r="U1650" i="1" s="1"/>
  <c r="N1651" i="1"/>
  <c r="U1651" i="1" s="1"/>
  <c r="N1652" i="1"/>
  <c r="U1652" i="1" s="1"/>
  <c r="N1653" i="1"/>
  <c r="U1653" i="1" s="1"/>
  <c r="N1654" i="1"/>
  <c r="U1654" i="1" s="1"/>
  <c r="N1655" i="1"/>
  <c r="U1655" i="1" s="1"/>
  <c r="N1656" i="1"/>
  <c r="U1656" i="1" s="1"/>
  <c r="N1657" i="1"/>
  <c r="U1657" i="1" s="1"/>
  <c r="N1658" i="1"/>
  <c r="U1658" i="1" s="1"/>
  <c r="N1659" i="1"/>
  <c r="U1659" i="1" s="1"/>
  <c r="N1660" i="1"/>
  <c r="U1660" i="1" s="1"/>
  <c r="N1661" i="1"/>
  <c r="U1661" i="1" s="1"/>
  <c r="N1662" i="1"/>
  <c r="U1662" i="1" s="1"/>
  <c r="N1663" i="1"/>
  <c r="U1663" i="1" s="1"/>
  <c r="N1664" i="1"/>
  <c r="U1664" i="1" s="1"/>
  <c r="N1665" i="1"/>
  <c r="U1665" i="1" s="1"/>
  <c r="N1666" i="1"/>
  <c r="U1666" i="1" s="1"/>
  <c r="N1667" i="1"/>
  <c r="U1667" i="1" s="1"/>
  <c r="N1668" i="1"/>
  <c r="U1668" i="1" s="1"/>
  <c r="N1669" i="1"/>
  <c r="U1669" i="1" s="1"/>
  <c r="N1670" i="1"/>
  <c r="U1670" i="1" s="1"/>
  <c r="N1671" i="1"/>
  <c r="U1671" i="1" s="1"/>
  <c r="N1672" i="1"/>
  <c r="U1672" i="1" s="1"/>
  <c r="N1673" i="1"/>
  <c r="U1673" i="1" s="1"/>
  <c r="N1674" i="1"/>
  <c r="U1674" i="1" s="1"/>
  <c r="N1675" i="1"/>
  <c r="U1675" i="1" s="1"/>
  <c r="N1676" i="1"/>
  <c r="U1676" i="1" s="1"/>
  <c r="N1677" i="1"/>
  <c r="U1677" i="1" s="1"/>
  <c r="N1678" i="1"/>
  <c r="U1678" i="1" s="1"/>
  <c r="N1679" i="1"/>
  <c r="U1679" i="1" s="1"/>
  <c r="N1680" i="1"/>
  <c r="U1680" i="1" s="1"/>
  <c r="N1681" i="1"/>
  <c r="U1681" i="1" s="1"/>
  <c r="N1682" i="1"/>
  <c r="U1682" i="1" s="1"/>
  <c r="N1683" i="1"/>
  <c r="U1683" i="1" s="1"/>
  <c r="N1684" i="1"/>
  <c r="U1684" i="1" s="1"/>
  <c r="N1685" i="1"/>
  <c r="U1685" i="1" s="1"/>
  <c r="N1686" i="1"/>
  <c r="U1686" i="1" s="1"/>
  <c r="N1687" i="1"/>
  <c r="U1687" i="1" s="1"/>
  <c r="N1688" i="1"/>
  <c r="U1688" i="1" s="1"/>
  <c r="N1689" i="1"/>
  <c r="U1689" i="1" s="1"/>
  <c r="N1690" i="1"/>
  <c r="U1690" i="1" s="1"/>
  <c r="N1691" i="1"/>
  <c r="U1691" i="1" s="1"/>
  <c r="N1692" i="1"/>
  <c r="U1692" i="1" s="1"/>
  <c r="N1693" i="1"/>
  <c r="U1693" i="1" s="1"/>
  <c r="N1694" i="1"/>
  <c r="U1694" i="1" s="1"/>
  <c r="N1695" i="1"/>
  <c r="U1695" i="1" s="1"/>
  <c r="N1696" i="1"/>
  <c r="U1696" i="1" s="1"/>
  <c r="N1697" i="1"/>
  <c r="U1697" i="1" s="1"/>
  <c r="N1698" i="1"/>
  <c r="U1698" i="1" s="1"/>
  <c r="N1699" i="1"/>
  <c r="U1699" i="1" s="1"/>
  <c r="N1700" i="1"/>
  <c r="U1700" i="1" s="1"/>
  <c r="N1701" i="1"/>
  <c r="U1701" i="1" s="1"/>
  <c r="N1702" i="1"/>
  <c r="U1702" i="1" s="1"/>
  <c r="N1703" i="1"/>
  <c r="U1703" i="1" s="1"/>
  <c r="N1704" i="1"/>
  <c r="U1704" i="1" s="1"/>
  <c r="N1705" i="1"/>
  <c r="U1705" i="1" s="1"/>
  <c r="N1706" i="1"/>
  <c r="U1706" i="1" s="1"/>
  <c r="N1707" i="1"/>
  <c r="U1707" i="1" s="1"/>
  <c r="N1708" i="1"/>
  <c r="U1708" i="1" s="1"/>
  <c r="N1709" i="1"/>
  <c r="U1709" i="1" s="1"/>
  <c r="N1710" i="1"/>
  <c r="U1710" i="1" s="1"/>
  <c r="N1711" i="1"/>
  <c r="U1711" i="1" s="1"/>
  <c r="N1712" i="1"/>
  <c r="U1712" i="1" s="1"/>
  <c r="N1713" i="1"/>
  <c r="U1713" i="1" s="1"/>
  <c r="N1714" i="1"/>
  <c r="U1714" i="1" s="1"/>
  <c r="N1715" i="1"/>
  <c r="U1715" i="1" s="1"/>
  <c r="N1716" i="1"/>
  <c r="U1716" i="1" s="1"/>
  <c r="N1717" i="1"/>
  <c r="U1717" i="1" s="1"/>
  <c r="N1718" i="1"/>
  <c r="U1718" i="1" s="1"/>
  <c r="N1719" i="1"/>
  <c r="U1719" i="1" s="1"/>
  <c r="N1720" i="1"/>
  <c r="U1720" i="1" s="1"/>
  <c r="N1721" i="1"/>
  <c r="U1721" i="1" s="1"/>
  <c r="N1722" i="1"/>
  <c r="U1722" i="1" s="1"/>
  <c r="N1723" i="1"/>
  <c r="U1723" i="1" s="1"/>
  <c r="N1724" i="1"/>
  <c r="U1724" i="1" s="1"/>
  <c r="N1725" i="1"/>
  <c r="U1725" i="1" s="1"/>
  <c r="N1726" i="1"/>
  <c r="U1726" i="1" s="1"/>
  <c r="N1727" i="1"/>
  <c r="U1727" i="1" s="1"/>
  <c r="N1728" i="1"/>
  <c r="U1728" i="1" s="1"/>
  <c r="N1729" i="1"/>
  <c r="U1729" i="1" s="1"/>
  <c r="N1730" i="1"/>
  <c r="U1730" i="1" s="1"/>
  <c r="N1731" i="1"/>
  <c r="U1731" i="1" s="1"/>
  <c r="N1732" i="1"/>
  <c r="U1732" i="1" s="1"/>
  <c r="N1733" i="1"/>
  <c r="U1733" i="1" s="1"/>
  <c r="N1734" i="1"/>
  <c r="U1734" i="1" s="1"/>
  <c r="N1735" i="1"/>
  <c r="U1735" i="1" s="1"/>
  <c r="N1736" i="1"/>
  <c r="U1736" i="1" s="1"/>
  <c r="N1737" i="1"/>
  <c r="U1737" i="1" s="1"/>
  <c r="N1738" i="1"/>
  <c r="U1738" i="1" s="1"/>
  <c r="N1739" i="1"/>
  <c r="U1739" i="1" s="1"/>
  <c r="N1740" i="1"/>
  <c r="U1740" i="1" s="1"/>
  <c r="N1741" i="1"/>
  <c r="U1741" i="1" s="1"/>
  <c r="N1742" i="1"/>
  <c r="U1742" i="1" s="1"/>
  <c r="N1743" i="1"/>
  <c r="U1743" i="1" s="1"/>
  <c r="N1744" i="1"/>
  <c r="U1744" i="1" s="1"/>
  <c r="N1745" i="1"/>
  <c r="U1745" i="1" s="1"/>
  <c r="N1746" i="1"/>
  <c r="U1746" i="1" s="1"/>
  <c r="N1747" i="1"/>
  <c r="U1747" i="1" s="1"/>
  <c r="N1748" i="1"/>
  <c r="U1748" i="1" s="1"/>
  <c r="N1749" i="1"/>
  <c r="U1749" i="1" s="1"/>
  <c r="N1750" i="1"/>
  <c r="U1750" i="1" s="1"/>
  <c r="N1751" i="1"/>
  <c r="U1751" i="1" s="1"/>
  <c r="N1752" i="1"/>
  <c r="U1752" i="1" s="1"/>
  <c r="N1753" i="1"/>
  <c r="U1753" i="1" s="1"/>
  <c r="N1754" i="1"/>
  <c r="U1754" i="1" s="1"/>
  <c r="N1755" i="1"/>
  <c r="U1755" i="1" s="1"/>
  <c r="N1756" i="1"/>
  <c r="U1756" i="1" s="1"/>
  <c r="N1757" i="1"/>
  <c r="U1757" i="1" s="1"/>
  <c r="N1758" i="1"/>
  <c r="U1758" i="1" s="1"/>
  <c r="N1759" i="1"/>
  <c r="U1759" i="1" s="1"/>
  <c r="N1760" i="1"/>
  <c r="U1760" i="1" s="1"/>
  <c r="N1761" i="1"/>
  <c r="U1761" i="1" s="1"/>
  <c r="N1762" i="1"/>
  <c r="U1762" i="1" s="1"/>
  <c r="N1763" i="1"/>
  <c r="U1763" i="1" s="1"/>
  <c r="N1764" i="1"/>
  <c r="U1764" i="1" s="1"/>
  <c r="N1765" i="1"/>
  <c r="U1765" i="1" s="1"/>
  <c r="N1766" i="1"/>
  <c r="U1766" i="1" s="1"/>
  <c r="N1767" i="1"/>
  <c r="U1767" i="1" s="1"/>
  <c r="N1768" i="1"/>
  <c r="U1768" i="1" s="1"/>
  <c r="N1769" i="1"/>
  <c r="U1769" i="1" s="1"/>
  <c r="N1770" i="1"/>
  <c r="U1770" i="1" s="1"/>
  <c r="N1771" i="1"/>
  <c r="U1771" i="1" s="1"/>
  <c r="N1772" i="1"/>
  <c r="U1772" i="1" s="1"/>
  <c r="N1773" i="1"/>
  <c r="U1773" i="1" s="1"/>
  <c r="N1774" i="1"/>
  <c r="U1774" i="1" s="1"/>
  <c r="N1775" i="1"/>
  <c r="U1775" i="1" s="1"/>
  <c r="N1776" i="1"/>
  <c r="U1776" i="1" s="1"/>
  <c r="N1777" i="1"/>
  <c r="U1777" i="1" s="1"/>
  <c r="N1778" i="1"/>
  <c r="U1778" i="1" s="1"/>
  <c r="N1779" i="1"/>
  <c r="U1779" i="1" s="1"/>
  <c r="N1780" i="1"/>
  <c r="U1780" i="1" s="1"/>
  <c r="N1781" i="1"/>
  <c r="U1781" i="1" s="1"/>
  <c r="N1782" i="1"/>
  <c r="U1782" i="1" s="1"/>
  <c r="N1783" i="1"/>
  <c r="U1783" i="1" s="1"/>
  <c r="N1784" i="1"/>
  <c r="U1784" i="1" s="1"/>
  <c r="N1785" i="1"/>
  <c r="U1785" i="1" s="1"/>
  <c r="N1786" i="1"/>
  <c r="U1786" i="1" s="1"/>
  <c r="N1787" i="1"/>
  <c r="U1787" i="1" s="1"/>
  <c r="N1788" i="1"/>
  <c r="U1788" i="1" s="1"/>
  <c r="N1789" i="1"/>
  <c r="U1789" i="1" s="1"/>
  <c r="N1790" i="1"/>
  <c r="U1790" i="1" s="1"/>
  <c r="N1791" i="1"/>
  <c r="U1791" i="1" s="1"/>
  <c r="N1792" i="1"/>
  <c r="U1792" i="1" s="1"/>
  <c r="N1793" i="1"/>
  <c r="U1793" i="1" s="1"/>
  <c r="N1794" i="1"/>
  <c r="U1794" i="1" s="1"/>
  <c r="N1795" i="1"/>
  <c r="U1795" i="1" s="1"/>
  <c r="N1796" i="1"/>
  <c r="U1796" i="1" s="1"/>
  <c r="N1797" i="1"/>
  <c r="U1797" i="1" s="1"/>
  <c r="N1798" i="1"/>
  <c r="U1798" i="1" s="1"/>
  <c r="N1799" i="1"/>
  <c r="U1799" i="1" s="1"/>
  <c r="N1800" i="1"/>
  <c r="U1800" i="1" s="1"/>
  <c r="N1801" i="1"/>
  <c r="U1801" i="1" s="1"/>
  <c r="N1802" i="1"/>
  <c r="U1802" i="1" s="1"/>
  <c r="N1803" i="1"/>
  <c r="U1803" i="1" s="1"/>
  <c r="N1804" i="1"/>
  <c r="U1804" i="1" s="1"/>
  <c r="N1805" i="1"/>
  <c r="U1805" i="1" s="1"/>
  <c r="N1806" i="1"/>
  <c r="U1806" i="1" s="1"/>
  <c r="N1807" i="1"/>
  <c r="U1807" i="1" s="1"/>
  <c r="N1808" i="1"/>
  <c r="U1808" i="1" s="1"/>
  <c r="N1809" i="1"/>
  <c r="U1809" i="1" s="1"/>
  <c r="N1810" i="1"/>
  <c r="U1810" i="1" s="1"/>
  <c r="N1811" i="1"/>
  <c r="U1811" i="1" s="1"/>
  <c r="N1812" i="1"/>
  <c r="U1812" i="1" s="1"/>
  <c r="N1813" i="1"/>
  <c r="U1813" i="1" s="1"/>
  <c r="N1814" i="1"/>
  <c r="U1814" i="1" s="1"/>
  <c r="N1815" i="1"/>
  <c r="U1815" i="1" s="1"/>
  <c r="N1816" i="1"/>
  <c r="U1816" i="1" s="1"/>
  <c r="N1817" i="1"/>
  <c r="U1817" i="1" s="1"/>
  <c r="N1818" i="1"/>
  <c r="U1818" i="1" s="1"/>
  <c r="N1819" i="1"/>
  <c r="U1819" i="1" s="1"/>
  <c r="N1820" i="1"/>
  <c r="U1820" i="1" s="1"/>
  <c r="N1821" i="1"/>
  <c r="U1821" i="1" s="1"/>
  <c r="N1822" i="1"/>
  <c r="U1822" i="1" s="1"/>
  <c r="N1823" i="1"/>
  <c r="U1823" i="1" s="1"/>
  <c r="N1824" i="1"/>
  <c r="U1824" i="1" s="1"/>
  <c r="N1825" i="1"/>
  <c r="U1825" i="1" s="1"/>
  <c r="N1826" i="1"/>
  <c r="U1826" i="1" s="1"/>
  <c r="N1827" i="1"/>
  <c r="U1827" i="1" s="1"/>
  <c r="N1828" i="1"/>
  <c r="U1828" i="1" s="1"/>
  <c r="N1829" i="1"/>
  <c r="U1829" i="1" s="1"/>
  <c r="N1830" i="1"/>
  <c r="U1830" i="1" s="1"/>
  <c r="N1831" i="1"/>
  <c r="U1831" i="1" s="1"/>
  <c r="N1832" i="1"/>
  <c r="U1832" i="1" s="1"/>
  <c r="N1833" i="1"/>
  <c r="U1833" i="1" s="1"/>
  <c r="N1834" i="1"/>
  <c r="U1834" i="1" s="1"/>
  <c r="N1835" i="1"/>
  <c r="U1835" i="1" s="1"/>
  <c r="N1836" i="1"/>
  <c r="U1836" i="1" s="1"/>
  <c r="N1837" i="1"/>
  <c r="U1837" i="1" s="1"/>
  <c r="N1838" i="1"/>
  <c r="U1838" i="1" s="1"/>
  <c r="N1839" i="1"/>
  <c r="U1839" i="1" s="1"/>
  <c r="N1840" i="1"/>
  <c r="U1840" i="1" s="1"/>
  <c r="N1841" i="1"/>
  <c r="U1841" i="1" s="1"/>
  <c r="N1842" i="1"/>
  <c r="U1842" i="1" s="1"/>
  <c r="N1843" i="1"/>
  <c r="U1843" i="1" s="1"/>
  <c r="N1844" i="1"/>
  <c r="U1844" i="1" s="1"/>
  <c r="N1845" i="1"/>
  <c r="U1845" i="1" s="1"/>
  <c r="N1846" i="1"/>
  <c r="U1846" i="1" s="1"/>
  <c r="N1847" i="1"/>
  <c r="U1847" i="1" s="1"/>
  <c r="N1848" i="1"/>
  <c r="U1848" i="1" s="1"/>
  <c r="N1849" i="1"/>
  <c r="U1849" i="1" s="1"/>
  <c r="N1850" i="1"/>
  <c r="U1850" i="1" s="1"/>
  <c r="N1851" i="1"/>
  <c r="U1851" i="1" s="1"/>
  <c r="N1852" i="1"/>
  <c r="U1852" i="1" s="1"/>
  <c r="N1853" i="1"/>
  <c r="U1853" i="1" s="1"/>
  <c r="N1854" i="1"/>
  <c r="U1854" i="1" s="1"/>
  <c r="N1855" i="1"/>
  <c r="U1855" i="1" s="1"/>
  <c r="N1856" i="1"/>
  <c r="U1856" i="1" s="1"/>
  <c r="N1857" i="1"/>
  <c r="U1857" i="1" s="1"/>
  <c r="N1858" i="1"/>
  <c r="U1858" i="1" s="1"/>
  <c r="N1859" i="1"/>
  <c r="U1859" i="1" s="1"/>
  <c r="N1860" i="1"/>
  <c r="U1860" i="1" s="1"/>
  <c r="N1861" i="1"/>
  <c r="U1861" i="1" s="1"/>
  <c r="N1862" i="1"/>
  <c r="U1862" i="1" s="1"/>
  <c r="N1863" i="1"/>
  <c r="U1863" i="1" s="1"/>
  <c r="N1864" i="1"/>
  <c r="U1864" i="1" s="1"/>
  <c r="N1865" i="1"/>
  <c r="U1865" i="1" s="1"/>
  <c r="N1866" i="1"/>
  <c r="U1866" i="1" s="1"/>
  <c r="N1867" i="1"/>
  <c r="U1867" i="1" s="1"/>
  <c r="N1868" i="1"/>
  <c r="U1868" i="1" s="1"/>
  <c r="N1869" i="1"/>
  <c r="U1869" i="1" s="1"/>
  <c r="N1870" i="1"/>
  <c r="U1870" i="1" s="1"/>
  <c r="N1871" i="1"/>
  <c r="U1871" i="1" s="1"/>
  <c r="N1872" i="1"/>
  <c r="U1872" i="1" s="1"/>
  <c r="N1873" i="1"/>
  <c r="U1873" i="1" s="1"/>
  <c r="N1874" i="1"/>
  <c r="U1874" i="1" s="1"/>
  <c r="N1875" i="1"/>
  <c r="U1875" i="1" s="1"/>
  <c r="N1876" i="1"/>
  <c r="U1876" i="1" s="1"/>
  <c r="N1877" i="1"/>
  <c r="U1877" i="1" s="1"/>
  <c r="N1878" i="1"/>
  <c r="U1878" i="1" s="1"/>
  <c r="N1879" i="1"/>
  <c r="U1879" i="1" s="1"/>
  <c r="N1880" i="1"/>
  <c r="U1880" i="1" s="1"/>
  <c r="N1881" i="1"/>
  <c r="U1881" i="1" s="1"/>
  <c r="N1882" i="1"/>
  <c r="U1882" i="1" s="1"/>
  <c r="N1883" i="1"/>
  <c r="U1883" i="1" s="1"/>
  <c r="N1884" i="1"/>
  <c r="U1884" i="1" s="1"/>
  <c r="N1885" i="1"/>
  <c r="U1885" i="1" s="1"/>
  <c r="N1886" i="1"/>
  <c r="U1886" i="1" s="1"/>
  <c r="N1887" i="1"/>
  <c r="U1887" i="1" s="1"/>
  <c r="N1888" i="1"/>
  <c r="U1888" i="1" s="1"/>
  <c r="N1889" i="1"/>
  <c r="U1889" i="1" s="1"/>
  <c r="N1890" i="1"/>
  <c r="U1890" i="1" s="1"/>
  <c r="N1891" i="1"/>
  <c r="U1891" i="1" s="1"/>
  <c r="N1892" i="1"/>
  <c r="U1892" i="1" s="1"/>
  <c r="N1893" i="1"/>
  <c r="U1893" i="1" s="1"/>
  <c r="N1894" i="1"/>
  <c r="U1894" i="1" s="1"/>
  <c r="N1895" i="1"/>
  <c r="U1895" i="1" s="1"/>
  <c r="N1896" i="1"/>
  <c r="U1896" i="1" s="1"/>
  <c r="N1897" i="1"/>
  <c r="U1897" i="1" s="1"/>
  <c r="N1898" i="1"/>
  <c r="U1898" i="1" s="1"/>
  <c r="N1899" i="1"/>
  <c r="U1899" i="1" s="1"/>
  <c r="N1900" i="1"/>
  <c r="U1900" i="1" s="1"/>
  <c r="N1901" i="1"/>
  <c r="U1901" i="1" s="1"/>
  <c r="N1902" i="1"/>
  <c r="U1902" i="1" s="1"/>
  <c r="N1903" i="1"/>
  <c r="U1903" i="1" s="1"/>
  <c r="N1904" i="1"/>
  <c r="U1904" i="1" s="1"/>
  <c r="N1905" i="1"/>
  <c r="U1905" i="1" s="1"/>
  <c r="N1906" i="1"/>
  <c r="U1906" i="1" s="1"/>
  <c r="N1907" i="1"/>
  <c r="U1907" i="1" s="1"/>
  <c r="N1908" i="1"/>
  <c r="U1908" i="1" s="1"/>
  <c r="N1909" i="1"/>
  <c r="U1909" i="1" s="1"/>
  <c r="N1910" i="1"/>
  <c r="U1910" i="1" s="1"/>
  <c r="N1911" i="1"/>
  <c r="U1911" i="1" s="1"/>
  <c r="N1912" i="1"/>
  <c r="U1912" i="1" s="1"/>
  <c r="N1913" i="1"/>
  <c r="U1913" i="1" s="1"/>
  <c r="N1914" i="1"/>
  <c r="U1914" i="1" s="1"/>
  <c r="N1915" i="1"/>
  <c r="U1915" i="1" s="1"/>
  <c r="N1916" i="1"/>
  <c r="U1916" i="1" s="1"/>
  <c r="N1917" i="1"/>
  <c r="U1917" i="1" s="1"/>
  <c r="N1918" i="1"/>
  <c r="U1918" i="1" s="1"/>
  <c r="N1919" i="1"/>
  <c r="U1919" i="1" s="1"/>
  <c r="N1920" i="1"/>
  <c r="U1920" i="1" s="1"/>
  <c r="N1921" i="1"/>
  <c r="U1921" i="1" s="1"/>
  <c r="N1922" i="1"/>
  <c r="U1922" i="1" s="1"/>
  <c r="N1923" i="1"/>
  <c r="U1923" i="1" s="1"/>
  <c r="N1924" i="1"/>
  <c r="U1924" i="1" s="1"/>
  <c r="N1925" i="1"/>
  <c r="U1925" i="1" s="1"/>
  <c r="N1926" i="1"/>
  <c r="U1926" i="1" s="1"/>
  <c r="N1927" i="1"/>
  <c r="U1927" i="1" s="1"/>
  <c r="N1928" i="1"/>
  <c r="U1928" i="1" s="1"/>
  <c r="N1929" i="1"/>
  <c r="U1929" i="1" s="1"/>
  <c r="N1930" i="1"/>
  <c r="U1930" i="1" s="1"/>
  <c r="N1931" i="1"/>
  <c r="U1931" i="1" s="1"/>
  <c r="N1932" i="1"/>
  <c r="U1932" i="1" s="1"/>
  <c r="N1933" i="1"/>
  <c r="U1933" i="1" s="1"/>
  <c r="N1934" i="1"/>
  <c r="U1934" i="1" s="1"/>
  <c r="N1935" i="1"/>
  <c r="U1935" i="1" s="1"/>
  <c r="N1936" i="1"/>
  <c r="U1936" i="1" s="1"/>
  <c r="N1937" i="1"/>
  <c r="U1937" i="1" s="1"/>
  <c r="N1938" i="1"/>
  <c r="U1938" i="1" s="1"/>
  <c r="N1939" i="1"/>
  <c r="U1939" i="1" s="1"/>
  <c r="N1940" i="1"/>
  <c r="U1940" i="1" s="1"/>
  <c r="N1941" i="1"/>
  <c r="U1941" i="1" s="1"/>
  <c r="N1942" i="1"/>
  <c r="U1942" i="1" s="1"/>
  <c r="N1943" i="1"/>
  <c r="U1943" i="1" s="1"/>
  <c r="N1944" i="1"/>
  <c r="U1944" i="1" s="1"/>
  <c r="N1945" i="1"/>
  <c r="U1945" i="1" s="1"/>
  <c r="N1946" i="1"/>
  <c r="U1946" i="1" s="1"/>
  <c r="N1947" i="1"/>
  <c r="U1947" i="1" s="1"/>
  <c r="N1948" i="1"/>
  <c r="U1948" i="1" s="1"/>
  <c r="N1949" i="1"/>
  <c r="U1949" i="1" s="1"/>
  <c r="N1950" i="1"/>
  <c r="U1950" i="1" s="1"/>
  <c r="N1951" i="1"/>
  <c r="N1952" i="1"/>
  <c r="U1952" i="1" s="1"/>
  <c r="N1953" i="1"/>
  <c r="U1953" i="1" s="1"/>
  <c r="N1954" i="1"/>
  <c r="U1954" i="1" s="1"/>
  <c r="N1955" i="1"/>
  <c r="U1955" i="1" s="1"/>
  <c r="N1956" i="1"/>
  <c r="U1956" i="1" s="1"/>
  <c r="N1957" i="1"/>
  <c r="U1957" i="1" s="1"/>
  <c r="N1958" i="1"/>
  <c r="U1958" i="1" s="1"/>
  <c r="N1959" i="1"/>
  <c r="N1960" i="1"/>
  <c r="U1960" i="1" s="1"/>
  <c r="N1961" i="1"/>
  <c r="U1961" i="1" s="1"/>
  <c r="N1962" i="1"/>
  <c r="U1962" i="1" s="1"/>
  <c r="N1963" i="1"/>
  <c r="N1964" i="1"/>
  <c r="U1964" i="1" s="1"/>
  <c r="N1965" i="1"/>
  <c r="U1965" i="1" s="1"/>
  <c r="N1966" i="1"/>
  <c r="U1966" i="1" s="1"/>
  <c r="N1967" i="1"/>
  <c r="U1967" i="1" s="1"/>
  <c r="N1968" i="1"/>
  <c r="U1968" i="1" s="1"/>
  <c r="N1969" i="1"/>
  <c r="U1969" i="1" s="1"/>
  <c r="N1970" i="1"/>
  <c r="U1970" i="1" s="1"/>
  <c r="N1971" i="1"/>
  <c r="U1971" i="1" s="1"/>
  <c r="N1972" i="1"/>
  <c r="U1972" i="1" s="1"/>
  <c r="N1973" i="1"/>
  <c r="U1973" i="1" s="1"/>
  <c r="N1974" i="1"/>
  <c r="U1974" i="1" s="1"/>
  <c r="N1975" i="1"/>
  <c r="U1975" i="1" s="1"/>
  <c r="N1976" i="1"/>
  <c r="U1976" i="1" s="1"/>
  <c r="N1977" i="1"/>
  <c r="U1977" i="1" s="1"/>
  <c r="N1978" i="1"/>
  <c r="U1978" i="1" s="1"/>
  <c r="N1979" i="1"/>
  <c r="U1979" i="1" s="1"/>
  <c r="N1980" i="1"/>
  <c r="U1980" i="1" s="1"/>
  <c r="N1981" i="1"/>
  <c r="U1981" i="1" s="1"/>
  <c r="N1982" i="1"/>
  <c r="U1982" i="1" s="1"/>
  <c r="N1983" i="1"/>
  <c r="U1983" i="1" s="1"/>
  <c r="N1984" i="1"/>
  <c r="U1984" i="1" s="1"/>
  <c r="N1985" i="1"/>
  <c r="U1985" i="1" s="1"/>
  <c r="N1986" i="1"/>
  <c r="U1986" i="1" s="1"/>
  <c r="N1987" i="1"/>
  <c r="U1987" i="1" s="1"/>
  <c r="N1988" i="1"/>
  <c r="U1988" i="1" s="1"/>
  <c r="N1989" i="1"/>
  <c r="U1989" i="1" s="1"/>
  <c r="N1990" i="1"/>
  <c r="U1990" i="1" s="1"/>
  <c r="N1991" i="1"/>
  <c r="U1991" i="1" s="1"/>
  <c r="N1992" i="1"/>
  <c r="U1992" i="1" s="1"/>
  <c r="N1993" i="1"/>
  <c r="U1993" i="1" s="1"/>
  <c r="N1994" i="1"/>
  <c r="U1994" i="1" s="1"/>
  <c r="N1995" i="1"/>
  <c r="U1995" i="1" s="1"/>
  <c r="N1996" i="1"/>
  <c r="U1996" i="1" s="1"/>
  <c r="N1997" i="1"/>
  <c r="U1997" i="1" s="1"/>
  <c r="N1998" i="1"/>
  <c r="U1998" i="1" s="1"/>
  <c r="N1999" i="1"/>
  <c r="U1999" i="1" s="1"/>
  <c r="N2000" i="1"/>
  <c r="U2000" i="1" s="1"/>
  <c r="N2001" i="1"/>
  <c r="U2001" i="1" s="1"/>
  <c r="N2002" i="1"/>
  <c r="U2002" i="1" s="1"/>
  <c r="N2003" i="1"/>
  <c r="U2003" i="1" s="1"/>
  <c r="N2004" i="1"/>
  <c r="U2004" i="1" s="1"/>
  <c r="N2005" i="1"/>
  <c r="U2005" i="1" s="1"/>
  <c r="N2006" i="1"/>
  <c r="U2006" i="1" s="1"/>
  <c r="N2007" i="1"/>
  <c r="U2007" i="1" s="1"/>
  <c r="N2008" i="1"/>
  <c r="U2008" i="1" s="1"/>
  <c r="N2009" i="1"/>
  <c r="U2009" i="1" s="1"/>
  <c r="N2010" i="1"/>
  <c r="U2010" i="1" s="1"/>
  <c r="N2011" i="1"/>
  <c r="U2011" i="1" s="1"/>
  <c r="N2012" i="1"/>
  <c r="U2012" i="1" s="1"/>
  <c r="N2013" i="1"/>
  <c r="U2013" i="1" s="1"/>
  <c r="N2014" i="1"/>
  <c r="U2014" i="1" s="1"/>
  <c r="N2015" i="1"/>
  <c r="U2015" i="1" s="1"/>
  <c r="N2016" i="1"/>
  <c r="U2016" i="1" s="1"/>
  <c r="N2017" i="1"/>
  <c r="U2017" i="1" s="1"/>
  <c r="N2018" i="1"/>
  <c r="U2018" i="1" s="1"/>
  <c r="N2019" i="1"/>
  <c r="U2019" i="1" s="1"/>
  <c r="N2020" i="1"/>
  <c r="U2020" i="1" s="1"/>
  <c r="N2021" i="1"/>
  <c r="U2021" i="1" s="1"/>
  <c r="N2022" i="1"/>
  <c r="U2022" i="1" s="1"/>
  <c r="N2023" i="1"/>
  <c r="U2023" i="1" s="1"/>
  <c r="N2024" i="1"/>
  <c r="U2024" i="1" s="1"/>
  <c r="N2025" i="1"/>
  <c r="U2025" i="1" s="1"/>
  <c r="N2026" i="1"/>
  <c r="U2026" i="1" s="1"/>
  <c r="N2027" i="1"/>
  <c r="U2027" i="1" s="1"/>
  <c r="N2028" i="1"/>
  <c r="U2028" i="1" s="1"/>
  <c r="N2029" i="1"/>
  <c r="U2029" i="1" s="1"/>
  <c r="N2030" i="1"/>
  <c r="U2030" i="1" s="1"/>
  <c r="N2031" i="1"/>
  <c r="U2031" i="1" s="1"/>
  <c r="N2032" i="1"/>
  <c r="U2032" i="1" s="1"/>
  <c r="N2033" i="1"/>
  <c r="U2033" i="1" s="1"/>
  <c r="N2034" i="1"/>
  <c r="U2034" i="1" s="1"/>
  <c r="N2035" i="1"/>
  <c r="U2035" i="1" s="1"/>
  <c r="N2036" i="1"/>
  <c r="U2036" i="1" s="1"/>
  <c r="N2037" i="1"/>
  <c r="U2037" i="1" s="1"/>
  <c r="N2038" i="1"/>
  <c r="U2038" i="1" s="1"/>
  <c r="N2039" i="1"/>
  <c r="U2039" i="1" s="1"/>
  <c r="N2040" i="1"/>
  <c r="U2040" i="1" s="1"/>
  <c r="N2041" i="1"/>
  <c r="U2041" i="1" s="1"/>
  <c r="N2042" i="1"/>
  <c r="U2042" i="1" s="1"/>
  <c r="N2043" i="1"/>
  <c r="U2043" i="1" s="1"/>
  <c r="N2044" i="1"/>
  <c r="U2044" i="1" s="1"/>
  <c r="N2045" i="1"/>
  <c r="U2045" i="1" s="1"/>
  <c r="N2046" i="1"/>
  <c r="U2046" i="1" s="1"/>
  <c r="N2047" i="1"/>
  <c r="U2047" i="1" s="1"/>
  <c r="N2048" i="1"/>
  <c r="U2048" i="1" s="1"/>
  <c r="N2049" i="1"/>
  <c r="U2049" i="1" s="1"/>
  <c r="N2050" i="1"/>
  <c r="U2050" i="1" s="1"/>
  <c r="N2051" i="1"/>
  <c r="U2051" i="1" s="1"/>
  <c r="N2052" i="1"/>
  <c r="U2052" i="1" s="1"/>
  <c r="N2053" i="1"/>
  <c r="U2053" i="1" s="1"/>
  <c r="N2054" i="1"/>
  <c r="U2054" i="1" s="1"/>
  <c r="N2055" i="1"/>
  <c r="U2055" i="1" s="1"/>
  <c r="N2056" i="1"/>
  <c r="U2056" i="1" s="1"/>
  <c r="N2057" i="1"/>
  <c r="U2057" i="1" s="1"/>
  <c r="N2058" i="1"/>
  <c r="U2058" i="1" s="1"/>
  <c r="N2059" i="1"/>
  <c r="U2059" i="1" s="1"/>
  <c r="N2060" i="1"/>
  <c r="U2060" i="1" s="1"/>
  <c r="N2061" i="1"/>
  <c r="U2061" i="1" s="1"/>
  <c r="N2062" i="1"/>
  <c r="U2062" i="1" s="1"/>
  <c r="N2063" i="1"/>
  <c r="U2063" i="1" s="1"/>
  <c r="N2064" i="1"/>
  <c r="U2064" i="1" s="1"/>
  <c r="N2065" i="1"/>
  <c r="U2065" i="1" s="1"/>
  <c r="N2066" i="1"/>
  <c r="U2066" i="1" s="1"/>
  <c r="N2067" i="1"/>
  <c r="U2067" i="1" s="1"/>
  <c r="N2068" i="1"/>
  <c r="U2068" i="1" s="1"/>
  <c r="N2069" i="1"/>
  <c r="U2069" i="1" s="1"/>
  <c r="N2070" i="1"/>
  <c r="U2070" i="1" s="1"/>
  <c r="N2071" i="1"/>
  <c r="U2071" i="1" s="1"/>
  <c r="N2072" i="1"/>
  <c r="U2072" i="1" s="1"/>
  <c r="N2073" i="1"/>
  <c r="U2073" i="1" s="1"/>
  <c r="N2074" i="1"/>
  <c r="U2074" i="1" s="1"/>
  <c r="N2075" i="1"/>
  <c r="U2075" i="1" s="1"/>
  <c r="N2076" i="1"/>
  <c r="U2076" i="1" s="1"/>
  <c r="N2077" i="1"/>
  <c r="U2077" i="1" s="1"/>
  <c r="N2078" i="1"/>
  <c r="U2078" i="1" s="1"/>
  <c r="N2079" i="1"/>
  <c r="U2079" i="1" s="1"/>
  <c r="N2080" i="1"/>
  <c r="U2080" i="1" s="1"/>
  <c r="N2081" i="1"/>
  <c r="U2081" i="1" s="1"/>
  <c r="N2082" i="1"/>
  <c r="U2082" i="1" s="1"/>
  <c r="N2083" i="1"/>
  <c r="U2083" i="1" s="1"/>
  <c r="N2084" i="1"/>
  <c r="U2084" i="1" s="1"/>
  <c r="N2085" i="1"/>
  <c r="U2085" i="1" s="1"/>
  <c r="N2086" i="1"/>
  <c r="U2086" i="1" s="1"/>
  <c r="N2087" i="1"/>
  <c r="U2087" i="1" s="1"/>
  <c r="N2088" i="1"/>
  <c r="U2088" i="1" s="1"/>
  <c r="N2089" i="1"/>
  <c r="U2089" i="1" s="1"/>
  <c r="N2090" i="1"/>
  <c r="U2090" i="1" s="1"/>
  <c r="N2091" i="1"/>
  <c r="U2091" i="1" s="1"/>
  <c r="N2092" i="1"/>
  <c r="U2092" i="1" s="1"/>
  <c r="N2093" i="1"/>
  <c r="U2093" i="1" s="1"/>
  <c r="N2094" i="1"/>
  <c r="U2094" i="1" s="1"/>
  <c r="N2095" i="1"/>
  <c r="U2095" i="1" s="1"/>
  <c r="N2096" i="1"/>
  <c r="U2096" i="1" s="1"/>
  <c r="N2097" i="1"/>
  <c r="U2097" i="1" s="1"/>
  <c r="N2098" i="1"/>
  <c r="U2098" i="1" s="1"/>
  <c r="N2099" i="1"/>
  <c r="U2099" i="1" s="1"/>
  <c r="N2100" i="1"/>
  <c r="U2100" i="1" s="1"/>
  <c r="N2101" i="1"/>
  <c r="U2101" i="1" s="1"/>
  <c r="N2102" i="1"/>
  <c r="U2102" i="1" s="1"/>
  <c r="N2103" i="1"/>
  <c r="U2103" i="1" s="1"/>
  <c r="N2104" i="1"/>
  <c r="U2104" i="1" s="1"/>
  <c r="N2105" i="1"/>
  <c r="U2105" i="1" s="1"/>
  <c r="N2106" i="1"/>
  <c r="U2106" i="1" s="1"/>
  <c r="N2107" i="1"/>
  <c r="U2107" i="1" s="1"/>
  <c r="N2108" i="1"/>
  <c r="U2108" i="1" s="1"/>
  <c r="N2109" i="1"/>
  <c r="U2109" i="1" s="1"/>
  <c r="N2110" i="1"/>
  <c r="U2110" i="1" s="1"/>
  <c r="N2111" i="1"/>
  <c r="U2111" i="1" s="1"/>
  <c r="N2112" i="1"/>
  <c r="U2112" i="1" s="1"/>
  <c r="N2113" i="1"/>
  <c r="U2113" i="1" s="1"/>
  <c r="N2114" i="1"/>
  <c r="U2114" i="1" s="1"/>
  <c r="N2115" i="1"/>
  <c r="U2115" i="1" s="1"/>
  <c r="N2116" i="1"/>
  <c r="U2116" i="1" s="1"/>
  <c r="N2117" i="1"/>
  <c r="U2117" i="1" s="1"/>
  <c r="N2118" i="1"/>
  <c r="U2118" i="1" s="1"/>
  <c r="N2119" i="1"/>
  <c r="U2119" i="1" s="1"/>
  <c r="N2120" i="1"/>
  <c r="U2120" i="1" s="1"/>
  <c r="N2121" i="1"/>
  <c r="U2121" i="1" s="1"/>
  <c r="N2122" i="1"/>
  <c r="U2122" i="1" s="1"/>
  <c r="N2123" i="1"/>
  <c r="U2123" i="1" s="1"/>
  <c r="N2124" i="1"/>
  <c r="U2124" i="1" s="1"/>
  <c r="N2125" i="1"/>
  <c r="U2125" i="1" s="1"/>
  <c r="N2126" i="1"/>
  <c r="U2126" i="1" s="1"/>
  <c r="N2127" i="1"/>
  <c r="U2127" i="1" s="1"/>
  <c r="N2128" i="1"/>
  <c r="U2128" i="1" s="1"/>
  <c r="N2129" i="1"/>
  <c r="U2129" i="1" s="1"/>
  <c r="N2130" i="1"/>
  <c r="U2130" i="1" s="1"/>
  <c r="N2131" i="1"/>
  <c r="U2131" i="1" s="1"/>
  <c r="N2132" i="1"/>
  <c r="U2132" i="1" s="1"/>
  <c r="N2133" i="1"/>
  <c r="U2133" i="1" s="1"/>
  <c r="N2134" i="1"/>
  <c r="U2134" i="1" s="1"/>
  <c r="N2135" i="1"/>
  <c r="U2135" i="1" s="1"/>
  <c r="N2136" i="1"/>
  <c r="U2136" i="1" s="1"/>
  <c r="N2137" i="1"/>
  <c r="U2137" i="1" s="1"/>
  <c r="N2138" i="1"/>
  <c r="U2138" i="1" s="1"/>
  <c r="N2139" i="1"/>
  <c r="U2139" i="1" s="1"/>
  <c r="N2140" i="1"/>
  <c r="U2140" i="1" s="1"/>
  <c r="N2141" i="1"/>
  <c r="U2141" i="1" s="1"/>
  <c r="N2142" i="1"/>
  <c r="U2142" i="1" s="1"/>
  <c r="N2143" i="1"/>
  <c r="U2143" i="1" s="1"/>
  <c r="N2144" i="1"/>
  <c r="U2144" i="1" s="1"/>
  <c r="N2145" i="1"/>
  <c r="U2145" i="1" s="1"/>
  <c r="N2146" i="1"/>
  <c r="U2146" i="1" s="1"/>
  <c r="N2147" i="1"/>
  <c r="U2147" i="1" s="1"/>
  <c r="N2148" i="1"/>
  <c r="U2148" i="1" s="1"/>
  <c r="N2149" i="1"/>
  <c r="U2149" i="1" s="1"/>
  <c r="N2150" i="1"/>
  <c r="U2150" i="1" s="1"/>
  <c r="N2151" i="1"/>
  <c r="U2151" i="1" s="1"/>
  <c r="N2152" i="1"/>
  <c r="U2152" i="1" s="1"/>
  <c r="N2153" i="1"/>
  <c r="U2153" i="1" s="1"/>
  <c r="N2154" i="1"/>
  <c r="U2154" i="1" s="1"/>
  <c r="N2155" i="1"/>
  <c r="U2155" i="1" s="1"/>
  <c r="N2156" i="1"/>
  <c r="U2156" i="1" s="1"/>
  <c r="N2157" i="1"/>
  <c r="U2157" i="1" s="1"/>
  <c r="N2158" i="1"/>
  <c r="U2158" i="1" s="1"/>
  <c r="N2159" i="1"/>
  <c r="U2159" i="1" s="1"/>
  <c r="N2160" i="1"/>
  <c r="U2160" i="1" s="1"/>
  <c r="N2161" i="1"/>
  <c r="U2161" i="1" s="1"/>
  <c r="N2162" i="1"/>
  <c r="U2162" i="1" s="1"/>
  <c r="N2163" i="1"/>
  <c r="U2163" i="1" s="1"/>
  <c r="N2164" i="1"/>
  <c r="U2164" i="1" s="1"/>
  <c r="N2165" i="1"/>
  <c r="U2165" i="1" s="1"/>
  <c r="N2166" i="1"/>
  <c r="U2166" i="1" s="1"/>
  <c r="N2167" i="1"/>
  <c r="U2167" i="1" s="1"/>
  <c r="N2168" i="1"/>
  <c r="U2168" i="1" s="1"/>
  <c r="N2169" i="1"/>
  <c r="U2169" i="1" s="1"/>
  <c r="N2170" i="1"/>
  <c r="U2170" i="1" s="1"/>
  <c r="N2171" i="1"/>
  <c r="U2171" i="1" s="1"/>
  <c r="N2172" i="1"/>
  <c r="N2173" i="1"/>
  <c r="U2173" i="1" s="1"/>
  <c r="N2174" i="1"/>
  <c r="U2174" i="1" s="1"/>
  <c r="N2175" i="1"/>
  <c r="U2175" i="1" s="1"/>
  <c r="N2176" i="1"/>
  <c r="U2176" i="1" s="1"/>
  <c r="N2177" i="1"/>
  <c r="U2177" i="1" s="1"/>
  <c r="N2178" i="1"/>
  <c r="U2178" i="1" s="1"/>
  <c r="N2179" i="1"/>
  <c r="U2179" i="1" s="1"/>
  <c r="N2180" i="1"/>
  <c r="U2180" i="1" s="1"/>
  <c r="N2181" i="1"/>
  <c r="U2181" i="1" s="1"/>
  <c r="N2182" i="1"/>
  <c r="U2182" i="1" s="1"/>
  <c r="N2183" i="1"/>
  <c r="U2183" i="1" s="1"/>
  <c r="N2184" i="1"/>
  <c r="U2184" i="1" s="1"/>
  <c r="N2185" i="1"/>
  <c r="U2185" i="1" s="1"/>
  <c r="N2186" i="1"/>
  <c r="U2186" i="1" s="1"/>
  <c r="N2187" i="1"/>
  <c r="U2187" i="1" s="1"/>
  <c r="N2188" i="1"/>
  <c r="U2188" i="1" s="1"/>
  <c r="N2189" i="1"/>
  <c r="U2189" i="1" s="1"/>
  <c r="N2190" i="1"/>
  <c r="U2190" i="1" s="1"/>
  <c r="N2191" i="1"/>
  <c r="U2191" i="1" s="1"/>
  <c r="N2192" i="1"/>
  <c r="U2192" i="1" s="1"/>
  <c r="N2193" i="1"/>
  <c r="U2193" i="1" s="1"/>
  <c r="N2194" i="1"/>
  <c r="U2194" i="1" s="1"/>
  <c r="N2195" i="1"/>
  <c r="U2195" i="1" s="1"/>
  <c r="N2196" i="1"/>
  <c r="U2196" i="1" s="1"/>
  <c r="N2197" i="1"/>
  <c r="U2197" i="1" s="1"/>
  <c r="N2198" i="1"/>
  <c r="U2198" i="1" s="1"/>
  <c r="N2199" i="1"/>
  <c r="U2199" i="1" s="1"/>
  <c r="N2200" i="1"/>
  <c r="U2200" i="1" s="1"/>
  <c r="N2201" i="1"/>
  <c r="U2201" i="1" s="1"/>
  <c r="N2202" i="1"/>
  <c r="U2202" i="1" s="1"/>
  <c r="N2203" i="1"/>
  <c r="U2203" i="1" s="1"/>
  <c r="N2204" i="1"/>
  <c r="U2204" i="1" s="1"/>
  <c r="N2205" i="1"/>
  <c r="U2205" i="1" s="1"/>
  <c r="N2206" i="1"/>
  <c r="U2206" i="1" s="1"/>
  <c r="N2207" i="1"/>
  <c r="U2207" i="1" s="1"/>
  <c r="N2208" i="1"/>
  <c r="U2208" i="1" s="1"/>
  <c r="N2209" i="1"/>
  <c r="U2209" i="1" s="1"/>
  <c r="N2210" i="1"/>
  <c r="U2210" i="1" s="1"/>
  <c r="N2211" i="1"/>
  <c r="U2211" i="1" s="1"/>
  <c r="N2212" i="1"/>
  <c r="U2212" i="1" s="1"/>
  <c r="N2213" i="1"/>
  <c r="U2213" i="1" s="1"/>
  <c r="N2214" i="1"/>
  <c r="U2214" i="1" s="1"/>
  <c r="N2215" i="1"/>
  <c r="U2215" i="1" s="1"/>
  <c r="N2216" i="1"/>
  <c r="U2216" i="1" s="1"/>
  <c r="N2217" i="1"/>
  <c r="U2217" i="1" s="1"/>
  <c r="N2218" i="1"/>
  <c r="U2218" i="1" s="1"/>
  <c r="N2219" i="1"/>
  <c r="U2219" i="1" s="1"/>
  <c r="N2220" i="1"/>
  <c r="U2220" i="1" s="1"/>
  <c r="N2221" i="1"/>
  <c r="U2221" i="1" s="1"/>
  <c r="N2222" i="1"/>
  <c r="U2222" i="1" s="1"/>
  <c r="N2223" i="1"/>
  <c r="U2223" i="1" s="1"/>
  <c r="N2224" i="1"/>
  <c r="U2224" i="1" s="1"/>
  <c r="N2225" i="1"/>
  <c r="U2225" i="1" s="1"/>
  <c r="N2226" i="1"/>
  <c r="U2226" i="1" s="1"/>
  <c r="N2227" i="1"/>
  <c r="U2227" i="1" s="1"/>
  <c r="N2228" i="1"/>
  <c r="U2228" i="1" s="1"/>
  <c r="N2229" i="1"/>
  <c r="U2229" i="1" s="1"/>
  <c r="N2230" i="1"/>
  <c r="U2230" i="1" s="1"/>
  <c r="N2231" i="1"/>
  <c r="U2231" i="1" s="1"/>
  <c r="N2232" i="1"/>
  <c r="U2232" i="1" s="1"/>
  <c r="N2233" i="1"/>
  <c r="U2233" i="1" s="1"/>
  <c r="N2234" i="1"/>
  <c r="U2234" i="1" s="1"/>
  <c r="N2235" i="1"/>
  <c r="U2235" i="1" s="1"/>
  <c r="N2236" i="1"/>
  <c r="U2236" i="1" s="1"/>
  <c r="N2237" i="1"/>
  <c r="U2237" i="1" s="1"/>
  <c r="N2238" i="1"/>
  <c r="U2238" i="1" s="1"/>
  <c r="N2239" i="1"/>
  <c r="U2239" i="1" s="1"/>
  <c r="N2240" i="1"/>
  <c r="U2240" i="1" s="1"/>
  <c r="N2241" i="1"/>
  <c r="U2241" i="1" s="1"/>
  <c r="N2242" i="1"/>
  <c r="U2242" i="1" s="1"/>
  <c r="N2243" i="1"/>
  <c r="U2243" i="1" s="1"/>
  <c r="N2244" i="1"/>
  <c r="U2244" i="1" s="1"/>
  <c r="N2245" i="1"/>
  <c r="U2245" i="1" s="1"/>
  <c r="N2246" i="1"/>
  <c r="U2246" i="1" s="1"/>
  <c r="N2247" i="1"/>
  <c r="U2247" i="1" s="1"/>
  <c r="N2248" i="1"/>
  <c r="U2248" i="1" s="1"/>
  <c r="N2249" i="1"/>
  <c r="U2249" i="1" s="1"/>
  <c r="N2250" i="1"/>
  <c r="U2250" i="1" s="1"/>
  <c r="N2251" i="1"/>
  <c r="U2251" i="1" s="1"/>
  <c r="N2252" i="1"/>
  <c r="U2252" i="1" s="1"/>
  <c r="N2253" i="1"/>
  <c r="U2253" i="1" s="1"/>
  <c r="N2254" i="1"/>
  <c r="U2254" i="1" s="1"/>
  <c r="N2255" i="1"/>
  <c r="U2255" i="1" s="1"/>
  <c r="N2256" i="1"/>
  <c r="U2256" i="1" s="1"/>
  <c r="N2257" i="1"/>
  <c r="U2257" i="1" s="1"/>
  <c r="N2258" i="1"/>
  <c r="U2258" i="1" s="1"/>
  <c r="N2259" i="1"/>
  <c r="U2259" i="1" s="1"/>
  <c r="N2260" i="1"/>
  <c r="U2260" i="1" s="1"/>
  <c r="N2261" i="1"/>
  <c r="U2261" i="1" s="1"/>
  <c r="N2262" i="1"/>
  <c r="U2262" i="1" s="1"/>
  <c r="N2263" i="1"/>
  <c r="U2263" i="1" s="1"/>
  <c r="N2264" i="1"/>
  <c r="U2264" i="1" s="1"/>
  <c r="N2265" i="1"/>
  <c r="U2265" i="1" s="1"/>
  <c r="N2266" i="1"/>
  <c r="U2266" i="1" s="1"/>
  <c r="N2267" i="1"/>
  <c r="U2267" i="1" s="1"/>
  <c r="N2268" i="1"/>
  <c r="U2268" i="1" s="1"/>
  <c r="N2269" i="1"/>
  <c r="U2269" i="1" s="1"/>
  <c r="N2270" i="1"/>
  <c r="U2270" i="1" s="1"/>
  <c r="N2271" i="1"/>
  <c r="U2271" i="1" s="1"/>
  <c r="N2272" i="1"/>
  <c r="U2272" i="1" s="1"/>
  <c r="N2273" i="1"/>
  <c r="U2273" i="1" s="1"/>
  <c r="N2274" i="1"/>
  <c r="U2274" i="1" s="1"/>
  <c r="N2275" i="1"/>
  <c r="U2275" i="1" s="1"/>
  <c r="N2276" i="1"/>
  <c r="U2276" i="1" s="1"/>
  <c r="N2277" i="1"/>
  <c r="U2277" i="1" s="1"/>
  <c r="N2278" i="1"/>
  <c r="U2278" i="1" s="1"/>
  <c r="N2279" i="1"/>
  <c r="U2279" i="1" s="1"/>
  <c r="N2280" i="1"/>
  <c r="U2280" i="1" s="1"/>
  <c r="N2281" i="1"/>
  <c r="U2281" i="1" s="1"/>
  <c r="N2282" i="1"/>
  <c r="U2282" i="1" s="1"/>
  <c r="N2283" i="1"/>
  <c r="U2283" i="1" s="1"/>
  <c r="N2284" i="1"/>
  <c r="U2284" i="1" s="1"/>
  <c r="N2285" i="1"/>
  <c r="U2285" i="1" s="1"/>
  <c r="N2286" i="1"/>
  <c r="U2286" i="1" s="1"/>
  <c r="N2287" i="1"/>
  <c r="U2287" i="1" s="1"/>
  <c r="N2288" i="1"/>
  <c r="U2288" i="1" s="1"/>
  <c r="N2289" i="1"/>
  <c r="U2289" i="1" s="1"/>
  <c r="N2290" i="1"/>
  <c r="U2290" i="1" s="1"/>
  <c r="N2291" i="1"/>
  <c r="U2291" i="1" s="1"/>
  <c r="N2292" i="1"/>
  <c r="U2292" i="1" s="1"/>
  <c r="N2293" i="1"/>
  <c r="U2293" i="1" s="1"/>
  <c r="N2294" i="1"/>
  <c r="U2294" i="1" s="1"/>
  <c r="N2295" i="1"/>
  <c r="U2295" i="1" s="1"/>
  <c r="N2296" i="1"/>
  <c r="U2296" i="1" s="1"/>
  <c r="N2297" i="1"/>
  <c r="U2297" i="1" s="1"/>
  <c r="N2298" i="1"/>
  <c r="U2298" i="1" s="1"/>
  <c r="N2299" i="1"/>
  <c r="U2299" i="1" s="1"/>
  <c r="N2300" i="1"/>
  <c r="U2300" i="1" s="1"/>
  <c r="N2301" i="1"/>
  <c r="U2301" i="1" s="1"/>
  <c r="N2302" i="1"/>
  <c r="U2302" i="1" s="1"/>
  <c r="N2303" i="1"/>
  <c r="U2303" i="1" s="1"/>
  <c r="N2304" i="1"/>
  <c r="U2304" i="1" s="1"/>
  <c r="N2305" i="1"/>
  <c r="U2305" i="1" s="1"/>
  <c r="N2306" i="1"/>
  <c r="U2306" i="1" s="1"/>
  <c r="N2307" i="1"/>
  <c r="U2307" i="1" s="1"/>
  <c r="N2308" i="1"/>
  <c r="U2308" i="1" s="1"/>
  <c r="N2309" i="1"/>
  <c r="U2309" i="1" s="1"/>
  <c r="N2310" i="1"/>
  <c r="U2310" i="1" s="1"/>
  <c r="N2311" i="1"/>
  <c r="U2311" i="1" s="1"/>
  <c r="N2312" i="1"/>
  <c r="U2312" i="1" s="1"/>
  <c r="N2313" i="1"/>
  <c r="U2313" i="1" s="1"/>
  <c r="N2314" i="1"/>
  <c r="U2314" i="1" s="1"/>
  <c r="N2315" i="1"/>
  <c r="U2315" i="1" s="1"/>
  <c r="N2316" i="1"/>
  <c r="U2316" i="1" s="1"/>
  <c r="N2317" i="1"/>
  <c r="U2317" i="1" s="1"/>
  <c r="N2318" i="1"/>
  <c r="U2318" i="1" s="1"/>
  <c r="N2319" i="1"/>
  <c r="U2319" i="1" s="1"/>
  <c r="N2320" i="1"/>
  <c r="U2320" i="1" s="1"/>
  <c r="N2321" i="1"/>
  <c r="U2321" i="1" s="1"/>
  <c r="N2322" i="1"/>
  <c r="U2322" i="1" s="1"/>
  <c r="N2323" i="1"/>
  <c r="U2323" i="1" s="1"/>
  <c r="N2324" i="1"/>
  <c r="U2324" i="1" s="1"/>
  <c r="N2325" i="1"/>
  <c r="U2325" i="1" s="1"/>
  <c r="N2326" i="1"/>
  <c r="U2326" i="1" s="1"/>
  <c r="N2327" i="1"/>
  <c r="U2327" i="1" s="1"/>
  <c r="N2328" i="1"/>
  <c r="U2328" i="1" s="1"/>
  <c r="N2329" i="1"/>
  <c r="U2329" i="1" s="1"/>
  <c r="N2330" i="1"/>
  <c r="U2330" i="1" s="1"/>
  <c r="N2331" i="1"/>
  <c r="U2331" i="1" s="1"/>
  <c r="N2332" i="1"/>
  <c r="N2333" i="1"/>
  <c r="U2333" i="1" s="1"/>
  <c r="N2334" i="1"/>
  <c r="U2334" i="1" s="1"/>
  <c r="N2335" i="1"/>
  <c r="U2335" i="1" s="1"/>
  <c r="N2336" i="1"/>
  <c r="U2336" i="1" s="1"/>
  <c r="N2337" i="1"/>
  <c r="U2337" i="1" s="1"/>
  <c r="N2338" i="1"/>
  <c r="U2338" i="1" s="1"/>
  <c r="N2339" i="1"/>
  <c r="U2339" i="1" s="1"/>
  <c r="N2340" i="1"/>
  <c r="U2340" i="1" s="1"/>
  <c r="N2341" i="1"/>
  <c r="U2341" i="1" s="1"/>
  <c r="N2342" i="1"/>
  <c r="U2342" i="1" s="1"/>
  <c r="N2343" i="1"/>
  <c r="U2343" i="1" s="1"/>
  <c r="N2344" i="1"/>
  <c r="U2344" i="1" s="1"/>
  <c r="N2345" i="1"/>
  <c r="U2345" i="1" s="1"/>
  <c r="N2346" i="1"/>
  <c r="U2346" i="1" s="1"/>
  <c r="N2347" i="1"/>
  <c r="U2347" i="1" s="1"/>
  <c r="N2348" i="1"/>
  <c r="U2348" i="1" s="1"/>
  <c r="N2349" i="1"/>
  <c r="U2349" i="1" s="1"/>
  <c r="N2350" i="1"/>
  <c r="U2350" i="1" s="1"/>
  <c r="N2351" i="1"/>
  <c r="U2351" i="1" s="1"/>
  <c r="N2352" i="1"/>
  <c r="U2352" i="1" s="1"/>
  <c r="N2353" i="1"/>
  <c r="U2353" i="1" s="1"/>
  <c r="N2354" i="1"/>
  <c r="U2354" i="1" s="1"/>
  <c r="N2355" i="1"/>
  <c r="U2355" i="1" s="1"/>
  <c r="N2356" i="1"/>
  <c r="U2356" i="1" s="1"/>
  <c r="N2357" i="1"/>
  <c r="U2357" i="1" s="1"/>
  <c r="N2358" i="1"/>
  <c r="U2358" i="1" s="1"/>
  <c r="N2359" i="1"/>
  <c r="U2359" i="1" s="1"/>
  <c r="N2360" i="1"/>
  <c r="U2360" i="1" s="1"/>
  <c r="N2361" i="1"/>
  <c r="U2361" i="1" s="1"/>
  <c r="N2362" i="1"/>
  <c r="U2362" i="1" s="1"/>
  <c r="N2363" i="1"/>
  <c r="U2363" i="1" s="1"/>
  <c r="N2364" i="1"/>
  <c r="U2364" i="1" s="1"/>
  <c r="N2365" i="1"/>
  <c r="U2365" i="1" s="1"/>
  <c r="N2366" i="1"/>
  <c r="U2366" i="1" s="1"/>
  <c r="N2367" i="1"/>
  <c r="U2367" i="1" s="1"/>
  <c r="N2368" i="1"/>
  <c r="U2368" i="1" s="1"/>
  <c r="N2369" i="1"/>
  <c r="U2369" i="1" s="1"/>
  <c r="N2370" i="1"/>
  <c r="U2370" i="1" s="1"/>
  <c r="N2371" i="1"/>
  <c r="U2371" i="1" s="1"/>
  <c r="N2372" i="1"/>
  <c r="U2372" i="1" s="1"/>
  <c r="N2373" i="1"/>
  <c r="U2373" i="1" s="1"/>
  <c r="N2374" i="1"/>
  <c r="U2374" i="1" s="1"/>
  <c r="N2375" i="1"/>
  <c r="U2375" i="1" s="1"/>
  <c r="N2376" i="1"/>
  <c r="U2376" i="1" s="1"/>
  <c r="N2377" i="1"/>
  <c r="U2377" i="1" s="1"/>
  <c r="N2378" i="1"/>
  <c r="U2378" i="1" s="1"/>
  <c r="N2379" i="1"/>
  <c r="U2379" i="1" s="1"/>
  <c r="N2380" i="1"/>
  <c r="U2380" i="1" s="1"/>
  <c r="N2381" i="1"/>
  <c r="U2381" i="1" s="1"/>
  <c r="N2382" i="1"/>
  <c r="U2382" i="1" s="1"/>
  <c r="N2383" i="1"/>
  <c r="U2383" i="1" s="1"/>
  <c r="N2384" i="1"/>
  <c r="U2384" i="1" s="1"/>
  <c r="N2385" i="1"/>
  <c r="U2385" i="1" s="1"/>
  <c r="N2386" i="1"/>
  <c r="U2386" i="1" s="1"/>
  <c r="N2387" i="1"/>
  <c r="U2387" i="1" s="1"/>
  <c r="N2388" i="1"/>
  <c r="U2388" i="1" s="1"/>
  <c r="N2389" i="1"/>
  <c r="U2389" i="1" s="1"/>
  <c r="N2390" i="1"/>
  <c r="U2390" i="1" s="1"/>
  <c r="N2391" i="1"/>
  <c r="U2391" i="1" s="1"/>
  <c r="N2392" i="1"/>
  <c r="U2392" i="1" s="1"/>
  <c r="N2393" i="1"/>
  <c r="U2393" i="1" s="1"/>
  <c r="N2394" i="1"/>
  <c r="U2394" i="1" s="1"/>
  <c r="N2395" i="1"/>
  <c r="U2395" i="1" s="1"/>
  <c r="N2396" i="1"/>
  <c r="U2396" i="1" s="1"/>
  <c r="N2397" i="1"/>
  <c r="U2397" i="1" s="1"/>
  <c r="N2398" i="1"/>
  <c r="U2398" i="1" s="1"/>
  <c r="N2399" i="1"/>
  <c r="U2399" i="1" s="1"/>
  <c r="N2400" i="1"/>
  <c r="U2400" i="1" s="1"/>
  <c r="N2401" i="1"/>
  <c r="U2401" i="1" s="1"/>
  <c r="N2402" i="1"/>
  <c r="U2402" i="1" s="1"/>
  <c r="N2403" i="1"/>
  <c r="U2403" i="1" s="1"/>
  <c r="N2404" i="1"/>
  <c r="U2404" i="1" s="1"/>
  <c r="N2405" i="1"/>
  <c r="U2405" i="1" s="1"/>
  <c r="N2406" i="1"/>
  <c r="U2406" i="1" s="1"/>
  <c r="N2407" i="1"/>
  <c r="U2407" i="1" s="1"/>
  <c r="N2408" i="1"/>
  <c r="U2408" i="1" s="1"/>
  <c r="N2409" i="1"/>
  <c r="U2409" i="1" s="1"/>
  <c r="N2410" i="1"/>
  <c r="U2410" i="1" s="1"/>
  <c r="N2411" i="1"/>
  <c r="U2411" i="1" s="1"/>
  <c r="N2412" i="1"/>
  <c r="U2412" i="1" s="1"/>
  <c r="N2413" i="1"/>
  <c r="U2413" i="1" s="1"/>
  <c r="N2414" i="1"/>
  <c r="U2414" i="1" s="1"/>
  <c r="N2415" i="1"/>
  <c r="U2415" i="1" s="1"/>
  <c r="N2416" i="1"/>
  <c r="U2416" i="1" s="1"/>
  <c r="N2417" i="1"/>
  <c r="U2417" i="1" s="1"/>
  <c r="N2418" i="1"/>
  <c r="U2418" i="1" s="1"/>
  <c r="N2419" i="1"/>
  <c r="U2419" i="1" s="1"/>
  <c r="N2420" i="1"/>
  <c r="U2420" i="1" s="1"/>
  <c r="N2421" i="1"/>
  <c r="U2421" i="1" s="1"/>
  <c r="N2422" i="1"/>
  <c r="U2422" i="1" s="1"/>
  <c r="N2423" i="1"/>
  <c r="U2423" i="1" s="1"/>
  <c r="N2424" i="1"/>
  <c r="U2424" i="1" s="1"/>
  <c r="N2425" i="1"/>
  <c r="U2425" i="1" s="1"/>
  <c r="N2426" i="1"/>
  <c r="U2426" i="1" s="1"/>
  <c r="N2427" i="1"/>
  <c r="U2427" i="1" s="1"/>
  <c r="N2428" i="1"/>
  <c r="U2428" i="1" s="1"/>
  <c r="N2429" i="1"/>
  <c r="U2429" i="1" s="1"/>
  <c r="N2430" i="1"/>
  <c r="U2430" i="1" s="1"/>
  <c r="N2431" i="1"/>
  <c r="U2431" i="1" s="1"/>
  <c r="N2432" i="1"/>
  <c r="U2432" i="1" s="1"/>
  <c r="N2433" i="1"/>
  <c r="U2433" i="1" s="1"/>
  <c r="N2434" i="1"/>
  <c r="U2434" i="1" s="1"/>
  <c r="N2435" i="1"/>
  <c r="U2435" i="1" s="1"/>
  <c r="N2436" i="1"/>
  <c r="U2436" i="1" s="1"/>
  <c r="N2437" i="1"/>
  <c r="U2437" i="1" s="1"/>
  <c r="N2438" i="1"/>
  <c r="U2438" i="1" s="1"/>
  <c r="N2439" i="1"/>
  <c r="U2439" i="1" s="1"/>
  <c r="N2440" i="1"/>
  <c r="U2440" i="1" s="1"/>
  <c r="N2441" i="1"/>
  <c r="U2441" i="1" s="1"/>
  <c r="N2442" i="1"/>
  <c r="U2442" i="1" s="1"/>
  <c r="N2443" i="1"/>
  <c r="U2443" i="1" s="1"/>
  <c r="N2444" i="1"/>
  <c r="U2444" i="1" s="1"/>
  <c r="N2445" i="1"/>
  <c r="U2445" i="1" s="1"/>
  <c r="N2446" i="1"/>
  <c r="U2446" i="1" s="1"/>
  <c r="N2447" i="1"/>
  <c r="N2448" i="1"/>
  <c r="U2448" i="1" s="1"/>
  <c r="N2449" i="1"/>
  <c r="U2449" i="1" s="1"/>
  <c r="N2450" i="1"/>
  <c r="U2450" i="1" s="1"/>
  <c r="N2451" i="1"/>
  <c r="U2451" i="1" s="1"/>
  <c r="N2452" i="1"/>
  <c r="U2452" i="1" s="1"/>
  <c r="N2453" i="1"/>
  <c r="U2453" i="1" s="1"/>
  <c r="N2454" i="1"/>
  <c r="U2454" i="1" s="1"/>
  <c r="N2455" i="1"/>
  <c r="U2455" i="1" s="1"/>
  <c r="N2456" i="1"/>
  <c r="U2456" i="1" s="1"/>
  <c r="N2457" i="1"/>
  <c r="U2457" i="1" s="1"/>
  <c r="N2458" i="1"/>
  <c r="U2458" i="1" s="1"/>
  <c r="N2459" i="1"/>
  <c r="U2459" i="1" s="1"/>
  <c r="N2460" i="1"/>
  <c r="U2460" i="1" s="1"/>
  <c r="N2461" i="1"/>
  <c r="U2461" i="1" s="1"/>
  <c r="N2462" i="1"/>
  <c r="U2462" i="1" s="1"/>
  <c r="N2463" i="1"/>
  <c r="U2463" i="1" s="1"/>
  <c r="N2464" i="1"/>
  <c r="U2464" i="1" s="1"/>
  <c r="N2465" i="1"/>
  <c r="U2465" i="1" s="1"/>
  <c r="N2466" i="1"/>
  <c r="U2466" i="1" s="1"/>
  <c r="N2467" i="1"/>
  <c r="U2467" i="1" s="1"/>
  <c r="N2468" i="1"/>
  <c r="U2468" i="1" s="1"/>
  <c r="N2469" i="1"/>
  <c r="U2469" i="1" s="1"/>
  <c r="N2470" i="1"/>
  <c r="U2470" i="1" s="1"/>
  <c r="N2471" i="1"/>
  <c r="U2471" i="1" s="1"/>
  <c r="N2472" i="1"/>
  <c r="U2472" i="1" s="1"/>
  <c r="N2473" i="1"/>
  <c r="U2473" i="1" s="1"/>
  <c r="N2474" i="1"/>
  <c r="U2474" i="1" s="1"/>
  <c r="N2475" i="1"/>
  <c r="U2475" i="1" s="1"/>
  <c r="N2476" i="1"/>
  <c r="U2476" i="1" s="1"/>
  <c r="N2477" i="1"/>
  <c r="U2477" i="1" s="1"/>
  <c r="N2478" i="1"/>
  <c r="U2478" i="1" s="1"/>
  <c r="N2479" i="1"/>
  <c r="U2479" i="1" s="1"/>
  <c r="N2480" i="1"/>
  <c r="U2480" i="1" s="1"/>
  <c r="N2481" i="1"/>
  <c r="U2481" i="1" s="1"/>
  <c r="N2482" i="1"/>
  <c r="U2482" i="1" s="1"/>
  <c r="N2483" i="1"/>
  <c r="U2483" i="1" s="1"/>
  <c r="N2484" i="1"/>
  <c r="U2484" i="1" s="1"/>
  <c r="N2485" i="1"/>
  <c r="U2485" i="1" s="1"/>
  <c r="N2486" i="1"/>
  <c r="U2486" i="1" s="1"/>
  <c r="N2487" i="1"/>
  <c r="U2487" i="1" s="1"/>
  <c r="N2488" i="1"/>
  <c r="U2488" i="1" s="1"/>
  <c r="N2489" i="1"/>
  <c r="U2489" i="1" s="1"/>
  <c r="N2490" i="1"/>
  <c r="U2490" i="1" s="1"/>
  <c r="N2491" i="1"/>
  <c r="U2491" i="1" s="1"/>
  <c r="N2492" i="1"/>
  <c r="U2492" i="1" s="1"/>
  <c r="N2493" i="1"/>
  <c r="U2493" i="1" s="1"/>
  <c r="N2494" i="1"/>
  <c r="U2494" i="1" s="1"/>
  <c r="N2495" i="1"/>
  <c r="U2495" i="1" s="1"/>
  <c r="N2496" i="1"/>
  <c r="U2496" i="1" s="1"/>
  <c r="N2497" i="1"/>
  <c r="U2497" i="1" s="1"/>
  <c r="N2498" i="1"/>
  <c r="U2498" i="1" s="1"/>
  <c r="N2499" i="1"/>
  <c r="U2499" i="1" s="1"/>
  <c r="N2500" i="1"/>
  <c r="U2500" i="1" s="1"/>
  <c r="N2501" i="1"/>
  <c r="U2501" i="1" s="1"/>
  <c r="N2502" i="1"/>
  <c r="U2502" i="1" s="1"/>
  <c r="N2503" i="1"/>
  <c r="U2503" i="1" s="1"/>
  <c r="N2504" i="1"/>
  <c r="U2504" i="1" s="1"/>
  <c r="N2505" i="1"/>
  <c r="U2505" i="1" s="1"/>
  <c r="N2506" i="1"/>
  <c r="U2506" i="1" s="1"/>
  <c r="N2507" i="1"/>
  <c r="U2507" i="1" s="1"/>
  <c r="N2508" i="1"/>
  <c r="U2508" i="1" s="1"/>
  <c r="N2509" i="1"/>
  <c r="U2509" i="1" s="1"/>
  <c r="N2510" i="1"/>
  <c r="U2510" i="1" s="1"/>
  <c r="N2511" i="1"/>
  <c r="U2511" i="1" s="1"/>
  <c r="N2512" i="1"/>
  <c r="U2512" i="1" s="1"/>
  <c r="N2513" i="1"/>
  <c r="U2513" i="1" s="1"/>
  <c r="N2514" i="1"/>
  <c r="U2514" i="1" s="1"/>
  <c r="N2515" i="1"/>
  <c r="U2515" i="1" s="1"/>
  <c r="N2516" i="1"/>
  <c r="U2516" i="1" s="1"/>
  <c r="N2517" i="1"/>
  <c r="U2517" i="1" s="1"/>
  <c r="N2518" i="1"/>
  <c r="U2518" i="1" s="1"/>
  <c r="N2519" i="1"/>
  <c r="U2519" i="1" s="1"/>
  <c r="N2520" i="1"/>
  <c r="U2520" i="1" s="1"/>
  <c r="N2521" i="1"/>
  <c r="U2521" i="1" s="1"/>
  <c r="N2522" i="1"/>
  <c r="U2522" i="1" s="1"/>
  <c r="N2523" i="1"/>
  <c r="U2523" i="1" s="1"/>
  <c r="N2524" i="1"/>
  <c r="U2524" i="1" s="1"/>
  <c r="N2525" i="1"/>
  <c r="U2525" i="1" s="1"/>
  <c r="N2526" i="1"/>
  <c r="U2526" i="1" s="1"/>
  <c r="N2527" i="1"/>
  <c r="U2527" i="1" s="1"/>
  <c r="N2528" i="1"/>
  <c r="U2528" i="1" s="1"/>
  <c r="N2529" i="1"/>
  <c r="U2529" i="1" s="1"/>
  <c r="N2530" i="1"/>
  <c r="U2530" i="1" s="1"/>
  <c r="N2531" i="1"/>
  <c r="U2531" i="1" s="1"/>
  <c r="N2532" i="1"/>
  <c r="U2532" i="1" s="1"/>
  <c r="N2533" i="1"/>
  <c r="U2533" i="1" s="1"/>
  <c r="N2534" i="1"/>
  <c r="U2534" i="1" s="1"/>
  <c r="N2535" i="1"/>
  <c r="U2535" i="1" s="1"/>
  <c r="N2536" i="1"/>
  <c r="U2536" i="1" s="1"/>
  <c r="N2537" i="1"/>
  <c r="U2537" i="1" s="1"/>
  <c r="N2538" i="1"/>
  <c r="U2538" i="1" s="1"/>
  <c r="N2539" i="1"/>
  <c r="U2539" i="1" s="1"/>
  <c r="N2540" i="1"/>
  <c r="U2540" i="1" s="1"/>
  <c r="N2541" i="1"/>
  <c r="U2541" i="1" s="1"/>
  <c r="N2542" i="1"/>
  <c r="U2542" i="1" s="1"/>
  <c r="N2543" i="1"/>
  <c r="U2543" i="1" s="1"/>
  <c r="N2544" i="1"/>
  <c r="U2544" i="1" s="1"/>
  <c r="N2545" i="1"/>
  <c r="U2545" i="1" s="1"/>
  <c r="N2546" i="1"/>
  <c r="U2546" i="1" s="1"/>
  <c r="N2547" i="1"/>
  <c r="U2547" i="1" s="1"/>
  <c r="N2548" i="1"/>
  <c r="U2548" i="1" s="1"/>
  <c r="N2549" i="1"/>
  <c r="U2549" i="1" s="1"/>
  <c r="N2550" i="1"/>
  <c r="U2550" i="1" s="1"/>
  <c r="N2551" i="1"/>
  <c r="U2551" i="1" s="1"/>
  <c r="N2552" i="1"/>
  <c r="U2552" i="1" s="1"/>
  <c r="N2553" i="1"/>
  <c r="U2553" i="1" s="1"/>
  <c r="N2554" i="1"/>
  <c r="U2554" i="1" s="1"/>
  <c r="N2555" i="1"/>
  <c r="U2555" i="1" s="1"/>
  <c r="N2556" i="1"/>
  <c r="U2556" i="1" s="1"/>
  <c r="N2557" i="1"/>
  <c r="U2557" i="1" s="1"/>
  <c r="N2558" i="1"/>
  <c r="U2558" i="1" s="1"/>
  <c r="N2559" i="1"/>
  <c r="U2559" i="1" s="1"/>
  <c r="N2560" i="1"/>
  <c r="U2560" i="1" s="1"/>
  <c r="N2561" i="1"/>
  <c r="U2561" i="1" s="1"/>
  <c r="N2562" i="1"/>
  <c r="U2562" i="1" s="1"/>
  <c r="N2563" i="1"/>
  <c r="U2563" i="1" s="1"/>
  <c r="N2564" i="1"/>
  <c r="U2564" i="1" s="1"/>
  <c r="N2565" i="1"/>
  <c r="U2565" i="1" s="1"/>
  <c r="N2566" i="1"/>
  <c r="U2566" i="1" s="1"/>
  <c r="N2567" i="1"/>
  <c r="U2567" i="1" s="1"/>
  <c r="N2568" i="1"/>
  <c r="N2569" i="1"/>
  <c r="U2569" i="1" s="1"/>
  <c r="N2570" i="1"/>
  <c r="U2570" i="1" s="1"/>
  <c r="N2571" i="1"/>
  <c r="U2571" i="1" s="1"/>
  <c r="N2572" i="1"/>
  <c r="U2572" i="1" s="1"/>
  <c r="N2573" i="1"/>
  <c r="U2573" i="1" s="1"/>
  <c r="N2574" i="1"/>
  <c r="U2574" i="1" s="1"/>
  <c r="N2575" i="1"/>
  <c r="U2575" i="1" s="1"/>
  <c r="N2576" i="1"/>
  <c r="U2576" i="1" s="1"/>
  <c r="N2577" i="1"/>
  <c r="U2577" i="1" s="1"/>
  <c r="N2578" i="1"/>
  <c r="U2578" i="1" s="1"/>
  <c r="N2579" i="1"/>
  <c r="U2579" i="1" s="1"/>
  <c r="N2580" i="1"/>
  <c r="U2580" i="1" s="1"/>
  <c r="N2581" i="1"/>
  <c r="U2581" i="1" s="1"/>
  <c r="N2582" i="1"/>
  <c r="U2582" i="1" s="1"/>
  <c r="N2583" i="1"/>
  <c r="U2583" i="1" s="1"/>
  <c r="N2584" i="1"/>
  <c r="U2584" i="1" s="1"/>
  <c r="N2585" i="1"/>
  <c r="U2585" i="1" s="1"/>
  <c r="N2586" i="1"/>
  <c r="U2586" i="1" s="1"/>
  <c r="N2587" i="1"/>
  <c r="U2587" i="1" s="1"/>
  <c r="N2588" i="1"/>
  <c r="U2588" i="1" s="1"/>
  <c r="N2589" i="1"/>
  <c r="U2589" i="1" s="1"/>
  <c r="N2590" i="1"/>
  <c r="U2590" i="1" s="1"/>
  <c r="N2591" i="1"/>
  <c r="U2591" i="1" s="1"/>
  <c r="N2592" i="1"/>
  <c r="U2592" i="1" s="1"/>
  <c r="N2593" i="1"/>
  <c r="U2593" i="1" s="1"/>
  <c r="N2594" i="1"/>
  <c r="U2594" i="1" s="1"/>
  <c r="N2595" i="1"/>
  <c r="U2595" i="1" s="1"/>
  <c r="N2596" i="1"/>
  <c r="U2596" i="1" s="1"/>
  <c r="N2597" i="1"/>
  <c r="U2597" i="1" s="1"/>
  <c r="N2598" i="1"/>
  <c r="U2598" i="1" s="1"/>
  <c r="N2599" i="1"/>
  <c r="U2599" i="1" s="1"/>
  <c r="N2600" i="1"/>
  <c r="U2600" i="1" s="1"/>
  <c r="N2601" i="1"/>
  <c r="U2601" i="1" s="1"/>
  <c r="N2602" i="1"/>
  <c r="U2602" i="1" s="1"/>
  <c r="N2603" i="1"/>
  <c r="U2603" i="1" s="1"/>
  <c r="N2604" i="1"/>
  <c r="U2604" i="1" s="1"/>
  <c r="N2605" i="1"/>
  <c r="U2605" i="1" s="1"/>
  <c r="N2606" i="1"/>
  <c r="U2606" i="1" s="1"/>
  <c r="N2607" i="1"/>
  <c r="U2607" i="1" s="1"/>
  <c r="N2608" i="1"/>
  <c r="U2608" i="1" s="1"/>
  <c r="N2609" i="1"/>
  <c r="U2609" i="1" s="1"/>
  <c r="N2610" i="1"/>
  <c r="U2610" i="1" s="1"/>
  <c r="N2611" i="1"/>
  <c r="U2611" i="1" s="1"/>
  <c r="N2612" i="1"/>
  <c r="U2612" i="1" s="1"/>
  <c r="N2613" i="1"/>
  <c r="U2613" i="1" s="1"/>
  <c r="N2614" i="1"/>
  <c r="U2614" i="1" s="1"/>
  <c r="N2615" i="1"/>
  <c r="U2615" i="1" s="1"/>
  <c r="N2616" i="1"/>
  <c r="U2616" i="1" s="1"/>
  <c r="N2617" i="1"/>
  <c r="U2617" i="1" s="1"/>
  <c r="N2618" i="1"/>
  <c r="U2618" i="1" s="1"/>
  <c r="N2619" i="1"/>
  <c r="U2619" i="1" s="1"/>
  <c r="N2620" i="1"/>
  <c r="U2620" i="1" s="1"/>
  <c r="N2621" i="1"/>
  <c r="U2621" i="1" s="1"/>
  <c r="N2622" i="1"/>
  <c r="U2622" i="1" s="1"/>
  <c r="N2623" i="1"/>
  <c r="U2623" i="1" s="1"/>
  <c r="N2624" i="1"/>
  <c r="U2624" i="1" s="1"/>
  <c r="N2625" i="1"/>
  <c r="U2625" i="1" s="1"/>
  <c r="N2626" i="1"/>
  <c r="U2626" i="1" s="1"/>
  <c r="N2627" i="1"/>
  <c r="U2627" i="1" s="1"/>
  <c r="N2628" i="1"/>
  <c r="U2628" i="1" s="1"/>
  <c r="N2629" i="1"/>
  <c r="U2629" i="1" s="1"/>
  <c r="N2630" i="1"/>
  <c r="U2630" i="1" s="1"/>
  <c r="N2631" i="1"/>
  <c r="U2631" i="1" s="1"/>
  <c r="N2632" i="1"/>
  <c r="U2632" i="1" s="1"/>
  <c r="N2633" i="1"/>
  <c r="U2633" i="1" s="1"/>
  <c r="N2634" i="1"/>
  <c r="U2634" i="1" s="1"/>
  <c r="N2635" i="1"/>
  <c r="U2635" i="1" s="1"/>
  <c r="N2636" i="1"/>
  <c r="U2636" i="1" s="1"/>
  <c r="N2637" i="1"/>
  <c r="U2637" i="1" s="1"/>
  <c r="N2638" i="1"/>
  <c r="U2638" i="1" s="1"/>
  <c r="N2639" i="1"/>
  <c r="U2639" i="1" s="1"/>
  <c r="N2640" i="1"/>
  <c r="U2640" i="1" s="1"/>
  <c r="N2641" i="1"/>
  <c r="U2641" i="1" s="1"/>
  <c r="N2642" i="1"/>
  <c r="U2642" i="1" s="1"/>
  <c r="N2643" i="1"/>
  <c r="U2643" i="1" s="1"/>
  <c r="N2644" i="1"/>
  <c r="U2644" i="1" s="1"/>
  <c r="N2645" i="1"/>
  <c r="U2645" i="1" s="1"/>
  <c r="N2646" i="1"/>
  <c r="U2646" i="1" s="1"/>
  <c r="N2647" i="1"/>
  <c r="U2647" i="1" s="1"/>
  <c r="N2648" i="1"/>
  <c r="U2648" i="1" s="1"/>
  <c r="N2649" i="1"/>
  <c r="U2649" i="1" s="1"/>
  <c r="N2650" i="1"/>
  <c r="U2650" i="1" s="1"/>
  <c r="N2651" i="1"/>
  <c r="U2651" i="1" s="1"/>
  <c r="N2652" i="1"/>
  <c r="U2652" i="1" s="1"/>
  <c r="N2653" i="1"/>
  <c r="U2653" i="1" s="1"/>
  <c r="N2654" i="1"/>
  <c r="U2654" i="1" s="1"/>
  <c r="N2655" i="1"/>
  <c r="U2655" i="1" s="1"/>
  <c r="N2656" i="1"/>
  <c r="U2656" i="1" s="1"/>
  <c r="N2657" i="1"/>
  <c r="U2657" i="1" s="1"/>
  <c r="N2658" i="1"/>
  <c r="U2658" i="1" s="1"/>
  <c r="N2659" i="1"/>
  <c r="U2659" i="1" s="1"/>
  <c r="N2660" i="1"/>
  <c r="U2660" i="1" s="1"/>
  <c r="N2661" i="1"/>
  <c r="U2661" i="1" s="1"/>
  <c r="N2662" i="1"/>
  <c r="U2662" i="1" s="1"/>
  <c r="N2663" i="1"/>
  <c r="U2663" i="1" s="1"/>
  <c r="N2664" i="1"/>
  <c r="U2664" i="1" s="1"/>
  <c r="N2665" i="1"/>
  <c r="U2665" i="1" s="1"/>
  <c r="N2666" i="1"/>
  <c r="U2666" i="1" s="1"/>
  <c r="N2667" i="1"/>
  <c r="U2667" i="1" s="1"/>
  <c r="N2668" i="1"/>
  <c r="U2668" i="1" s="1"/>
  <c r="N2669" i="1"/>
  <c r="U2669" i="1" s="1"/>
  <c r="N2670" i="1"/>
  <c r="U2670" i="1" s="1"/>
  <c r="N2671" i="1"/>
  <c r="U2671" i="1" s="1"/>
  <c r="N2672" i="1"/>
  <c r="U2672" i="1" s="1"/>
  <c r="N2673" i="1"/>
  <c r="U2673" i="1" s="1"/>
  <c r="N2674" i="1"/>
  <c r="U2674" i="1" s="1"/>
  <c r="N2675" i="1"/>
  <c r="U2675" i="1" s="1"/>
  <c r="N2676" i="1"/>
  <c r="U2676" i="1" s="1"/>
  <c r="N2677" i="1"/>
  <c r="U2677" i="1" s="1"/>
  <c r="N2678" i="1"/>
  <c r="U2678" i="1" s="1"/>
  <c r="N2679" i="1"/>
  <c r="U2679" i="1" s="1"/>
  <c r="N2680" i="1"/>
  <c r="U2680" i="1" s="1"/>
  <c r="N2681" i="1"/>
  <c r="U2681" i="1" s="1"/>
  <c r="N2682" i="1"/>
  <c r="U2682" i="1" s="1"/>
  <c r="N2683" i="1"/>
  <c r="U2683" i="1" s="1"/>
  <c r="N2684" i="1"/>
  <c r="U2684" i="1" s="1"/>
  <c r="N2685" i="1"/>
  <c r="U2685" i="1" s="1"/>
  <c r="N2686" i="1"/>
  <c r="U2686" i="1" s="1"/>
  <c r="N2687" i="1"/>
  <c r="U2687" i="1" s="1"/>
  <c r="N2688" i="1"/>
  <c r="U2688" i="1" s="1"/>
  <c r="N2689" i="1"/>
  <c r="U2689" i="1" s="1"/>
  <c r="N2690" i="1"/>
  <c r="U2690" i="1" s="1"/>
  <c r="N2691" i="1"/>
  <c r="U2691" i="1" s="1"/>
  <c r="N2692" i="1"/>
  <c r="U2692" i="1" s="1"/>
  <c r="N2693" i="1"/>
  <c r="U2693" i="1" s="1"/>
  <c r="N2694" i="1"/>
  <c r="U2694" i="1" s="1"/>
  <c r="N2695" i="1"/>
  <c r="U2695" i="1" s="1"/>
  <c r="N2696" i="1"/>
  <c r="U2696" i="1" s="1"/>
  <c r="N2697" i="1"/>
  <c r="U2697" i="1" s="1"/>
  <c r="N2698" i="1"/>
  <c r="U2698" i="1" s="1"/>
  <c r="N2699" i="1"/>
  <c r="U2699" i="1" s="1"/>
  <c r="N2700" i="1"/>
  <c r="U2700" i="1" s="1"/>
  <c r="N2701" i="1"/>
  <c r="U2701" i="1" s="1"/>
  <c r="N2702" i="1"/>
  <c r="U2702" i="1" s="1"/>
  <c r="N2703" i="1"/>
  <c r="U2703" i="1" s="1"/>
  <c r="N2704" i="1"/>
  <c r="U2704" i="1" s="1"/>
  <c r="N2705" i="1"/>
  <c r="U2705" i="1" s="1"/>
  <c r="N2706" i="1"/>
  <c r="U2706" i="1" s="1"/>
  <c r="N2707" i="1"/>
  <c r="U2707" i="1" s="1"/>
  <c r="N2708" i="1"/>
  <c r="U2708" i="1" s="1"/>
  <c r="N2709" i="1"/>
  <c r="U2709" i="1" s="1"/>
  <c r="N2710" i="1"/>
  <c r="U2710" i="1" s="1"/>
  <c r="N2711" i="1"/>
  <c r="U2711" i="1" s="1"/>
  <c r="N2712" i="1"/>
  <c r="U2712" i="1" s="1"/>
  <c r="N2713" i="1"/>
  <c r="U2713" i="1" s="1"/>
  <c r="N2714" i="1"/>
  <c r="U2714" i="1" s="1"/>
  <c r="N2715" i="1"/>
  <c r="U2715" i="1" s="1"/>
  <c r="N2716" i="1"/>
  <c r="U2716" i="1" s="1"/>
  <c r="N2717" i="1"/>
  <c r="U2717" i="1" s="1"/>
  <c r="N2718" i="1"/>
  <c r="U2718" i="1" s="1"/>
  <c r="N2719" i="1"/>
  <c r="U2719" i="1" s="1"/>
  <c r="N2720" i="1"/>
  <c r="U2720" i="1" s="1"/>
  <c r="N2721" i="1"/>
  <c r="U2721" i="1" s="1"/>
  <c r="N2722" i="1"/>
  <c r="U2722" i="1" s="1"/>
  <c r="N2723" i="1"/>
  <c r="U2723" i="1" s="1"/>
  <c r="N2724" i="1"/>
  <c r="U2724" i="1" s="1"/>
  <c r="N2725" i="1"/>
  <c r="U2725" i="1" s="1"/>
  <c r="N2726" i="1"/>
  <c r="U2726" i="1" s="1"/>
  <c r="N2727" i="1"/>
  <c r="U2727" i="1" s="1"/>
  <c r="N2728" i="1"/>
  <c r="U2728" i="1" s="1"/>
  <c r="N2729" i="1"/>
  <c r="U2729" i="1" s="1"/>
  <c r="N2730" i="1"/>
  <c r="U2730" i="1" s="1"/>
  <c r="N2731" i="1"/>
  <c r="U2731" i="1" s="1"/>
  <c r="N2732" i="1"/>
  <c r="U2732" i="1" s="1"/>
  <c r="N2733" i="1"/>
  <c r="U2733" i="1" s="1"/>
  <c r="N2734" i="1"/>
  <c r="U2734" i="1" s="1"/>
  <c r="N2735" i="1"/>
  <c r="U2735" i="1" s="1"/>
  <c r="N2736" i="1"/>
  <c r="U2736" i="1" s="1"/>
  <c r="N2737" i="1"/>
  <c r="U2737" i="1" s="1"/>
  <c r="N2738" i="1"/>
  <c r="U2738" i="1" s="1"/>
  <c r="N2739" i="1"/>
  <c r="U2739" i="1" s="1"/>
  <c r="N2740" i="1"/>
  <c r="U2740" i="1" s="1"/>
  <c r="N2741" i="1"/>
  <c r="U2741" i="1" s="1"/>
  <c r="N2742" i="1"/>
  <c r="U2742" i="1" s="1"/>
  <c r="N2743" i="1"/>
  <c r="U2743" i="1" s="1"/>
  <c r="N2744" i="1"/>
  <c r="U2744" i="1" s="1"/>
  <c r="N2745" i="1"/>
  <c r="U2745" i="1" s="1"/>
  <c r="N2746" i="1"/>
  <c r="U2746" i="1" s="1"/>
  <c r="N2747" i="1"/>
  <c r="U2747" i="1" s="1"/>
  <c r="N2748" i="1"/>
  <c r="U2748" i="1" s="1"/>
  <c r="N2749" i="1"/>
  <c r="U2749" i="1" s="1"/>
  <c r="N2750" i="1"/>
  <c r="U2750" i="1" s="1"/>
  <c r="N2751" i="1"/>
  <c r="U2751" i="1" s="1"/>
  <c r="N2752" i="1"/>
  <c r="U2752" i="1" s="1"/>
  <c r="N2753" i="1"/>
  <c r="U2753" i="1" s="1"/>
  <c r="N2754" i="1"/>
  <c r="U2754" i="1" s="1"/>
  <c r="N2755" i="1"/>
  <c r="U2755" i="1" s="1"/>
  <c r="N2756" i="1"/>
  <c r="U2756" i="1" s="1"/>
  <c r="N2757" i="1"/>
  <c r="U2757" i="1" s="1"/>
  <c r="N2758" i="1"/>
  <c r="U2758" i="1" s="1"/>
  <c r="N2759" i="1"/>
  <c r="U2759" i="1" s="1"/>
  <c r="N2760" i="1"/>
  <c r="U2760" i="1" s="1"/>
  <c r="N2761" i="1"/>
  <c r="U2761" i="1" s="1"/>
  <c r="N2762" i="1"/>
  <c r="U2762" i="1" s="1"/>
  <c r="N2763" i="1"/>
  <c r="U2763" i="1" s="1"/>
  <c r="N2764" i="1"/>
  <c r="U2764" i="1" s="1"/>
  <c r="N2765" i="1"/>
  <c r="U2765" i="1" s="1"/>
  <c r="N2766" i="1"/>
  <c r="U2766" i="1" s="1"/>
  <c r="N2767" i="1"/>
  <c r="U2767" i="1" s="1"/>
  <c r="N2768" i="1"/>
  <c r="U2768" i="1" s="1"/>
  <c r="N2769" i="1"/>
  <c r="U2769" i="1" s="1"/>
  <c r="N2770" i="1"/>
  <c r="U2770" i="1" s="1"/>
  <c r="N2771" i="1"/>
  <c r="U2771" i="1" s="1"/>
  <c r="N2772" i="1"/>
  <c r="U2772" i="1" s="1"/>
  <c r="N2773" i="1"/>
  <c r="U2773" i="1" s="1"/>
  <c r="N2774" i="1"/>
  <c r="U2774" i="1" s="1"/>
  <c r="N2775" i="1"/>
  <c r="U2775" i="1" s="1"/>
  <c r="N2776" i="1"/>
  <c r="U2776" i="1" s="1"/>
  <c r="N2777" i="1"/>
  <c r="U2777" i="1" s="1"/>
  <c r="N2778" i="1"/>
  <c r="U2778" i="1" s="1"/>
  <c r="N2779" i="1"/>
  <c r="U2779" i="1" s="1"/>
  <c r="N2780" i="1"/>
  <c r="U2780" i="1" s="1"/>
  <c r="N2781" i="1"/>
  <c r="U2781" i="1" s="1"/>
  <c r="N2782" i="1"/>
  <c r="U2782" i="1" s="1"/>
  <c r="N2783" i="1"/>
  <c r="U2783" i="1" s="1"/>
  <c r="N2784" i="1"/>
  <c r="U2784" i="1" s="1"/>
  <c r="N2785" i="1"/>
  <c r="U2785" i="1" s="1"/>
  <c r="N2786" i="1"/>
  <c r="U2786" i="1" s="1"/>
  <c r="N2787" i="1"/>
  <c r="U2787" i="1" s="1"/>
  <c r="N2788" i="1"/>
  <c r="U2788" i="1" s="1"/>
  <c r="N2789" i="1"/>
  <c r="U2789" i="1" s="1"/>
  <c r="N2790" i="1"/>
  <c r="U2790" i="1" s="1"/>
  <c r="N2791" i="1"/>
  <c r="U2791" i="1" s="1"/>
  <c r="N2792" i="1"/>
  <c r="U2792" i="1" s="1"/>
  <c r="N2793" i="1"/>
  <c r="U2793" i="1" s="1"/>
  <c r="N2794" i="1"/>
  <c r="U2794" i="1" s="1"/>
  <c r="N2795" i="1"/>
  <c r="U2795" i="1" s="1"/>
  <c r="N2796" i="1"/>
  <c r="U2796" i="1" s="1"/>
  <c r="N2797" i="1"/>
  <c r="U2797" i="1" s="1"/>
  <c r="N2798" i="1"/>
  <c r="U2798" i="1" s="1"/>
  <c r="N2799" i="1"/>
  <c r="U2799" i="1" s="1"/>
  <c r="N2800" i="1"/>
  <c r="U2800" i="1" s="1"/>
  <c r="N2801" i="1"/>
  <c r="U2801" i="1" s="1"/>
  <c r="N2802" i="1"/>
  <c r="U2802" i="1" s="1"/>
  <c r="N2803" i="1"/>
  <c r="U2803" i="1" s="1"/>
  <c r="N2804" i="1"/>
  <c r="U2804" i="1" s="1"/>
  <c r="N2805" i="1"/>
  <c r="U2805" i="1" s="1"/>
  <c r="N2806" i="1"/>
  <c r="U2806" i="1" s="1"/>
  <c r="N2807" i="1"/>
  <c r="U2807" i="1" s="1"/>
  <c r="N2808" i="1"/>
  <c r="U2808" i="1" s="1"/>
  <c r="N2809" i="1"/>
  <c r="U2809" i="1" s="1"/>
  <c r="N2810" i="1"/>
  <c r="U2810" i="1" s="1"/>
  <c r="N2811" i="1"/>
  <c r="U2811" i="1" s="1"/>
  <c r="N2812" i="1"/>
  <c r="U2812" i="1" s="1"/>
  <c r="N2813" i="1"/>
  <c r="U2813" i="1" s="1"/>
  <c r="N2814" i="1"/>
  <c r="U2814" i="1" s="1"/>
  <c r="N2815" i="1"/>
  <c r="U2815" i="1" s="1"/>
  <c r="N2816" i="1"/>
  <c r="U2816" i="1" s="1"/>
  <c r="N2817" i="1"/>
  <c r="U2817" i="1" s="1"/>
  <c r="N2818" i="1"/>
  <c r="U2818" i="1" s="1"/>
  <c r="N2819" i="1"/>
  <c r="U2819" i="1" s="1"/>
  <c r="N2820" i="1"/>
  <c r="U2820" i="1" s="1"/>
  <c r="N2821" i="1"/>
  <c r="U2821" i="1" s="1"/>
  <c r="N2822" i="1"/>
  <c r="U2822" i="1" s="1"/>
  <c r="N2823" i="1"/>
  <c r="U2823" i="1" s="1"/>
  <c r="N2824" i="1"/>
  <c r="U2824" i="1" s="1"/>
  <c r="N2825" i="1"/>
  <c r="U2825" i="1" s="1"/>
  <c r="N2826" i="1"/>
  <c r="U2826" i="1" s="1"/>
  <c r="N2827" i="1"/>
  <c r="U2827" i="1" s="1"/>
  <c r="N2828" i="1"/>
  <c r="U2828" i="1" s="1"/>
  <c r="N2829" i="1"/>
  <c r="U2829" i="1" s="1"/>
  <c r="N2830" i="1"/>
  <c r="U2830" i="1" s="1"/>
  <c r="N2831" i="1"/>
  <c r="U2831" i="1" s="1"/>
  <c r="N2832" i="1"/>
  <c r="U2832" i="1" s="1"/>
  <c r="N2833" i="1"/>
  <c r="U2833" i="1" s="1"/>
  <c r="N2834" i="1"/>
  <c r="U2834" i="1" s="1"/>
  <c r="N2835" i="1"/>
  <c r="U2835" i="1" s="1"/>
  <c r="N2836" i="1"/>
  <c r="U2836" i="1" s="1"/>
  <c r="N2837" i="1"/>
  <c r="U2837" i="1" s="1"/>
  <c r="N2838" i="1"/>
  <c r="U2838" i="1" s="1"/>
  <c r="N2839" i="1"/>
  <c r="U2839" i="1" s="1"/>
  <c r="N2840" i="1"/>
  <c r="U2840" i="1" s="1"/>
  <c r="N2841" i="1"/>
  <c r="U2841" i="1" s="1"/>
  <c r="N2842" i="1"/>
  <c r="U2842" i="1" s="1"/>
  <c r="N2843" i="1"/>
  <c r="U2843" i="1" s="1"/>
  <c r="N2844" i="1"/>
  <c r="U2844" i="1" s="1"/>
  <c r="N2845" i="1"/>
  <c r="U2845" i="1" s="1"/>
  <c r="N2846" i="1"/>
  <c r="U2846" i="1" s="1"/>
  <c r="N2847" i="1"/>
  <c r="U2847" i="1" s="1"/>
  <c r="N2848" i="1"/>
  <c r="U2848" i="1" s="1"/>
  <c r="N2849" i="1"/>
  <c r="U2849" i="1" s="1"/>
  <c r="N2850" i="1"/>
  <c r="U2850" i="1" s="1"/>
  <c r="N2851" i="1"/>
  <c r="U2851" i="1" s="1"/>
  <c r="N2852" i="1"/>
  <c r="U2852" i="1" s="1"/>
  <c r="N2853" i="1"/>
  <c r="U2853" i="1" s="1"/>
  <c r="N2854" i="1"/>
  <c r="U2854" i="1" s="1"/>
  <c r="N2855" i="1"/>
  <c r="U2855" i="1" s="1"/>
  <c r="N2856" i="1"/>
  <c r="U2856" i="1" s="1"/>
  <c r="N2857" i="1"/>
  <c r="U2857" i="1" s="1"/>
  <c r="N2858" i="1"/>
  <c r="U2858" i="1" s="1"/>
  <c r="N2859" i="1"/>
  <c r="U2859" i="1" s="1"/>
  <c r="N2860" i="1"/>
  <c r="U2860" i="1" s="1"/>
  <c r="N2861" i="1"/>
  <c r="U2861" i="1" s="1"/>
  <c r="N2862" i="1"/>
  <c r="U2862" i="1" s="1"/>
  <c r="N2863" i="1"/>
  <c r="U2863" i="1" s="1"/>
  <c r="N2864" i="1"/>
  <c r="U2864" i="1" s="1"/>
  <c r="N2865" i="1"/>
  <c r="U2865" i="1" s="1"/>
  <c r="N2866" i="1"/>
  <c r="U2866" i="1" s="1"/>
  <c r="N2867" i="1"/>
  <c r="U2867" i="1" s="1"/>
  <c r="N2868" i="1"/>
  <c r="U2868" i="1" s="1"/>
  <c r="N2869" i="1"/>
  <c r="U2869" i="1" s="1"/>
  <c r="N2870" i="1"/>
  <c r="U2870" i="1" s="1"/>
  <c r="N2871" i="1"/>
  <c r="U2871" i="1" s="1"/>
  <c r="N2872" i="1"/>
  <c r="U2872" i="1" s="1"/>
  <c r="N2873" i="1"/>
  <c r="U2873" i="1" s="1"/>
  <c r="N2874" i="1"/>
  <c r="U2874" i="1" s="1"/>
  <c r="N2875" i="1"/>
  <c r="U2875" i="1" s="1"/>
  <c r="N2876" i="1"/>
  <c r="U2876" i="1" s="1"/>
  <c r="N2877" i="1"/>
  <c r="U2877" i="1" s="1"/>
  <c r="N2878" i="1"/>
  <c r="U2878" i="1" s="1"/>
  <c r="N2879" i="1"/>
  <c r="U2879" i="1" s="1"/>
  <c r="N2880" i="1"/>
  <c r="U2880" i="1" s="1"/>
  <c r="N2881" i="1"/>
  <c r="U2881" i="1" s="1"/>
  <c r="N2882" i="1"/>
  <c r="U2882" i="1" s="1"/>
  <c r="N2883" i="1"/>
  <c r="U2883" i="1" s="1"/>
  <c r="N2884" i="1"/>
  <c r="U2884" i="1" s="1"/>
  <c r="N2885" i="1"/>
  <c r="U2885" i="1" s="1"/>
  <c r="N2886" i="1"/>
  <c r="U2886" i="1" s="1"/>
  <c r="N2887" i="1"/>
  <c r="U2887" i="1" s="1"/>
  <c r="N2888" i="1"/>
  <c r="U2888" i="1" s="1"/>
  <c r="N2889" i="1"/>
  <c r="U2889" i="1" s="1"/>
  <c r="N2890" i="1"/>
  <c r="U2890" i="1" s="1"/>
  <c r="N2891" i="1"/>
  <c r="U2891" i="1" s="1"/>
  <c r="N2892" i="1"/>
  <c r="U2892" i="1" s="1"/>
  <c r="N2893" i="1"/>
  <c r="U2893" i="1" s="1"/>
  <c r="N2894" i="1"/>
  <c r="U2894" i="1" s="1"/>
  <c r="N2895" i="1"/>
  <c r="U2895" i="1" s="1"/>
  <c r="N2896" i="1"/>
  <c r="U2896" i="1" s="1"/>
  <c r="N2897" i="1"/>
  <c r="U2897" i="1" s="1"/>
  <c r="N2898" i="1"/>
  <c r="U2898" i="1" s="1"/>
  <c r="N2899" i="1"/>
  <c r="U2899" i="1" s="1"/>
  <c r="N2900" i="1"/>
  <c r="U2900" i="1" s="1"/>
  <c r="N2901" i="1"/>
  <c r="U2901" i="1" s="1"/>
  <c r="N2902" i="1"/>
  <c r="U2902" i="1" s="1"/>
  <c r="N2903" i="1"/>
  <c r="U2903" i="1" s="1"/>
  <c r="N2904" i="1"/>
  <c r="U2904" i="1" s="1"/>
  <c r="N2905" i="1"/>
  <c r="U2905" i="1" s="1"/>
  <c r="N2906" i="1"/>
  <c r="U2906" i="1" s="1"/>
  <c r="N2907" i="1"/>
  <c r="U2907" i="1" s="1"/>
  <c r="N2908" i="1"/>
  <c r="U2908" i="1" s="1"/>
  <c r="N2909" i="1"/>
  <c r="U2909" i="1" s="1"/>
  <c r="N2910" i="1"/>
  <c r="U2910" i="1" s="1"/>
  <c r="N2911" i="1"/>
  <c r="U2911" i="1" s="1"/>
  <c r="N2912" i="1"/>
  <c r="U2912" i="1" s="1"/>
  <c r="N2913" i="1"/>
  <c r="U2913" i="1" s="1"/>
  <c r="N2914" i="1"/>
  <c r="U2914" i="1" s="1"/>
  <c r="N2915" i="1"/>
  <c r="U2915" i="1" s="1"/>
  <c r="N2916" i="1"/>
  <c r="U2916" i="1" s="1"/>
  <c r="N2917" i="1"/>
  <c r="U2917" i="1" s="1"/>
  <c r="N2918" i="1"/>
  <c r="U2918" i="1" s="1"/>
  <c r="N2919" i="1"/>
  <c r="U2919" i="1" s="1"/>
  <c r="N2920" i="1"/>
  <c r="U2920" i="1" s="1"/>
  <c r="N2921" i="1"/>
  <c r="U2921" i="1" s="1"/>
  <c r="N2922" i="1"/>
  <c r="U2922" i="1" s="1"/>
  <c r="N2923" i="1"/>
  <c r="U2923" i="1" s="1"/>
  <c r="N2924" i="1"/>
  <c r="U2924" i="1" s="1"/>
  <c r="N2925" i="1"/>
  <c r="U2925" i="1" s="1"/>
  <c r="N2926" i="1"/>
  <c r="U2926" i="1" s="1"/>
  <c r="N2927" i="1"/>
  <c r="U2927" i="1" s="1"/>
  <c r="N2928" i="1"/>
  <c r="U2928" i="1" s="1"/>
  <c r="N2929" i="1"/>
  <c r="U2929" i="1" s="1"/>
  <c r="N2930" i="1"/>
  <c r="U2930" i="1" s="1"/>
  <c r="N2931" i="1"/>
  <c r="U2931" i="1" s="1"/>
  <c r="N2932" i="1"/>
  <c r="U2932" i="1" s="1"/>
  <c r="N2933" i="1"/>
  <c r="U2933" i="1" s="1"/>
  <c r="N2934" i="1"/>
  <c r="U2934" i="1" s="1"/>
  <c r="N2935" i="1"/>
  <c r="U2935" i="1" s="1"/>
  <c r="N2936" i="1"/>
  <c r="U2936" i="1" s="1"/>
  <c r="N2937" i="1"/>
  <c r="U2937" i="1" s="1"/>
  <c r="N2938" i="1"/>
  <c r="U2938" i="1" s="1"/>
  <c r="N2939" i="1"/>
  <c r="U2939" i="1" s="1"/>
  <c r="N2940" i="1"/>
  <c r="U2940" i="1" s="1"/>
  <c r="N2941" i="1"/>
  <c r="U2941" i="1" s="1"/>
  <c r="N2942" i="1"/>
  <c r="U2942" i="1" s="1"/>
  <c r="N2943" i="1"/>
  <c r="U2943" i="1" s="1"/>
  <c r="N2944" i="1"/>
  <c r="U2944" i="1" s="1"/>
  <c r="N2945" i="1"/>
  <c r="U2945" i="1" s="1"/>
  <c r="N2946" i="1"/>
  <c r="U2946" i="1" s="1"/>
  <c r="N2947" i="1"/>
  <c r="U2947" i="1" s="1"/>
  <c r="N2948" i="1"/>
  <c r="U2948" i="1" s="1"/>
  <c r="N2949" i="1"/>
  <c r="U2949" i="1" s="1"/>
  <c r="N2950" i="1"/>
  <c r="U2950" i="1" s="1"/>
  <c r="N2951" i="1"/>
  <c r="U2951" i="1" s="1"/>
  <c r="N2952" i="1"/>
  <c r="U2952" i="1" s="1"/>
  <c r="N2953" i="1"/>
  <c r="U2953" i="1" s="1"/>
  <c r="N2954" i="1"/>
  <c r="U2954" i="1" s="1"/>
  <c r="N2955" i="1"/>
  <c r="U2955" i="1" s="1"/>
  <c r="N2956" i="1"/>
  <c r="U2956" i="1" s="1"/>
  <c r="N2957" i="1"/>
  <c r="U2957" i="1" s="1"/>
  <c r="N2958" i="1"/>
  <c r="U2958" i="1" s="1"/>
  <c r="N2959" i="1"/>
  <c r="U2959" i="1" s="1"/>
  <c r="N2960" i="1"/>
  <c r="U2960" i="1" s="1"/>
  <c r="N2961" i="1"/>
  <c r="U2961" i="1" s="1"/>
  <c r="N2962" i="1"/>
  <c r="U2962" i="1" s="1"/>
  <c r="N2963" i="1"/>
  <c r="U2963" i="1" s="1"/>
  <c r="N2964" i="1"/>
  <c r="U2964" i="1" s="1"/>
  <c r="N2965" i="1"/>
  <c r="U2965" i="1" s="1"/>
  <c r="N2966" i="1"/>
  <c r="U2966" i="1" s="1"/>
  <c r="N2967" i="1"/>
  <c r="U2967" i="1" s="1"/>
  <c r="N2968" i="1"/>
  <c r="U2968" i="1" s="1"/>
  <c r="N2969" i="1"/>
  <c r="U2969" i="1" s="1"/>
  <c r="N2970" i="1"/>
  <c r="U2970" i="1" s="1"/>
  <c r="N2971" i="1"/>
  <c r="U2971" i="1" s="1"/>
  <c r="N2972" i="1"/>
  <c r="U2972" i="1" s="1"/>
  <c r="N2973" i="1"/>
  <c r="U2973" i="1" s="1"/>
  <c r="N2974" i="1"/>
  <c r="U2974" i="1" s="1"/>
  <c r="N2975" i="1"/>
  <c r="U2975" i="1" s="1"/>
  <c r="N2976" i="1"/>
  <c r="U2976" i="1" s="1"/>
  <c r="N2977" i="1"/>
  <c r="U2977" i="1" s="1"/>
  <c r="N2978" i="1"/>
  <c r="U2978" i="1" s="1"/>
  <c r="N2979" i="1"/>
  <c r="U2979" i="1" s="1"/>
  <c r="N2980" i="1"/>
  <c r="U2980" i="1" s="1"/>
  <c r="N2981" i="1"/>
  <c r="U2981" i="1" s="1"/>
  <c r="N2982" i="1"/>
  <c r="U2982" i="1" s="1"/>
  <c r="N2983" i="1"/>
  <c r="U2983" i="1" s="1"/>
  <c r="N2984" i="1"/>
  <c r="U2984" i="1" s="1"/>
  <c r="N2985" i="1"/>
  <c r="U2985" i="1" s="1"/>
  <c r="N2986" i="1"/>
  <c r="U2986" i="1" s="1"/>
  <c r="N2987" i="1"/>
  <c r="U2987" i="1" s="1"/>
  <c r="N2988" i="1"/>
  <c r="U2988" i="1" s="1"/>
  <c r="N2989" i="1"/>
  <c r="U2989" i="1" s="1"/>
  <c r="N2990" i="1"/>
  <c r="U2990" i="1" s="1"/>
  <c r="N2991" i="1"/>
  <c r="U2991" i="1" s="1"/>
  <c r="N2992" i="1"/>
  <c r="U2992" i="1" s="1"/>
  <c r="N2993" i="1"/>
  <c r="U2993" i="1" s="1"/>
  <c r="N2994" i="1"/>
  <c r="U2994" i="1" s="1"/>
  <c r="N2995" i="1"/>
  <c r="U2995" i="1" s="1"/>
  <c r="N2996" i="1"/>
  <c r="U2996" i="1" s="1"/>
  <c r="N2997" i="1"/>
  <c r="U2997" i="1" s="1"/>
  <c r="N2998" i="1"/>
  <c r="U2998" i="1" s="1"/>
  <c r="N2999" i="1"/>
  <c r="U2999" i="1" s="1"/>
  <c r="N3000" i="1"/>
  <c r="U3000" i="1" s="1"/>
  <c r="N3001" i="1"/>
  <c r="U3001" i="1" s="1"/>
  <c r="N3002" i="1"/>
  <c r="U3002" i="1" s="1"/>
  <c r="N3003" i="1"/>
  <c r="U3003" i="1" s="1"/>
  <c r="N3004" i="1"/>
  <c r="U3004" i="1" s="1"/>
  <c r="N3005" i="1"/>
  <c r="U3005" i="1" s="1"/>
  <c r="N3006" i="1"/>
  <c r="U3006" i="1" s="1"/>
  <c r="N3007" i="1"/>
  <c r="U3007" i="1" s="1"/>
  <c r="N3008" i="1"/>
  <c r="U3008" i="1" s="1"/>
  <c r="N3009" i="1"/>
  <c r="U3009" i="1" s="1"/>
  <c r="N3010" i="1"/>
  <c r="U3010" i="1" s="1"/>
  <c r="N3011" i="1"/>
  <c r="U3011" i="1" s="1"/>
  <c r="N3012" i="1"/>
  <c r="U3012" i="1" s="1"/>
  <c r="N3013" i="1"/>
  <c r="U3013" i="1" s="1"/>
  <c r="N3014" i="1"/>
  <c r="U3014" i="1" s="1"/>
  <c r="N3015" i="1"/>
  <c r="U3015" i="1" s="1"/>
  <c r="N3016" i="1"/>
  <c r="U3016" i="1" s="1"/>
  <c r="N3017" i="1"/>
  <c r="U3017" i="1" s="1"/>
  <c r="N3018" i="1"/>
  <c r="U3018" i="1" s="1"/>
  <c r="N3019" i="1"/>
  <c r="U3019" i="1" s="1"/>
  <c r="N3020" i="1"/>
  <c r="U3020" i="1" s="1"/>
  <c r="N3021" i="1"/>
  <c r="U3021" i="1" s="1"/>
  <c r="N3022" i="1"/>
  <c r="U3022" i="1" s="1"/>
  <c r="N3023" i="1"/>
  <c r="U3023" i="1" s="1"/>
  <c r="N3024" i="1"/>
  <c r="U3024" i="1" s="1"/>
  <c r="N3025" i="1"/>
  <c r="U3025" i="1" s="1"/>
  <c r="N3026" i="1"/>
  <c r="U3026" i="1" s="1"/>
  <c r="N3027" i="1"/>
  <c r="U3027" i="1" s="1"/>
  <c r="N3028" i="1"/>
  <c r="U3028" i="1" s="1"/>
  <c r="N3029" i="1"/>
  <c r="U3029" i="1" s="1"/>
  <c r="N3030" i="1"/>
  <c r="U3030" i="1" s="1"/>
  <c r="N3031" i="1"/>
  <c r="U3031" i="1" s="1"/>
  <c r="N3032" i="1"/>
  <c r="U3032" i="1" s="1"/>
  <c r="N3033" i="1"/>
  <c r="U3033" i="1" s="1"/>
  <c r="N3034" i="1"/>
  <c r="U3034" i="1" s="1"/>
  <c r="N3035" i="1"/>
  <c r="U3035" i="1" s="1"/>
  <c r="N3036" i="1"/>
  <c r="U3036" i="1" s="1"/>
  <c r="N3037" i="1"/>
  <c r="U3037" i="1" s="1"/>
  <c r="N3038" i="1"/>
  <c r="U3038" i="1" s="1"/>
  <c r="N3039" i="1"/>
  <c r="U3039" i="1" s="1"/>
  <c r="N3040" i="1"/>
  <c r="U3040" i="1" s="1"/>
  <c r="N3041" i="1"/>
  <c r="U3041" i="1" s="1"/>
  <c r="N3042" i="1"/>
  <c r="U3042" i="1" s="1"/>
  <c r="N3043" i="1"/>
  <c r="U3043" i="1" s="1"/>
  <c r="N3044" i="1"/>
  <c r="U3044" i="1" s="1"/>
  <c r="N3045" i="1"/>
  <c r="U3045" i="1" s="1"/>
  <c r="N3046" i="1"/>
  <c r="U3046" i="1" s="1"/>
  <c r="N3047" i="1"/>
  <c r="U3047" i="1" s="1"/>
  <c r="N3048" i="1"/>
  <c r="U3048" i="1" s="1"/>
  <c r="N3049" i="1"/>
  <c r="U3049" i="1" s="1"/>
  <c r="N3050" i="1"/>
  <c r="U3050" i="1" s="1"/>
  <c r="N3051" i="1"/>
  <c r="U3051" i="1" s="1"/>
  <c r="N3052" i="1"/>
  <c r="U3052" i="1" s="1"/>
  <c r="N3053" i="1"/>
  <c r="U3053" i="1" s="1"/>
  <c r="N3054" i="1"/>
  <c r="U3054" i="1" s="1"/>
  <c r="N3055" i="1"/>
  <c r="U3055" i="1" s="1"/>
  <c r="N3056" i="1"/>
  <c r="U3056" i="1" s="1"/>
  <c r="N3057" i="1"/>
  <c r="U3057" i="1" s="1"/>
  <c r="N3058" i="1"/>
  <c r="U3058" i="1" s="1"/>
  <c r="N3059" i="1"/>
  <c r="U3059" i="1" s="1"/>
  <c r="N3060" i="1"/>
  <c r="U3060" i="1" s="1"/>
  <c r="N3061" i="1"/>
  <c r="U3061" i="1" s="1"/>
  <c r="N3062" i="1"/>
  <c r="U3062" i="1" s="1"/>
  <c r="N3063" i="1"/>
  <c r="U3063" i="1" s="1"/>
  <c r="N3064" i="1"/>
  <c r="U3064" i="1" s="1"/>
  <c r="N3065" i="1"/>
  <c r="U3065" i="1" s="1"/>
  <c r="N3066" i="1"/>
  <c r="U3066" i="1" s="1"/>
  <c r="N3067" i="1"/>
  <c r="U3067" i="1" s="1"/>
  <c r="N3068" i="1"/>
  <c r="U3068" i="1" s="1"/>
  <c r="N3069" i="1"/>
  <c r="U3069" i="1" s="1"/>
  <c r="N3070" i="1"/>
  <c r="U3070" i="1" s="1"/>
  <c r="N3071" i="1"/>
  <c r="U3071" i="1" s="1"/>
  <c r="N3072" i="1"/>
  <c r="U3072" i="1" s="1"/>
  <c r="N3073" i="1"/>
  <c r="U3073" i="1" s="1"/>
  <c r="N3074" i="1"/>
  <c r="U3074" i="1" s="1"/>
  <c r="N3075" i="1"/>
  <c r="U3075" i="1" s="1"/>
  <c r="N3076" i="1"/>
  <c r="U3076" i="1" s="1"/>
  <c r="N3077" i="1"/>
  <c r="U3077" i="1" s="1"/>
  <c r="N3078" i="1"/>
  <c r="U3078" i="1" s="1"/>
  <c r="N3079" i="1"/>
  <c r="U3079" i="1" s="1"/>
  <c r="N3080" i="1"/>
  <c r="U3080" i="1" s="1"/>
  <c r="N3081" i="1"/>
  <c r="U3081" i="1" s="1"/>
  <c r="N3082" i="1"/>
  <c r="U3082" i="1" s="1"/>
  <c r="N3083" i="1"/>
  <c r="U3083" i="1" s="1"/>
  <c r="N3084" i="1"/>
  <c r="U3084" i="1" s="1"/>
  <c r="N3085" i="1"/>
  <c r="U3085" i="1" s="1"/>
  <c r="N3086" i="1"/>
  <c r="U3086" i="1" s="1"/>
  <c r="N3087" i="1"/>
  <c r="U3087" i="1" s="1"/>
  <c r="N3088" i="1"/>
  <c r="U3088" i="1" s="1"/>
  <c r="N3089" i="1"/>
  <c r="U3089" i="1" s="1"/>
  <c r="N3090" i="1"/>
  <c r="U3090" i="1" s="1"/>
  <c r="N3091" i="1"/>
  <c r="U3091" i="1" s="1"/>
  <c r="N3092" i="1"/>
  <c r="U3092" i="1" s="1"/>
  <c r="N3093" i="1"/>
  <c r="U3093" i="1" s="1"/>
  <c r="N3094" i="1"/>
  <c r="U3094" i="1" s="1"/>
  <c r="N3095" i="1"/>
  <c r="U3095" i="1" s="1"/>
  <c r="N3096" i="1"/>
  <c r="U3096" i="1" s="1"/>
  <c r="N3097" i="1"/>
  <c r="U3097" i="1" s="1"/>
  <c r="N3098" i="1"/>
  <c r="U3098" i="1" s="1"/>
  <c r="N3099" i="1"/>
  <c r="U3099" i="1" s="1"/>
  <c r="N3100" i="1"/>
  <c r="U3100" i="1" s="1"/>
  <c r="N3101" i="1"/>
  <c r="U3101" i="1" s="1"/>
  <c r="N3102" i="1"/>
  <c r="U3102" i="1" s="1"/>
  <c r="N3103" i="1"/>
  <c r="U3103" i="1" s="1"/>
  <c r="N3104" i="1"/>
  <c r="U3104" i="1" s="1"/>
  <c r="N3105" i="1"/>
  <c r="U3105" i="1" s="1"/>
  <c r="N3106" i="1"/>
  <c r="U3106" i="1" s="1"/>
  <c r="N3107" i="1"/>
  <c r="U3107" i="1" s="1"/>
  <c r="N3108" i="1"/>
  <c r="U3108" i="1" s="1"/>
  <c r="N3109" i="1"/>
  <c r="U3109" i="1" s="1"/>
  <c r="N3110" i="1"/>
  <c r="U3110" i="1" s="1"/>
  <c r="N3111" i="1"/>
  <c r="U3111" i="1" s="1"/>
  <c r="N3112" i="1"/>
  <c r="U3112" i="1" s="1"/>
  <c r="N3113" i="1"/>
  <c r="U3113" i="1" s="1"/>
  <c r="N3114" i="1"/>
  <c r="U3114" i="1" s="1"/>
  <c r="N3115" i="1"/>
  <c r="U3115" i="1" s="1"/>
  <c r="N3116" i="1"/>
  <c r="U3116" i="1" s="1"/>
  <c r="N3117" i="1"/>
  <c r="U3117" i="1" s="1"/>
  <c r="N3118" i="1"/>
  <c r="U3118" i="1" s="1"/>
  <c r="N3119" i="1"/>
  <c r="U3119" i="1" s="1"/>
  <c r="N3120" i="1"/>
  <c r="U3120" i="1" s="1"/>
  <c r="N3121" i="1"/>
  <c r="U3121" i="1" s="1"/>
  <c r="N3122" i="1"/>
  <c r="U3122" i="1" s="1"/>
  <c r="N3123" i="1"/>
  <c r="U3123" i="1" s="1"/>
  <c r="N3124" i="1"/>
  <c r="U3124" i="1" s="1"/>
  <c r="N3125" i="1"/>
  <c r="U3125" i="1" s="1"/>
  <c r="N3126" i="1"/>
  <c r="U3126" i="1" s="1"/>
  <c r="N3127" i="1"/>
  <c r="U3127" i="1" s="1"/>
  <c r="N3128" i="1"/>
  <c r="U3128" i="1" s="1"/>
  <c r="N3129" i="1"/>
  <c r="U3129" i="1" s="1"/>
  <c r="N3130" i="1"/>
  <c r="U3130" i="1" s="1"/>
  <c r="N3131" i="1"/>
  <c r="U3131" i="1" s="1"/>
  <c r="N3132" i="1"/>
  <c r="U3132" i="1" s="1"/>
  <c r="N3133" i="1"/>
  <c r="U3133" i="1" s="1"/>
  <c r="N3134" i="1"/>
  <c r="U3134" i="1" s="1"/>
  <c r="N3135" i="1"/>
  <c r="U3135" i="1" s="1"/>
  <c r="N3136" i="1"/>
  <c r="U3136" i="1" s="1"/>
  <c r="N3137" i="1"/>
  <c r="U3137" i="1" s="1"/>
  <c r="N3138" i="1"/>
  <c r="U3138" i="1" s="1"/>
  <c r="N3139" i="1"/>
  <c r="N3140" i="1"/>
  <c r="U3140" i="1" s="1"/>
  <c r="N3141" i="1"/>
  <c r="U3141" i="1" s="1"/>
  <c r="N3142" i="1"/>
  <c r="U3142" i="1" s="1"/>
  <c r="N3143" i="1"/>
  <c r="U3143" i="1" s="1"/>
  <c r="N3144" i="1"/>
  <c r="U3144" i="1" s="1"/>
  <c r="N3145" i="1"/>
  <c r="U3145" i="1" s="1"/>
  <c r="N3146" i="1"/>
  <c r="U3146" i="1" s="1"/>
  <c r="N3147" i="1"/>
  <c r="U3147" i="1" s="1"/>
  <c r="N3148" i="1"/>
  <c r="U3148" i="1" s="1"/>
  <c r="N3149" i="1"/>
  <c r="U3149" i="1" s="1"/>
  <c r="N3150" i="1"/>
  <c r="U3150" i="1" s="1"/>
  <c r="N3151" i="1"/>
  <c r="U3151" i="1" s="1"/>
  <c r="N3152" i="1"/>
  <c r="U3152" i="1" s="1"/>
  <c r="N3153" i="1"/>
  <c r="U3153" i="1" s="1"/>
  <c r="N3154" i="1"/>
  <c r="U3154" i="1" s="1"/>
  <c r="N3155" i="1"/>
  <c r="U3155" i="1" s="1"/>
  <c r="N3156" i="1"/>
  <c r="U3156" i="1" s="1"/>
  <c r="N3157" i="1"/>
  <c r="U3157" i="1" s="1"/>
  <c r="N3158" i="1"/>
  <c r="U3158" i="1" s="1"/>
  <c r="N3159" i="1"/>
  <c r="U3159" i="1" s="1"/>
  <c r="N3160" i="1"/>
  <c r="U3160" i="1" s="1"/>
  <c r="N3161" i="1"/>
  <c r="U3161" i="1" s="1"/>
  <c r="N3162" i="1"/>
  <c r="U3162" i="1" s="1"/>
  <c r="N3163" i="1"/>
  <c r="U3163" i="1" s="1"/>
  <c r="N3164" i="1"/>
  <c r="U3164" i="1" s="1"/>
  <c r="N3165" i="1"/>
  <c r="U3165" i="1" s="1"/>
  <c r="N3166" i="1"/>
  <c r="U3166" i="1" s="1"/>
  <c r="N3167" i="1"/>
  <c r="U3167" i="1" s="1"/>
  <c r="N3168" i="1"/>
  <c r="U3168" i="1" s="1"/>
  <c r="N3169" i="1"/>
  <c r="U3169" i="1" s="1"/>
  <c r="N3170" i="1"/>
  <c r="U3170" i="1" s="1"/>
  <c r="N3171" i="1"/>
  <c r="U3171" i="1" s="1"/>
  <c r="N3172" i="1"/>
  <c r="U3172" i="1" s="1"/>
  <c r="N3173" i="1"/>
  <c r="U3173" i="1" s="1"/>
  <c r="N3174" i="1"/>
  <c r="U3174" i="1" s="1"/>
  <c r="N3175" i="1"/>
  <c r="U3175" i="1" s="1"/>
  <c r="N3176" i="1"/>
  <c r="U3176" i="1" s="1"/>
  <c r="N3177" i="1"/>
  <c r="U3177" i="1" s="1"/>
  <c r="N3178" i="1"/>
  <c r="U3178" i="1" s="1"/>
  <c r="N3179" i="1"/>
  <c r="U3179" i="1" s="1"/>
  <c r="N3180" i="1"/>
  <c r="U3180" i="1" s="1"/>
  <c r="N3181" i="1"/>
  <c r="U3181" i="1" s="1"/>
  <c r="N3182" i="1"/>
  <c r="U3182" i="1" s="1"/>
  <c r="N3183" i="1"/>
  <c r="U3183" i="1" s="1"/>
  <c r="N3184" i="1"/>
  <c r="U3184" i="1" s="1"/>
  <c r="N3185" i="1"/>
  <c r="U3185" i="1" s="1"/>
  <c r="N3186" i="1"/>
  <c r="U3186" i="1" s="1"/>
  <c r="N3187" i="1"/>
  <c r="U3187" i="1" s="1"/>
  <c r="N3188" i="1"/>
  <c r="U3188" i="1" s="1"/>
  <c r="N3189" i="1"/>
  <c r="U3189" i="1" s="1"/>
  <c r="N3190" i="1"/>
  <c r="U3190" i="1" s="1"/>
  <c r="N3191" i="1"/>
  <c r="U3191" i="1" s="1"/>
  <c r="N3192" i="1"/>
  <c r="U3192" i="1" s="1"/>
  <c r="N3193" i="1"/>
  <c r="U3193" i="1" s="1"/>
  <c r="N3194" i="1"/>
  <c r="U3194" i="1" s="1"/>
  <c r="N3195" i="1"/>
  <c r="U3195" i="1" s="1"/>
  <c r="N3196" i="1"/>
  <c r="U3196" i="1" s="1"/>
  <c r="N3197" i="1"/>
  <c r="U3197" i="1" s="1"/>
  <c r="N3198" i="1"/>
  <c r="U3198" i="1" s="1"/>
  <c r="N3199" i="1"/>
  <c r="U3199" i="1" s="1"/>
  <c r="N3200" i="1"/>
  <c r="U3200" i="1" s="1"/>
  <c r="N3201" i="1"/>
  <c r="U3201" i="1" s="1"/>
  <c r="N3202" i="1"/>
  <c r="U3202" i="1" s="1"/>
  <c r="N3203" i="1"/>
  <c r="U3203" i="1" s="1"/>
  <c r="N3204" i="1"/>
  <c r="U3204" i="1" s="1"/>
  <c r="N3205" i="1"/>
  <c r="U3205" i="1" s="1"/>
  <c r="N3206" i="1"/>
  <c r="U3206" i="1" s="1"/>
  <c r="N3207" i="1"/>
  <c r="U3207" i="1" s="1"/>
  <c r="N3208" i="1"/>
  <c r="U3208" i="1" s="1"/>
  <c r="N3209" i="1"/>
  <c r="U3209" i="1" s="1"/>
  <c r="N3210" i="1"/>
  <c r="U3210" i="1" s="1"/>
  <c r="N3211" i="1"/>
  <c r="U3211" i="1" s="1"/>
  <c r="N3212" i="1"/>
  <c r="U3212" i="1" s="1"/>
  <c r="N3213" i="1"/>
  <c r="U3213" i="1" s="1"/>
  <c r="N3214" i="1"/>
  <c r="U3214" i="1" s="1"/>
  <c r="N3215" i="1"/>
  <c r="U3215" i="1" s="1"/>
  <c r="N3216" i="1"/>
  <c r="U3216" i="1" s="1"/>
  <c r="N3217" i="1"/>
  <c r="U3217" i="1" s="1"/>
  <c r="N3218" i="1"/>
  <c r="U3218" i="1" s="1"/>
  <c r="N3219" i="1"/>
  <c r="U3219" i="1" s="1"/>
  <c r="N3220" i="1"/>
  <c r="U3220" i="1" s="1"/>
  <c r="N3221" i="1"/>
  <c r="U3221" i="1" s="1"/>
  <c r="N3222" i="1"/>
  <c r="U3222" i="1" s="1"/>
  <c r="N3223" i="1"/>
  <c r="U3223" i="1" s="1"/>
  <c r="N3224" i="1"/>
  <c r="U3224" i="1" s="1"/>
  <c r="N3225" i="1"/>
  <c r="U3225" i="1" s="1"/>
  <c r="N3226" i="1"/>
  <c r="U3226" i="1" s="1"/>
  <c r="N3227" i="1"/>
  <c r="U3227" i="1" s="1"/>
  <c r="N3228" i="1"/>
  <c r="U3228" i="1" s="1"/>
  <c r="N3229" i="1"/>
  <c r="U3229" i="1" s="1"/>
  <c r="N3230" i="1"/>
  <c r="U3230" i="1" s="1"/>
  <c r="N3231" i="1"/>
  <c r="U3231" i="1" s="1"/>
  <c r="N3232" i="1"/>
  <c r="U3232" i="1" s="1"/>
  <c r="N3233" i="1"/>
  <c r="U3233" i="1" s="1"/>
  <c r="N3234" i="1"/>
  <c r="U3234" i="1" s="1"/>
  <c r="N3235" i="1"/>
  <c r="U3235" i="1" s="1"/>
  <c r="N3236" i="1"/>
  <c r="U3236" i="1" s="1"/>
  <c r="N3237" i="1"/>
  <c r="U3237" i="1" s="1"/>
  <c r="N3238" i="1"/>
  <c r="U3238" i="1" s="1"/>
  <c r="N3239" i="1"/>
  <c r="U3239" i="1" s="1"/>
  <c r="N3240" i="1"/>
  <c r="U3240" i="1" s="1"/>
  <c r="N3241" i="1"/>
  <c r="U3241" i="1" s="1"/>
  <c r="N3242" i="1"/>
  <c r="U3242" i="1" s="1"/>
  <c r="N3243" i="1"/>
  <c r="U3243" i="1" s="1"/>
  <c r="N3244" i="1"/>
  <c r="U3244" i="1" s="1"/>
  <c r="N3245" i="1"/>
  <c r="U3245" i="1" s="1"/>
  <c r="N3246" i="1"/>
  <c r="U3246" i="1" s="1"/>
  <c r="N3247" i="1"/>
  <c r="U3247" i="1" s="1"/>
  <c r="N3248" i="1"/>
  <c r="U3248" i="1" s="1"/>
  <c r="N3249" i="1"/>
  <c r="U3249" i="1" s="1"/>
  <c r="N3250" i="1"/>
  <c r="U3250" i="1" s="1"/>
  <c r="N3251" i="1"/>
  <c r="U3251" i="1" s="1"/>
  <c r="N3252" i="1"/>
  <c r="U3252" i="1" s="1"/>
  <c r="N3253" i="1"/>
  <c r="U3253" i="1" s="1"/>
  <c r="N3254" i="1"/>
  <c r="U3254" i="1" s="1"/>
  <c r="N3255" i="1"/>
  <c r="U3255" i="1" s="1"/>
  <c r="N3256" i="1"/>
  <c r="U3256" i="1" s="1"/>
  <c r="N3257" i="1"/>
  <c r="U3257" i="1" s="1"/>
  <c r="N3258" i="1"/>
  <c r="U3258" i="1" s="1"/>
  <c r="N3259" i="1"/>
  <c r="U3259" i="1" s="1"/>
  <c r="N3260" i="1"/>
  <c r="U3260" i="1" s="1"/>
  <c r="N3261" i="1"/>
  <c r="U3261" i="1" s="1"/>
  <c r="N3262" i="1"/>
  <c r="U3262" i="1" s="1"/>
  <c r="N3263" i="1"/>
  <c r="U3263" i="1" s="1"/>
  <c r="N3264" i="1"/>
  <c r="U3264" i="1" s="1"/>
  <c r="N3265" i="1"/>
  <c r="U3265" i="1" s="1"/>
  <c r="N3266" i="1"/>
  <c r="U3266" i="1" s="1"/>
  <c r="N3267" i="1"/>
  <c r="U3267" i="1" s="1"/>
  <c r="N3268" i="1"/>
  <c r="U3268" i="1" s="1"/>
  <c r="N3269" i="1"/>
  <c r="U3269" i="1" s="1"/>
  <c r="N3270" i="1"/>
  <c r="U3270" i="1" s="1"/>
  <c r="N3271" i="1"/>
  <c r="U3271" i="1" s="1"/>
  <c r="N3272" i="1"/>
  <c r="U3272" i="1" s="1"/>
  <c r="N3273" i="1"/>
  <c r="U3273" i="1" s="1"/>
  <c r="N3274" i="1"/>
  <c r="U3274" i="1" s="1"/>
  <c r="N3275" i="1"/>
  <c r="U3275" i="1" s="1"/>
  <c r="N3276" i="1"/>
  <c r="U3276" i="1" s="1"/>
  <c r="N3277" i="1"/>
  <c r="U3277" i="1" s="1"/>
  <c r="N3278" i="1"/>
  <c r="U3278" i="1" s="1"/>
  <c r="N3279" i="1"/>
  <c r="U3279" i="1" s="1"/>
  <c r="N3280" i="1"/>
  <c r="U3280" i="1" s="1"/>
  <c r="N3281" i="1"/>
  <c r="U3281" i="1" s="1"/>
  <c r="N3282" i="1"/>
  <c r="U3282" i="1" s="1"/>
  <c r="N3283" i="1"/>
  <c r="U3283" i="1" s="1"/>
  <c r="N3284" i="1"/>
  <c r="U3284" i="1" s="1"/>
  <c r="N3285" i="1"/>
  <c r="U3285" i="1" s="1"/>
  <c r="N3286" i="1"/>
  <c r="U3286" i="1" s="1"/>
  <c r="N3287" i="1"/>
  <c r="U3287" i="1" s="1"/>
  <c r="N3288" i="1"/>
  <c r="U3288" i="1" s="1"/>
  <c r="N3289" i="1"/>
  <c r="U3289" i="1" s="1"/>
  <c r="N3290" i="1"/>
  <c r="U3290" i="1" s="1"/>
  <c r="N3291" i="1"/>
  <c r="U3291" i="1" s="1"/>
  <c r="N3292" i="1"/>
  <c r="U3292" i="1" s="1"/>
  <c r="N3293" i="1"/>
  <c r="U3293" i="1" s="1"/>
  <c r="N3294" i="1"/>
  <c r="U3294" i="1" s="1"/>
  <c r="N3295" i="1"/>
  <c r="U3295" i="1" s="1"/>
  <c r="N3296" i="1"/>
  <c r="U3296" i="1" s="1"/>
  <c r="N3297" i="1"/>
  <c r="U3297" i="1" s="1"/>
  <c r="N3298" i="1"/>
  <c r="U3298" i="1" s="1"/>
  <c r="N3299" i="1"/>
  <c r="U3299" i="1" s="1"/>
  <c r="N3300" i="1"/>
  <c r="U3300" i="1" s="1"/>
  <c r="N3301" i="1"/>
  <c r="U3301" i="1" s="1"/>
  <c r="N3302" i="1"/>
  <c r="U3302" i="1" s="1"/>
  <c r="N3303" i="1"/>
  <c r="U3303" i="1" s="1"/>
  <c r="N3304" i="1"/>
  <c r="U3304" i="1" s="1"/>
  <c r="N3305" i="1"/>
  <c r="U3305" i="1" s="1"/>
  <c r="N3306" i="1"/>
  <c r="U3306" i="1" s="1"/>
  <c r="N3307" i="1"/>
  <c r="U3307" i="1" s="1"/>
  <c r="N3308" i="1"/>
  <c r="U3308" i="1" s="1"/>
  <c r="N3309" i="1"/>
  <c r="U3309" i="1" s="1"/>
  <c r="N3310" i="1"/>
  <c r="U3310" i="1" s="1"/>
  <c r="N3311" i="1"/>
  <c r="U3311" i="1" s="1"/>
  <c r="N3312" i="1"/>
  <c r="U3312" i="1" s="1"/>
  <c r="N3313" i="1"/>
  <c r="U3313" i="1" s="1"/>
  <c r="N3314" i="1"/>
  <c r="U3314" i="1" s="1"/>
  <c r="N3315" i="1"/>
  <c r="U3315" i="1" s="1"/>
  <c r="N3316" i="1"/>
  <c r="U3316" i="1" s="1"/>
  <c r="N3317" i="1"/>
  <c r="U3317" i="1" s="1"/>
  <c r="N3318" i="1"/>
  <c r="U3318" i="1" s="1"/>
  <c r="N3319" i="1"/>
  <c r="U3319" i="1" s="1"/>
  <c r="N3320" i="1"/>
  <c r="U3320" i="1" s="1"/>
  <c r="N3321" i="1"/>
  <c r="U3321" i="1" s="1"/>
  <c r="N3322" i="1"/>
  <c r="U3322" i="1" s="1"/>
  <c r="N3323" i="1"/>
  <c r="U3323" i="1" s="1"/>
  <c r="N3324" i="1"/>
  <c r="U3324" i="1" s="1"/>
  <c r="N3325" i="1"/>
  <c r="U3325" i="1" s="1"/>
  <c r="N3326" i="1"/>
  <c r="U3326" i="1" s="1"/>
  <c r="N3327" i="1"/>
  <c r="U3327" i="1" s="1"/>
  <c r="N3328" i="1"/>
  <c r="U3328" i="1" s="1"/>
  <c r="N3329" i="1"/>
  <c r="U3329" i="1" s="1"/>
  <c r="N3330" i="1"/>
  <c r="U3330" i="1" s="1"/>
  <c r="N3331" i="1"/>
  <c r="U3331" i="1" s="1"/>
  <c r="N3332" i="1"/>
  <c r="U3332" i="1" s="1"/>
  <c r="N3333" i="1"/>
  <c r="U3333" i="1" s="1"/>
  <c r="N3334" i="1"/>
  <c r="U3334" i="1" s="1"/>
  <c r="N3335" i="1"/>
  <c r="U3335" i="1" s="1"/>
  <c r="N3336" i="1"/>
  <c r="U3336" i="1" s="1"/>
  <c r="N3337" i="1"/>
  <c r="U3337" i="1" s="1"/>
  <c r="N3338" i="1"/>
  <c r="U3338" i="1" s="1"/>
  <c r="N3339" i="1"/>
  <c r="U3339" i="1" s="1"/>
  <c r="N3340" i="1"/>
  <c r="U3340" i="1" s="1"/>
  <c r="N3341" i="1"/>
  <c r="U3341" i="1" s="1"/>
  <c r="N3342" i="1"/>
  <c r="U3342" i="1" s="1"/>
  <c r="N3343" i="1"/>
  <c r="U3343" i="1" s="1"/>
  <c r="N3344" i="1"/>
  <c r="U3344" i="1" s="1"/>
  <c r="N3345" i="1"/>
  <c r="U3345" i="1" s="1"/>
  <c r="N3346" i="1"/>
  <c r="U3346" i="1" s="1"/>
  <c r="N3347" i="1"/>
  <c r="U3347" i="1" s="1"/>
  <c r="N3348" i="1"/>
  <c r="U3348" i="1" s="1"/>
  <c r="N3349" i="1"/>
  <c r="U3349" i="1" s="1"/>
  <c r="N3350" i="1"/>
  <c r="U3350" i="1" s="1"/>
  <c r="N3351" i="1"/>
  <c r="U3351" i="1" s="1"/>
  <c r="N3352" i="1"/>
  <c r="U3352" i="1" s="1"/>
  <c r="N3353" i="1"/>
  <c r="U3353" i="1" s="1"/>
  <c r="N3354" i="1"/>
  <c r="U3354" i="1" s="1"/>
  <c r="N3355" i="1"/>
  <c r="U3355" i="1" s="1"/>
  <c r="N3356" i="1"/>
  <c r="U3356" i="1" s="1"/>
  <c r="N3357" i="1"/>
  <c r="U3357" i="1" s="1"/>
  <c r="N3358" i="1"/>
  <c r="U3358" i="1" s="1"/>
  <c r="N3359" i="1"/>
  <c r="U3359" i="1" s="1"/>
  <c r="N3360" i="1"/>
  <c r="U3360" i="1" s="1"/>
  <c r="N3361" i="1"/>
  <c r="U3361" i="1" s="1"/>
  <c r="N3362" i="1"/>
  <c r="U3362" i="1" s="1"/>
  <c r="N3363" i="1"/>
  <c r="U3363" i="1" s="1"/>
  <c r="N3364" i="1"/>
  <c r="U3364" i="1" s="1"/>
  <c r="N3365" i="1"/>
  <c r="U3365" i="1" s="1"/>
  <c r="N3366" i="1"/>
  <c r="U3366" i="1" s="1"/>
  <c r="N3367" i="1"/>
  <c r="U3367" i="1" s="1"/>
  <c r="N3368" i="1"/>
  <c r="U3368" i="1" s="1"/>
  <c r="N3369" i="1"/>
  <c r="U3369" i="1" s="1"/>
  <c r="N3370" i="1"/>
  <c r="U3370" i="1" s="1"/>
  <c r="N3371" i="1"/>
  <c r="U3371" i="1" s="1"/>
  <c r="N3372" i="1"/>
  <c r="U3372" i="1" s="1"/>
  <c r="N3373" i="1"/>
  <c r="U3373" i="1" s="1"/>
  <c r="N3374" i="1"/>
  <c r="U3374" i="1" s="1"/>
  <c r="N3375" i="1"/>
  <c r="U3375" i="1" s="1"/>
  <c r="N3376" i="1"/>
  <c r="U3376" i="1" s="1"/>
  <c r="N3377" i="1"/>
  <c r="U3377" i="1" s="1"/>
  <c r="N3378" i="1"/>
  <c r="U3378" i="1" s="1"/>
  <c r="N3379" i="1"/>
  <c r="U3379" i="1" s="1"/>
  <c r="N3380" i="1"/>
  <c r="U3380" i="1" s="1"/>
  <c r="N3381" i="1"/>
  <c r="U3381" i="1" s="1"/>
  <c r="N3382" i="1"/>
  <c r="U3382" i="1" s="1"/>
  <c r="N3383" i="1"/>
  <c r="U3383" i="1" s="1"/>
  <c r="N3384" i="1"/>
  <c r="U3384" i="1" s="1"/>
  <c r="N3385" i="1"/>
  <c r="U3385" i="1" s="1"/>
  <c r="N3386" i="1"/>
  <c r="U3386" i="1" s="1"/>
  <c r="N3387" i="1"/>
  <c r="U3387" i="1" s="1"/>
  <c r="N3388" i="1"/>
  <c r="U3388" i="1" s="1"/>
  <c r="N3389" i="1"/>
  <c r="U3389" i="1" s="1"/>
  <c r="N3390" i="1"/>
  <c r="U3390" i="1" s="1"/>
  <c r="N3391" i="1"/>
  <c r="U3391" i="1" s="1"/>
  <c r="N3392" i="1"/>
  <c r="U3392" i="1" s="1"/>
  <c r="N3393" i="1"/>
  <c r="U3393" i="1" s="1"/>
  <c r="N3394" i="1"/>
  <c r="U3394" i="1" s="1"/>
  <c r="N3395" i="1"/>
  <c r="U3395" i="1" s="1"/>
  <c r="N3396" i="1"/>
  <c r="U3396" i="1" s="1"/>
  <c r="N3397" i="1"/>
  <c r="U3397" i="1" s="1"/>
  <c r="N3398" i="1"/>
  <c r="U3398" i="1" s="1"/>
  <c r="N3399" i="1"/>
  <c r="U3399" i="1" s="1"/>
  <c r="N3400" i="1"/>
  <c r="U3400" i="1" s="1"/>
  <c r="N3401" i="1"/>
  <c r="U3401" i="1" s="1"/>
  <c r="N3402" i="1"/>
  <c r="U3402" i="1" s="1"/>
  <c r="N3403" i="1"/>
  <c r="U3403" i="1" s="1"/>
  <c r="N3404" i="1"/>
  <c r="U3404" i="1" s="1"/>
  <c r="N3405" i="1"/>
  <c r="U3405" i="1" s="1"/>
  <c r="N3406" i="1"/>
  <c r="U3406" i="1" s="1"/>
  <c r="N3407" i="1"/>
  <c r="U3407" i="1" s="1"/>
  <c r="N3408" i="1"/>
  <c r="U3408" i="1" s="1"/>
  <c r="N3409" i="1"/>
  <c r="U3409" i="1" s="1"/>
  <c r="N3410" i="1"/>
  <c r="U3410" i="1" s="1"/>
  <c r="N3411" i="1"/>
  <c r="U3411" i="1" s="1"/>
  <c r="N3412" i="1"/>
  <c r="U3412" i="1" s="1"/>
  <c r="N3413" i="1"/>
  <c r="U3413" i="1" s="1"/>
  <c r="N3414" i="1"/>
  <c r="U3414" i="1" s="1"/>
  <c r="N3415" i="1"/>
  <c r="U3415" i="1" s="1"/>
  <c r="N3416" i="1"/>
  <c r="U3416" i="1" s="1"/>
  <c r="N3417" i="1"/>
  <c r="U3417" i="1" s="1"/>
  <c r="N3418" i="1"/>
  <c r="U3418" i="1" s="1"/>
  <c r="N3419" i="1"/>
  <c r="U3419" i="1" s="1"/>
  <c r="N3420" i="1"/>
  <c r="U3420" i="1" s="1"/>
  <c r="N3421" i="1"/>
  <c r="U3421" i="1" s="1"/>
  <c r="N3422" i="1"/>
  <c r="U3422" i="1" s="1"/>
  <c r="N3423" i="1"/>
  <c r="U3423" i="1" s="1"/>
  <c r="N3424" i="1"/>
  <c r="U3424" i="1" s="1"/>
  <c r="N3425" i="1"/>
  <c r="U3425" i="1" s="1"/>
  <c r="N3426" i="1"/>
  <c r="U3426" i="1" s="1"/>
  <c r="N3427" i="1"/>
  <c r="U3427" i="1" s="1"/>
  <c r="N3428" i="1"/>
  <c r="U3428" i="1" s="1"/>
  <c r="N3429" i="1"/>
  <c r="U3429" i="1" s="1"/>
  <c r="N3430" i="1"/>
  <c r="U3430" i="1" s="1"/>
  <c r="N3431" i="1"/>
  <c r="U3431" i="1" s="1"/>
  <c r="N3432" i="1"/>
  <c r="U3432" i="1" s="1"/>
  <c r="N3433" i="1"/>
  <c r="U3433" i="1" s="1"/>
  <c r="N3434" i="1"/>
  <c r="U3434" i="1" s="1"/>
  <c r="N3435" i="1"/>
  <c r="U3435" i="1" s="1"/>
  <c r="N3436" i="1"/>
  <c r="U3436" i="1" s="1"/>
  <c r="N3437" i="1"/>
  <c r="U3437" i="1" s="1"/>
  <c r="N3438" i="1"/>
  <c r="U3438" i="1" s="1"/>
  <c r="N3439" i="1"/>
  <c r="U3439" i="1" s="1"/>
  <c r="N3440" i="1"/>
  <c r="N3441" i="1"/>
  <c r="U3441" i="1" s="1"/>
  <c r="N3442" i="1"/>
  <c r="U3442" i="1" s="1"/>
  <c r="N3443" i="1"/>
  <c r="U3443" i="1" s="1"/>
  <c r="N3444" i="1"/>
  <c r="U3444" i="1" s="1"/>
  <c r="N3445" i="1"/>
  <c r="U3445" i="1" s="1"/>
  <c r="N3446" i="1"/>
  <c r="U3446" i="1" s="1"/>
  <c r="N3447" i="1"/>
  <c r="U3447" i="1" s="1"/>
  <c r="N3448" i="1"/>
  <c r="U3448" i="1" s="1"/>
  <c r="N3449" i="1"/>
  <c r="U3449" i="1" s="1"/>
  <c r="N3450" i="1"/>
  <c r="U3450" i="1" s="1"/>
  <c r="N3451" i="1"/>
  <c r="U3451" i="1" s="1"/>
  <c r="N3452" i="1"/>
  <c r="U3452" i="1" s="1"/>
  <c r="N3453" i="1"/>
  <c r="U3453" i="1" s="1"/>
  <c r="N3454" i="1"/>
  <c r="U3454" i="1" s="1"/>
  <c r="N3455" i="1"/>
  <c r="U3455" i="1" s="1"/>
  <c r="N3456" i="1"/>
  <c r="U3456" i="1" s="1"/>
  <c r="N3457" i="1"/>
  <c r="U3457" i="1" s="1"/>
  <c r="N3458" i="1"/>
  <c r="U3458" i="1" s="1"/>
  <c r="N3459" i="1"/>
  <c r="U3459" i="1" s="1"/>
  <c r="N3460" i="1"/>
  <c r="U3460" i="1" s="1"/>
  <c r="N3461" i="1"/>
  <c r="U3461" i="1" s="1"/>
  <c r="N3462" i="1"/>
  <c r="U3462" i="1" s="1"/>
  <c r="N3463" i="1"/>
  <c r="U3463" i="1" s="1"/>
  <c r="N3464" i="1"/>
  <c r="U3464" i="1" s="1"/>
  <c r="N3465" i="1"/>
  <c r="U3465" i="1" s="1"/>
  <c r="N3466" i="1"/>
  <c r="U3466" i="1" s="1"/>
  <c r="N3467" i="1"/>
  <c r="U3467" i="1" s="1"/>
  <c r="N3468" i="1"/>
  <c r="U3468" i="1" s="1"/>
  <c r="N3469" i="1"/>
  <c r="U3469" i="1" s="1"/>
  <c r="N3470" i="1"/>
  <c r="U3470" i="1" s="1"/>
  <c r="N3471" i="1"/>
  <c r="U3471" i="1" s="1"/>
  <c r="N3472" i="1"/>
  <c r="U3472" i="1" s="1"/>
  <c r="N3473" i="1"/>
  <c r="U3473" i="1" s="1"/>
  <c r="N3474" i="1"/>
  <c r="U3474" i="1" s="1"/>
  <c r="N3475" i="1"/>
  <c r="U3475" i="1" s="1"/>
  <c r="N3476" i="1"/>
  <c r="U3476" i="1" s="1"/>
  <c r="N3477" i="1"/>
  <c r="U3477" i="1" s="1"/>
  <c r="N3478" i="1"/>
  <c r="U3478" i="1" s="1"/>
  <c r="N3479" i="1"/>
  <c r="U3479" i="1" s="1"/>
  <c r="N3480" i="1"/>
  <c r="U3480" i="1" s="1"/>
  <c r="N3481" i="1"/>
  <c r="U3481" i="1" s="1"/>
  <c r="N3482" i="1"/>
  <c r="U3482" i="1" s="1"/>
  <c r="N3483" i="1"/>
  <c r="U3483" i="1" s="1"/>
  <c r="N3484" i="1"/>
  <c r="U3484" i="1" s="1"/>
  <c r="N3485" i="1"/>
  <c r="U3485" i="1" s="1"/>
  <c r="N3486" i="1"/>
  <c r="U3486" i="1" s="1"/>
  <c r="N3487" i="1"/>
  <c r="U3487" i="1" s="1"/>
  <c r="N3488" i="1"/>
  <c r="U3488" i="1" s="1"/>
  <c r="N3489" i="1"/>
  <c r="U3489" i="1" s="1"/>
  <c r="N3490" i="1"/>
  <c r="U3490" i="1" s="1"/>
  <c r="N3491" i="1"/>
  <c r="U3491" i="1" s="1"/>
  <c r="N3492" i="1"/>
  <c r="U3492" i="1" s="1"/>
  <c r="N3493" i="1"/>
  <c r="U3493" i="1" s="1"/>
  <c r="N3494" i="1"/>
  <c r="U3494" i="1" s="1"/>
  <c r="N3495" i="1"/>
  <c r="U3495" i="1" s="1"/>
  <c r="N3496" i="1"/>
  <c r="U3496" i="1" s="1"/>
  <c r="N3497" i="1"/>
  <c r="U3497" i="1" s="1"/>
  <c r="N3498" i="1"/>
  <c r="U3498" i="1" s="1"/>
  <c r="N3499" i="1"/>
  <c r="U3499" i="1" s="1"/>
  <c r="N3500" i="1"/>
  <c r="U3500" i="1" s="1"/>
  <c r="N3501" i="1"/>
  <c r="U3501" i="1" s="1"/>
  <c r="N3502" i="1"/>
  <c r="U3502" i="1" s="1"/>
  <c r="N3503" i="1"/>
  <c r="U3503" i="1" s="1"/>
  <c r="N3504" i="1"/>
  <c r="U3504" i="1" s="1"/>
  <c r="N3505" i="1"/>
  <c r="U3505" i="1" s="1"/>
  <c r="N3506" i="1"/>
  <c r="U3506" i="1" s="1"/>
  <c r="N3507" i="1"/>
  <c r="U3507" i="1" s="1"/>
  <c r="N3508" i="1"/>
  <c r="U3508" i="1" s="1"/>
  <c r="N3509" i="1"/>
  <c r="U3509" i="1" s="1"/>
  <c r="N3510" i="1"/>
  <c r="U3510" i="1" s="1"/>
  <c r="N3511" i="1"/>
  <c r="U3511" i="1" s="1"/>
  <c r="N3512" i="1"/>
  <c r="U3512" i="1" s="1"/>
  <c r="N3513" i="1"/>
  <c r="U3513" i="1" s="1"/>
  <c r="N3514" i="1"/>
  <c r="U3514" i="1" s="1"/>
  <c r="N3515" i="1"/>
  <c r="U3515" i="1" s="1"/>
  <c r="N3516" i="1"/>
  <c r="U3516" i="1" s="1"/>
  <c r="N3517" i="1"/>
  <c r="U3517" i="1" s="1"/>
  <c r="N3518" i="1"/>
  <c r="U3518" i="1" s="1"/>
  <c r="N3519" i="1"/>
  <c r="U3519" i="1" s="1"/>
  <c r="N3520" i="1"/>
  <c r="U3520" i="1" s="1"/>
  <c r="N3521" i="1"/>
  <c r="U3521" i="1" s="1"/>
  <c r="N3522" i="1"/>
  <c r="U3522" i="1" s="1"/>
  <c r="N3523" i="1"/>
  <c r="U3523" i="1" s="1"/>
  <c r="N3524" i="1"/>
  <c r="U3524" i="1" s="1"/>
  <c r="N3525" i="1"/>
  <c r="U3525" i="1" s="1"/>
  <c r="N3526" i="1"/>
  <c r="U3526" i="1" s="1"/>
  <c r="N3527" i="1"/>
  <c r="U3527" i="1" s="1"/>
  <c r="N3528" i="1"/>
  <c r="U3528" i="1" s="1"/>
  <c r="N3529" i="1"/>
  <c r="U3529" i="1" s="1"/>
  <c r="N3530" i="1"/>
  <c r="U3530" i="1" s="1"/>
  <c r="N3531" i="1"/>
  <c r="U3531" i="1" s="1"/>
  <c r="N3532" i="1"/>
  <c r="U3532" i="1" s="1"/>
  <c r="N3533" i="1"/>
  <c r="U3533" i="1" s="1"/>
  <c r="N3534" i="1"/>
  <c r="U3534" i="1" s="1"/>
  <c r="N3535" i="1"/>
  <c r="U3535" i="1" s="1"/>
  <c r="N3536" i="1"/>
  <c r="U3536" i="1" s="1"/>
  <c r="N3537" i="1"/>
  <c r="U3537" i="1" s="1"/>
  <c r="N3538" i="1"/>
  <c r="U3538" i="1" s="1"/>
  <c r="N3539" i="1"/>
  <c r="U3539" i="1" s="1"/>
  <c r="N3540" i="1"/>
  <c r="U3540" i="1" s="1"/>
  <c r="N3541" i="1"/>
  <c r="U3541" i="1" s="1"/>
  <c r="N3542" i="1"/>
  <c r="U3542" i="1" s="1"/>
  <c r="N3543" i="1"/>
  <c r="U3543" i="1" s="1"/>
  <c r="N3544" i="1"/>
  <c r="U3544" i="1" s="1"/>
  <c r="N3545" i="1"/>
  <c r="U3545" i="1" s="1"/>
  <c r="N3546" i="1"/>
  <c r="U3546" i="1" s="1"/>
  <c r="N3547" i="1"/>
  <c r="U3547" i="1" s="1"/>
  <c r="N3548" i="1"/>
  <c r="U3548" i="1" s="1"/>
  <c r="N3549" i="1"/>
  <c r="U3549" i="1" s="1"/>
  <c r="N3550" i="1"/>
  <c r="U3550" i="1" s="1"/>
  <c r="N3551" i="1"/>
  <c r="U3551" i="1" s="1"/>
  <c r="N3552" i="1"/>
  <c r="U3552" i="1" s="1"/>
  <c r="N3553" i="1"/>
  <c r="U3553" i="1" s="1"/>
  <c r="N3554" i="1"/>
  <c r="U3554" i="1" s="1"/>
  <c r="N3555" i="1"/>
  <c r="U3555" i="1" s="1"/>
  <c r="N3556" i="1"/>
  <c r="U3556" i="1" s="1"/>
  <c r="N3557" i="1"/>
  <c r="U3557" i="1" s="1"/>
  <c r="N3558" i="1"/>
  <c r="U3558" i="1" s="1"/>
  <c r="N3559" i="1"/>
  <c r="U3559" i="1" s="1"/>
  <c r="N3560" i="1"/>
  <c r="U3560" i="1" s="1"/>
  <c r="N3561" i="1"/>
  <c r="U3561" i="1" s="1"/>
  <c r="N3562" i="1"/>
  <c r="U3562" i="1" s="1"/>
  <c r="N3563" i="1"/>
  <c r="U3563" i="1" s="1"/>
  <c r="N3564" i="1"/>
  <c r="U3564" i="1" s="1"/>
  <c r="N3565" i="1"/>
  <c r="U3565" i="1" s="1"/>
  <c r="N3566" i="1"/>
  <c r="U3566" i="1" s="1"/>
  <c r="N3567" i="1"/>
  <c r="U3567" i="1" s="1"/>
  <c r="N3568" i="1"/>
  <c r="U3568" i="1" s="1"/>
  <c r="N3569" i="1"/>
  <c r="U3569" i="1" s="1"/>
  <c r="N3570" i="1"/>
  <c r="U3570" i="1" s="1"/>
  <c r="N3571" i="1"/>
  <c r="U3571" i="1" s="1"/>
  <c r="N3572" i="1"/>
  <c r="U3572" i="1" s="1"/>
  <c r="N3573" i="1"/>
  <c r="U3573" i="1" s="1"/>
  <c r="N3574" i="1"/>
  <c r="U3574" i="1" s="1"/>
  <c r="N3575" i="1"/>
  <c r="U3575" i="1" s="1"/>
  <c r="N3576" i="1"/>
  <c r="U3576" i="1" s="1"/>
  <c r="N3577" i="1"/>
  <c r="U3577" i="1" s="1"/>
  <c r="N3578" i="1"/>
  <c r="U3578" i="1" s="1"/>
  <c r="N3579" i="1"/>
  <c r="U3579" i="1" s="1"/>
  <c r="N3580" i="1"/>
  <c r="U3580" i="1" s="1"/>
  <c r="N3581" i="1"/>
  <c r="U3581" i="1" s="1"/>
  <c r="N3582" i="1"/>
  <c r="U3582" i="1" s="1"/>
  <c r="N3583" i="1"/>
  <c r="U3583" i="1" s="1"/>
  <c r="N3584" i="1"/>
  <c r="U3584" i="1" s="1"/>
  <c r="N3585" i="1"/>
  <c r="U3585" i="1" s="1"/>
  <c r="N3586" i="1"/>
  <c r="U3586" i="1" s="1"/>
  <c r="N3587" i="1"/>
  <c r="U3587" i="1" s="1"/>
  <c r="N3588" i="1"/>
  <c r="U3588" i="1" s="1"/>
  <c r="N3589" i="1"/>
  <c r="U3589" i="1" s="1"/>
  <c r="N3590" i="1"/>
  <c r="U3590" i="1" s="1"/>
  <c r="N3591" i="1"/>
  <c r="U3591" i="1" s="1"/>
  <c r="N3592" i="1"/>
  <c r="U3592" i="1" s="1"/>
  <c r="N3593" i="1"/>
  <c r="U3593" i="1" s="1"/>
  <c r="N3594" i="1"/>
  <c r="U3594" i="1" s="1"/>
  <c r="N3595" i="1"/>
  <c r="U3595" i="1" s="1"/>
  <c r="N3596" i="1"/>
  <c r="U3596" i="1" s="1"/>
  <c r="N3597" i="1"/>
  <c r="U3597" i="1" s="1"/>
  <c r="N3598" i="1"/>
  <c r="U3598" i="1" s="1"/>
  <c r="N3599" i="1"/>
  <c r="U3599" i="1" s="1"/>
  <c r="N3600" i="1"/>
  <c r="U3600" i="1" s="1"/>
  <c r="N3601" i="1"/>
  <c r="U3601" i="1" s="1"/>
  <c r="N3602" i="1"/>
  <c r="U3602" i="1" s="1"/>
  <c r="N3603" i="1"/>
  <c r="U3603" i="1" s="1"/>
  <c r="N3604" i="1"/>
  <c r="U3604" i="1" s="1"/>
  <c r="N3605" i="1"/>
  <c r="U3605" i="1" s="1"/>
  <c r="N3606" i="1"/>
  <c r="U3606" i="1" s="1"/>
  <c r="N3607" i="1"/>
  <c r="U3607" i="1" s="1"/>
  <c r="N3608" i="1"/>
  <c r="U3608" i="1" s="1"/>
  <c r="N3609" i="1"/>
  <c r="U3609" i="1" s="1"/>
  <c r="N3610" i="1"/>
  <c r="U3610" i="1" s="1"/>
  <c r="N3611" i="1"/>
  <c r="U3611" i="1" s="1"/>
  <c r="N3612" i="1"/>
  <c r="U3612" i="1" s="1"/>
  <c r="N3613" i="1"/>
  <c r="U3613" i="1" s="1"/>
  <c r="N3614" i="1"/>
  <c r="U3614" i="1" s="1"/>
  <c r="N3615" i="1"/>
  <c r="U3615" i="1" s="1"/>
  <c r="N3616" i="1"/>
  <c r="U3616" i="1" s="1"/>
  <c r="N3617" i="1"/>
  <c r="U3617" i="1" s="1"/>
  <c r="N3618" i="1"/>
  <c r="U3618" i="1" s="1"/>
  <c r="N3619" i="1"/>
  <c r="U3619" i="1" s="1"/>
  <c r="N3620" i="1"/>
  <c r="U3620" i="1" s="1"/>
  <c r="N3621" i="1"/>
  <c r="U3621" i="1" s="1"/>
  <c r="N3622" i="1"/>
  <c r="U3622" i="1" s="1"/>
  <c r="N3623" i="1"/>
  <c r="U3623" i="1" s="1"/>
  <c r="N3624" i="1"/>
  <c r="U3624" i="1" s="1"/>
  <c r="N3625" i="1"/>
  <c r="U3625" i="1" s="1"/>
  <c r="N3626" i="1"/>
  <c r="U3626" i="1" s="1"/>
  <c r="N3627" i="1"/>
  <c r="U3627" i="1" s="1"/>
  <c r="N3628" i="1"/>
  <c r="U3628" i="1" s="1"/>
  <c r="N3629" i="1"/>
  <c r="U3629" i="1" s="1"/>
  <c r="N3630" i="1"/>
  <c r="U3630" i="1" s="1"/>
  <c r="N3631" i="1"/>
  <c r="U3631" i="1" s="1"/>
  <c r="N3632" i="1"/>
  <c r="U3632" i="1" s="1"/>
  <c r="N3633" i="1"/>
  <c r="U3633" i="1" s="1"/>
  <c r="N3634" i="1"/>
  <c r="U3634" i="1" s="1"/>
  <c r="N3635" i="1"/>
  <c r="U3635" i="1" s="1"/>
  <c r="N3636" i="1"/>
  <c r="U3636" i="1" s="1"/>
  <c r="N3637" i="1"/>
  <c r="U3637" i="1" s="1"/>
  <c r="N3638" i="1"/>
  <c r="U3638" i="1" s="1"/>
  <c r="N3639" i="1"/>
  <c r="U3639" i="1" s="1"/>
  <c r="N3640" i="1"/>
  <c r="U3640" i="1" s="1"/>
  <c r="N3641" i="1"/>
  <c r="U3641" i="1" s="1"/>
  <c r="N3642" i="1"/>
  <c r="U3642" i="1" s="1"/>
  <c r="N3643" i="1"/>
  <c r="U3643" i="1" s="1"/>
  <c r="N3644" i="1"/>
  <c r="U3644" i="1" s="1"/>
  <c r="N3645" i="1"/>
  <c r="U3645" i="1" s="1"/>
  <c r="N3646" i="1"/>
  <c r="U3646" i="1" s="1"/>
  <c r="N3647" i="1"/>
  <c r="U3647" i="1" s="1"/>
  <c r="N3648" i="1"/>
  <c r="U3648" i="1" s="1"/>
  <c r="N3649" i="1"/>
  <c r="U3649" i="1" s="1"/>
  <c r="N3650" i="1"/>
  <c r="U3650" i="1" s="1"/>
  <c r="N3651" i="1"/>
  <c r="U3651" i="1" s="1"/>
  <c r="N3652" i="1"/>
  <c r="U3652" i="1" s="1"/>
  <c r="N3653" i="1"/>
  <c r="U3653" i="1" s="1"/>
  <c r="N3654" i="1"/>
  <c r="U3654" i="1" s="1"/>
  <c r="N3655" i="1"/>
  <c r="U3655" i="1" s="1"/>
  <c r="N3656" i="1"/>
  <c r="U3656" i="1" s="1"/>
  <c r="N3657" i="1"/>
  <c r="U3657" i="1" s="1"/>
  <c r="N3658" i="1"/>
  <c r="U3658" i="1" s="1"/>
  <c r="N3659" i="1"/>
  <c r="U3659" i="1" s="1"/>
  <c r="N3660" i="1"/>
  <c r="U3660" i="1" s="1"/>
  <c r="N3661" i="1"/>
  <c r="U3661" i="1" s="1"/>
  <c r="N3662" i="1"/>
  <c r="U3662" i="1" s="1"/>
  <c r="N3663" i="1"/>
  <c r="U3663" i="1" s="1"/>
  <c r="N3664" i="1"/>
  <c r="U3664" i="1" s="1"/>
  <c r="N3665" i="1"/>
  <c r="U3665" i="1" s="1"/>
  <c r="N3666" i="1"/>
  <c r="U3666" i="1" s="1"/>
  <c r="N3667" i="1"/>
  <c r="U3667" i="1" s="1"/>
  <c r="N3668" i="1"/>
  <c r="U3668" i="1" s="1"/>
  <c r="N3669" i="1"/>
  <c r="U3669" i="1" s="1"/>
  <c r="N3670" i="1"/>
  <c r="U3670" i="1" s="1"/>
  <c r="N3671" i="1"/>
  <c r="U3671" i="1" s="1"/>
  <c r="N3672" i="1"/>
  <c r="U3672" i="1" s="1"/>
  <c r="N3673" i="1"/>
  <c r="U3673" i="1" s="1"/>
  <c r="N3674" i="1"/>
  <c r="U3674" i="1" s="1"/>
  <c r="N3675" i="1"/>
  <c r="U3675" i="1" s="1"/>
  <c r="N3676" i="1"/>
  <c r="U3676" i="1" s="1"/>
  <c r="N3677" i="1"/>
  <c r="U3677" i="1" s="1"/>
  <c r="N3678" i="1"/>
  <c r="U3678" i="1" s="1"/>
  <c r="N3679" i="1"/>
  <c r="U3679" i="1" s="1"/>
  <c r="N3680" i="1"/>
  <c r="U3680" i="1" s="1"/>
  <c r="N3681" i="1"/>
  <c r="U3681" i="1" s="1"/>
  <c r="N3682" i="1"/>
  <c r="U3682" i="1" s="1"/>
  <c r="N3683" i="1"/>
  <c r="U3683" i="1" s="1"/>
  <c r="K3684" i="1"/>
  <c r="M25" i="2" s="1"/>
  <c r="H8" i="2" l="1"/>
  <c r="U261" i="1"/>
  <c r="H32" i="2"/>
  <c r="U716" i="1"/>
  <c r="H7" i="2"/>
  <c r="U227" i="1"/>
  <c r="H14" i="2"/>
  <c r="U1542" i="1"/>
  <c r="H46" i="2"/>
  <c r="U3139" i="1"/>
  <c r="H35" i="2"/>
  <c r="U1963" i="1"/>
  <c r="H13" i="2"/>
  <c r="U1523" i="1"/>
  <c r="H9" i="2"/>
  <c r="U273" i="1"/>
  <c r="H5" i="2"/>
  <c r="U65" i="1"/>
  <c r="H38" i="2"/>
  <c r="U2332" i="1"/>
  <c r="H15" i="2"/>
  <c r="U1553" i="1"/>
  <c r="H16" i="2"/>
  <c r="U1622" i="1"/>
  <c r="H47" i="2"/>
  <c r="U3440" i="1"/>
  <c r="H21" i="2"/>
  <c r="U2568" i="1"/>
  <c r="H37" i="2"/>
  <c r="U2172" i="1"/>
  <c r="H40" i="2"/>
  <c r="U2447" i="1"/>
  <c r="H36" i="2"/>
  <c r="U1959" i="1"/>
  <c r="H18" i="2"/>
  <c r="U1951" i="1"/>
  <c r="H28" i="2"/>
  <c r="U390" i="1"/>
  <c r="O11" i="2"/>
  <c r="N19" i="2" s="1"/>
  <c r="H26" i="2"/>
  <c r="Q11" i="2"/>
  <c r="N21" i="2" s="1"/>
  <c r="H6" i="2"/>
  <c r="H25" i="2"/>
  <c r="M11" i="2"/>
  <c r="H4" i="2"/>
  <c r="H48" i="2"/>
  <c r="H49" i="2"/>
  <c r="H50" i="2"/>
  <c r="H12" i="2"/>
  <c r="H34" i="2"/>
  <c r="H42" i="2"/>
  <c r="H30" i="2"/>
  <c r="H41" i="2"/>
  <c r="H44" i="2"/>
  <c r="H43" i="2"/>
  <c r="H29" i="2"/>
  <c r="H31" i="2"/>
  <c r="H39" i="2"/>
  <c r="H11" i="2"/>
  <c r="H33" i="2"/>
  <c r="H45" i="2"/>
  <c r="H20" i="2"/>
  <c r="H27" i="2"/>
  <c r="H22" i="2"/>
  <c r="H19" i="2"/>
  <c r="H17" i="2"/>
  <c r="H24" i="2"/>
  <c r="H10" i="2"/>
  <c r="H23" i="2"/>
  <c r="U3684" i="1" l="1"/>
  <c r="N18" i="2"/>
  <c r="N17" i="2"/>
  <c r="O20" i="2" s="1"/>
  <c r="O12" i="2"/>
  <c r="N12" i="2"/>
  <c r="P12" i="2"/>
  <c r="Q12" i="2"/>
  <c r="O21" i="2" s="1"/>
  <c r="O25" i="2" l="1"/>
  <c r="O26" i="2" s="1"/>
  <c r="N25" i="2" l="1"/>
  <c r="N26" i="2" s="1"/>
</calcChain>
</file>

<file path=xl/sharedStrings.xml><?xml version="1.0" encoding="utf-8"?>
<sst xmlns="http://schemas.openxmlformats.org/spreadsheetml/2006/main" count="32972" uniqueCount="4264">
  <si>
    <t>ID Motiva/Quasar</t>
  </si>
  <si>
    <t>Km inicial</t>
  </si>
  <si>
    <t>Km final</t>
  </si>
  <si>
    <t>Canteiro</t>
  </si>
  <si>
    <t>Sentido</t>
  </si>
  <si>
    <t>Latitude</t>
  </si>
  <si>
    <t>Longitude</t>
  </si>
  <si>
    <t>Área</t>
  </si>
  <si>
    <t>Inclinação</t>
  </si>
  <si>
    <t>% mecanização</t>
  </si>
  <si>
    <t>Equipamento</t>
  </si>
  <si>
    <t>Observação</t>
  </si>
  <si>
    <t>Supressão</t>
  </si>
  <si>
    <t>Bloqueio Físico</t>
  </si>
  <si>
    <t>Causas Operacionais</t>
  </si>
  <si>
    <t>Condições Administrativas</t>
  </si>
  <si>
    <t>VGSP-102_001,000_ES_CL3</t>
  </si>
  <si>
    <t>1,000</t>
  </si>
  <si>
    <t>1,500</t>
  </si>
  <si>
    <t>CL</t>
  </si>
  <si>
    <t>Trator 1.7m</t>
  </si>
  <si>
    <t>Não</t>
  </si>
  <si>
    <t>VGSP-102_001,000_CC2</t>
  </si>
  <si>
    <t>CC</t>
  </si>
  <si>
    <t>VGSP-102_001,000_EN_CL1</t>
  </si>
  <si>
    <t>Trator com braço articulado</t>
  </si>
  <si>
    <t>Sim</t>
  </si>
  <si>
    <t>VGSP-102_001,000_ES_CL2</t>
  </si>
  <si>
    <t>VGSP-102_001,000_CC1</t>
  </si>
  <si>
    <t>VGSP-102_001,000_EN_CL2</t>
  </si>
  <si>
    <t>VGSP-102_001,000_ES_CL4</t>
  </si>
  <si>
    <t>VGSP-102_001,000_ES_CL1</t>
  </si>
  <si>
    <t>VGSP-102_002,000_EN_CL1</t>
  </si>
  <si>
    <t>2,000</t>
  </si>
  <si>
    <t>2,500</t>
  </si>
  <si>
    <t>VGSP-102_002,000_ES_CL3</t>
  </si>
  <si>
    <t>VGSP-102_002,000_EN_CL3</t>
  </si>
  <si>
    <t>VGSP-102_002,000_CC2</t>
  </si>
  <si>
    <t>VGSP-102_002,000_ES_CL1</t>
  </si>
  <si>
    <t>VGSP-102_002,000_ES_CL2</t>
  </si>
  <si>
    <t>VGSP-102_002,000_CC3</t>
  </si>
  <si>
    <t>VGSP-102_002,000_EN_CL2</t>
  </si>
  <si>
    <t>VGSP-102_002,000_CC1</t>
  </si>
  <si>
    <t>VGSP-102_003,000_ES_CL3</t>
  </si>
  <si>
    <t>3,000</t>
  </si>
  <si>
    <t>3,500</t>
  </si>
  <si>
    <t>VGSP-102_003,000_CC3</t>
  </si>
  <si>
    <t>VGSP-102_003,000_ES_CL4</t>
  </si>
  <si>
    <t>Trator com braço articulado, Spider</t>
  </si>
  <si>
    <t>VGSP-102_003,000_CC4</t>
  </si>
  <si>
    <t>VGSP-102_003,000_CC2</t>
  </si>
  <si>
    <t>VGSP-102_003,000_CC1</t>
  </si>
  <si>
    <t>VGSP-102_003,000_EN_CL5</t>
  </si>
  <si>
    <t>VGSP-102_003,000_EN_CL3</t>
  </si>
  <si>
    <t>VGSP-102_003,000_EN_CL1</t>
  </si>
  <si>
    <t>VGSP-102_003,000_ES_CL2</t>
  </si>
  <si>
    <t>VGSP-102_003,000_ES_CL1</t>
  </si>
  <si>
    <t>VGSP-102_003,000_EN_CL4</t>
  </si>
  <si>
    <t>VGSP-102_003,000_EN_CL2</t>
  </si>
  <si>
    <t>VGSP-102_004,000_ES_CL2</t>
  </si>
  <si>
    <t>4,000</t>
  </si>
  <si>
    <t>4,500</t>
  </si>
  <si>
    <t>VGSP-102_004,000_EN_CL1</t>
  </si>
  <si>
    <t>VGSP-102_004,000_EN_CL2</t>
  </si>
  <si>
    <t>VGSP-102_004,000_CC2</t>
  </si>
  <si>
    <t>VGSP-102_004,000_ES_CL3</t>
  </si>
  <si>
    <t>VGSP-102_004,000_CC1</t>
  </si>
  <si>
    <t>VGSP-102_004,000_ES_CL1</t>
  </si>
  <si>
    <t>VGSP-102_005,000_EN_CL3</t>
  </si>
  <si>
    <t>5,000</t>
  </si>
  <si>
    <t>5,500</t>
  </si>
  <si>
    <t>Spider</t>
  </si>
  <si>
    <t>VGSP-102_005,000_EN_CL1</t>
  </si>
  <si>
    <t>VGSP-102_005,000_EN_CL2</t>
  </si>
  <si>
    <t>VGSP-102_005,000_ES_CL1</t>
  </si>
  <si>
    <t>VGSP-102_005,000_ES_CL2</t>
  </si>
  <si>
    <t>VGSP-102_005,000_CC2</t>
  </si>
  <si>
    <t>VGSP-102_005,000_CC3</t>
  </si>
  <si>
    <t>VGSP-102_005,000_ES_CL4</t>
  </si>
  <si>
    <t>VGSP-102_005,000_CC1</t>
  </si>
  <si>
    <t>VGSP-102_005,000_ES_CL3</t>
  </si>
  <si>
    <t>VGSP-102_006,000_ES_CL2</t>
  </si>
  <si>
    <t>6,000</t>
  </si>
  <si>
    <t>6,500</t>
  </si>
  <si>
    <t>VGSP-102_006,000_EN_CL1</t>
  </si>
  <si>
    <t>VGSP-102_006,000_EN_CL2</t>
  </si>
  <si>
    <t>VGSP-102_006,000_CC1</t>
  </si>
  <si>
    <t>VGSP-102_006,000_ES_CL1</t>
  </si>
  <si>
    <t>VGSP-102_006,000_CC2</t>
  </si>
  <si>
    <t>VGSP-330_011,000_EN_CL1</t>
  </si>
  <si>
    <t>11,000</t>
  </si>
  <si>
    <t>11,500</t>
  </si>
  <si>
    <t>VGSP-330_011,000_EN_CL2</t>
  </si>
  <si>
    <t>VGSP-330_011,000_CC3</t>
  </si>
  <si>
    <t>VGSP-330_011,000_CC1</t>
  </si>
  <si>
    <t>VGSP-330_011,000_CC2</t>
  </si>
  <si>
    <t>VGSP-330_011,000_ES_CL1</t>
  </si>
  <si>
    <t>VGSP-330_011,000_ES_CL2</t>
  </si>
  <si>
    <t>VGSP-330_012,000_EN_CL7</t>
  </si>
  <si>
    <t>12,000</t>
  </si>
  <si>
    <t>12,500</t>
  </si>
  <si>
    <t>VGSP-330_012,000_ES_CL11</t>
  </si>
  <si>
    <t>VGSP-330_012,000_EN_CL5</t>
  </si>
  <si>
    <t>VGSP-330_012,000_ES_CL14</t>
  </si>
  <si>
    <t>VGSP-330_012,000_EN_CL9</t>
  </si>
  <si>
    <t>VGSP-330_012,000_ES_CL15</t>
  </si>
  <si>
    <t>VGSP-330_012,000_EN_CL11</t>
  </si>
  <si>
    <t>VGSP-330_012,000_EN_CL1</t>
  </si>
  <si>
    <t>VGSP-330_012,000_EN_CL4</t>
  </si>
  <si>
    <t>VGSP-330_012,000_EN_CL2</t>
  </si>
  <si>
    <t>VGSP-330_012,000_ES_CL13</t>
  </si>
  <si>
    <t>VGSP-330_012,000_ES_CL6</t>
  </si>
  <si>
    <t>VGSP-330_012,000_EN_CL10</t>
  </si>
  <si>
    <t>VGSP-330_012,000_ES_CL10</t>
  </si>
  <si>
    <t>VGSP-330_012,000_ES_CL7</t>
  </si>
  <si>
    <t>VGSP-330_012,000_ES_CL2</t>
  </si>
  <si>
    <t>VGSP-330_012,000_ES_CL8</t>
  </si>
  <si>
    <t>VGSP-330_012,000_ES_CL5</t>
  </si>
  <si>
    <t>VGSP-330_012,000_EN_CL6</t>
  </si>
  <si>
    <t>VGSP-330_012,000_ES_CL4</t>
  </si>
  <si>
    <t>VGSP-330_012,000_ES_CL3</t>
  </si>
  <si>
    <t>VGSP-330_012,000_EN_CL8</t>
  </si>
  <si>
    <t>VGSP-330_012,000_ES_CL1</t>
  </si>
  <si>
    <t>VGSP-330_012,000_ES_CL9</t>
  </si>
  <si>
    <t>VGSP-330_012,000_ES_CL16</t>
  </si>
  <si>
    <t>VGSP-330_012,000_ES_CL12</t>
  </si>
  <si>
    <t>Trator 1.7m, Spider</t>
  </si>
  <si>
    <t>VGSP-330_012,000_EN_CL3</t>
  </si>
  <si>
    <t>VGSP-330_013,000_EN_CL8</t>
  </si>
  <si>
    <t>13,000</t>
  </si>
  <si>
    <t>13,500</t>
  </si>
  <si>
    <t>VGSP-330_013,000_EN_CL10</t>
  </si>
  <si>
    <t>VGSP-330_013,000_CC3</t>
  </si>
  <si>
    <t>VGSP-330_013,000_ES_CL7</t>
  </si>
  <si>
    <t>VGSP-330_013,000_ES_CL11</t>
  </si>
  <si>
    <t>VGSP-330_013,000_ES_CL15</t>
  </si>
  <si>
    <t>VGSP-330_013,000_ES_CL13</t>
  </si>
  <si>
    <t>VGSP-330_013,000_ES_CL9</t>
  </si>
  <si>
    <t>VGSP-330_013,000_ES_CL12</t>
  </si>
  <si>
    <t>VGSP-330_013,000_ES_CL14</t>
  </si>
  <si>
    <t>VGSP-330_013,000_ES_CL1</t>
  </si>
  <si>
    <t>VGSP-330_013,000_ES_CL6</t>
  </si>
  <si>
    <t>VGSP-330_013,000_ES_CL5</t>
  </si>
  <si>
    <t>VGSP-330_013,000_ES_CL8</t>
  </si>
  <si>
    <t>VGSP-330_013,000_EN_CL4</t>
  </si>
  <si>
    <t>VGSP-330_013,000_ES_CL2</t>
  </si>
  <si>
    <t>VGSP-330_013,000_EN_CL6</t>
  </si>
  <si>
    <t>VGSP-330_013,000_EN_CL9</t>
  </si>
  <si>
    <t>VGSP-330_013,000_EN_CL5</t>
  </si>
  <si>
    <t>VGSP-330_013,000_ES_CL3</t>
  </si>
  <si>
    <t>VGSP-330_013,000_ES_CL4</t>
  </si>
  <si>
    <t>VGSP-330_013,000_ES_CL16</t>
  </si>
  <si>
    <t>VGSP-330_013,000_EN_CL1</t>
  </si>
  <si>
    <t>VGSP-330_013,000_EN_CL7</t>
  </si>
  <si>
    <t>VGSP-330_013,000_EN_CL3</t>
  </si>
  <si>
    <t>VGSP-330_013,000_CC2</t>
  </si>
  <si>
    <t>VGSP-330_013,000_EN_CL2</t>
  </si>
  <si>
    <t>VGSP-330_013,000_ES_CL10</t>
  </si>
  <si>
    <t>VGSP-330_013,000_CC1</t>
  </si>
  <si>
    <t>VGSP-330_014,000_EN_CL5</t>
  </si>
  <si>
    <t>14,000</t>
  </si>
  <si>
    <t>14,500</t>
  </si>
  <si>
    <t>VGSP-330_014,000_ES_CL1</t>
  </si>
  <si>
    <t>VGSP-330_014,000_ES_CL12</t>
  </si>
  <si>
    <t>VGSP-330_014,000_CC3</t>
  </si>
  <si>
    <t>VGSP-330_014,000_EN_CL1</t>
  </si>
  <si>
    <t>VGSP-330_014,000_EN_CL7</t>
  </si>
  <si>
    <t>VGSP-330_014,000_EN_CL9</t>
  </si>
  <si>
    <t>VGSP-348_014,000_ES_CL2</t>
  </si>
  <si>
    <t>VGSP-330_014,000_ES_CL5</t>
  </si>
  <si>
    <t>VGSP-330_014,000_CC2</t>
  </si>
  <si>
    <t>VGSP-330_014,000_ES_CL8</t>
  </si>
  <si>
    <t>VGSP-330_014,000_CC1</t>
  </si>
  <si>
    <t>VGSP-348_014,000_EN_CL2</t>
  </si>
  <si>
    <t>VGSP-330_014,000_ES_CL4</t>
  </si>
  <si>
    <t>VGSP-330_014,000_ES_CL6</t>
  </si>
  <si>
    <t>VGSP-330_014,000_EN_CL3</t>
  </si>
  <si>
    <t>VGSP-330_014,000_ES_CL7</t>
  </si>
  <si>
    <t>VGSP-330_014,000_ES_CL9</t>
  </si>
  <si>
    <t>VGSP-330_014,000_ES_CL10</t>
  </si>
  <si>
    <t>VGSP-348_014,000_ES_CL1</t>
  </si>
  <si>
    <t>VGSP-330_014,000_ES_CL11</t>
  </si>
  <si>
    <t>VGSP-330_014,000_ES_CL13</t>
  </si>
  <si>
    <t>VGSP-330_014,000_ES_CL3</t>
  </si>
  <si>
    <t>VGSP-348_014,000_CC</t>
  </si>
  <si>
    <t>Eixo-zero</t>
  </si>
  <si>
    <t>VGSP-330_014,000_EN_CL2</t>
  </si>
  <si>
    <t>VGSP-330_014,000_ES_CL2</t>
  </si>
  <si>
    <t>VGSP-348_014,000_EN_CL1</t>
  </si>
  <si>
    <t>VGSP-330_014,000_EN_CL8</t>
  </si>
  <si>
    <t>VGSP-330_014,000_EN_CL6</t>
  </si>
  <si>
    <t>VGSP-330_014,000_EN_CL4</t>
  </si>
  <si>
    <t>VGSP-330_015,000_ES_CL15</t>
  </si>
  <si>
    <t>15,000</t>
  </si>
  <si>
    <t>15,500</t>
  </si>
  <si>
    <t>VGSP-330_015,000_ES_CL1</t>
  </si>
  <si>
    <t>VGSP-330_015,000_ES_CL2</t>
  </si>
  <si>
    <t>VGSP-330_015,000_ES_CL10</t>
  </si>
  <si>
    <t>VGSP-330_015,000_ES_CL13</t>
  </si>
  <si>
    <t>VGSP-330_015,000_ES_CL14</t>
  </si>
  <si>
    <t>VGSP-330_015,000_ES_CL11</t>
  </si>
  <si>
    <t>VGSP-330_015,000_ES_CL4</t>
  </si>
  <si>
    <t>VGSP-330_015,000_ES_CL6</t>
  </si>
  <si>
    <t>VGSP-330_015,000_EN_CL11</t>
  </si>
  <si>
    <t>VGSP-330_015,000_EN_CL9</t>
  </si>
  <si>
    <t>VGSP-330_015,000_CC1</t>
  </si>
  <si>
    <t>VGSP-330_015,000_EN_CL2</t>
  </si>
  <si>
    <t>VGSP-330_015,000_EN_CL1</t>
  </si>
  <si>
    <t>VGSP-330_015,000_CC2</t>
  </si>
  <si>
    <t>VGSP-330_015,000_EN_CL10</t>
  </si>
  <si>
    <t>VGSP-330_015,000_EN_CL8</t>
  </si>
  <si>
    <t>VGSP-348_015,000_EN_CL</t>
  </si>
  <si>
    <t>VGSP-330_015,000_EN_CL7</t>
  </si>
  <si>
    <t>VGSP-330_015,000_ES_CL9</t>
  </si>
  <si>
    <t>VGSP-330_015,000_EN_CL3</t>
  </si>
  <si>
    <t>VGSP-330_015,000_EN_CL5</t>
  </si>
  <si>
    <t>VGSP-330_015,000_EN_CL6</t>
  </si>
  <si>
    <t>VGSP-348_015,000_ES_CL2</t>
  </si>
  <si>
    <t>VGSP-330_015,000_ES_CL7</t>
  </si>
  <si>
    <t>VGSP-348_015,000_ES_CL1</t>
  </si>
  <si>
    <t>VGSP-330_015,000_EN_CL4</t>
  </si>
  <si>
    <t>VGSP-330_015,000_ES_CL5</t>
  </si>
  <si>
    <t>VGSP-330_015,000_ES_CL8</t>
  </si>
  <si>
    <t>VGSP-330_015,000_ES_CL12</t>
  </si>
  <si>
    <t>VGSP-330_015,000_ES_CL3</t>
  </si>
  <si>
    <t>VGSP-348_015,000_CC2</t>
  </si>
  <si>
    <t>VGSP-348_015,000_CC1</t>
  </si>
  <si>
    <t>VGSP-348_015,000_CC3</t>
  </si>
  <si>
    <t>VGSP-348_016,000_ES_CL2</t>
  </si>
  <si>
    <t>16,000</t>
  </si>
  <si>
    <t>16,500</t>
  </si>
  <si>
    <t>VGSP-348_016,000_EN_CL6</t>
  </si>
  <si>
    <t>VGSP-348_016,000_CC3</t>
  </si>
  <si>
    <t>VGSP-330_016,000_EN_CL6</t>
  </si>
  <si>
    <t>VGSP-348_016,000_EN_CL3</t>
  </si>
  <si>
    <t>VGSP-330_016,000_ES_CL10</t>
  </si>
  <si>
    <t>VGSP-330_016,000_EN_CL8</t>
  </si>
  <si>
    <t>VGSP-348_016,000_ES_CL3</t>
  </si>
  <si>
    <t>VGSP-330_016,000_EN_CL7</t>
  </si>
  <si>
    <t>VGSP-348_016,000_CC1</t>
  </si>
  <si>
    <t>VGSP-348_016,000_ES_CL1</t>
  </si>
  <si>
    <t>VGSP-348_016,000_EN_CL4</t>
  </si>
  <si>
    <t>VGSP-348_016,000_EN_CL5</t>
  </si>
  <si>
    <t>VGSP-330_016,000_ES_CL13</t>
  </si>
  <si>
    <t>VGSP-330_016,000_EN_CL5</t>
  </si>
  <si>
    <t>VGSP-330_016,000_ES_CL7</t>
  </si>
  <si>
    <t>VGSP-348_016,000_CC2</t>
  </si>
  <si>
    <t>VGSP-348_016,000_EN_CL1</t>
  </si>
  <si>
    <t>VGSP-330_016,000_ES_CL5</t>
  </si>
  <si>
    <t>VGSP-330_016,000_EN_CL9</t>
  </si>
  <si>
    <t>VGSP-330_016,000_ES_CL6</t>
  </si>
  <si>
    <t>VGSP-348_016,000_CC4</t>
  </si>
  <si>
    <t>VGSP-348_016,000_EN_CL2</t>
  </si>
  <si>
    <t>VGSP-330_016,000_EN_CL2</t>
  </si>
  <si>
    <t>VGSP-330_016,000_ES_CL11</t>
  </si>
  <si>
    <t>VGSP-330_016,000_ES_CL12</t>
  </si>
  <si>
    <t>VGSP-330_016,000_ES_CL9</t>
  </si>
  <si>
    <t>VGSP-330_016,000_ES_CL2</t>
  </si>
  <si>
    <t>VGSP-330_016,000_ES_CL1</t>
  </si>
  <si>
    <t>VGSP-330_016,000_ES_CL3</t>
  </si>
  <si>
    <t>VGSP-330_016,000_EN_CL1</t>
  </si>
  <si>
    <t>VGSP-330_016,000_ES_CL8</t>
  </si>
  <si>
    <t>VGSP-330_016,000_ES_CL14</t>
  </si>
  <si>
    <t>VGSP-348_016,000_EN_CL7</t>
  </si>
  <si>
    <t>VGSP-330_016,000_ES_CL4</t>
  </si>
  <si>
    <t>VGSP-330_016,000_EN_CL4</t>
  </si>
  <si>
    <t>VGSP-330_016,000_EN_CL3</t>
  </si>
  <si>
    <t>VGSP-348_017,000_EN_CL1</t>
  </si>
  <si>
    <t>17,000</t>
  </si>
  <si>
    <t>17,500</t>
  </si>
  <si>
    <t>VGSP-348_017,000_EN_CL2</t>
  </si>
  <si>
    <t>VGSP-348_017,000_CC1</t>
  </si>
  <si>
    <t>VGSP-348_017,000_EN_CL3</t>
  </si>
  <si>
    <t>VGSP-330_017,000_CC</t>
  </si>
  <si>
    <t>VGSP-330_017,000_ES_CL3</t>
  </si>
  <si>
    <t>VGSP-330_017,000_ES_CL2</t>
  </si>
  <si>
    <t>VGSP-330_017,000_EN_CL5</t>
  </si>
  <si>
    <t>VGSP-330_017,000_ES_CL10</t>
  </si>
  <si>
    <t>VGSP-330_017,000_ES_CL4</t>
  </si>
  <si>
    <t>VGSP-330_017,000_ES_CL6</t>
  </si>
  <si>
    <t>VGSP-330_017,000_ES_CL1</t>
  </si>
  <si>
    <t>VGSP-330_017,000_EN_CL1</t>
  </si>
  <si>
    <t>VGSP-330_017,000_EN_CL3</t>
  </si>
  <si>
    <t>VGSP-330_017,000_ES_CL7</t>
  </si>
  <si>
    <t>VGSP-330_017,000_EN_CL6</t>
  </si>
  <si>
    <t>VGSP-330_017,000_EN_CL4</t>
  </si>
  <si>
    <t>VGSP-348_017,000_ES_CL2</t>
  </si>
  <si>
    <t>VGSP-348_017,000_EN_CL4</t>
  </si>
  <si>
    <t>VGSP-348_017,000_ES_CL1</t>
  </si>
  <si>
    <t>VGSP-330_017,000_ES_CL8</t>
  </si>
  <si>
    <t>VGSP-330_017,000_EN_CL2</t>
  </si>
  <si>
    <t>VGSP-330_017,000_ES_CL9</t>
  </si>
  <si>
    <t>VGSP-330_017,000_EN_CL7</t>
  </si>
  <si>
    <t>VGSP-330_017,000_ES_CL5</t>
  </si>
  <si>
    <t>VGSP-348_017,000_CC2</t>
  </si>
  <si>
    <t>VGSP-330_018,000_ES_CL7</t>
  </si>
  <si>
    <t>18,000</t>
  </si>
  <si>
    <t>18,500</t>
  </si>
  <si>
    <t>VGSP-330_018,000_ES_CL6</t>
  </si>
  <si>
    <t>VGSP-330_018,000_EN_CL6</t>
  </si>
  <si>
    <t>VGSP-330_018,000_ES_CL15</t>
  </si>
  <si>
    <t>VGSP-330_018,000_ES_CL5</t>
  </si>
  <si>
    <t>VGSP-330_018,000_EN_CL7</t>
  </si>
  <si>
    <t>VGSP-330_018,000_EN_CL5</t>
  </si>
  <si>
    <t>VGSP-330_018,000_ES_CL20</t>
  </si>
  <si>
    <t>VGSP-330_018,000_ES_CL17</t>
  </si>
  <si>
    <t>VGSP-330_018,000_ES_CL8</t>
  </si>
  <si>
    <t>VGSP-330_018,000_ES_CL1</t>
  </si>
  <si>
    <t>VGSP-330_018,000_ES_CL13</t>
  </si>
  <si>
    <t>VGSP-330_018,000_EN_CL2</t>
  </si>
  <si>
    <t>VGSP-348_018,000_ES_CL2</t>
  </si>
  <si>
    <t>VGSP-330_018,000_EN_CL4</t>
  </si>
  <si>
    <t>VGSP-330_018,000_ES_CL18</t>
  </si>
  <si>
    <t>VGSP-330_018,000_ES_CL2</t>
  </si>
  <si>
    <t>VGSP-330_018,000_EN_CL1</t>
  </si>
  <si>
    <t>VGSP-330_018,000_EN_CL9</t>
  </si>
  <si>
    <t>VGSP-348_018,000_EN_CL1</t>
  </si>
  <si>
    <t>VGSP-330_018,000_ES_CL23</t>
  </si>
  <si>
    <t>VGSP-330_018,000_ES_CL22</t>
  </si>
  <si>
    <t>VGSP-330_018,000_ES_CL19</t>
  </si>
  <si>
    <t>VGSP-330_018,000_ES_CL10</t>
  </si>
  <si>
    <t>VGSP-330_018,000_ES_CL11</t>
  </si>
  <si>
    <t>VGSP-330_018,000_ES_CL3</t>
  </si>
  <si>
    <t>VGSP-348_018,000_ES_CL1</t>
  </si>
  <si>
    <t>VGSP-330_018,000_EN_CL11</t>
  </si>
  <si>
    <t>VGSP-330_018,000_ES_CL14</t>
  </si>
  <si>
    <t>VGSP-330_018,000_ES_CL4</t>
  </si>
  <si>
    <t>VGSP-330_018,000_EN_CL10</t>
  </si>
  <si>
    <t>VGSP-330_018,000_ES_CL9</t>
  </si>
  <si>
    <t>VGSP-330_018,000_ES_CL21</t>
  </si>
  <si>
    <t>VGSP-330_018,000_ES_CL12</t>
  </si>
  <si>
    <t>VGSP-348_018,000_EN_CL2</t>
  </si>
  <si>
    <t>VGSP-330_018,000_ES_CL16</t>
  </si>
  <si>
    <t>VGSP-330_018,000_EN_CL3</t>
  </si>
  <si>
    <t>VGSP-330_018,000_EN_CL8</t>
  </si>
  <si>
    <t>VGSP-330_019,000_ES_CL9</t>
  </si>
  <si>
    <t>19,000</t>
  </si>
  <si>
    <t>19,500</t>
  </si>
  <si>
    <t>VGSP-330_019,000_CC</t>
  </si>
  <si>
    <t>VGSP-330_019,000_ES_CL5</t>
  </si>
  <si>
    <t>VGSP-348_019,000_EN_CL1</t>
  </si>
  <si>
    <t>VGSP-330_019,000_EN_CL3</t>
  </si>
  <si>
    <t>VGSP-330_019,000_EN_CL5</t>
  </si>
  <si>
    <t>VGSP-330_019,000_EN_CL2</t>
  </si>
  <si>
    <t>VGSP-348_019,000_CC</t>
  </si>
  <si>
    <t>VGSP-330_019,000_EN_CL1</t>
  </si>
  <si>
    <t>VGSP-348_019,000_ES_CL2</t>
  </si>
  <si>
    <t>VGSP-330_019,000_ES_CL7</t>
  </si>
  <si>
    <t>VGSP-330_019,000_ES_CL3</t>
  </si>
  <si>
    <t>VGSP-348_019,000_EN_CL2</t>
  </si>
  <si>
    <t>VGSP-348_019,000_ES_CL1</t>
  </si>
  <si>
    <t>VGSP-330_019,000_ES_CL2</t>
  </si>
  <si>
    <t>VGSP-330_019,000_ES_CL4</t>
  </si>
  <si>
    <t>VGSP-330_019,000_ES_CL8</t>
  </si>
  <si>
    <t>VGSP-330_019,000_EN_CL4</t>
  </si>
  <si>
    <t>VGSP-330_019,000_ES_CL1</t>
  </si>
  <si>
    <t>VGSP-330_019,000_ES_CL11</t>
  </si>
  <si>
    <t>VGSP-330_019,000_ES_CL10</t>
  </si>
  <si>
    <t>VGSP-330_019,000_ES_CL6</t>
  </si>
  <si>
    <t>VGSP-348_020,000_EN_CL6</t>
  </si>
  <si>
    <t>20,000</t>
  </si>
  <si>
    <t>20,500</t>
  </si>
  <si>
    <t>VGSP-348_020,000_CC2</t>
  </si>
  <si>
    <t>VGSP-330_020,000_ES_CL2</t>
  </si>
  <si>
    <t>VGSP-348_020,000_CC1</t>
  </si>
  <si>
    <t>VGSP-348_020,000_EN_CL7</t>
  </si>
  <si>
    <t>VGSP-348_020,000_ES_CL2</t>
  </si>
  <si>
    <t>VGSP-348_020,000_EN_CL5</t>
  </si>
  <si>
    <t>VGSP-348_020,000_CC3</t>
  </si>
  <si>
    <t>VGSP-348_020,000_ES_CL3</t>
  </si>
  <si>
    <t>VGSP-348_020,000_EN_CL2</t>
  </si>
  <si>
    <t>VGSP-330_020,000_EN_CL3</t>
  </si>
  <si>
    <t>VGSP-330_020,000_ES_CL1</t>
  </si>
  <si>
    <t>VGSP-330_020,000_EN_CL2</t>
  </si>
  <si>
    <t>VGSP-330_020,000_ES_CL3</t>
  </si>
  <si>
    <t>VGSP-348_020,000_EN_CL4</t>
  </si>
  <si>
    <t>VGSP-348_020,000_EN_CL3</t>
  </si>
  <si>
    <t>VGSP-348_020,000_EN_CL1</t>
  </si>
  <si>
    <t>VGSP-330_020,000_EN_CL1</t>
  </si>
  <si>
    <t>VGSP-348_020,000_ES_CL1</t>
  </si>
  <si>
    <t>VGSP-330_021,000_ES_CL4</t>
  </si>
  <si>
    <t>21,000</t>
  </si>
  <si>
    <t>21,500</t>
  </si>
  <si>
    <t>VGSP-330_021,000_ES_CL3</t>
  </si>
  <si>
    <t>VGSP-330_021,000_EN_CL2</t>
  </si>
  <si>
    <t>VGSP-348_021,000_CC1</t>
  </si>
  <si>
    <t>VGSP-330_021,000_ES_CL1</t>
  </si>
  <si>
    <t>VGSP-330_021,000_EN_CL3</t>
  </si>
  <si>
    <t>VGSP-330_021,000_ES_CL5</t>
  </si>
  <si>
    <t>VGSP-330_021,000_CC</t>
  </si>
  <si>
    <t>VGSP-348_021,000_EN_CL</t>
  </si>
  <si>
    <t>VGSP-348_021,000_ES_CL2</t>
  </si>
  <si>
    <t>VGSP-330_021,000_ES_CL6</t>
  </si>
  <si>
    <t>VGSP-348_021,000_ES_CL1</t>
  </si>
  <si>
    <t>VGSP-330_021,000_ES_CL2</t>
  </si>
  <si>
    <t>VGSP-330_021,000_EN_CL1</t>
  </si>
  <si>
    <t>VGSP-348_021,000_CC2</t>
  </si>
  <si>
    <t>VGSP-348_021,000_CC3</t>
  </si>
  <si>
    <t>VGSP-330_022,000_CC4</t>
  </si>
  <si>
    <t>22,000</t>
  </si>
  <si>
    <t>22,500</t>
  </si>
  <si>
    <t>VGSP-330_022,000_EN_CL3</t>
  </si>
  <si>
    <t>VGSP-330_022,000_EN_CL1</t>
  </si>
  <si>
    <t>VGSP-330_022,000_ES_CL12</t>
  </si>
  <si>
    <t>VGSP-330_022,000_ES_CL13</t>
  </si>
  <si>
    <t>VGSP-330_022,000_EN_CL2</t>
  </si>
  <si>
    <t>VGSP-330_022,000_ES_CL2</t>
  </si>
  <si>
    <t>VGSP-330_022,000_ES_CL4</t>
  </si>
  <si>
    <t>VGSP-330_022,000_CC9</t>
  </si>
  <si>
    <t>VGSP-330_022,000_CC3</t>
  </si>
  <si>
    <t>VGSP-330_022,000_CC6</t>
  </si>
  <si>
    <t>VGSP-330_022,000_EN_CL10</t>
  </si>
  <si>
    <t>VGSP-330_022,000_CC2</t>
  </si>
  <si>
    <t>VGSP-330_022,000_ES_CL14</t>
  </si>
  <si>
    <t>VGSP-330_022,000_EN_CL5</t>
  </si>
  <si>
    <t>VGSP-348_022,000_EN_CL2</t>
  </si>
  <si>
    <t>VGSP-330_022,000_EN_CL4</t>
  </si>
  <si>
    <t>VGSP-330_022,000_CC5</t>
  </si>
  <si>
    <t>VGSP-330_022,000_ES_CL9</t>
  </si>
  <si>
    <t>VGSP-348_022,000_ES_CL1</t>
  </si>
  <si>
    <t>VGSP-330_022,000_ES_CL7</t>
  </si>
  <si>
    <t>VGSP-330_022,000_CC8</t>
  </si>
  <si>
    <t>VGSP-330_022,000_ES_CL6</t>
  </si>
  <si>
    <t>VGSP-348_022,000_CC1</t>
  </si>
  <si>
    <t>VGSP-330_022,000_ES_CL3</t>
  </si>
  <si>
    <t>VGSP-348_022,000_CC2</t>
  </si>
  <si>
    <t>VGSP-330_022,000_ES_CL11</t>
  </si>
  <si>
    <t>VGSP-330_022,000_EN_CL12</t>
  </si>
  <si>
    <t>VGSP-330_022,000_ES_CL10</t>
  </si>
  <si>
    <t>VGSP-330_022,000_EN_CL7</t>
  </si>
  <si>
    <t>VGSP-330_022,000_EN_CL8</t>
  </si>
  <si>
    <t>VGSP-330_022,000_EN_CL13</t>
  </si>
  <si>
    <t>VGSP-348_022,000_ES_CL2</t>
  </si>
  <si>
    <t>VGSP-330_022,000_ES_CL8</t>
  </si>
  <si>
    <t>VGSP-348_022,000_ES_CL4</t>
  </si>
  <si>
    <t>VGSP-330_022,000_CC1</t>
  </si>
  <si>
    <t>VGSP-330_022,000_EN_CL9</t>
  </si>
  <si>
    <t>VGSP-330_022,000_ES_CL5</t>
  </si>
  <si>
    <t>VGSP-330_022,000_CC7</t>
  </si>
  <si>
    <t>VGSP-348_022,000_ES_CL3</t>
  </si>
  <si>
    <t>VGSP-348_022,000_EN_CL1</t>
  </si>
  <si>
    <t>VGSP-330_022,000_ES_CL1</t>
  </si>
  <si>
    <t>VGSP-330_022,000_EN_CL11</t>
  </si>
  <si>
    <t>VGSP-330_022,000_EN_CL6</t>
  </si>
  <si>
    <t>VGSP-348_023,000_ES_CL2</t>
  </si>
  <si>
    <t>23,000</t>
  </si>
  <si>
    <t>23,500</t>
  </si>
  <si>
    <t>VGSP-348_023,000_ES_CL1</t>
  </si>
  <si>
    <t>VGSP-348_023,000_CC1</t>
  </si>
  <si>
    <t>VGSP-348_023,000_EN_CL5</t>
  </si>
  <si>
    <t>VGSP-330_023,000_EN_CL6</t>
  </si>
  <si>
    <t>VGSP-330_023,000_EN_CL1</t>
  </si>
  <si>
    <t>VGSP-330_023,000_EN_CL8</t>
  </si>
  <si>
    <t>VGSP-348_023,000_EN_CL6</t>
  </si>
  <si>
    <t>VGSP-348_023,000_EN_CL1</t>
  </si>
  <si>
    <t>VGSP-348_023,000_EN_CL3</t>
  </si>
  <si>
    <t>VGSP-330_023,000_ES_CL3</t>
  </si>
  <si>
    <t>VGSP-330_023,000_EN_CL9</t>
  </si>
  <si>
    <t>VGSP-348_023,000_ES_CL3</t>
  </si>
  <si>
    <t>VGSP-330_023,000_EN_CL2</t>
  </si>
  <si>
    <t>VGSP-330_023,000_ES_CL1</t>
  </si>
  <si>
    <t>VGSP-330_023,000_CC</t>
  </si>
  <si>
    <t>VGSP-330_023,000_EN_CL3</t>
  </si>
  <si>
    <t>VGSP-348_023,000_CC2</t>
  </si>
  <si>
    <t>VGSP-330_023,000_EN_CL4</t>
  </si>
  <si>
    <t>VGSP-330_023,000_EN_CL5</t>
  </si>
  <si>
    <t>VGSP-330_023,000_ES_CL2</t>
  </si>
  <si>
    <t>VGSP-348_023,000_EN_CL2</t>
  </si>
  <si>
    <t>VGSP-348_023,000_EN_CL4</t>
  </si>
  <si>
    <t>VGSP-330_023,000_EN_CL10</t>
  </si>
  <si>
    <t>VGSP-330_023,000_EN_CL7</t>
  </si>
  <si>
    <t>VGSP-330_024,000_ES_CL5</t>
  </si>
  <si>
    <t>24,000</t>
  </si>
  <si>
    <t>24,500</t>
  </si>
  <si>
    <t>VGSP-330_024,000_EN_CL11</t>
  </si>
  <si>
    <t>VGSP-330_024,000_ES_CL1</t>
  </si>
  <si>
    <t>VGSP-348_024,000_ES_CL1</t>
  </si>
  <si>
    <t>VGSP-348_024,000_ES_CL5</t>
  </si>
  <si>
    <t>VGSP-348_024,000_ES_CL8</t>
  </si>
  <si>
    <t>VGSP-348_024,000_EN_CL1</t>
  </si>
  <si>
    <t>VGSP-330_024,000_ES_CL4</t>
  </si>
  <si>
    <t>VGSP-330_024,000_EN_CL8</t>
  </si>
  <si>
    <t>VGSP-348_024,000_CC4</t>
  </si>
  <si>
    <t>VGSP-348_024,000_CC3</t>
  </si>
  <si>
    <t>VGSP-348_024,000_CC1</t>
  </si>
  <si>
    <t>VGSP-330_024,000_EN_CL5</t>
  </si>
  <si>
    <t>VGSP-330_024,000_ES_CL6</t>
  </si>
  <si>
    <t>VGSP-330_024,000_ES_CL3</t>
  </si>
  <si>
    <t>VGSP-330_024,000_EN_CL6</t>
  </si>
  <si>
    <t>VGSP-330_024,000_EN_CL1</t>
  </si>
  <si>
    <t>VGSP-348_024,000_ES_CL7</t>
  </si>
  <si>
    <t>VGSP-348_024,000_CC2</t>
  </si>
  <si>
    <t>VGSP-330_024,000_ES_CL2</t>
  </si>
  <si>
    <t>VGSP-330_024,000_EN_CL9</t>
  </si>
  <si>
    <t>VGSP-330_024,000_EN_CL10</t>
  </si>
  <si>
    <t>VGSP-330_024,000_EN_CL4</t>
  </si>
  <si>
    <t>VGSP-348_024,000_ES_CL3</t>
  </si>
  <si>
    <t>VGSP-348_024,000_ES_CL2</t>
  </si>
  <si>
    <t>VGSP-348_024,000_ES_CL4</t>
  </si>
  <si>
    <t>VGSP-348_024,000_ES_CL6</t>
  </si>
  <si>
    <t>VGSP-330_024,000_EN_CL7</t>
  </si>
  <si>
    <t>VGSP-330_024,000_EN_CL2</t>
  </si>
  <si>
    <t>VGSP-330_024,000_EN_CL3</t>
  </si>
  <si>
    <t>VGSP-348_024,000_EN_CL2</t>
  </si>
  <si>
    <t>VGSP-330_025,000_ES_CL10</t>
  </si>
  <si>
    <t>25,000</t>
  </si>
  <si>
    <t>25,500</t>
  </si>
  <si>
    <t>VGSP-330_025,000_EN_CL7</t>
  </si>
  <si>
    <t>VGSP-330_025,000_EN_CL2</t>
  </si>
  <si>
    <t>VGSP-330_025,000_EN_CL1</t>
  </si>
  <si>
    <t>VGSP-348_025,000_CC3</t>
  </si>
  <si>
    <t>VGSP-330_025,000_CC1</t>
  </si>
  <si>
    <t>VGSP-348_025,000_ES_CL2</t>
  </si>
  <si>
    <t>VGSP-330_025,000_CC2</t>
  </si>
  <si>
    <t>VGSP-348_025,000_CC2</t>
  </si>
  <si>
    <t>VGSP-330_025,000_ES_CL1</t>
  </si>
  <si>
    <t>VGSP-348_025,000_EN_CL2</t>
  </si>
  <si>
    <t>VGSP-330_025,000_ES_CL7</t>
  </si>
  <si>
    <t>VGSP-348_025,000_CC1</t>
  </si>
  <si>
    <t>VGSP-348_025,000_EN_CL1</t>
  </si>
  <si>
    <t>VGSP-330_025,000_ES_CL8</t>
  </si>
  <si>
    <t>VGSP-330_025,000_ES_CL9</t>
  </si>
  <si>
    <t>VGSP-330_025,000_EN_CL3</t>
  </si>
  <si>
    <t>VGSP-330_025,000_EN_CL11</t>
  </si>
  <si>
    <t>VGSP-330_025,000_EN_CL6</t>
  </si>
  <si>
    <t>VGSP-330_025,000_EN_CL9</t>
  </si>
  <si>
    <t>VGSP-330_025,000_EN_CL10</t>
  </si>
  <si>
    <t>VGSP-330_025,000_EN_CL8</t>
  </si>
  <si>
    <t>VGSP-330_025,000_EN_CL4</t>
  </si>
  <si>
    <t>VGSP-330_025,000_EN_CL5</t>
  </si>
  <si>
    <t>VGSP-330_025,000_EN_CL12</t>
  </si>
  <si>
    <t>VGSP-330_025,000_ES_CL3</t>
  </si>
  <si>
    <t>VGSP-348_025,000_ES_CL1</t>
  </si>
  <si>
    <t>VGSP-330_025,000_ES_CL6</t>
  </si>
  <si>
    <t>VGSP-330_025,000_ES_CL2</t>
  </si>
  <si>
    <t>VGSP-330_025,000_ES_CL12</t>
  </si>
  <si>
    <t>VGSP-330_025,000_ES_CL11</t>
  </si>
  <si>
    <t>VGSP-330_025,000_ES_CL13</t>
  </si>
  <si>
    <t>VGSP-330_025,000_ES_CL5</t>
  </si>
  <si>
    <t>VGSP-330_025,000_ES_CL4</t>
  </si>
  <si>
    <t>VGSP-330_026,000_ES_CL2</t>
  </si>
  <si>
    <t>26,000</t>
  </si>
  <si>
    <t>26,500</t>
  </si>
  <si>
    <t>VGSP-330_026,000_ES_CL7</t>
  </si>
  <si>
    <t>VGSP-330_026,000_ES_CL8</t>
  </si>
  <si>
    <t>VGSP-330_026,000_ES_CL5</t>
  </si>
  <si>
    <t>VGSP-330_026,000_ES_CL3</t>
  </si>
  <si>
    <t>VGSP-348_026,000_ES_CL3</t>
  </si>
  <si>
    <t>VGSP-348_026,000_ES_CL2</t>
  </si>
  <si>
    <t>VGSP-330_026,000_EN_CL3</t>
  </si>
  <si>
    <t>VGSP-330_026,000_EN_CL4</t>
  </si>
  <si>
    <t>VGSP-330_026,000_EN_CL6</t>
  </si>
  <si>
    <t>VGSP-330_026,000_EN_CL5</t>
  </si>
  <si>
    <t>VGSP-330_026,000_EN_CL2</t>
  </si>
  <si>
    <t>VGSP-348_026,000_EN_CL2</t>
  </si>
  <si>
    <t>VGSP-330_026,000_EN_CL1</t>
  </si>
  <si>
    <t>VGSP-330_026,000_ES_CL4</t>
  </si>
  <si>
    <t>VGSP-330_026,000_ES_CL1</t>
  </si>
  <si>
    <t>VGSP-348_026,000_CC1</t>
  </si>
  <si>
    <t>VGSP-348_026,000_ES_CL1</t>
  </si>
  <si>
    <t>VGSP-348_026,000_EN_CL3</t>
  </si>
  <si>
    <t>VGSP-330_026,000_CC3</t>
  </si>
  <si>
    <t>VGSP-330_026,000_CC1</t>
  </si>
  <si>
    <t>VGSP-330_026,000_CC2</t>
  </si>
  <si>
    <t>VGSP-330_026,000_EN_CL8</t>
  </si>
  <si>
    <t>VGSP-348_026,000_EN_CL1</t>
  </si>
  <si>
    <t>VGSP-330_026,000_EN_CL7</t>
  </si>
  <si>
    <t>VGSP-348_026,000_CC2</t>
  </si>
  <si>
    <t>VGSP-348_026,000_CC3</t>
  </si>
  <si>
    <t>VGSP-330_026,000_ES_CL6</t>
  </si>
  <si>
    <t>VGSP-348_027,000_ES_CL2</t>
  </si>
  <si>
    <t>27,000</t>
  </si>
  <si>
    <t>27,500</t>
  </si>
  <si>
    <t>VGSP-330_027,000_ES_CL4</t>
  </si>
  <si>
    <t>VGSP-330_027,000_EN_CL1</t>
  </si>
  <si>
    <t>VGSP-330_027,000_EN_CL2</t>
  </si>
  <si>
    <t>VGSP-330_027,000_ES_CL3</t>
  </si>
  <si>
    <t>VGSP-348_027,000_EN_CL1</t>
  </si>
  <si>
    <t>VGSP-348_027,000_EN_CL3</t>
  </si>
  <si>
    <t>VGSP-348_027,000_ES_CL4</t>
  </si>
  <si>
    <t>VGSP-348_027,000_ES_CL5</t>
  </si>
  <si>
    <t>VGSP-348_027,000_EN_CL2</t>
  </si>
  <si>
    <t>VGSP-348_027,000_ES_CL3</t>
  </si>
  <si>
    <t>VGSP-348_027,000_CC1</t>
  </si>
  <si>
    <t>VGSP-348_027,000_CC3</t>
  </si>
  <si>
    <t>VGSP-348_027,000_ES_CL1</t>
  </si>
  <si>
    <t>VGSP-330_027,000_ES_CL2</t>
  </si>
  <si>
    <t>VGSP-330_027,000_ES_CL1</t>
  </si>
  <si>
    <t>VGSP-330_027,000_ES_CL10</t>
  </si>
  <si>
    <t>VGSP-348_027,000_CC2</t>
  </si>
  <si>
    <t>VGSP-330_027,000_ES_CL5</t>
  </si>
  <si>
    <t>VGSP-330_027,000_ES_CL7</t>
  </si>
  <si>
    <t>VGSP-330_027,000_ES_CL8</t>
  </si>
  <si>
    <t>VGSP-330_027,000_ES_CL6</t>
  </si>
  <si>
    <t>VGSP-330_027,000_ES_CL9</t>
  </si>
  <si>
    <t>VGSP-330_028,000_ES_CL3</t>
  </si>
  <si>
    <t>28,000</t>
  </si>
  <si>
    <t>28,500</t>
  </si>
  <si>
    <t>VGSP-348_028,000_ES_CL1</t>
  </si>
  <si>
    <t>VGSP-348_028,000_ES_CL4</t>
  </si>
  <si>
    <t>VGSP-348_028,000_ES_CL3</t>
  </si>
  <si>
    <t>VGSP-348_028,000_CC1</t>
  </si>
  <si>
    <t>VGSP-330_028,000_EN_CL1</t>
  </si>
  <si>
    <t>Dá para adicionar implemento de poda e realizar a poda das árvores próximas a rodovia, neste seguimento</t>
  </si>
  <si>
    <t>VGSP-348_028,000_CC3</t>
  </si>
  <si>
    <t>VGSP-330_028,000_ES_CL4</t>
  </si>
  <si>
    <t>VGSP-348_028,000_CC2</t>
  </si>
  <si>
    <t>VGSP-348_028,000_ES_CL2</t>
  </si>
  <si>
    <t>VGSP-330_028,000_ES_CL1</t>
  </si>
  <si>
    <t>VGSP-330_028,000_EN_CL2</t>
  </si>
  <si>
    <t>VGSP-348_028,000_EN_CL</t>
  </si>
  <si>
    <t>VGSP-330_028,000_ES_CL5</t>
  </si>
  <si>
    <t>VGSP-330_028,000_ES_CL2</t>
  </si>
  <si>
    <t>VGSP-330_029,000_ES_CL2</t>
  </si>
  <si>
    <t>29,000</t>
  </si>
  <si>
    <t>29,500</t>
  </si>
  <si>
    <t>VGSP-330_029,000_ES_CL1</t>
  </si>
  <si>
    <t>VGSP-330_029,000_ES_CL7</t>
  </si>
  <si>
    <t>VGSP-330_029,000_EN_CL1</t>
  </si>
  <si>
    <t>VGSP-330_029,000_ES_CL5</t>
  </si>
  <si>
    <t>VGSP-330_029,000_ES_CL4</t>
  </si>
  <si>
    <t>VGSP-330_029,000_EN_CL7</t>
  </si>
  <si>
    <t>VGSP-330_029,000_ES_CL6</t>
  </si>
  <si>
    <t>VGSP-330_029,000_EN_CL5</t>
  </si>
  <si>
    <t>VGSP-348_029,000_EN_CL4</t>
  </si>
  <si>
    <t>VGSP-348_029,000_CC3</t>
  </si>
  <si>
    <t>VGSP-348_029,000_EN_CL1</t>
  </si>
  <si>
    <t>VGSP-348_029,000_ES_CL4</t>
  </si>
  <si>
    <t>VGSP-348_029,000_ES_CL3</t>
  </si>
  <si>
    <t>VGSP-348_029,000_ES_CL2</t>
  </si>
  <si>
    <t>VGSP-330_029,000_EN_CL6</t>
  </si>
  <si>
    <t>VGSP-348_029,000_EN_CL3</t>
  </si>
  <si>
    <t>VGSP-348_029,000_ES_CL1</t>
  </si>
  <si>
    <t>VGSP-330_029,000_CC</t>
  </si>
  <si>
    <t>VGSP-330_029,000_ES_CL3</t>
  </si>
  <si>
    <t>VGSP-330_029,000_EN_CL2</t>
  </si>
  <si>
    <t>VGSP-348_029,000_EN_CL2</t>
  </si>
  <si>
    <t>VGSP-348_029,000_CC2</t>
  </si>
  <si>
    <t>VGSP-330_029,000_EN_CL4</t>
  </si>
  <si>
    <t>VGSP-330_029,000_EN_CL3</t>
  </si>
  <si>
    <t>VGSP-348_029,000_CC1</t>
  </si>
  <si>
    <t>VGSP-330_030,000_ES_CL3</t>
  </si>
  <si>
    <t>30,000</t>
  </si>
  <si>
    <t>30,500</t>
  </si>
  <si>
    <t>VGSP-330_030,000_EN_CL3</t>
  </si>
  <si>
    <t>VGSP-348_030,000_EN_CL1</t>
  </si>
  <si>
    <t>VGSP-330_030,000_EN_CL5</t>
  </si>
  <si>
    <t>VGSP-330_030,000_EN_CL2</t>
  </si>
  <si>
    <t>VGSP-330_030,000_EN_CL4</t>
  </si>
  <si>
    <t>VGSP-330_030,000_EN_CL1</t>
  </si>
  <si>
    <t>VGSP-348_030,000_EN_CL3</t>
  </si>
  <si>
    <t>VGSP-330_030,000_ES_CL6</t>
  </si>
  <si>
    <t>VGSP-348_030,000_CC</t>
  </si>
  <si>
    <t>VGSP-348_030,000_EN_CL2</t>
  </si>
  <si>
    <t>VGSP-330_030,000_EN_CL6</t>
  </si>
  <si>
    <t>VGSP-348_030,000_ES_CL1</t>
  </si>
  <si>
    <t>VGSP-330_030,000_ES_CL1</t>
  </si>
  <si>
    <t>VGSP-330_030,000_ES_CL5</t>
  </si>
  <si>
    <t>VGSP-330_030,000_ES_CL7</t>
  </si>
  <si>
    <t>VGSP-330_030,000_ES_CL2</t>
  </si>
  <si>
    <t>VGSP-330_030,000_ES_CL4</t>
  </si>
  <si>
    <t>VGSP-348_030,000_ES_CL2</t>
  </si>
  <si>
    <t>VGSP-348_031,000_EN_CL1</t>
  </si>
  <si>
    <t>31,000</t>
  </si>
  <si>
    <t>31,500</t>
  </si>
  <si>
    <t>VGSP-330_031,000_ES_CL3</t>
  </si>
  <si>
    <t>VGSP-330_031,000_EN_CL2</t>
  </si>
  <si>
    <t>VGSP-330_031,000_ES_CL2</t>
  </si>
  <si>
    <t>VGSP-348_031,000_CC5</t>
  </si>
  <si>
    <t>VGSP-348_031,000_ES_CL2</t>
  </si>
  <si>
    <t>VGSP-348_031,000_EN_CL2</t>
  </si>
  <si>
    <t>VGSP-348_031,000_CC1</t>
  </si>
  <si>
    <t>VGSP-330_031,000_ES_CL1</t>
  </si>
  <si>
    <t>VGSP-330_031,000_EN_CL3</t>
  </si>
  <si>
    <t>VGSP-330_031,000_EN_CL1</t>
  </si>
  <si>
    <t>VGSP-348_031,000_CC4</t>
  </si>
  <si>
    <t>VGSP-348_031,000_CC3</t>
  </si>
  <si>
    <t>VGSP-348_031,000_ES_CL1</t>
  </si>
  <si>
    <t>VGSP-348_031,000_CC2</t>
  </si>
  <si>
    <t>VGSP-348_032,000_EN_CL2</t>
  </si>
  <si>
    <t>32,000</t>
  </si>
  <si>
    <t>32,500</t>
  </si>
  <si>
    <t>VGSP-330_032,000_EN_CL5</t>
  </si>
  <si>
    <t>VGSP-330_032,000_EN_CL1</t>
  </si>
  <si>
    <t>VGSP-330_032,000_ES_CL2</t>
  </si>
  <si>
    <t>VGSP-330_032,000_ES_CL1</t>
  </si>
  <si>
    <t>VGSP-330_032,000_EN_CL6</t>
  </si>
  <si>
    <t>VGSP-330_032,000_EN_CL4</t>
  </si>
  <si>
    <t>VGSP-330_032,000_EN_CL2</t>
  </si>
  <si>
    <t>VGSP-348_032,000_CC1</t>
  </si>
  <si>
    <t>VGSP-348_032,000_EN_CL1</t>
  </si>
  <si>
    <t>VGSP-330_032,000_EN_CL3</t>
  </si>
  <si>
    <t>VGSP-348_032,000_CC2</t>
  </si>
  <si>
    <t>VGSP-348_032,000_ES_CL2</t>
  </si>
  <si>
    <t>VGSP-348_032,000_ES_CL1</t>
  </si>
  <si>
    <t>VGSP-330_033,000_EN_CL6</t>
  </si>
  <si>
    <t>33,000</t>
  </si>
  <si>
    <t>33,500</t>
  </si>
  <si>
    <t>trecho com um seguimento com talude com rocha</t>
  </si>
  <si>
    <t>VGSP-330_033,000_EN_CL4</t>
  </si>
  <si>
    <t>VGSP-348_033,000_EN_CL2</t>
  </si>
  <si>
    <t>VGSP-330_033,000_ES_CL3</t>
  </si>
  <si>
    <t>VGSP-330_033,000_EN_CL1</t>
  </si>
  <si>
    <t>VGSP-348_033,000_ES_CL</t>
  </si>
  <si>
    <t>VGSP-348_033,000_EN_CL1</t>
  </si>
  <si>
    <t>VGSP-348_033,000_EN_CL3</t>
  </si>
  <si>
    <t>VGSP-330_033,000_ES_CL4</t>
  </si>
  <si>
    <t>VGSP-330_033,000_EN_CL5</t>
  </si>
  <si>
    <t>VGSP-330_033,000_EN_CL3</t>
  </si>
  <si>
    <t>VGSP-330_033,000_ES_CL6</t>
  </si>
  <si>
    <t>VGSP-330_033,000_ES_CL2</t>
  </si>
  <si>
    <t>VGSP-348_033,000_EN_CL4</t>
  </si>
  <si>
    <t>VGSP-348_033,000_CC1</t>
  </si>
  <si>
    <t>VGSP-330_033,000_ES_CL1</t>
  </si>
  <si>
    <t>VGSP-348_033,000_CC2</t>
  </si>
  <si>
    <t>VGSP-330_033,000_ES_CL5</t>
  </si>
  <si>
    <t>VGSP-330_033,000_EN_CL2</t>
  </si>
  <si>
    <t>VGSP-348_034,000_EN_CL3</t>
  </si>
  <si>
    <t>34,000</t>
  </si>
  <si>
    <t>34,500</t>
  </si>
  <si>
    <t>VGSP-348_034,000_EN_CL2</t>
  </si>
  <si>
    <t>VGSP-348_034,000_CC1</t>
  </si>
  <si>
    <t>VGSP-348_034,000_EN_CL4</t>
  </si>
  <si>
    <t>VGSP-348_034,000_CC2</t>
  </si>
  <si>
    <t>VGSP-330_034,000_ES_CL2</t>
  </si>
  <si>
    <t>VGSP-348_034,000_CC3</t>
  </si>
  <si>
    <t>VGSP-330_034,000_EN_CL1</t>
  </si>
  <si>
    <t>trecho com seguimento com talude com rochas</t>
  </si>
  <si>
    <t>VGSP-330_034,000_ES_CL3</t>
  </si>
  <si>
    <t>VGSP-348_034,000_EN_CL1</t>
  </si>
  <si>
    <t>VGSP-348_034,000_EN_CL6</t>
  </si>
  <si>
    <t>VGSP-348_034,000_EN_CL5</t>
  </si>
  <si>
    <t>VGSP-330_034,000_ES_CL1</t>
  </si>
  <si>
    <t>VGSP-330_034,000_EN_CL2</t>
  </si>
  <si>
    <t>VGSP-348_035,000_ES_CL1</t>
  </si>
  <si>
    <t>35,000</t>
  </si>
  <si>
    <t>35,500</t>
  </si>
  <si>
    <t>VGSP-330_035,000_ES_CL2</t>
  </si>
  <si>
    <t>VGSP-348_035,000_ES_CL2</t>
  </si>
  <si>
    <t>VGSP-330_035,000_ES_CL4</t>
  </si>
  <si>
    <t>VGSP-348_035,000_EN_CL2</t>
  </si>
  <si>
    <t>VGSP-348_035,000_CC2</t>
  </si>
  <si>
    <t>VGSP-348_035,000_CC1</t>
  </si>
  <si>
    <t>VGSP-330_035,000_EN_CL1</t>
  </si>
  <si>
    <t>VGSP-330_035,000_ES_CL3</t>
  </si>
  <si>
    <t>VGSP-348_035,000_EN_CL1</t>
  </si>
  <si>
    <t>VGSP-330_035,000_EN_CL2</t>
  </si>
  <si>
    <t>VGSP-330_035,000_ES_CL1</t>
  </si>
  <si>
    <t>VGSP-348_036,000_ES_CL3</t>
  </si>
  <si>
    <t>36,000</t>
  </si>
  <si>
    <t>36,500</t>
  </si>
  <si>
    <t>VGSP-330_036,000_ES_CL6</t>
  </si>
  <si>
    <t>VGSP-330_036,000_EN_CL4</t>
  </si>
  <si>
    <t>VGSP-330_036,000_EN_CL11</t>
  </si>
  <si>
    <t>VGSP-330_036,000_EN_CL3</t>
  </si>
  <si>
    <t>VGSP-348_036,000_CC2</t>
  </si>
  <si>
    <t>VGSP-330_036,000_EN_CL5</t>
  </si>
  <si>
    <t>VGSP-348_036,000_EN_CL1</t>
  </si>
  <si>
    <t>VGSP-348_036,000_ES_CL2</t>
  </si>
  <si>
    <t>VGSP-330_036,000_EN_CL9</t>
  </si>
  <si>
    <t>VGSP-348_036,000_EN_CL2</t>
  </si>
  <si>
    <t>VGSP-330_036,000_EN_CL12</t>
  </si>
  <si>
    <t>VGSP-348_036,000_ES_CL1</t>
  </si>
  <si>
    <t>VGSP-348_036,000_CC1</t>
  </si>
  <si>
    <t>VGSP-330_036,000_EN_CL7</t>
  </si>
  <si>
    <t>VGSP-330_036,000_ES_CL1</t>
  </si>
  <si>
    <t>VGSP-330_036,000_ES_CL3</t>
  </si>
  <si>
    <t>VGSP-330_036,000_CC</t>
  </si>
  <si>
    <t>VGSP-330_036,000_EN_CL8</t>
  </si>
  <si>
    <t>VGSP-330_036,000_EN_CL2</t>
  </si>
  <si>
    <t>VGSP-330_036,000_EN_CL1</t>
  </si>
  <si>
    <t>VGSP-330_036,000_ES_CL5</t>
  </si>
  <si>
    <t>VGSP-330_036,000_ES_CL4</t>
  </si>
  <si>
    <t>VGSP-330_036,000_ES_CL2</t>
  </si>
  <si>
    <t>VGSP-330_036,000_EN_CL10</t>
  </si>
  <si>
    <t>VGSP-330_036,000_EN_CL6</t>
  </si>
  <si>
    <t>VGSP-330_037,000_CC1</t>
  </si>
  <si>
    <t>37,000</t>
  </si>
  <si>
    <t>37,500</t>
  </si>
  <si>
    <t>VGSP-348_037,000_CC3</t>
  </si>
  <si>
    <t>VGSP-348_037,000_ES_CL3</t>
  </si>
  <si>
    <t>VGSP-348_037,000_EN_CL5</t>
  </si>
  <si>
    <t>VGSP-348_037,000_EN_CL3</t>
  </si>
  <si>
    <t>VGSP-348_037,000_EN_CL1</t>
  </si>
  <si>
    <t>VGSP-348_037,000_ES_CL1</t>
  </si>
  <si>
    <t>VGSP-330_037,000_ES_CL3</t>
  </si>
  <si>
    <t>VGSP-330_037,000_EN_CL2</t>
  </si>
  <si>
    <t>VGSP-348_037,000_EN_CL2</t>
  </si>
  <si>
    <t>VGSP-348_037,000_CC4</t>
  </si>
  <si>
    <t>VGSP-330_037,000_CC2</t>
  </si>
  <si>
    <t>VGSP-348_037,000_CC1</t>
  </si>
  <si>
    <t>VGSP-330_037,000_ES_CL2</t>
  </si>
  <si>
    <t>VGSP-330_037,000_ES_CL1</t>
  </si>
  <si>
    <t>VGSP-348_037,000_CC2</t>
  </si>
  <si>
    <t>VGSP-348_037,000_ES_CL2</t>
  </si>
  <si>
    <t>VGSP-348_037,000_ES_CL4</t>
  </si>
  <si>
    <t>VGSP-330_037,000_CC6</t>
  </si>
  <si>
    <t>VGSP-330_037,000_CC5</t>
  </si>
  <si>
    <t>VGSP-330_037,000_CC4</t>
  </si>
  <si>
    <t>VGSP-348_037,000_EN_CL4</t>
  </si>
  <si>
    <t>VGSP-330_037,000_EN_CL1</t>
  </si>
  <si>
    <t>Trator 4.7m</t>
  </si>
  <si>
    <t>VGSP-330_037,000_CC3</t>
  </si>
  <si>
    <t>VGSP-330_038,000_EN_CL5</t>
  </si>
  <si>
    <t>38,000</t>
  </si>
  <si>
    <t>38,500</t>
  </si>
  <si>
    <t>VGSP-330_038,000_ES_CL7</t>
  </si>
  <si>
    <t>VGSP-330_038,000_EN_CL8</t>
  </si>
  <si>
    <t>VGSP-330_038,000_EN_CL4</t>
  </si>
  <si>
    <t>VGSP-330_038,000_EN_CL1</t>
  </si>
  <si>
    <t>VGSP-330_038,000_ES_CL1</t>
  </si>
  <si>
    <t>VGSP-330_038,000_EN_CL2</t>
  </si>
  <si>
    <t>VGSP-330_038,000_EN_CL6</t>
  </si>
  <si>
    <t>VGSP-348_038,000_EN_CL3</t>
  </si>
  <si>
    <t>VGSP-330_038,000_EN_CL3</t>
  </si>
  <si>
    <t>VGSP-348_038,000_CC3</t>
  </si>
  <si>
    <t>VGSP-348_038,000_ES_CL2</t>
  </si>
  <si>
    <t>VGSP-348_038,000_CC1</t>
  </si>
  <si>
    <t>VGSP-348_038,000_EN_CL2</t>
  </si>
  <si>
    <t>VGSP-348_038,000_EN_CL1</t>
  </si>
  <si>
    <t>VGSP-348_038,000_EN_CL4</t>
  </si>
  <si>
    <t>VGSP-348_038,000_ES_CL5</t>
  </si>
  <si>
    <t>VGSP-348_038,000_ES_CL4</t>
  </si>
  <si>
    <t>VGSP-348_038,000_ES_CL1</t>
  </si>
  <si>
    <t>VGSP-330_038,000_EN_CL7</t>
  </si>
  <si>
    <t>VGSP-330_038,000_ES_CL3</t>
  </si>
  <si>
    <t>VGSP-330_038,000_ES_CL4</t>
  </si>
  <si>
    <t>VGSP-330_038,000_ES_CL6</t>
  </si>
  <si>
    <t>VGSP-330_038,000_ES_CL5</t>
  </si>
  <si>
    <t>VGSP-330_038,000_ES_CL2</t>
  </si>
  <si>
    <t>VGSP-330_038,000_ES_CL8</t>
  </si>
  <si>
    <t>VGSP-348_038,000_ES_CL3</t>
  </si>
  <si>
    <t>VGSP-348_038,000_CC2</t>
  </si>
  <si>
    <t>VGSP-348_039,000_CC1</t>
  </si>
  <si>
    <t>39,000</t>
  </si>
  <si>
    <t>39,500</t>
  </si>
  <si>
    <t>VGSP-330_039,000_ES_CL6</t>
  </si>
  <si>
    <t>VGSP-330_039,000_EN_CL4</t>
  </si>
  <si>
    <t>VGSP-330_039,000_ES_CL2</t>
  </si>
  <si>
    <t>VGSP-330_039,000_EN_CL2</t>
  </si>
  <si>
    <t>VGSP-348_039,000_ES_CL2</t>
  </si>
  <si>
    <t>VGSP-330_039,000_ES_CL4</t>
  </si>
  <si>
    <t>VGSP-348_039,000_EN_CL3</t>
  </si>
  <si>
    <t>VGSP-348_039,000_EN_CL4</t>
  </si>
  <si>
    <t>VGSP-330_039,000_ES_CL5</t>
  </si>
  <si>
    <t>VGSP-330_039,000_ES_CL3</t>
  </si>
  <si>
    <t>VGSP-330_039,000_EN_CL6</t>
  </si>
  <si>
    <t>VGSP-330_039,000_EN_CL3</t>
  </si>
  <si>
    <t>VGSP-348_039,000_EN_CL5</t>
  </si>
  <si>
    <t>VGSP-330_039,000_EN_CL1</t>
  </si>
  <si>
    <t>VGSP-348_039,000_CC2</t>
  </si>
  <si>
    <t>VGSP-330_039,000_ES_CL7</t>
  </si>
  <si>
    <t>VGSP-348_039,000_EN_CL2</t>
  </si>
  <si>
    <t>VGSP-348_039,000_ES_CL3</t>
  </si>
  <si>
    <t>VGSP-348_039,000_ES_CL1</t>
  </si>
  <si>
    <t>VGSP-330_039,000_EN_CL5</t>
  </si>
  <si>
    <t>VGSP-330_039,000_ES_CL1</t>
  </si>
  <si>
    <t>VGSP-348_039,000_EN_CL1</t>
  </si>
  <si>
    <t>VGSP-348_040,000_ES_CL2</t>
  </si>
  <si>
    <t>40,000</t>
  </si>
  <si>
    <t>40,500</t>
  </si>
  <si>
    <t>VGSP-348_040,000_CC1</t>
  </si>
  <si>
    <t>VGSP-348_040,000_EN_CL4</t>
  </si>
  <si>
    <t>VGSP-330_040,000_EN_CL1</t>
  </si>
  <si>
    <t>VGSP-348_040,000_EN_CL3</t>
  </si>
  <si>
    <t>VGSP-330_040,000_ES_CL2</t>
  </si>
  <si>
    <t>VGSP-330_040,000_ES_CL1</t>
  </si>
  <si>
    <t>VGSP-348_040,000_EN_CL2</t>
  </si>
  <si>
    <t>VGSP-348_040,000_EN_CL1</t>
  </si>
  <si>
    <t>VGSP-330_040,000_EN_CL2</t>
  </si>
  <si>
    <t>VGSP-348_040,000_ES_CL1</t>
  </si>
  <si>
    <t>VGSP-348_040,000_CC2</t>
  </si>
  <si>
    <t>VGSP-348_041,000_CC5</t>
  </si>
  <si>
    <t>41,000</t>
  </si>
  <si>
    <t>41,500</t>
  </si>
  <si>
    <t>VGSP-348_041,000_EN_CL2</t>
  </si>
  <si>
    <t>VGSP-348_041,000_CC1</t>
  </si>
  <si>
    <t>VGSP-348_041,000_CC4</t>
  </si>
  <si>
    <t>VGSP-348_041,000_CC3</t>
  </si>
  <si>
    <t>VGSP-330_041,000_EN_CL1</t>
  </si>
  <si>
    <t>VGSP-330_041,000_EN_CL2</t>
  </si>
  <si>
    <t>VGSP-330_041,000_EN_CL3</t>
  </si>
  <si>
    <t>VGSP-330_041,000_ES_CL2</t>
  </si>
  <si>
    <t>VGSP-348_041,000_CC2</t>
  </si>
  <si>
    <t>VGSP-330_041,000_EN_CL4</t>
  </si>
  <si>
    <t>VGSP-348_041,000_EN_CL3</t>
  </si>
  <si>
    <t>VGSP-330_041,000_EN_CL5</t>
  </si>
  <si>
    <t>VGSP-348_041,000_EN_CL1</t>
  </si>
  <si>
    <t>VGSP-330_041,000_ES_CL1</t>
  </si>
  <si>
    <t>VGSP-348_042,000_EN_CL1</t>
  </si>
  <si>
    <t>42,000</t>
  </si>
  <si>
    <t>42,500</t>
  </si>
  <si>
    <t>VGSP-348_042,000_CC1</t>
  </si>
  <si>
    <t>VGSP-348_042,000_CC3</t>
  </si>
  <si>
    <t>VGSP-330_042,000_EN_CL1</t>
  </si>
  <si>
    <t>VGSP-330_042,000_ES_CL1</t>
  </si>
  <si>
    <t>VGSP-348_042,000_EN_CL4</t>
  </si>
  <si>
    <t>VGSP-348_042,000_CC2</t>
  </si>
  <si>
    <t>VGSP-330_042,000_EN_CL2</t>
  </si>
  <si>
    <t>VGSP-348_042,000_ES_CL2</t>
  </si>
  <si>
    <t>VGSP-348_042,000_ES_CL1</t>
  </si>
  <si>
    <t>VGSP-330_042,000_EN_CL3</t>
  </si>
  <si>
    <t>VGSP-348_042,000_EN_CL3</t>
  </si>
  <si>
    <t>VGSP-348_042,000_EN_CL2</t>
  </si>
  <si>
    <t>VGSP-330_042,000_ES_CL2</t>
  </si>
  <si>
    <t>VGSP-348_043,000_ES_CL2</t>
  </si>
  <si>
    <t>43,000</t>
  </si>
  <si>
    <t>43,500</t>
  </si>
  <si>
    <t>VGSP-348_043,000_CC1</t>
  </si>
  <si>
    <t>VGSP-348_043,000_EN_CL2</t>
  </si>
  <si>
    <t>VGSP-348_043,000_ES_CL5</t>
  </si>
  <si>
    <t>VGSP-348_043,000_ES_CL3</t>
  </si>
  <si>
    <t>VGSP-330_043,000_EN_CL2</t>
  </si>
  <si>
    <t>VGSP-330_043,000_CC</t>
  </si>
  <si>
    <t>VGSP-330_043,000_ES_CL2</t>
  </si>
  <si>
    <t>VGSP-330_043,000_EN_CL5</t>
  </si>
  <si>
    <t>VGSP-330_043,000_EN_CL4</t>
  </si>
  <si>
    <t>VGSP-330_043,000_EN_CL1</t>
  </si>
  <si>
    <t>VGSP-348_043,000_ES_CL1</t>
  </si>
  <si>
    <t>VGSP-348_043,000_EN_CL1</t>
  </si>
  <si>
    <t>VGSP-348_043,000_EN_CL3</t>
  </si>
  <si>
    <t>VGSP-330_043,000_EN_CL3</t>
  </si>
  <si>
    <t>VGSP-348_043,000_CC2</t>
  </si>
  <si>
    <t>VGSP-330_043,000_ES_CL1</t>
  </si>
  <si>
    <t>VGSP-348_043,000_ES_CL4</t>
  </si>
  <si>
    <t>VGSP-348_044,000_EN_CL2</t>
  </si>
  <si>
    <t>44,000</t>
  </si>
  <si>
    <t>44,500</t>
  </si>
  <si>
    <t>VGSP-348_044,000_ES_CL1</t>
  </si>
  <si>
    <t>VGSP-348_044,000_ES_CL2</t>
  </si>
  <si>
    <t>VGSP-330_044,000_CC2</t>
  </si>
  <si>
    <t>VGSP-348_044,000_ES_CL3</t>
  </si>
  <si>
    <t>VGSP-330_044,000_EN_CL1</t>
  </si>
  <si>
    <t>VGSP-348_044,000_ES_CL4</t>
  </si>
  <si>
    <t>VGSP-348_044,000_EN_CL1</t>
  </si>
  <si>
    <t>VGSP-330_044,000_EN_CL2</t>
  </si>
  <si>
    <t>VGSP-330_044,000_CC3</t>
  </si>
  <si>
    <t>VGSP-330_044,000_CC1</t>
  </si>
  <si>
    <t>VGSP-348_044,000_CC1</t>
  </si>
  <si>
    <t>VGSP-348_044,000_CC2</t>
  </si>
  <si>
    <t>VGSP-348_045,000_CC</t>
  </si>
  <si>
    <t>45,000</t>
  </si>
  <si>
    <t>45,500</t>
  </si>
  <si>
    <t>VGSP-348_045,000_ES_CL3</t>
  </si>
  <si>
    <t>VGSP-330_045,000_ES_CL1</t>
  </si>
  <si>
    <t>VGSP-330_045,000_ES_CL3</t>
  </si>
  <si>
    <t>VGSP-330_045,000_ES_CL2</t>
  </si>
  <si>
    <t>VGSP-330_045,000_EN_CL1</t>
  </si>
  <si>
    <t>VGSP-348_045,000_ES_CL2</t>
  </si>
  <si>
    <t>VGSP-348_045,000_ES_CL1</t>
  </si>
  <si>
    <t>VGSP-330_045,000_ES_CL4</t>
  </si>
  <si>
    <t>VGSP-330_045,000_EN_CL2</t>
  </si>
  <si>
    <t>VGSP-348_045,000_EN_CL</t>
  </si>
  <si>
    <t>VGSP-348_045,000_ES_CL4</t>
  </si>
  <si>
    <t>VGSP-348_046,000_EN_CL2</t>
  </si>
  <si>
    <t>46,000</t>
  </si>
  <si>
    <t>46,500</t>
  </si>
  <si>
    <t>VGSP-348_046,000_CC1</t>
  </si>
  <si>
    <t>VGSP-348_046,000_ES_CL7</t>
  </si>
  <si>
    <t>VGSP-330_046,000_ES_CL1</t>
  </si>
  <si>
    <t>VGSP-330_046,000_ES_CL3</t>
  </si>
  <si>
    <t>VGSP-330_046,000_ES_CL2</t>
  </si>
  <si>
    <t>VGSP-348_046,000_ES_CL6</t>
  </si>
  <si>
    <t>VGSP-330_046,000_EN_CL1</t>
  </si>
  <si>
    <t>VGSP-330_046,000_EN_CL2</t>
  </si>
  <si>
    <t>VGSP-348_046,000_EN_CL4</t>
  </si>
  <si>
    <t>VGSP-348_046,000_CC3</t>
  </si>
  <si>
    <t>VGSP-348_046,000_CC2</t>
  </si>
  <si>
    <t>VGSP-348_046,000_EN_CL1</t>
  </si>
  <si>
    <t>VGSP-348_046,000_EN_CL3</t>
  </si>
  <si>
    <t>VGSP-348_046,000_ES_CL1</t>
  </si>
  <si>
    <t>VGSP-348_046,000_ES_CL2</t>
  </si>
  <si>
    <t>VGSP-348_046,000_ES_CL4</t>
  </si>
  <si>
    <t>VGSP-348_046,000_ES_CL5</t>
  </si>
  <si>
    <t>VGSP-348_046,000_ES_CL3</t>
  </si>
  <si>
    <t>VGSP-330_047,000_EN_CL2</t>
  </si>
  <si>
    <t>47,000</t>
  </si>
  <si>
    <t>47,500</t>
  </si>
  <si>
    <t>VGSP-330_047,000_EN_CL1</t>
  </si>
  <si>
    <t>VGSP-348_047,000_ES_CL2</t>
  </si>
  <si>
    <t>VGSP-348_047,000_EN_CL2</t>
  </si>
  <si>
    <t>VGSP-348_047,000_ES_CL4</t>
  </si>
  <si>
    <t>VGSP-348_047,000_EN_CL1</t>
  </si>
  <si>
    <t>VGSP-348_047,000_ES_CL3</t>
  </si>
  <si>
    <t>VGSP-330_047,000_ES_CL2</t>
  </si>
  <si>
    <t>VGSP-348_047,000_CC1</t>
  </si>
  <si>
    <t>VGSP-348_047,000_ES_CL1</t>
  </si>
  <si>
    <t>VGSP-348_047,000_CC2</t>
  </si>
  <si>
    <t>VGSP-330_047,000_ES_CL1</t>
  </si>
  <si>
    <t>VGSP-348_047,000_EN_CL3</t>
  </si>
  <si>
    <t>VGSP-330_047,000_ES_CL3</t>
  </si>
  <si>
    <t>VGSP-348_047,000_ES_CL5</t>
  </si>
  <si>
    <t>VGSP-348_048,000_EN_CL6</t>
  </si>
  <si>
    <t>48,000</t>
  </si>
  <si>
    <t>48,500</t>
  </si>
  <si>
    <t>VGSP-348_048,000_CC1</t>
  </si>
  <si>
    <t>VGSP-348_048,000_ES_CL9</t>
  </si>
  <si>
    <t>VGSP-348_048,000_EN_CL7</t>
  </si>
  <si>
    <t>VGSP-348_048,000_CC4</t>
  </si>
  <si>
    <t>VGSP-348_048,000_ES_CL11</t>
  </si>
  <si>
    <t>VGSP-348_048,000_ES_CL6</t>
  </si>
  <si>
    <t>VGSP-330_048,000_ES_CL1</t>
  </si>
  <si>
    <t>VGSP-348_048,000_CC2</t>
  </si>
  <si>
    <t>VGSP-348_048,000_ES_CL1</t>
  </si>
  <si>
    <t>VGSP-348_048,000_EN_CL10</t>
  </si>
  <si>
    <t>VGSP-348_048,000_ES_CL3</t>
  </si>
  <si>
    <t>VGSP-348_048,000_ES_CL7</t>
  </si>
  <si>
    <t>VGSP-348_048,000_ES_CL12</t>
  </si>
  <si>
    <t>VGSP-348_048,000_ES_CL4</t>
  </si>
  <si>
    <t>VGSP-348_048,000_EN_CL5</t>
  </si>
  <si>
    <t>VGSP-348_048,000_EN_CL11</t>
  </si>
  <si>
    <t>VGSP-330_048,000_EN_CL2</t>
  </si>
  <si>
    <t>VGSP-330_048,000_ES_CL5</t>
  </si>
  <si>
    <t>VGSP-330_048,000_ES_CL3</t>
  </si>
  <si>
    <t>VGSP-330_048,000_ES_CL4</t>
  </si>
  <si>
    <t>VGSP-330_048,000_EN_CL1</t>
  </si>
  <si>
    <t>VGSP-348_048,000_ES_CL10</t>
  </si>
  <si>
    <t>VGSP-348_048,000_ES_CL5</t>
  </si>
  <si>
    <t>VGSP-348_048,000_CC6</t>
  </si>
  <si>
    <t>VGSP-348_048,000_EN_CL3</t>
  </si>
  <si>
    <t>VGSP-348_048,000_EN_CL8</t>
  </si>
  <si>
    <t>VGSP-348_048,000_CC3</t>
  </si>
  <si>
    <t>VGSP-348_048,000_EN_CL1</t>
  </si>
  <si>
    <t>VGSP-330_048,000_ES_CL2</t>
  </si>
  <si>
    <t>VGSP-348_048,000_ES_CL8</t>
  </si>
  <si>
    <t>VGSP-348_048,000_EN_CL2</t>
  </si>
  <si>
    <t>VGSP-348_048,000_ES_CL2</t>
  </si>
  <si>
    <t>VGSP-348_048,000_EN_CL4</t>
  </si>
  <si>
    <t>VGSP-348_048,000_CC5</t>
  </si>
  <si>
    <t>VGSP-348_048,000_EN_CL9</t>
  </si>
  <si>
    <t>VGSP-348_049,000_EN_CL1</t>
  </si>
  <si>
    <t>49,000</t>
  </si>
  <si>
    <t>49,500</t>
  </si>
  <si>
    <t>VGSP-348_049,000_EN_CL2</t>
  </si>
  <si>
    <t>VGSP-330_049,000_EN_CL3</t>
  </si>
  <si>
    <t>VGSP-348_049,000_CC1</t>
  </si>
  <si>
    <t>VGSP-348_049,000_ES_CL3</t>
  </si>
  <si>
    <t>VGSP-348_049,000_CC2</t>
  </si>
  <si>
    <t>VGSP-330_049,000_ES_CL</t>
  </si>
  <si>
    <t>VGSP-330_049,000_EN_CL1</t>
  </si>
  <si>
    <t>VGSP-330_049,000_EN_CL4</t>
  </si>
  <si>
    <t>VGSP-348_049,000_ES_CL1</t>
  </si>
  <si>
    <t>VGSP-348_049,000_ES_CL2</t>
  </si>
  <si>
    <t>VGSP-330_049,000_EN_CL2</t>
  </si>
  <si>
    <t>VGSP-330_050,000_EN_CL1</t>
  </si>
  <si>
    <t>50,000</t>
  </si>
  <si>
    <t>50,500</t>
  </si>
  <si>
    <t>VGSP-330_050,000_EN_CL2</t>
  </si>
  <si>
    <t>VGSP-330_050,000_ES_CL4</t>
  </si>
  <si>
    <t>VGSP-348_050,000_EN_CL4</t>
  </si>
  <si>
    <t>VGSP-348_050,000_EN_CL2</t>
  </si>
  <si>
    <t>VGSP-348_050,000_ES_CL4</t>
  </si>
  <si>
    <t>VGSP-348_050,000_EN_CL1</t>
  </si>
  <si>
    <t>VGSP-330_050,000_CC2</t>
  </si>
  <si>
    <t>VGSP-330_050,000_ES_CL3</t>
  </si>
  <si>
    <t>VGSP-330_050,000_EN_CL3</t>
  </si>
  <si>
    <t>VGSP-330_050,000_ES_CL2</t>
  </si>
  <si>
    <t>VGSP-348_050,000_CC1</t>
  </si>
  <si>
    <t>VGSP-348_050,000_ES_CL1</t>
  </si>
  <si>
    <t>VGSP-348_050,000_EN_CL3</t>
  </si>
  <si>
    <t>VGSP-348_050,000_CC2</t>
  </si>
  <si>
    <t>VGSP-330_050,000_CC1</t>
  </si>
  <si>
    <t>VGSP-348_050,000_ES_CL3</t>
  </si>
  <si>
    <t>VGSP-348_050,000_ES_CL2</t>
  </si>
  <si>
    <t>VGSP-348_050,000_CC3</t>
  </si>
  <si>
    <t>VGSP-330_050,000_ES_CL1</t>
  </si>
  <si>
    <t>VGSP-348_051,000_ES_CL1</t>
  </si>
  <si>
    <t>51,000</t>
  </si>
  <si>
    <t>51,500</t>
  </si>
  <si>
    <t>VGSP-348_051,000_EN_CL2</t>
  </si>
  <si>
    <t>VGSP-330_051,000_EN_CL2</t>
  </si>
  <si>
    <t>VGSP-348_051,000_EN_CL1</t>
  </si>
  <si>
    <t>VGSP-330_051,000_EN_CL4</t>
  </si>
  <si>
    <t>VGSP-330_051,000_CC1</t>
  </si>
  <si>
    <t>VGSP-330_051,000_ES_CL3</t>
  </si>
  <si>
    <t>VGSP-330_051,000_ES_CL4</t>
  </si>
  <si>
    <t>VGSP-330_051,000_EN_CL1</t>
  </si>
  <si>
    <t>VGSP-348_051,000_ES_CL2</t>
  </si>
  <si>
    <t>VGSP-330_051,000_EN_CL5</t>
  </si>
  <si>
    <t>VGSP-330_051,000_ES_CL1</t>
  </si>
  <si>
    <t>VGSP-330_051,000_ES_CL2</t>
  </si>
  <si>
    <t>VGSP-330_051,000_CC2</t>
  </si>
  <si>
    <t>VGSP-330_051,000_EN_CL3</t>
  </si>
  <si>
    <t>VGSP-330_051,000_ES_CL5</t>
  </si>
  <si>
    <t>VGSP-348_051,000_ES_CL3</t>
  </si>
  <si>
    <t>VGSP-348_051,000_CC3</t>
  </si>
  <si>
    <t>VGSP-348_051,000_CC2</t>
  </si>
  <si>
    <t>VGSP-348_051,000_CC1</t>
  </si>
  <si>
    <t>VGSP-348_051,000_EN_CL3</t>
  </si>
  <si>
    <t>VGSP-330_052,000_CC3</t>
  </si>
  <si>
    <t>52,000</t>
  </si>
  <si>
    <t>52,500</t>
  </si>
  <si>
    <t>VGSP-330_052,000_EN_CL4</t>
  </si>
  <si>
    <t>VGSP-348_052,000_CC3</t>
  </si>
  <si>
    <t>VGSP-330_052,000_ES_CL2</t>
  </si>
  <si>
    <t>VGSP-330_052,000_EN_CL3</t>
  </si>
  <si>
    <t>VGSP-348_052,000_EN_CL3</t>
  </si>
  <si>
    <t>VGSP-330_052,000_ES_CL7</t>
  </si>
  <si>
    <t>VGSP-330_052,000_ES_CL5</t>
  </si>
  <si>
    <t>VGSP-330_052,000_ES_CL6</t>
  </si>
  <si>
    <t>VGSP-330_052,000_ES_CL1</t>
  </si>
  <si>
    <t>VGSP-330_052,000_EN_CL1</t>
  </si>
  <si>
    <t>VGSP-348_052,000_EN_CL2</t>
  </si>
  <si>
    <t>VGSP-348_052,000_EN_CL1</t>
  </si>
  <si>
    <t>VGSP-348_052,000_ES_CL3</t>
  </si>
  <si>
    <t>VGSP-348_052,000_ES_CL2</t>
  </si>
  <si>
    <t>VGSP-348_052,000_ES_CL1</t>
  </si>
  <si>
    <t>VGSP-330_052,000_CC1</t>
  </si>
  <si>
    <t>VGSP-330_052,000_ES_CL3</t>
  </si>
  <si>
    <t>VGSP-330_052,000_ES_CL4</t>
  </si>
  <si>
    <t>VGSP-348_052,000_CC2</t>
  </si>
  <si>
    <t>VGSP-330_052,000_CC2</t>
  </si>
  <si>
    <t>VGSP-348_052,000_CC1</t>
  </si>
  <si>
    <t>VGSP-330_052,000_EN_CL2</t>
  </si>
  <si>
    <t>VGSP-348_052,000_ES_CL4</t>
  </si>
  <si>
    <t>VGSP-330_053,000_EN_CL5</t>
  </si>
  <si>
    <t>53,000</t>
  </si>
  <si>
    <t>53,500</t>
  </si>
  <si>
    <t>VGSP-348_053,000_EN_CL1</t>
  </si>
  <si>
    <t>VGSP-348_053,000_CC3</t>
  </si>
  <si>
    <t>VGSP-348_053,000_ES_CL1</t>
  </si>
  <si>
    <t>VGSP-348_053,000_ES_CL2</t>
  </si>
  <si>
    <t>VGSP-348_053,000_EN_CL2</t>
  </si>
  <si>
    <t>VGSP-348_053,000_CC2</t>
  </si>
  <si>
    <t>VGSP-330_053,000_EN_CL12</t>
  </si>
  <si>
    <t>VGSP-348_053,000_CC4</t>
  </si>
  <si>
    <t>VGSP-330_053,000_EN_CL11</t>
  </si>
  <si>
    <t>VGSP-330_053,000_ES_CL8</t>
  </si>
  <si>
    <t>VGSP-330_053,000_EN_CL2</t>
  </si>
  <si>
    <t>VGSP-330_053,000_EN_CL3</t>
  </si>
  <si>
    <t>VGSP-330_053,000_EN_CL8</t>
  </si>
  <si>
    <t>VGSP-330_053,000_EN_CL6</t>
  </si>
  <si>
    <t>VGSP-330_053,000_ES_CL9</t>
  </si>
  <si>
    <t>VGSP-330_053,000_ES_CL11</t>
  </si>
  <si>
    <t>VGSP-330_053,000_ES_CL14</t>
  </si>
  <si>
    <t>VGSP-330_053,000_ES_CL12</t>
  </si>
  <si>
    <t>VGSP-330_053,000_EN_CL13</t>
  </si>
  <si>
    <t>VGSP-330_053,000_ES_CL1</t>
  </si>
  <si>
    <t>VGSP-330_053,000_ES_CL4</t>
  </si>
  <si>
    <t>VGSP-330_053,000_ES_CL3</t>
  </si>
  <si>
    <t>VGSP-330_053,000_ES_CL6</t>
  </si>
  <si>
    <t>VGSP-330_053,000_ES_CL13</t>
  </si>
  <si>
    <t>VGSP-348_053,000_EN_CL3</t>
  </si>
  <si>
    <t>VGSP-330_053,000_EN_CL1</t>
  </si>
  <si>
    <t>VGSP-348_053,000_CC1</t>
  </si>
  <si>
    <t>VGSP-330_053,000_ES_CL2</t>
  </si>
  <si>
    <t>VGSP-330_053,000_ES_CL5</t>
  </si>
  <si>
    <t>VGSP-330_053,000_ES_CL7</t>
  </si>
  <si>
    <t>VGSP-330_053,000_EN_CL7</t>
  </si>
  <si>
    <t>VGSP-330_053,000_EN_CL4</t>
  </si>
  <si>
    <t>VGSP-330_053,000_EN_CL10</t>
  </si>
  <si>
    <t>VGSP-330_053,000_EN_CL9</t>
  </si>
  <si>
    <t>VGSP-330_053,000_ES_CL10</t>
  </si>
  <si>
    <t>VGSP-330_054,000_ES_CL2</t>
  </si>
  <si>
    <t>54,000</t>
  </si>
  <si>
    <t>54,500</t>
  </si>
  <si>
    <t>VGSP-330_054,000_EN_CL5</t>
  </si>
  <si>
    <t>VGSP-330_054,000_EN_CL4</t>
  </si>
  <si>
    <t>VGSP-348_054,000_ES_CL</t>
  </si>
  <si>
    <t>VGSP-348_054,000_CC1</t>
  </si>
  <si>
    <t>VGSP-330_054,000_EN_CL3</t>
  </si>
  <si>
    <t>VGSP-330_054,000_ES_CL5</t>
  </si>
  <si>
    <t>VGSP-330_054,000_EN_CL2</t>
  </si>
  <si>
    <t>VGSP-348_054,000_EN_CL2</t>
  </si>
  <si>
    <t>VGSP-330_054,000_ES_CL1</t>
  </si>
  <si>
    <t>VGSP-330_054,000_ES_CL6</t>
  </si>
  <si>
    <t>VGSP-348_054,000_CC3</t>
  </si>
  <si>
    <t>VGSP-348_054,000_EN_CL1</t>
  </si>
  <si>
    <t>VGSP-348_054,000_CC2</t>
  </si>
  <si>
    <t>VGSP-330_054,000_ES_CL4</t>
  </si>
  <si>
    <t>VGSP-330_054,000_EN_CL1</t>
  </si>
  <si>
    <t>VGSP-330_054,000_ES_CL3</t>
  </si>
  <si>
    <t>VGSP-330_055,000_EN_CL2</t>
  </si>
  <si>
    <t>55,000</t>
  </si>
  <si>
    <t>55,500</t>
  </si>
  <si>
    <t>VGSP-330_055,000_ES_CL1</t>
  </si>
  <si>
    <t>VGSP-330_055,000_EN_CL4</t>
  </si>
  <si>
    <t>VGSP-348_055,000_ES_CL2</t>
  </si>
  <si>
    <t>VGSP-330_055,000_ES_CL6</t>
  </si>
  <si>
    <t>VGSP-330_055,000_ES_CL4</t>
  </si>
  <si>
    <t>VGSP-330_055,000_EN_CL6</t>
  </si>
  <si>
    <t>VGSP-330_055,000_EN_CL7</t>
  </si>
  <si>
    <t>VGSP-330_055,000_EN_CL3</t>
  </si>
  <si>
    <t>VGSP-348_055,000_ES_CL1</t>
  </si>
  <si>
    <t>VGSP-330_055,000_ES_CL10</t>
  </si>
  <si>
    <t>VGSP-330_055,000_ES_CL9</t>
  </si>
  <si>
    <t>VGSP-348_055,000_EN_CL2</t>
  </si>
  <si>
    <t>VGSP-330_055,000_EN_CL1</t>
  </si>
  <si>
    <t>VGSP-330_055,000_EN_CL5</t>
  </si>
  <si>
    <t>VGSP-348_055,000_CC2</t>
  </si>
  <si>
    <t>VGSP-330_055,000_ES_CL7</t>
  </si>
  <si>
    <t>VGSP-348_055,000_CC1</t>
  </si>
  <si>
    <t>VGSP-348_055,000_EN_CL1</t>
  </si>
  <si>
    <t>VGSP-330_055,000_ES_CL3</t>
  </si>
  <si>
    <t>VGSP-330_055,000_ES_CL8</t>
  </si>
  <si>
    <t>VGSP-330_055,000_ES_CL2</t>
  </si>
  <si>
    <t>VGSP-330_055,000_ES_CL5</t>
  </si>
  <si>
    <t>VGSP-330_056,000_ES_CL4</t>
  </si>
  <si>
    <t>56,000</t>
  </si>
  <si>
    <t>56,500</t>
  </si>
  <si>
    <t>VGSP-330_056,000_ES_CL2</t>
  </si>
  <si>
    <t>VGSP-330_056,000_ES_CL1</t>
  </si>
  <si>
    <t>VGSP-330_056,000_ES_CL10</t>
  </si>
  <si>
    <t>VGSP-348_056,000_EN_CL1</t>
  </si>
  <si>
    <t>VGSP-330_056,000_EN_CL2</t>
  </si>
  <si>
    <t>VGSP-330_056,000_EN_CL1</t>
  </si>
  <si>
    <t>VGSP-330_056,000_ES_CL3</t>
  </si>
  <si>
    <t>VGSP-330_056,000_ES_CL11</t>
  </si>
  <si>
    <t>VGSP-330_056,000_ES_CL6</t>
  </si>
  <si>
    <t>VGSP-348_056,000_ES_CL1</t>
  </si>
  <si>
    <t>VGSP-348_056,000_ES_CL2</t>
  </si>
  <si>
    <t>VGSP-330_056,000_EN_CL6</t>
  </si>
  <si>
    <t>VGSP-348_056,000_EN_CL2</t>
  </si>
  <si>
    <t>VGSP-330_056,000_EN_CL4</t>
  </si>
  <si>
    <t>VGSP-330_056,000_EN_CL3</t>
  </si>
  <si>
    <t>VGSP-348_056,000_CC1</t>
  </si>
  <si>
    <t>VGSP-348_056,000_CC4</t>
  </si>
  <si>
    <t>VGSP-330_056,000_ES_CL5</t>
  </si>
  <si>
    <t>VGSP-330_056,000_ES_CL8</t>
  </si>
  <si>
    <t>VGSP-330_056,000_ES_CL9</t>
  </si>
  <si>
    <t>VGSP-348_056,000_EN_CL4</t>
  </si>
  <si>
    <t>VGSP-348_056,000_ES_CL3</t>
  </si>
  <si>
    <t>VGSP-348_056,000_EN_CL3</t>
  </si>
  <si>
    <t>VGSP-330_056,000_CC</t>
  </si>
  <si>
    <t>VGSP-330_056,000_ES_CL7</t>
  </si>
  <si>
    <t>VGSP-348_056,000_CC2</t>
  </si>
  <si>
    <t>VGSP-348_056,000_CC3</t>
  </si>
  <si>
    <t>VGSP-330_056,000_EN_CL5</t>
  </si>
  <si>
    <t>VGSP-348_057,000_EN_CL1</t>
  </si>
  <si>
    <t>57,000</t>
  </si>
  <si>
    <t>57,500</t>
  </si>
  <si>
    <t>VGSP-348_057,000_EN_CL3</t>
  </si>
  <si>
    <t>VGSP-330_057,000_ES_CL3</t>
  </si>
  <si>
    <t>VGSP-330_057,000_ES_CL4</t>
  </si>
  <si>
    <t>VGSP-330_057,000_ES_CL5</t>
  </si>
  <si>
    <t>VGSP-330_057,000_ES_CL7</t>
  </si>
  <si>
    <t>VGSP-330_057,000_EN_CL6</t>
  </si>
  <si>
    <t>VGSP-330_057,000_EN_CL7</t>
  </si>
  <si>
    <t>VGSP-330_057,000_EN_CL8</t>
  </si>
  <si>
    <t>VGSP-330_057,000_ES_CL6</t>
  </si>
  <si>
    <t>VGSP-348_057,000_ES_CL1</t>
  </si>
  <si>
    <t>VGSP-330_057,000_EN_CL1</t>
  </si>
  <si>
    <t>VGSP-348_057,000_CC2</t>
  </si>
  <si>
    <t>VGSP-348_057,000_CC3</t>
  </si>
  <si>
    <t>VGSP-348_057,000_ES_CL2</t>
  </si>
  <si>
    <t>VGSP-330_057,000_EN_CL3</t>
  </si>
  <si>
    <t>VGSP-330_057,000_EN_CL2</t>
  </si>
  <si>
    <t>VGSP-330_057,000_EN_CL4</t>
  </si>
  <si>
    <t>VGSP-330_057,000_EN_CL5</t>
  </si>
  <si>
    <t>VGSP-348_057,000_CC1</t>
  </si>
  <si>
    <t>VGSP-330_057,000_ES_CL2</t>
  </si>
  <si>
    <t>VGSP-330_057,000_ES_CL1</t>
  </si>
  <si>
    <t>VGSP-330_057,000_ES_CL8</t>
  </si>
  <si>
    <t>VGSP-348_057,000_EN_CL2</t>
  </si>
  <si>
    <t>VGSP-348_058,000_ES_CL8</t>
  </si>
  <si>
    <t>58,000</t>
  </si>
  <si>
    <t>58,500</t>
  </si>
  <si>
    <t>VGSP-330_058,000_EN_CL1</t>
  </si>
  <si>
    <t>VGSP-348_058,000_CC2</t>
  </si>
  <si>
    <t>VGSP-348_058,000_ES_CL3</t>
  </si>
  <si>
    <t>VGSP-348_058,000_ES_CL9</t>
  </si>
  <si>
    <t>VGSP-348_058,000_ES_CL4</t>
  </si>
  <si>
    <t>VGSP-348_058,000_CC1</t>
  </si>
  <si>
    <t>VGSP-330_058,000_EN_CL7</t>
  </si>
  <si>
    <t>VGSP-330_058,000_ES_CL4</t>
  </si>
  <si>
    <t>VGSP-348_058,000_EN_CL4</t>
  </si>
  <si>
    <t>VGSP-348_058,000_ES_CL12</t>
  </si>
  <si>
    <t>VGSP-348_058,000_EN_CL1</t>
  </si>
  <si>
    <t>VGSP-348_058,000_EN_CL6</t>
  </si>
  <si>
    <t>VGSP-330_058,000_ES_CL3</t>
  </si>
  <si>
    <t>VGSP-330_058,000_ES_CL2</t>
  </si>
  <si>
    <t>VGSP-330_058,000_ES_CL1</t>
  </si>
  <si>
    <t>VGSP-348_058,000_EN_CL5</t>
  </si>
  <si>
    <t>VGSP-348_058,000_EN_CL3</t>
  </si>
  <si>
    <t>VGSP-348_058,000_ES_CL11</t>
  </si>
  <si>
    <t>VGSP-348_058,000_EN_CL7</t>
  </si>
  <si>
    <t>VGSP-348_058,000_ES_CL2</t>
  </si>
  <si>
    <t>VGSP-330_058,000_CC1</t>
  </si>
  <si>
    <t>VGSP-348_058,000_EN_CL2</t>
  </si>
  <si>
    <t>VGSP-330_058,000_CC2</t>
  </si>
  <si>
    <t>VGSP-348_058,000_ES_CL1</t>
  </si>
  <si>
    <t>VGSP-330_058,000_EN_CL3</t>
  </si>
  <si>
    <t>VGSP-348_058,000_ES_CL5</t>
  </si>
  <si>
    <t>VGSP-348_058,000_ES_CL10</t>
  </si>
  <si>
    <t>VGSP-348_058,000_ES_CL6</t>
  </si>
  <si>
    <t>VGSP-330_058,000_EN_CL6</t>
  </si>
  <si>
    <t>VGSP-330_058,000_EN_CL2</t>
  </si>
  <si>
    <t>VGSP-330_058,000_EN_CL5</t>
  </si>
  <si>
    <t>VGSP-330_058,000_EN_CL4</t>
  </si>
  <si>
    <t>VGSP-348_058,000_ES_CL7</t>
  </si>
  <si>
    <t>VGSP-348_059,000_EN_CL2</t>
  </si>
  <si>
    <t>59,000</t>
  </si>
  <si>
    <t>59,500</t>
  </si>
  <si>
    <t>VGSP-348_059,000_ES_CL5</t>
  </si>
  <si>
    <t>VGSP-348_059,000_CC1</t>
  </si>
  <si>
    <t>VGSP-330_059,000_ES_CL9</t>
  </si>
  <si>
    <t>VGSP-330_059,000_ES_CL7</t>
  </si>
  <si>
    <t>VGSP-330_059,000_ES_CL4</t>
  </si>
  <si>
    <t>VGSP-330_059,000_EN_CL14</t>
  </si>
  <si>
    <t>VGSP-330_059,000_EN_CL15</t>
  </si>
  <si>
    <t>VGSP-330_059,000_EN_CL8</t>
  </si>
  <si>
    <t>VGSP-330_059,000_EN_CL6</t>
  </si>
  <si>
    <t>VGSP-330_059,000_ES_CL12</t>
  </si>
  <si>
    <t>VGSP-330_059,000_ES_CL8</t>
  </si>
  <si>
    <t>VGSP-348_059,000_ES_CL2</t>
  </si>
  <si>
    <t>VGSP-330_059,000_CC3</t>
  </si>
  <si>
    <t>VGSP-348_059,000_ES_CL4</t>
  </si>
  <si>
    <t>VGSP-330_059,000_CC1</t>
  </si>
  <si>
    <t>VGSP-330_059,000_EN_CL7</t>
  </si>
  <si>
    <t>VGSP-330_059,000_CC2</t>
  </si>
  <si>
    <t>VGSP-348_059,000_EN_CL3</t>
  </si>
  <si>
    <t>VGSP-348_059,000_EN_CL1</t>
  </si>
  <si>
    <t>VGSP-330_059,000_ES_CL10</t>
  </si>
  <si>
    <t>VGSP-330_059,000_ES_CL11</t>
  </si>
  <si>
    <t>VGSP-330_059,000_ES_CL6</t>
  </si>
  <si>
    <t>VGSP-330_059,000_ES_CL5</t>
  </si>
  <si>
    <t>VGSP-330_059,000_ES_CL2</t>
  </si>
  <si>
    <t>VGSP-330_059,000_ES_CL3</t>
  </si>
  <si>
    <t>VGSP-348_059,000_EN_CL4</t>
  </si>
  <si>
    <t>VGSP-330_059,000_EN_CL13</t>
  </si>
  <si>
    <t>VGSP-330_059,000_EN_CL12</t>
  </si>
  <si>
    <t>VGSP-330_059,000_EN_CL11</t>
  </si>
  <si>
    <t>VGSP-330_059,000_EN_CL10</t>
  </si>
  <si>
    <t>VGSP-330_059,000_EN_CL9</t>
  </si>
  <si>
    <t>VGSP-330_059,000_EN_CL4</t>
  </si>
  <si>
    <t>VGSP-330_059,000_EN_CL3</t>
  </si>
  <si>
    <t>VGSP-330_059,000_EN_CL1</t>
  </si>
  <si>
    <t>VGSP-330_059,000_EN_CL2</t>
  </si>
  <si>
    <t>VGSP-330_059,000_EN_CL5</t>
  </si>
  <si>
    <t>VGSP-348_059,000_ES_CL1</t>
  </si>
  <si>
    <t>VGSP-348_059,000_CC2</t>
  </si>
  <si>
    <t>VGSP-330_059,000_ES_CL1</t>
  </si>
  <si>
    <t>VGSP-348_059,000_CC3</t>
  </si>
  <si>
    <t>VGSP-348_059,000_ES_CL3</t>
  </si>
  <si>
    <t>VGSP-330_060,000_EN_CL3</t>
  </si>
  <si>
    <t>60,000</t>
  </si>
  <si>
    <t>60,500</t>
  </si>
  <si>
    <t>VGSP-330_060,000_ES_CL3</t>
  </si>
  <si>
    <t>VGSP-348_060,000_EN_CL3</t>
  </si>
  <si>
    <t>VGSP-348_060,000_CC3</t>
  </si>
  <si>
    <t>VGSP-330_060,000_ES_CL2</t>
  </si>
  <si>
    <t>VGSP-348_060,000_CC4</t>
  </si>
  <si>
    <t>VGSP-348_060,000_EN_CL5</t>
  </si>
  <si>
    <t>VGSP-330_060,000_ES_CL4</t>
  </si>
  <si>
    <t>VGSP-330_060,000_ES_CL5</t>
  </si>
  <si>
    <t>VGSP-330_060,000_ES_CL7</t>
  </si>
  <si>
    <t>VGSP-348_060,000_EN_CL6</t>
  </si>
  <si>
    <t>VGSP-330_060,000_EN_CL2</t>
  </si>
  <si>
    <t>VGSP-348_060,000_EN_CL2</t>
  </si>
  <si>
    <t>VGSP-330_060,000_EN_CL1</t>
  </si>
  <si>
    <t>VGSP-330_060,000_ES_CL6</t>
  </si>
  <si>
    <t>VGSP-348_060,000_ES_CL2</t>
  </si>
  <si>
    <t>VGSP-348_060,000_ES_CL1</t>
  </si>
  <si>
    <t>VGSP-348_060,000_ES_CL3</t>
  </si>
  <si>
    <t>VGSP-330_060,000_EN_CL4</t>
  </si>
  <si>
    <t>VGSP-348_060,000_EN_CL4</t>
  </si>
  <si>
    <t>VGSP-348_060,000_CC1</t>
  </si>
  <si>
    <t>VGSP-348_060,000_CC2</t>
  </si>
  <si>
    <t>VGSP-330_060,000_EN_CL5</t>
  </si>
  <si>
    <t>VGSP-348_060,000_EN_CL7</t>
  </si>
  <si>
    <t>VGSP-348_060,000_EN_CL1</t>
  </si>
  <si>
    <t>VGSP-330_060,000_EN_CL7</t>
  </si>
  <si>
    <t>VGSP-330_060,000_EN_CL9</t>
  </si>
  <si>
    <t>VGSP-330_060,000_EN_CL8</t>
  </si>
  <si>
    <t>VGSP-330_060,000_ES_CL1</t>
  </si>
  <si>
    <t>VGSP-330_060,000_EN_CL6</t>
  </si>
  <si>
    <t>VGSP-330_061,000_EN_CL4</t>
  </si>
  <si>
    <t>61,000</t>
  </si>
  <si>
    <t>61,500</t>
  </si>
  <si>
    <t>VGSP-330_061,000_EN_CL2</t>
  </si>
  <si>
    <t>VGSP-330_061,000_EN_CL1</t>
  </si>
  <si>
    <t>VGSP-330_061,000_EN_CL3</t>
  </si>
  <si>
    <t>VGSP-348_061,000_ES_CL6</t>
  </si>
  <si>
    <t>VGSP-348_061,000_ES_CL8</t>
  </si>
  <si>
    <t>VGSP-348_061,000_ES_CL7</t>
  </si>
  <si>
    <t>VGSP-330_061,000_ES_CL9</t>
  </si>
  <si>
    <t>VGSP-348_061,000_EN_CL1</t>
  </si>
  <si>
    <t>VGSP-348_061,000_EN_CL3</t>
  </si>
  <si>
    <t>VGSP-330_061,000_ES_CL8</t>
  </si>
  <si>
    <t>VGSP-330_061,000_ES_CL6</t>
  </si>
  <si>
    <t>VGSP-330_061,000_ES_CL5</t>
  </si>
  <si>
    <t>VGSP-330_061,000_ES_CL2</t>
  </si>
  <si>
    <t>VGSP-330_061,000_ES_CL1</t>
  </si>
  <si>
    <t>VGSP-330_061,000_ES_CL11</t>
  </si>
  <si>
    <t>VGSP-330_061,000_ES_CL10</t>
  </si>
  <si>
    <t>VGSP-348_061,000_ES_CL1</t>
  </si>
  <si>
    <t>VGSP-330_061,000_ES_CL7</t>
  </si>
  <si>
    <t>VGSP-330_061,000_ES_CL4</t>
  </si>
  <si>
    <t>VGSP-330_061,000_ES_CL3</t>
  </si>
  <si>
    <t>VGSP-330_061,000_EN_CL8</t>
  </si>
  <si>
    <t>VGSP-348_061,000_CC3</t>
  </si>
  <si>
    <t>VGSP-348_061,000_CC5</t>
  </si>
  <si>
    <t>VGSP-348_061,000_CC1</t>
  </si>
  <si>
    <t>VGSP-330_061,000_EN_CL7</t>
  </si>
  <si>
    <t>VGSP-348_061,000_ES_CL3</t>
  </si>
  <si>
    <t>VGSP-348_061,000_ES_CL4</t>
  </si>
  <si>
    <t>VGSP-348_061,000_CC2</t>
  </si>
  <si>
    <t>VGSP-348_061,000_ES_CL5</t>
  </si>
  <si>
    <t>VGSP-348_061,000_CC4</t>
  </si>
  <si>
    <t>VGSP-330_061,000_EN_CL6</t>
  </si>
  <si>
    <t>VGSP-348_061,000_ES_CL2</t>
  </si>
  <si>
    <t>VGSP-348_061,000_EN_CL4</t>
  </si>
  <si>
    <t>VGSP-348_061,000_EN_CL2</t>
  </si>
  <si>
    <t>VGSP-330_061,000_EN_CL10</t>
  </si>
  <si>
    <t>VGSP-330_061,000_EN_CL9</t>
  </si>
  <si>
    <t>VGSP-330_061,000_EN_CL5</t>
  </si>
  <si>
    <t>VGSP-330_062,000_ES_CL12</t>
  </si>
  <si>
    <t>62,000</t>
  </si>
  <si>
    <t>62,500</t>
  </si>
  <si>
    <t>VGSP-330_062,000_ES_CL14</t>
  </si>
  <si>
    <t>VGSP-348_062,000_EN_CL2</t>
  </si>
  <si>
    <t>VGSP-348_062,000_CC3</t>
  </si>
  <si>
    <t>VGSP-330_062,000_EN_CL7</t>
  </si>
  <si>
    <t>VGSP-330_062,000_CC2</t>
  </si>
  <si>
    <t>VGSP-330_062,000_EN_CL5</t>
  </si>
  <si>
    <t>VGSP-348_062,000_CC2</t>
  </si>
  <si>
    <t>VGSP-348_062,000_EN_CL3</t>
  </si>
  <si>
    <t>VGSP-330_062,000_EN_CL4</t>
  </si>
  <si>
    <t>VGSP-330_062,000_EN_CL8</t>
  </si>
  <si>
    <t>VGSP-330_062,000_EN_CL1</t>
  </si>
  <si>
    <t>VGSP-330_062,000_ES_CL4</t>
  </si>
  <si>
    <t>VGSP-330_062,000_ES_CL10</t>
  </si>
  <si>
    <t>VGSP-330_062,000_ES_CL2</t>
  </si>
  <si>
    <t>VGSP-330_062,000_ES_CL8</t>
  </si>
  <si>
    <t>VGSP-330_062,000_CC1</t>
  </si>
  <si>
    <t>VGSP-348_062,000_ES_CL3</t>
  </si>
  <si>
    <t>VGSP-330_062,000_ES_CL9</t>
  </si>
  <si>
    <t>VGSP-348_062,000_ES_CL1</t>
  </si>
  <si>
    <t>VGSP-330_062,000_CC3</t>
  </si>
  <si>
    <t>VGSP-330_062,000_ES_CL7</t>
  </si>
  <si>
    <t>VGSP-330_062,000_CC4</t>
  </si>
  <si>
    <t>VGSP-330_062,000_ES_CL5</t>
  </si>
  <si>
    <t>VGSP-348_062,000_CC1</t>
  </si>
  <si>
    <t>VGSP-330_062,000_ES_CL6</t>
  </si>
  <si>
    <t>VGSP-330_062,000_EN_CL2</t>
  </si>
  <si>
    <t>VGSP-330_062,000_EN_CL6</t>
  </si>
  <si>
    <t>VGSP-348_062,000_EN_CL1</t>
  </si>
  <si>
    <t>VGSP-348_062,000_ES_CL2</t>
  </si>
  <si>
    <t>VGSP-330_062,000_ES_CL1</t>
  </si>
  <si>
    <t>VGSP-330_062,000_ES_CL3</t>
  </si>
  <si>
    <t>VGSP-330_062,000_ES_CL13</t>
  </si>
  <si>
    <t>VGSP-330_062,000_EN_CL3</t>
  </si>
  <si>
    <t>VGSP-330_062,000_ES_CL11</t>
  </si>
  <si>
    <t>VGSP-348_063,000_ES_CL4</t>
  </si>
  <si>
    <t>63,000</t>
  </si>
  <si>
    <t>63,500</t>
  </si>
  <si>
    <t>VGSP-348_063,000_CC3</t>
  </si>
  <si>
    <t>VGSP-348_063,000_ES_CL3</t>
  </si>
  <si>
    <t>VGSP-300_063,000_EO_CL5</t>
  </si>
  <si>
    <t>VGSP-300_063,000_EL_CL3</t>
  </si>
  <si>
    <t>VGSP-300_063,000_EL_CL4</t>
  </si>
  <si>
    <t>VGSP-300_063,000_CC</t>
  </si>
  <si>
    <t>VGSP-330_063,000_EN_CL2</t>
  </si>
  <si>
    <t>VGSP-300_063,000_EL_CL2</t>
  </si>
  <si>
    <t>VGSP-300_063,000_EL_CL1</t>
  </si>
  <si>
    <t>VGSP-348_063,000_ES_CL2</t>
  </si>
  <si>
    <t>VGSP-300_063,000_EO_CL1</t>
  </si>
  <si>
    <t>VGSP-300_063,000_EO_CL4</t>
  </si>
  <si>
    <t>VGSP-330_063,000_EN_CL1</t>
  </si>
  <si>
    <t>VGSP-300_063,000_EO_CL3</t>
  </si>
  <si>
    <t>VGSP-300_063,000_EO_CL2</t>
  </si>
  <si>
    <t>VGSP-300_063,000_EL_CL5</t>
  </si>
  <si>
    <t>VGSP-348_063,000_EN_CL3</t>
  </si>
  <si>
    <t>VGSP-348_063,000_CC2</t>
  </si>
  <si>
    <t>VGSP-348_063,000_EN_CL1</t>
  </si>
  <si>
    <t>VGSP-330_063,000_ES_CL2</t>
  </si>
  <si>
    <t>VGSP-330_063,000_ES_CL3</t>
  </si>
  <si>
    <t>VGSP-330_063,000_ES_CL1</t>
  </si>
  <si>
    <t>VGSP-348_063,000_EN_CL2</t>
  </si>
  <si>
    <t>VGSP-348_063,000_CC1</t>
  </si>
  <si>
    <t>VGSP-348_063,000_ES_CL1</t>
  </si>
  <si>
    <t>VGSP-330_063,000_EN_CL3</t>
  </si>
  <si>
    <t>VGSP-300_064,000_EL_CL2</t>
  </si>
  <si>
    <t>64,000</t>
  </si>
  <si>
    <t>64,500</t>
  </si>
  <si>
    <t>VGSP-300_064,000_CC3</t>
  </si>
  <si>
    <t>VGSP-348_064,000_EN_CL1</t>
  </si>
  <si>
    <t>VGSP-300_064,000_EL_CL5</t>
  </si>
  <si>
    <t>VGSP-348_064,000_ES_CL6</t>
  </si>
  <si>
    <t>VGSP-300_064,000_CC5</t>
  </si>
  <si>
    <t>VGSP-300_064,000_EO_CL2</t>
  </si>
  <si>
    <t>VGSP-330_064,000_ES_CL1</t>
  </si>
  <si>
    <t>VGSP-330_064,000_ES_CL2</t>
  </si>
  <si>
    <t>VGSP-330_064,000_ES_CL3</t>
  </si>
  <si>
    <t>VGSP-300_064,000_EO_CL1</t>
  </si>
  <si>
    <t>VGSP-348_064,000_CC2</t>
  </si>
  <si>
    <t>VGSP-300_064,000_CC6</t>
  </si>
  <si>
    <t>VGSP-348_064,000_ES_CL7</t>
  </si>
  <si>
    <t>VGSP-348_064,000_ES_CL4</t>
  </si>
  <si>
    <t>VGSP-348_064,000_ES_CL3</t>
  </si>
  <si>
    <t>VGSP-300_064,000_CC1</t>
  </si>
  <si>
    <t>VGSP-348_064,000_CC1</t>
  </si>
  <si>
    <t>VGSP-300_064,000_EL_CL4</t>
  </si>
  <si>
    <t>VGSP-330_064,000_EN_CL2</t>
  </si>
  <si>
    <t>VGSP-330_064,000_EN_CL1</t>
  </si>
  <si>
    <t>VGSP-300_064,000_EL_CL1</t>
  </si>
  <si>
    <t>VGSP-348_064,000_ES_CL5</t>
  </si>
  <si>
    <t>VGSP-348_064,000_ES_CL1</t>
  </si>
  <si>
    <t>VGSP-348_064,000_ES_CL2</t>
  </si>
  <si>
    <t>VGSP-348_064,000_ES_CL8</t>
  </si>
  <si>
    <t>VGSP-348_064,000_EN_CL2</t>
  </si>
  <si>
    <t>VGSP-300_064,000_EL_CL6</t>
  </si>
  <si>
    <t>VGSP-300_064,000_CC4</t>
  </si>
  <si>
    <t>VGSP-300_064,000_CC2</t>
  </si>
  <si>
    <t>VGSP-300_064,000_EL_CL3</t>
  </si>
  <si>
    <t>VGSP-348_065,000_EN_CL3</t>
  </si>
  <si>
    <t>65,000</t>
  </si>
  <si>
    <t>65,500</t>
  </si>
  <si>
    <t>VGSP-348_065,000_EN_CL1</t>
  </si>
  <si>
    <t>VGSP-348_065,000_CC2</t>
  </si>
  <si>
    <t>VGSP-330_065,000_ES_CL3</t>
  </si>
  <si>
    <t>VGSP-330_065,000_EN_CL1</t>
  </si>
  <si>
    <t>VGSP-348_065,000_ES_CL2</t>
  </si>
  <si>
    <t>VGSP-348_065,000_ES_CL3</t>
  </si>
  <si>
    <t>VGSP-330_065,000_EN_CL3</t>
  </si>
  <si>
    <t>VGSP-348_065,000_ES_CL1</t>
  </si>
  <si>
    <t>VGSP-348_065,000_CC1</t>
  </si>
  <si>
    <t>VGSP-348_065,000_EN_CL2</t>
  </si>
  <si>
    <t>VGSP-330_065,000_EN_CL2</t>
  </si>
  <si>
    <t>VGSP-330_065,000_ES_CL1</t>
  </si>
  <si>
    <t>VGSP-330_065,000_ES_CL2</t>
  </si>
  <si>
    <t>VGSP-348_065,000_CC3</t>
  </si>
  <si>
    <t>VGSP-330_065,000_EN_CL4</t>
  </si>
  <si>
    <t>VGSP-330_065,000_ES_CL4</t>
  </si>
  <si>
    <t>VGSP-348_066,000_ES_CL2</t>
  </si>
  <si>
    <t>66,000</t>
  </si>
  <si>
    <t>66,500</t>
  </si>
  <si>
    <t>VGSP-330_066,000_EN_CL2</t>
  </si>
  <si>
    <t>VGSP-330_066,000_EN_CL3</t>
  </si>
  <si>
    <t>VGSP-348_066,000_EN_CL3</t>
  </si>
  <si>
    <t>VGSP-348_066,000_ES_CL1</t>
  </si>
  <si>
    <t>VGSP-348_066,000_EN_CL2</t>
  </si>
  <si>
    <t>VGSP-348_066,000_CC2</t>
  </si>
  <si>
    <t>VGSP-348_066,000_EN_CL1</t>
  </si>
  <si>
    <t>VGSP-330_066,000_ES_CL2</t>
  </si>
  <si>
    <t>VGSP-330_066,000_EN_CL1</t>
  </si>
  <si>
    <t>VGSP-330_066,000_ES_CL1</t>
  </si>
  <si>
    <t>VGSP-348_066,000_ES_CL3</t>
  </si>
  <si>
    <t>VGSP-348_066,000_CC3</t>
  </si>
  <si>
    <t>VGSP-348_066,000_CC1</t>
  </si>
  <si>
    <t>VGSP-348_067,000_ES_CL1</t>
  </si>
  <si>
    <t>67,000</t>
  </si>
  <si>
    <t>67,500</t>
  </si>
  <si>
    <t>VGSP-348_067,000_EN_CL2</t>
  </si>
  <si>
    <t>VGSP-330_067,000_ES_CL2</t>
  </si>
  <si>
    <t>VGSP-348_067,000_CC1</t>
  </si>
  <si>
    <t>VGSP-330_067,000_ES_CL1</t>
  </si>
  <si>
    <t>VGSP-348_067,000_CC2</t>
  </si>
  <si>
    <t>VGSP-330_067,000_EN_CL2</t>
  </si>
  <si>
    <t>VGSP-330_067,000_ES_CL4</t>
  </si>
  <si>
    <t>VGSP-330_067,000_EN_CL4</t>
  </si>
  <si>
    <t>VGSP-330_067,000_ES_CL3</t>
  </si>
  <si>
    <t>VGSP-348_067,000_EN_CL3</t>
  </si>
  <si>
    <t>VGSP-330_067,000_EN_CL1</t>
  </si>
  <si>
    <t>VGSP-348_067,000_ES_CL2</t>
  </si>
  <si>
    <t>VGSP-330_067,000_EN_CL3</t>
  </si>
  <si>
    <t>VGSP-348_067,000_ES_CL3</t>
  </si>
  <si>
    <t>VGSP-348_067,000_CC3</t>
  </si>
  <si>
    <t>VGSP-348_067,000_EN_CL1</t>
  </si>
  <si>
    <t>VGSP-330_068,000_ES_CL3</t>
  </si>
  <si>
    <t>68,000</t>
  </si>
  <si>
    <t>68,500</t>
  </si>
  <si>
    <t>VGSP-348_068,000_CC1</t>
  </si>
  <si>
    <t>VGSP-348_068,000_CC5</t>
  </si>
  <si>
    <t>VGSP-348_068,000_CC2</t>
  </si>
  <si>
    <t>VGSP-348_068,000_ES_CL1</t>
  </si>
  <si>
    <t>VGSP-348_068,000_ES_CL2</t>
  </si>
  <si>
    <t>VGSP-348_068,000_EN_CL2</t>
  </si>
  <si>
    <t>VGSP-348_068,000_EN_CL3</t>
  </si>
  <si>
    <t>VGSP-348_068,000_EN_CL1</t>
  </si>
  <si>
    <t>VGSP-348_068,000_CC4</t>
  </si>
  <si>
    <t>VGSP-348_068,000_EN_CL4</t>
  </si>
  <si>
    <t>VGSP-330_068,000_EN_CL1</t>
  </si>
  <si>
    <t>VGSP-348_068,000_ES_CL4</t>
  </si>
  <si>
    <t>VGSP-348_068,000_ES_CL3</t>
  </si>
  <si>
    <t>VGSP-330_068,000_ES_CL2</t>
  </si>
  <si>
    <t>VGSP-330_068,000_EN_CL2</t>
  </si>
  <si>
    <t>VGSP-330_068,000_ES_CL1</t>
  </si>
  <si>
    <t>VGSP-330_068,000_EN_CL3</t>
  </si>
  <si>
    <t>VGSP-348_068,000_CC3</t>
  </si>
  <si>
    <t>VGSP-348_069,000_CC1</t>
  </si>
  <si>
    <t>69,000</t>
  </si>
  <si>
    <t>69,500</t>
  </si>
  <si>
    <t>VGSP-330_069,000_EN_CL1</t>
  </si>
  <si>
    <t>VGSP-330_069,000_EN_CL3</t>
  </si>
  <si>
    <t>VGSP-348_069,000_ES_CL2</t>
  </si>
  <si>
    <t>VGSP-330_069,000_ES_CL4</t>
  </si>
  <si>
    <t>VGSP-330_069,000_ES_CL3</t>
  </si>
  <si>
    <t>VGSP-330_069,000_ES_CL2</t>
  </si>
  <si>
    <t>VGSP-330_069,000_ES_CL1</t>
  </si>
  <si>
    <t>VGSP-348_069,000_ES_CL1</t>
  </si>
  <si>
    <t>VGSP-348_069,000_EN_CL1</t>
  </si>
  <si>
    <t>VGSP-330_069,000_EN_CL4</t>
  </si>
  <si>
    <t>VGSP-348_069,000_CC2</t>
  </si>
  <si>
    <t>VGSP-348_069,000_EN_CL2</t>
  </si>
  <si>
    <t>VGSP-348_069,000_EN_CL3</t>
  </si>
  <si>
    <t>VGSP-330_069,000_EN_CL2</t>
  </si>
  <si>
    <t>VGSP-348_069,000_EN_CL4</t>
  </si>
  <si>
    <t>VGSP-348_070,000_CC2</t>
  </si>
  <si>
    <t>70,000</t>
  </si>
  <si>
    <t>70,500</t>
  </si>
  <si>
    <t>VGSP-348_070,000_EN_CL2</t>
  </si>
  <si>
    <t>VGSP-330_070,000_EN_CL2</t>
  </si>
  <si>
    <t>VGSP-348_070,000_CC1</t>
  </si>
  <si>
    <t>VGSP-330_070,000_EN_CL3</t>
  </si>
  <si>
    <t>VGSP-348_070,000_EN_CL1</t>
  </si>
  <si>
    <t>VGSP-330_070,000_ES_CL2</t>
  </si>
  <si>
    <t>VGSP-348_070,000_ES_CL2</t>
  </si>
  <si>
    <t>VGSP-330_070,000_ES_CL1</t>
  </si>
  <si>
    <t>VGSP-330_070,000_EN_CL1</t>
  </si>
  <si>
    <t>VGSP-348_070,000_ES_CL1</t>
  </si>
  <si>
    <t>VGSP-330_071,000_EN_CL10</t>
  </si>
  <si>
    <t>71,000</t>
  </si>
  <si>
    <t>71,500</t>
  </si>
  <si>
    <t>VGSP-330_071,000_EN_CL5</t>
  </si>
  <si>
    <t>VGSP-330_071,000_EN_CL6</t>
  </si>
  <si>
    <t>VGSP-330_071,000_EN_CL1</t>
  </si>
  <si>
    <t>VGSP-330_071,000_ES_CL2</t>
  </si>
  <si>
    <t>VGSP-330_071,000_ES_CL8</t>
  </si>
  <si>
    <t>VGSP-330_071,000_EN_CL7</t>
  </si>
  <si>
    <t>VGSP-348_071,000_EN_CL7</t>
  </si>
  <si>
    <t>VGSP-348_071,000_EN_CL6</t>
  </si>
  <si>
    <t>VGSP-330_071,000_EN_CL4</t>
  </si>
  <si>
    <t>VGSP-330_071,000_EN_CL9</t>
  </si>
  <si>
    <t>VGSP-348_071,000_EN_CL2</t>
  </si>
  <si>
    <t>VGSP-348_071,000_EN_CL5</t>
  </si>
  <si>
    <t>VGSP-330_071,000_ES_CL5</t>
  </si>
  <si>
    <t>VGSP-330_071,000_ES_CL7</t>
  </si>
  <si>
    <t>VGSP-330_071,000_EN_CL2</t>
  </si>
  <si>
    <t>VGSP-330_071,000_ES_CL1</t>
  </si>
  <si>
    <t>VGSP-348_071,000_EN_CL8</t>
  </si>
  <si>
    <t>VGSP-330_071,000_ES_CL6</t>
  </si>
  <si>
    <t>VGSP-330_071,000_ES_CL3</t>
  </si>
  <si>
    <t>VGSP-348_071,000_EN_CL9</t>
  </si>
  <si>
    <t>VGSP-348_071,000_EN_CL11</t>
  </si>
  <si>
    <t>VGSP-348_071,000_EN_CL4</t>
  </si>
  <si>
    <t>VGSP-330_071,000_EN_CL3</t>
  </si>
  <si>
    <t>VGSP-330_071,000_EN_CL8</t>
  </si>
  <si>
    <t>VGSP-330_071,000_ES_CL4</t>
  </si>
  <si>
    <t>VGSP-330_071,000_ES_CL9</t>
  </si>
  <si>
    <t>VGSP-348_071,000_ES_CL1</t>
  </si>
  <si>
    <t>VGSP-348_071,000_EN_CL1</t>
  </si>
  <si>
    <t>VGSP-348_071,000_EN_CL3</t>
  </si>
  <si>
    <t>VGSP-348_071,000_CC1</t>
  </si>
  <si>
    <t>VGSP-348_071,000_ES_CL2</t>
  </si>
  <si>
    <t>VGSP-348_071,000_EN_CL10</t>
  </si>
  <si>
    <t>VGSP-348_071,000_CC2</t>
  </si>
  <si>
    <t>VGSP-348_071,000_CC3</t>
  </si>
  <si>
    <t>VGSP-348_071,000_ES_CL4</t>
  </si>
  <si>
    <t>VGSP-348_071,000_ES_CL3</t>
  </si>
  <si>
    <t>VGSP-348_071,000_ES_CL5</t>
  </si>
  <si>
    <t>VGSP-330_072,000_EN_CL1</t>
  </si>
  <si>
    <t>72,000</t>
  </si>
  <si>
    <t>72,500</t>
  </si>
  <si>
    <t>VGSP-330_072,000_EN_CL4</t>
  </si>
  <si>
    <t>VGSP-330_072,000_ES_CL5</t>
  </si>
  <si>
    <t>VGSP-348_072,000_ES_CL2</t>
  </si>
  <si>
    <t>VGSP-330_072,000_EN_CL2</t>
  </si>
  <si>
    <t>VGSP-348_072,000_EN_CL5</t>
  </si>
  <si>
    <t>VGSP-348_072,000_ES_CL1</t>
  </si>
  <si>
    <t>VGSP-348_072,000_CC1</t>
  </si>
  <si>
    <t>VGSP-330_072,000_EN_CL3</t>
  </si>
  <si>
    <t>VGSP-348_072,000_EN_CL1</t>
  </si>
  <si>
    <t>VGSP-348_072,000_ES_CL3</t>
  </si>
  <si>
    <t>VGSP-348_072,000_EN_CL3</t>
  </si>
  <si>
    <t>VGSP-330_072,000_ES_CL3</t>
  </si>
  <si>
    <t>VGSP-330_072,000_ES_CL1</t>
  </si>
  <si>
    <t>VGSP-348_072,000_CC3</t>
  </si>
  <si>
    <t>VGSP-348_072,000_EN_CL6</t>
  </si>
  <si>
    <t>VGSP-348_072,000_EN_CL4</t>
  </si>
  <si>
    <t>VGSP-330_072,000_ES_CL4</t>
  </si>
  <si>
    <t>VGSP-330_072,000_ES_CL2</t>
  </si>
  <si>
    <t>VGSP-348_072,000_CC2</t>
  </si>
  <si>
    <t>VGSP-348_072,000_EN_CL2</t>
  </si>
  <si>
    <t>VGSP-348_073,000_EN_CL1</t>
  </si>
  <si>
    <t>73,000</t>
  </si>
  <si>
    <t>73,500</t>
  </si>
  <si>
    <t>VGSP-348_073,000_EN_CL3</t>
  </si>
  <si>
    <t>VGSP-348_073,000_CC2</t>
  </si>
  <si>
    <t>VGSP-330_073,000_ES_CL4</t>
  </si>
  <si>
    <t>VGSP-330_073,000_ES_CL1</t>
  </si>
  <si>
    <t>VGSP-348_073,000_ES_CL1</t>
  </si>
  <si>
    <t>VGSP-348_073,000_EN_CL5</t>
  </si>
  <si>
    <t>VGSP-330_073,000_EN_CL4</t>
  </si>
  <si>
    <t>VGSP-348_073,000_CC1</t>
  </si>
  <si>
    <t>VGSP-348_073,000_CC3</t>
  </si>
  <si>
    <t>VGSP-348_073,000_ES_CL3</t>
  </si>
  <si>
    <t>VGSP-330_073,000_ES_CL2</t>
  </si>
  <si>
    <t>VGSP-348_073,000_ES_CL4</t>
  </si>
  <si>
    <t>VGSP-330_073,000_ES_CL3</t>
  </si>
  <si>
    <t>VGSP-348_073,000_ES_CL2</t>
  </si>
  <si>
    <t>VGSP-330_073,000_EN_CL2</t>
  </si>
  <si>
    <t>VGSP-330_073,000_EN_CL3</t>
  </si>
  <si>
    <t>VGSP-330_073,000_EN_CL5</t>
  </si>
  <si>
    <t>VGSP-330_073,000_EN_CL1</t>
  </si>
  <si>
    <t>VGSP-348_073,000_EN_CL2</t>
  </si>
  <si>
    <t>VGSP-348_073,000_EN_CL4</t>
  </si>
  <si>
    <t>VGSP-330_074,000_EN_CL3</t>
  </si>
  <si>
    <t>74,000</t>
  </si>
  <si>
    <t>74,500</t>
  </si>
  <si>
    <t>VGSP-330_074,000_ES_CL1</t>
  </si>
  <si>
    <t>VGSP-348_074,000_EN_CL1</t>
  </si>
  <si>
    <t>VGSP-330_074,000_EN_CL2</t>
  </si>
  <si>
    <t>VGSP-348_074,000_CC2</t>
  </si>
  <si>
    <t>VGSP-330_074,000_EN_CL1</t>
  </si>
  <si>
    <t>VGSP-348_074,000_ES_CL1</t>
  </si>
  <si>
    <t>VGSP-348_074,000_CC1</t>
  </si>
  <si>
    <t>VGSP-348_074,000_EN_CL2</t>
  </si>
  <si>
    <t>VGSP-330_074,000_EN_CL4</t>
  </si>
  <si>
    <t>VGSP-330_074,000_EN_CL5</t>
  </si>
  <si>
    <t>VGSP-330_074,000_ES_CL2</t>
  </si>
  <si>
    <t>VGSP-348_074,000_ES_CL2</t>
  </si>
  <si>
    <t>VGSP-330_075,000_EN_CL3</t>
  </si>
  <si>
    <t>75,000</t>
  </si>
  <si>
    <t>75,500</t>
  </si>
  <si>
    <t>VGSP-348_075,000_EN_CL1</t>
  </si>
  <si>
    <t>VGSP-330_075,000_EN_CL1</t>
  </si>
  <si>
    <t>VGSP-330_075,000_ES_CL2</t>
  </si>
  <si>
    <t>VGSP-330_075,000_EN_CL2</t>
  </si>
  <si>
    <t>VGSP-348_075,000_CC2</t>
  </si>
  <si>
    <t>VGSP-348_075,000_ES_CL2</t>
  </si>
  <si>
    <t>VGSP-348_075,000_CC1</t>
  </si>
  <si>
    <t>VGSP-348_075,000_ES_CL3</t>
  </si>
  <si>
    <t>VGSP-330_075,000_ES_CL1</t>
  </si>
  <si>
    <t>VGSP-348_075,000_ES_CL1</t>
  </si>
  <si>
    <t>VGSP-330_075,000_EN_CL4</t>
  </si>
  <si>
    <t>VGSP-348_075,000_EN_CL2</t>
  </si>
  <si>
    <t>VGSP-330_076,000_ES_CL6</t>
  </si>
  <si>
    <t>76,000</t>
  </si>
  <si>
    <t>76,500</t>
  </si>
  <si>
    <t>VGSP-348_076,000_CC3</t>
  </si>
  <si>
    <t>VGSP-330_076,000_ES_CL5</t>
  </si>
  <si>
    <t>VGSP-330_076,000_EN_CL4</t>
  </si>
  <si>
    <t>VGSP-348_076,000_ES_CL1</t>
  </si>
  <si>
    <t>VGSP-330_076,000_EN_CL2</t>
  </si>
  <si>
    <t>VGSP-348_076,000_ES_CL4</t>
  </si>
  <si>
    <t>VGSP-330_076,000_EN_CL8</t>
  </si>
  <si>
    <t>VGSP-348_076,000_EN_CL2</t>
  </si>
  <si>
    <t>VGSP-330_076,000_EN_CL5</t>
  </si>
  <si>
    <t>VGSP-330_076,000_ES_CL4</t>
  </si>
  <si>
    <t>VGSP-330_076,000_ES_CL9</t>
  </si>
  <si>
    <t>VGSP-348_076,000_ES_CL2</t>
  </si>
  <si>
    <t>VGSP-330_076,000_ES_CL3</t>
  </si>
  <si>
    <t>VGSP-330_076,000_EN_CL3</t>
  </si>
  <si>
    <t>VGSP-330_076,000_CC</t>
  </si>
  <si>
    <t>VGSP-330_076,000_EN_CL6</t>
  </si>
  <si>
    <t>VGSP-348_076,000_CC2</t>
  </si>
  <si>
    <t>VGSP-348_076,000_CC1</t>
  </si>
  <si>
    <t>VGSP-330_076,000_ES_CL1</t>
  </si>
  <si>
    <t>VGSP-330_076,000_ES_CL2</t>
  </si>
  <si>
    <t>VGSP-348_076,000_ES_CL3</t>
  </si>
  <si>
    <t>VGSP-348_076,000_EN_CL1</t>
  </si>
  <si>
    <t>VGSP-330_076,000_ES_CL7</t>
  </si>
  <si>
    <t>VGSP-330_076,000_EN_CL1</t>
  </si>
  <si>
    <t>VGSP-330_076,000_ES_CL8</t>
  </si>
  <si>
    <t>VGSP-330_076,000_EN_CL7</t>
  </si>
  <si>
    <t>VGSP-348_077,000_ES_CL2</t>
  </si>
  <si>
    <t>77,000</t>
  </si>
  <si>
    <t>77,500</t>
  </si>
  <si>
    <t>VGSP-348_077,000_EN_CL2</t>
  </si>
  <si>
    <t>VGSP-348_077,000_EN_CL1</t>
  </si>
  <si>
    <t>VGSP-348_077,000_EN_CL3</t>
  </si>
  <si>
    <t>VGSP-348_077,000_ES_CL3</t>
  </si>
  <si>
    <t>VGSP-330_077,000_EN_CL4</t>
  </si>
  <si>
    <t>VGSP-330_077,000_EN_CL2</t>
  </si>
  <si>
    <t>VGSP-330_077,000_ES_CL4</t>
  </si>
  <si>
    <t>VGSP-330_077,000_ES_CL2</t>
  </si>
  <si>
    <t>VGSP-330_077,000_ES_CL1</t>
  </si>
  <si>
    <t>VGSP-330_077,000_EN_CL3</t>
  </si>
  <si>
    <t>VGSP-348_077,000_CC1</t>
  </si>
  <si>
    <t>VGSP-348_077,000_CC2</t>
  </si>
  <si>
    <t>VGSP-330_077,000_ES_CL3</t>
  </si>
  <si>
    <t>VGSP-348_077,000_ES_CL1</t>
  </si>
  <si>
    <t>VGSP-330_077,000_EN_CL1</t>
  </si>
  <si>
    <t>VGSP-348_077,000_CC3</t>
  </si>
  <si>
    <t>VGSP-348_078,000_EN_CL6</t>
  </si>
  <si>
    <t>78,000</t>
  </si>
  <si>
    <t>78,500</t>
  </si>
  <si>
    <t>VGSP-348_078,000_ES_CL3</t>
  </si>
  <si>
    <t>VGSP-348_078,000_CC1</t>
  </si>
  <si>
    <t>VGSP-348_078,000_CC5</t>
  </si>
  <si>
    <t>VGSP-348_078,000_CC4</t>
  </si>
  <si>
    <t>VGSP-348_078,000_EN_CL7</t>
  </si>
  <si>
    <t>VGSP-348_078,000_CC6</t>
  </si>
  <si>
    <t>VGSP-348_078,000_EN_CL11</t>
  </si>
  <si>
    <t>VGSP-330_078,000_ES_CL4</t>
  </si>
  <si>
    <t>VGSP-348_078,000_ES_CL4</t>
  </si>
  <si>
    <t>VGSP-330_078,000_ES_CL2</t>
  </si>
  <si>
    <t>VGSP-330_078,000_ES_CL3</t>
  </si>
  <si>
    <t>VGSP-330_078,000_EN_CL2</t>
  </si>
  <si>
    <t>VGSP-348_078,000_EN_CL2</t>
  </si>
  <si>
    <t>VGSP-348_078,000_CC3</t>
  </si>
  <si>
    <t>VGSP-348_078,000_EN_CL4</t>
  </si>
  <si>
    <t>VGSP-348_078,000_EN_CL8</t>
  </si>
  <si>
    <t>VGSP-330_078,000_EN_CL3</t>
  </si>
  <si>
    <t>VGSP-348_078,000_EN_CL9</t>
  </si>
  <si>
    <t>VGSP-330_078,000_EN_CL1</t>
  </si>
  <si>
    <t>VGSP-348_078,000_CC2</t>
  </si>
  <si>
    <t>VGSP-330_078,000_ES_CL1</t>
  </si>
  <si>
    <t>VGSP-348_078,000_ES_CL5</t>
  </si>
  <si>
    <t>VGSP-348_078,000_EN_CL1</t>
  </si>
  <si>
    <t>VGSP-348_078,000_ES_CL1</t>
  </si>
  <si>
    <t>VGSP-348_078,000_EN_CL3</t>
  </si>
  <si>
    <t>VGSP-348_078,000_EN_CL10</t>
  </si>
  <si>
    <t>VGSP-348_078,000_EN_CL5</t>
  </si>
  <si>
    <t>VGSP-348_078,000_ES_CL2</t>
  </si>
  <si>
    <t>VGSP-348_079,000_ES_CL1</t>
  </si>
  <si>
    <t>79,000</t>
  </si>
  <si>
    <t>79,500</t>
  </si>
  <si>
    <t>VGSP-348_079,000_ES_CL2</t>
  </si>
  <si>
    <t>VGSP-348_079,000_EN_CL1</t>
  </si>
  <si>
    <t>VGSP-330_079,000_EN_CL1</t>
  </si>
  <si>
    <t>VGSP-348_079,000_EN_CL2</t>
  </si>
  <si>
    <t>VGSP-348_079,000_CC2</t>
  </si>
  <si>
    <t>VGSP-348_079,000_CC1</t>
  </si>
  <si>
    <t>VGSP-330_079,000_ES_CL1</t>
  </si>
  <si>
    <t>VGSP-330_079,000_EN_CL2</t>
  </si>
  <si>
    <t>VGSP-330_079,000_ES_CL2</t>
  </si>
  <si>
    <t>VGSP-330_080,000_ES_CL1</t>
  </si>
  <si>
    <t>80,000</t>
  </si>
  <si>
    <t>80,500</t>
  </si>
  <si>
    <t>VGSP-330_080,000_ES_CL2</t>
  </si>
  <si>
    <t>VGSP-348_080,000_CC4</t>
  </si>
  <si>
    <t>VGSP-348_080,000_CC2</t>
  </si>
  <si>
    <t>VGSP-330_080,000_EN_CL2</t>
  </si>
  <si>
    <t>VGSP-348_080,000_CC3</t>
  </si>
  <si>
    <t>VGSP-348_080,000_EN_CL4</t>
  </si>
  <si>
    <t>VGSP-348_080,000_EN_CL2</t>
  </si>
  <si>
    <t>VGSP-348_080,000_ES_CL2</t>
  </si>
  <si>
    <t>VGSP-330_080,000_EN_CL1</t>
  </si>
  <si>
    <t>VGSP-348_080,000_ES_CL1</t>
  </si>
  <si>
    <t>VGSP-348_080,000_EN_CL3</t>
  </si>
  <si>
    <t>VGSP-348_080,000_EN_CL1</t>
  </si>
  <si>
    <t>VGSP-348_080,000_CC1</t>
  </si>
  <si>
    <t>VGSP-348_081,000_CC1</t>
  </si>
  <si>
    <t>81,000</t>
  </si>
  <si>
    <t>81,500</t>
  </si>
  <si>
    <t>VGSP-348_081,000_EN_CL3</t>
  </si>
  <si>
    <t>VGSP-348_081,000_ES_CL2</t>
  </si>
  <si>
    <t>VGSP-348_081,000_EN_CL2</t>
  </si>
  <si>
    <t>VGSP-348_081,000_ES_CL3</t>
  </si>
  <si>
    <t>VGSP-348_081,000_EN_CL4</t>
  </si>
  <si>
    <t>VGSP-348_081,000_EN_CL1</t>
  </si>
  <si>
    <t>VGSP-330_081,000_ES_CL3</t>
  </si>
  <si>
    <t>VGSP-348_081,000_CC4</t>
  </si>
  <si>
    <t>VGSP-348_081,000_ES_CL1</t>
  </si>
  <si>
    <t>VGSP-348_081,000_CC2</t>
  </si>
  <si>
    <t>VGSP-330_081,000_ES_CL2</t>
  </si>
  <si>
    <t>VGSP-330_081,000_EN_CL2</t>
  </si>
  <si>
    <t>VGSP-330_081,000_EN_CL1</t>
  </si>
  <si>
    <t>VGSP-330_081,000_ES_CL1</t>
  </si>
  <si>
    <t>VGSP-330_081,000_EN_CL3</t>
  </si>
  <si>
    <t>VGSP-348_081,000_CC3</t>
  </si>
  <si>
    <t>VGSP-348_082,000_EN_CL4</t>
  </si>
  <si>
    <t>82,000</t>
  </si>
  <si>
    <t>82,500</t>
  </si>
  <si>
    <t>VGSP-330_082,000_ES_CL6</t>
  </si>
  <si>
    <t>VGSP-330_082,000_EN_CL11</t>
  </si>
  <si>
    <t>VGSP-348_082,000_EN_CL2</t>
  </si>
  <si>
    <t>VGSP-330_082,000_ES_CL1</t>
  </si>
  <si>
    <t>VGSP-330_082,000_EN_CL12</t>
  </si>
  <si>
    <t>VGSP-330_082,000_EN_CL5</t>
  </si>
  <si>
    <t>VGSP-330_082,000_EN_CL4</t>
  </si>
  <si>
    <t>VGSP-348_082,000_EN_CL1</t>
  </si>
  <si>
    <t>VGSP-330_082,000_ES_CL4</t>
  </si>
  <si>
    <t>VGSP-330_082,000_EN_CL6</t>
  </si>
  <si>
    <t>VGSP-330_082,000_EN_CL3</t>
  </si>
  <si>
    <t>VGSP-330_082,000_ES_CL10</t>
  </si>
  <si>
    <t>VGSP-330_082,000_ES_CL5</t>
  </si>
  <si>
    <t>VGSP-348_082,000_CC2</t>
  </si>
  <si>
    <t>VGSP-330_082,000_ES_CL2</t>
  </si>
  <si>
    <t>VGSP-330_082,000_ES_CL9</t>
  </si>
  <si>
    <t>VGSP-330_082,000_ES_CL3</t>
  </si>
  <si>
    <t>VGSP-330_082,000_EN_CL8</t>
  </si>
  <si>
    <t>VGSP-330_082,000_EN_CL1</t>
  </si>
  <si>
    <t>VGSP-348_082,000_ES_CL1</t>
  </si>
  <si>
    <t>VGSP-330_082,000_EN_CL2</t>
  </si>
  <si>
    <t>VGSP-330_082,000_ES_CL8</t>
  </si>
  <si>
    <t>VGSP-330_082,000_ES_CL7</t>
  </si>
  <si>
    <t>VGSP-348_082,000_EN_CL3</t>
  </si>
  <si>
    <t>VGSP-348_082,000_ES_CL2</t>
  </si>
  <si>
    <t>VGSP-348_082,000_CC1</t>
  </si>
  <si>
    <t>VGSP-330_082,000_EN_CL10</t>
  </si>
  <si>
    <t>VGSP-330_082,000_EN_CL9</t>
  </si>
  <si>
    <t>VGSP-330_082,000_EN_CL7</t>
  </si>
  <si>
    <t>VGSP-330_082,000_CC2</t>
  </si>
  <si>
    <t>VGSP-330_082,000_CC1</t>
  </si>
  <si>
    <t>VGSP-330_083,000_EN_CL1</t>
  </si>
  <si>
    <t>83,000</t>
  </si>
  <si>
    <t>83,500</t>
  </si>
  <si>
    <t>VGSP-348_083,000_ES_CL2</t>
  </si>
  <si>
    <t>VGSP-348_083,000_EN_CL1</t>
  </si>
  <si>
    <t>VGSP-348_083,000_EN_CL2</t>
  </si>
  <si>
    <t>VGSP-330_083,000_EN_CL3</t>
  </si>
  <si>
    <t>VGSP-330_083,000_ES_CL</t>
  </si>
  <si>
    <t>VGSP-330_083,000_EN_CL2</t>
  </si>
  <si>
    <t>VGSP-348_083,000_CC2</t>
  </si>
  <si>
    <t>VGSP-348_083,000_EN_CL3</t>
  </si>
  <si>
    <t>VGSP-348_083,000_ES_CL3</t>
  </si>
  <si>
    <t>VGSP-348_083,000_ES_CL1</t>
  </si>
  <si>
    <t>VGSP-348_083,000_ES_CL4</t>
  </si>
  <si>
    <t>VGSP-330_083,000_CC2</t>
  </si>
  <si>
    <t>VGSP-330_083,000_CC1</t>
  </si>
  <si>
    <t>VGSP-348_083,000_CC3</t>
  </si>
  <si>
    <t>VGSP-348_083,000_CC1</t>
  </si>
  <si>
    <t>VGSP-348_084,000_CC3</t>
  </si>
  <si>
    <t>84,000</t>
  </si>
  <si>
    <t>84,500</t>
  </si>
  <si>
    <t>VGSP-330_084,000_ES_CL4</t>
  </si>
  <si>
    <t>VGSP-348_084,000_ES_CL13</t>
  </si>
  <si>
    <t>VGSP-348_084,000_ES_CL9</t>
  </si>
  <si>
    <t>VGSP-348_084,000_ES_CL2</t>
  </si>
  <si>
    <t>VGSP-348_084,000_CC1</t>
  </si>
  <si>
    <t>VGSP-348_084,000_ES_CL10</t>
  </si>
  <si>
    <t>VGSP-348_084,000_EN_CL1</t>
  </si>
  <si>
    <t>VGSP-348_084,000_EN_CL9</t>
  </si>
  <si>
    <t>VGSP-348_084,000_EN_CL4</t>
  </si>
  <si>
    <t>VGSP-330_084,000_ES_CL3</t>
  </si>
  <si>
    <t>VGSP-348_084,000_EN_CL8</t>
  </si>
  <si>
    <t>VGSP-348_084,000_EN_CL3</t>
  </si>
  <si>
    <t>VGSP-348_084,000_ES_CL1</t>
  </si>
  <si>
    <t>VGSP-348_084,000_ES_CL12</t>
  </si>
  <si>
    <t>VGSP-348_084,000_ES_CL11</t>
  </si>
  <si>
    <t>VGSP-348_084,000_ES_CL6</t>
  </si>
  <si>
    <t>VGSP-348_084,000_ES_CL8</t>
  </si>
  <si>
    <t>VGSP-348_084,000_ES_CL7</t>
  </si>
  <si>
    <t>VGSP-348_084,000_CC4</t>
  </si>
  <si>
    <t>VGSP-348_084,000_EN_CL10</t>
  </si>
  <si>
    <t>VGSP-348_084,000_ES_CL14</t>
  </si>
  <si>
    <t>VGSP-348_084,000_CC2</t>
  </si>
  <si>
    <t>VGSP-348_084,000_ES_CL3</t>
  </si>
  <si>
    <t>VGSP-330_084,000_ES_CL1</t>
  </si>
  <si>
    <t>VGSP-330_084,000_EN_CL1</t>
  </si>
  <si>
    <t>VGSP-330_084,000_EN_CL2</t>
  </si>
  <si>
    <t>VGSP-348_084,000_EN_CL12</t>
  </si>
  <si>
    <t>VGSP-348_084,000_EN_CL2</t>
  </si>
  <si>
    <t>VGSP-348_084,000_ES_CL4</t>
  </si>
  <si>
    <t>VGSP-348_084,000_EN_CL11</t>
  </si>
  <si>
    <t>VGSP-348_084,000_ES_CL5</t>
  </si>
  <si>
    <t>VGSP-348_084,000_EN_CL5</t>
  </si>
  <si>
    <t>VGSP-348_084,000_EN_CL6</t>
  </si>
  <si>
    <t>VGSP-348_084,000_EN_CL7</t>
  </si>
  <si>
    <t>VGSP-330_084,000_ES_CL2</t>
  </si>
  <si>
    <t>VGSP-348_085,000_EN_CL3</t>
  </si>
  <si>
    <t>85,000</t>
  </si>
  <si>
    <t>85,500</t>
  </si>
  <si>
    <t>VGSP-348_085,000_ES_CL4</t>
  </si>
  <si>
    <t>VGSP-330_085,000_ES_CL4</t>
  </si>
  <si>
    <t>VGSP-330_085,000_ES_CL1</t>
  </si>
  <si>
    <t>VGSP-330_085,000_ES_CL2</t>
  </si>
  <si>
    <t>VGSP-330_085,000_ES_CL3</t>
  </si>
  <si>
    <t>VGSP-330_085,000_EN_CL4</t>
  </si>
  <si>
    <t>VGSP-348_085,000_ES_CL1</t>
  </si>
  <si>
    <t>VGSP-348_085,000_ES_CL6</t>
  </si>
  <si>
    <t>VGSP-348_085,000_EN_CL1</t>
  </si>
  <si>
    <t>VGSP-330_085,000_EN_CL3</t>
  </si>
  <si>
    <t>VGSP-348_085,000_ES_CL3</t>
  </si>
  <si>
    <t>VGSP-348_085,000_ES_CL2</t>
  </si>
  <si>
    <t>VGSP-348_085,000_ES_CL5</t>
  </si>
  <si>
    <t>VGSP-348_085,000_CC</t>
  </si>
  <si>
    <t>VGSP-330_085,000_EN_CL2</t>
  </si>
  <si>
    <t>VGSP-330_085,000_EN_CL1</t>
  </si>
  <si>
    <t>VGSP-348_085,000_EN_CL2</t>
  </si>
  <si>
    <t>VGSP-348_085,000_ES_CL7</t>
  </si>
  <si>
    <t>VGSP-348_086,000_EN_CL2</t>
  </si>
  <si>
    <t>86,000</t>
  </si>
  <si>
    <t>86,500</t>
  </si>
  <si>
    <t>VGSP-348_086,000_ES_CL4</t>
  </si>
  <si>
    <t>VGSP-330_086,000_ES_CL2</t>
  </si>
  <si>
    <t>VGSP-330_086,000_ES_CL1</t>
  </si>
  <si>
    <t>VGSP-348_086,000_ES_CL3</t>
  </si>
  <si>
    <t>VGSP-348_086,000_ES_CL1</t>
  </si>
  <si>
    <t>VGSP-330_086,000_ES_CL8</t>
  </si>
  <si>
    <t>VGSP-348_086,000_EN_CL1</t>
  </si>
  <si>
    <t>VGSP-330_086,000_EN_CL1</t>
  </si>
  <si>
    <t>VGSP-330_086,000_EN_CL6</t>
  </si>
  <si>
    <t>VGSP-330_086,000_EN_CL3</t>
  </si>
  <si>
    <t>VGSP-330_086,000_EN_CL8</t>
  </si>
  <si>
    <t>VGSP-330_086,000_EN_CL10</t>
  </si>
  <si>
    <t>VGSP-330_086,000_EN_CL9</t>
  </si>
  <si>
    <t>VGSP-330_086,000_ES_CL10</t>
  </si>
  <si>
    <t>VGSP-330_086,000_EN_CL11</t>
  </si>
  <si>
    <t>VGSP-330_086,000_ES_CL6</t>
  </si>
  <si>
    <t>VGSP-330_086,000_ES_CL9</t>
  </si>
  <si>
    <t>VGSP-348_086,000_CC3</t>
  </si>
  <si>
    <t>VGSP-330_086,000_ES_CL11</t>
  </si>
  <si>
    <t>VGSP-348_086,000_EN_CL3</t>
  </si>
  <si>
    <t>VGSP-348_086,000_CC1</t>
  </si>
  <si>
    <t>VGSP-330_086,000_ES_CL7</t>
  </si>
  <si>
    <t>VGSP-330_086,000_ES_CL4</t>
  </si>
  <si>
    <t>VGSP-348_086,000_EN_CL4</t>
  </si>
  <si>
    <t>VGSP-330_086,000_EN_CL5</t>
  </si>
  <si>
    <t>VGSP-330_086,000_EN_CL7</t>
  </si>
  <si>
    <t>VGSP-330_086,000_ES_CL3</t>
  </si>
  <si>
    <t>VGSP-330_086,000_EN_CL2</t>
  </si>
  <si>
    <t>VGSP-348_086,000_ES_CL2</t>
  </si>
  <si>
    <t>VGSP-330_086,000_ES_CL5</t>
  </si>
  <si>
    <t>VGSP-330_086,000_EN_CL4</t>
  </si>
  <si>
    <t>VGSP-348_086,000_CC2</t>
  </si>
  <si>
    <t>VGSP-348_087,000_CC5</t>
  </si>
  <si>
    <t>87,000</t>
  </si>
  <si>
    <t>87,500</t>
  </si>
  <si>
    <t>VGSP-348_087,000_ES_CL1</t>
  </si>
  <si>
    <t>VGSP-348_087,000_ES_CL5</t>
  </si>
  <si>
    <t>VGSP-348_087,000_ES_CL7</t>
  </si>
  <si>
    <t>VGSP-348_087,000_CC4</t>
  </si>
  <si>
    <t>VGSP-348_087,000_ES_CL6</t>
  </si>
  <si>
    <t>VGSP-348_087,000_ES_CL8</t>
  </si>
  <si>
    <t>VGSP-348_087,000_EN_CL6</t>
  </si>
  <si>
    <t>VGSP-348_087,000_EN_CL7</t>
  </si>
  <si>
    <t>VGSP-330_087,000_ES_CL5</t>
  </si>
  <si>
    <t>VGSP-330_087,000_ES_CL2</t>
  </si>
  <si>
    <t>VGSP-348_087,000_ES_CL4</t>
  </si>
  <si>
    <t>VGSP-348_087,000_EN_CL1</t>
  </si>
  <si>
    <t>VGSP-330_087,000_ES_CL4</t>
  </si>
  <si>
    <t>VGSP-330_087,000_ES_CL3</t>
  </si>
  <si>
    <t>VGSP-348_087,000_EN_CL5</t>
  </si>
  <si>
    <t>VGSP-348_087,000_EN_CL3</t>
  </si>
  <si>
    <t>VGSP-348_087,000_EN_CL2</t>
  </si>
  <si>
    <t>VGSP-330_087,000_ES_CL1</t>
  </si>
  <si>
    <t>VGSP-330_087,000_ES_CL6</t>
  </si>
  <si>
    <t>VGSP-348_087,000_ES_CL3</t>
  </si>
  <si>
    <t>VGSP-348_087,000_CC3</t>
  </si>
  <si>
    <t>VGSP-330_087,000_EN_CL1</t>
  </si>
  <si>
    <t>VGSP-348_087,000_ES_CL2</t>
  </si>
  <si>
    <t>VGSP-330_087,000_EN_CL4</t>
  </si>
  <si>
    <t>VGSP-330_087,000_EN_CL2</t>
  </si>
  <si>
    <t>VGSP-330_087,000_EN_CL3</t>
  </si>
  <si>
    <t>VGSP-348_087,000_CC1</t>
  </si>
  <si>
    <t>VGSP-348_087,000_CC6</t>
  </si>
  <si>
    <t>VGSP-348_087,000_EN_CL4</t>
  </si>
  <si>
    <t>VGSP-348_087,000_CC2</t>
  </si>
  <si>
    <t>VGSP-348_088,000_ES_CL4</t>
  </si>
  <si>
    <t>88,000</t>
  </si>
  <si>
    <t>88,500</t>
  </si>
  <si>
    <t>VGSP-348_088,000_CC1</t>
  </si>
  <si>
    <t>VGSP-348_088,000_CC3</t>
  </si>
  <si>
    <t>VGSP-348_088,000_EN_CL4</t>
  </si>
  <si>
    <t>VGSP-330_088,000_EN_CL3</t>
  </si>
  <si>
    <t>VGSP-348_088,000_CC4</t>
  </si>
  <si>
    <t>VGSP-348_088,000_ES_CL3</t>
  </si>
  <si>
    <t>VGSP-330_088,000_ES_CL1</t>
  </si>
  <si>
    <t>VGSP-330_088,000_ES_CL4</t>
  </si>
  <si>
    <t>VGSP-348_088,000_EN_CL6</t>
  </si>
  <si>
    <t>VGSP-348_088,000_EN_CL3</t>
  </si>
  <si>
    <t>VGSP-348_088,000_EN_CL2</t>
  </si>
  <si>
    <t>VGSP-348_088,000_CC2</t>
  </si>
  <si>
    <t>VGSP-348_088,000_CC5</t>
  </si>
  <si>
    <t>VGSP-348_088,000_EN_CL1</t>
  </si>
  <si>
    <t>VGSP-330_088,000_EN_CL7</t>
  </si>
  <si>
    <t>VGSP-330_088,000_EN_CL4</t>
  </si>
  <si>
    <t>VGSP-330_088,000_EN_CL5</t>
  </si>
  <si>
    <t>VGSP-330_088,000_EN_CL1</t>
  </si>
  <si>
    <t>VGSP-330_088,000_EN_CL2</t>
  </si>
  <si>
    <t>VGSP-330_088,000_EN_CL6</t>
  </si>
  <si>
    <t>VGSP-348_088,000_CC6</t>
  </si>
  <si>
    <t>VGSP-348_088,000_EN_CL5</t>
  </si>
  <si>
    <t>VGSP-348_088,000_ES_CL1</t>
  </si>
  <si>
    <t>VGSP-348_088,000_ES_CL5</t>
  </si>
  <si>
    <t>VGSP-330_088,000_ES_CL2</t>
  </si>
  <si>
    <t>VGSP-330_088,000_ES_CL3</t>
  </si>
  <si>
    <t>VGSP-348_088,000_ES_CL2</t>
  </si>
  <si>
    <t>VGSP-330_089,000_ES_CL2</t>
  </si>
  <si>
    <t>89,000</t>
  </si>
  <si>
    <t>89,500</t>
  </si>
  <si>
    <t>VGSP-348_089,000_CC2</t>
  </si>
  <si>
    <t>VGSP-348_089,000_EN_CL1</t>
  </si>
  <si>
    <t>VGSP-348_089,000_EN_CL3</t>
  </si>
  <si>
    <t>VGSP-330_089,000_EN_CL5</t>
  </si>
  <si>
    <t>VGSP-330_089,000_ES_CL5</t>
  </si>
  <si>
    <t>VGSP-348_089,000_EN_CL2</t>
  </si>
  <si>
    <t>VGSP-330_089,000_ES_CL1</t>
  </si>
  <si>
    <t>VGSP-330_089,000_ES_CL4</t>
  </si>
  <si>
    <t>VGSP-330_089,000_EN_CL4</t>
  </si>
  <si>
    <t>VGSP-330_089,000_ES_CL6</t>
  </si>
  <si>
    <t>VGSP-348_089,000_ES_CL1</t>
  </si>
  <si>
    <t>VGSP-348_089,000_ES_CL3</t>
  </si>
  <si>
    <t>VGSP-348_089,000_EN_CL4</t>
  </si>
  <si>
    <t>VGSP-330_089,000_EN_CL2</t>
  </si>
  <si>
    <t>VGSP-330_089,000_ES_CL7</t>
  </si>
  <si>
    <t>VGSP-330_089,000_ES_CL3</t>
  </si>
  <si>
    <t>VGSP-330_089,000_EN_CL3</t>
  </si>
  <si>
    <t>VGSP-348_089,000_CC1</t>
  </si>
  <si>
    <t>VGSP-348_089,000_ES_CL2</t>
  </si>
  <si>
    <t>VGSP-330_089,000_EN_CL1</t>
  </si>
  <si>
    <t>VGSP-348_089,000_CC3</t>
  </si>
  <si>
    <t>VGSP-348_090,000_CC2</t>
  </si>
  <si>
    <t>90,000</t>
  </si>
  <si>
    <t>90,500</t>
  </si>
  <si>
    <t>VGSP-330_090,000_ES_CL7</t>
  </si>
  <si>
    <t>VGSP-330_090,000_ES_CL6</t>
  </si>
  <si>
    <t>VGSP-330_090,000_EN_CL3</t>
  </si>
  <si>
    <t>VGSP-330_090,000_EN_CL5</t>
  </si>
  <si>
    <t>VGSP-330_090,000_ES_CL10</t>
  </si>
  <si>
    <t>VGSP-348_090,000_CC1</t>
  </si>
  <si>
    <t>VGSP-348_090,000_EN_CL2</t>
  </si>
  <si>
    <t>VGSP-330_090,000_ES_CL11</t>
  </si>
  <si>
    <t>VGSP-330_090,000_EN_CL4</t>
  </si>
  <si>
    <t>VGSP-330_090,000_ES_CL2</t>
  </si>
  <si>
    <t>VGSP-330_090,000_ES_CL3</t>
  </si>
  <si>
    <t>VGSP-330_090,000_EN_CL2</t>
  </si>
  <si>
    <t>VGSP-330_090,000_EN_CL1</t>
  </si>
  <si>
    <t>VGSP-330_090,000_ES_CL1</t>
  </si>
  <si>
    <t>VGSP-330_090,000_ES_CL9</t>
  </si>
  <si>
    <t>VGSP-348_090,000_ES_CL1</t>
  </si>
  <si>
    <t>VGSP-330_090,000_ES_CL8</t>
  </si>
  <si>
    <t>VGSP-348_090,000_EN_CL1</t>
  </si>
  <si>
    <t>VGSP-330_090,000_ES_CL5</t>
  </si>
  <si>
    <t>VGSP-348_090,000_ES_CL2</t>
  </si>
  <si>
    <t>VGSP-330_090,000_EN_CL6</t>
  </si>
  <si>
    <t>VGSP-330_090,000_EN_CL7</t>
  </si>
  <si>
    <t>VGSP-330_090,000_EN_CL9</t>
  </si>
  <si>
    <t>VGSP-330_090,000_ES_CL4</t>
  </si>
  <si>
    <t>VGSP-330_090,000_EN_CL8</t>
  </si>
  <si>
    <t>VGSP-330_091,000_ES_CL6</t>
  </si>
  <si>
    <t>91,000</t>
  </si>
  <si>
    <t>91,500</t>
  </si>
  <si>
    <t>VGSP-348_091,000_CC2</t>
  </si>
  <si>
    <t>VGSP-348_091,000_EN_CL2</t>
  </si>
  <si>
    <t>VGSP-348_091,000_ES_CL2</t>
  </si>
  <si>
    <t>VGSP-330_091,000_EN_CL2</t>
  </si>
  <si>
    <t>VGSP-348_091,000_ES_CL3</t>
  </si>
  <si>
    <t>VGSP-348_091,000_CC1</t>
  </si>
  <si>
    <t>VGSP-348_091,000_EN_CL3</t>
  </si>
  <si>
    <t>VGSP-348_091,000_CC3</t>
  </si>
  <si>
    <t>VGSP-330_091,000_EN_CL3</t>
  </si>
  <si>
    <t>VGSP-330_091,000_ES_CL1</t>
  </si>
  <si>
    <t>VGSP-348_091,000_EN_CL1</t>
  </si>
  <si>
    <t>VGSP-330_091,000_EN_CL6</t>
  </si>
  <si>
    <t>VGSP-330_091,000_EN_CL4</t>
  </si>
  <si>
    <t>VGSP-330_091,000_EN_CL1</t>
  </si>
  <si>
    <t>VGSP-330_091,000_ES_CL4</t>
  </si>
  <si>
    <t>VGSP-348_091,000_ES_CL1</t>
  </si>
  <si>
    <t>VGSP-330_091,000_ES_CL2</t>
  </si>
  <si>
    <t>VGSP-330_091,000_ES_CL5</t>
  </si>
  <si>
    <t>VGSP-330_091,000_ES_CL3</t>
  </si>
  <si>
    <t>VGSP-330_091,000_EN_CL5</t>
  </si>
  <si>
    <t>VGSP-330_092,000_ES_CL14</t>
  </si>
  <si>
    <t>92,000</t>
  </si>
  <si>
    <t>92,500</t>
  </si>
  <si>
    <t>VGSP-330_092,000_EN_CL9</t>
  </si>
  <si>
    <t>VGSP-330_092,000_EN_CL11</t>
  </si>
  <si>
    <t>VGSP-330_092,000_EN_CL6</t>
  </si>
  <si>
    <t>VGSP-330_092,000_EN_CL7</t>
  </si>
  <si>
    <t>VGSP-330_092,000_EN_CL8</t>
  </si>
  <si>
    <t>VGSP-330_092,000_ES_CL5</t>
  </si>
  <si>
    <t>VGSP-330_092,000_EN_CL2</t>
  </si>
  <si>
    <t>VGSP-330_092,000_EN_CL10</t>
  </si>
  <si>
    <t>VGSP-330_092,000_EN_CL1</t>
  </si>
  <si>
    <t>VGSP-330_092,000_CC1</t>
  </si>
  <si>
    <t>VGSP-330_092,000_CC4</t>
  </si>
  <si>
    <t>VGSP-330_092,000_CC2</t>
  </si>
  <si>
    <t>VGSP-330_092,000_CC3</t>
  </si>
  <si>
    <t>VGSP-330_092,000_CC5</t>
  </si>
  <si>
    <t>VGSP-330_092,000_EN_CL3</t>
  </si>
  <si>
    <t>VGSP-348_092,000_ES_CL1</t>
  </si>
  <si>
    <t>VGSP-330_092,000_EN_CL4</t>
  </si>
  <si>
    <t>VGSP-330_092,000_EN_CL5</t>
  </si>
  <si>
    <t>VGSP-348_092,000_ES_CL2</t>
  </si>
  <si>
    <t>VGSP-348_092,000_CC2</t>
  </si>
  <si>
    <t>VGSP-330_092,000_CC6</t>
  </si>
  <si>
    <t>VGSP-330_092,000_ES_CL7</t>
  </si>
  <si>
    <t>VGSP-330_092,000_ES_CL6</t>
  </si>
  <si>
    <t>VGSP-348_092,000_CC1</t>
  </si>
  <si>
    <t>VGSP-330_092,000_ES_CL12</t>
  </si>
  <si>
    <t>VGSP-330_092,000_ES_CL2</t>
  </si>
  <si>
    <t>VGSP-330_092,000_ES_CL1</t>
  </si>
  <si>
    <t>VGSP-348_092,000_EN_CL</t>
  </si>
  <si>
    <t>VGSP-330_092,000_ES_CL8</t>
  </si>
  <si>
    <t>VGSP-330_092,000_ES_CL9</t>
  </si>
  <si>
    <t>VGSP-330_092,000_ES_CL3</t>
  </si>
  <si>
    <t>VGSP-330_092,000_ES_CL4</t>
  </si>
  <si>
    <t>VGSP-330_092,000_ES_CL10</t>
  </si>
  <si>
    <t>VGSP-330_092,000_ES_CL11</t>
  </si>
  <si>
    <t>VGSP-330_092,000_ES_CL13</t>
  </si>
  <si>
    <t>VGSP-330_093,000_ES_CL1</t>
  </si>
  <si>
    <t>93,000</t>
  </si>
  <si>
    <t>93,500</t>
  </si>
  <si>
    <t>VGSP-348_093,000_CC1</t>
  </si>
  <si>
    <t>VGSP-330_093,000_EN_CL5</t>
  </si>
  <si>
    <t>VGSP-330_093,000_ES_CL9</t>
  </si>
  <si>
    <t>VGSP-348_093,000_CC2</t>
  </si>
  <si>
    <t>VGSP-348_093,000_CC3</t>
  </si>
  <si>
    <t>VGSP-330_093,000_EN_CL4</t>
  </si>
  <si>
    <t>VGSP-330_093,000_ES_CL6</t>
  </si>
  <si>
    <t>VGSP-330_093,000_ES_CL8</t>
  </si>
  <si>
    <t>VGSP-330_093,000_EN_CL6</t>
  </si>
  <si>
    <t>VGSP-330_093,000_CC</t>
  </si>
  <si>
    <t>VGSP-330_093,000_EN_CL3</t>
  </si>
  <si>
    <t>VGSP-330_093,000_EN_CL2</t>
  </si>
  <si>
    <t>VGSP-330_093,000_ES_CL4</t>
  </si>
  <si>
    <t>VGSP-330_093,000_ES_CL7</t>
  </si>
  <si>
    <t>VGSP-330_093,000_ES_CL11</t>
  </si>
  <si>
    <t>VGSP-348_093,000_ES_CL1</t>
  </si>
  <si>
    <t>VGSP-348_093,000_ES_CL2</t>
  </si>
  <si>
    <t>VGSP-330_093,000_ES_CL10</t>
  </si>
  <si>
    <t>VGSP-330_093,000_ES_CL5</t>
  </si>
  <si>
    <t>VGSP-330_093,000_ES_CL3</t>
  </si>
  <si>
    <t>VGSP-330_093,000_ES_CL2</t>
  </si>
  <si>
    <t>VGSP-348_093,000_EN_CL</t>
  </si>
  <si>
    <t>VGSP-330_093,000_EN_CL7</t>
  </si>
  <si>
    <t>VGSP-330_093,000_EN_CL1</t>
  </si>
  <si>
    <t>VGSP-348_094,000_CC2</t>
  </si>
  <si>
    <t>94,000</t>
  </si>
  <si>
    <t>94,500</t>
  </si>
  <si>
    <t>VGSP-330_094,000_ES_CL6</t>
  </si>
  <si>
    <t>VGSP-330_094,000_ES_CL8</t>
  </si>
  <si>
    <t>VGSP-348_094,000_ES_CL1</t>
  </si>
  <si>
    <t>VGSP-330_094,000_EN_CL2</t>
  </si>
  <si>
    <t>VGSP-348_094,000_ES_CL2</t>
  </si>
  <si>
    <t>VGSP-330_094,000_ES_CL3</t>
  </si>
  <si>
    <t>VGSP-330_094,000_EN_CL5</t>
  </si>
  <si>
    <t>VGSP-330_094,000_EN_CL4</t>
  </si>
  <si>
    <t>VGSP-330_094,000_EN_CL6</t>
  </si>
  <si>
    <t>VGSP-348_094,000_CC1</t>
  </si>
  <si>
    <t>VGSP-330_094,000_ES_CL2</t>
  </si>
  <si>
    <t>VGSP-330_094,000_ES_CL1</t>
  </si>
  <si>
    <t>VGSP-348_094,000_EN_CL2</t>
  </si>
  <si>
    <t>VGSP-330_094,000_EN_CL1</t>
  </si>
  <si>
    <t>VGSP-348_094,000_EN_CL1</t>
  </si>
  <si>
    <t>VGSP-330_094,000_ES_CL9</t>
  </si>
  <si>
    <t>VGSP-330_094,000_ES_CL4</t>
  </si>
  <si>
    <t>VGSP-330_094,000_ES_CL5</t>
  </si>
  <si>
    <t>VGSP-330_094,000_EN_CL3</t>
  </si>
  <si>
    <t>VGSP-330_094,000_ES_CL7</t>
  </si>
  <si>
    <t>VGSP-330_095,000_ES_CL6</t>
  </si>
  <si>
    <t>95,000</t>
  </si>
  <si>
    <t>95,500</t>
  </si>
  <si>
    <t>VGSP-330_095,000_EN_CL10</t>
  </si>
  <si>
    <t>VGSP-330_095,000_EN_CL4</t>
  </si>
  <si>
    <t>VGSP-330_095,000_EN_CL3</t>
  </si>
  <si>
    <t>VGSP-348_095,000_ES_CL1</t>
  </si>
  <si>
    <t>VGSP-348_095,000_CC3</t>
  </si>
  <si>
    <t>VGSP-348_095,000_CC2</t>
  </si>
  <si>
    <t>VGSP-330_095,000_ES_CL9</t>
  </si>
  <si>
    <t>VGSP-330_095,000_ES_CL8</t>
  </si>
  <si>
    <t>VGSP-330_095,000_ES_CL7</t>
  </si>
  <si>
    <t>VGSP-330_095,000_ES_CL4</t>
  </si>
  <si>
    <t>VGSP-348_095,000_EN_CL4</t>
  </si>
  <si>
    <t>VGSP-330_095,000_ES_CL3</t>
  </si>
  <si>
    <t>VGSP-330_095,000_ES_CL5</t>
  </si>
  <si>
    <t>VGSP-330_095,000_ES_CL1</t>
  </si>
  <si>
    <t>VGSP-330_095,000_ES_CL2</t>
  </si>
  <si>
    <t>VGSP-348_095,000_CC1</t>
  </si>
  <si>
    <t>VGSP-330_095,000_EN_CL1</t>
  </si>
  <si>
    <t>VGSP-330_095,000_EN_CL2</t>
  </si>
  <si>
    <t>VGSP-330_095,000_EN_CL5</t>
  </si>
  <si>
    <t>VGSP-348_095,000_EN_CL2</t>
  </si>
  <si>
    <t>VGSP-348_095,000_EN_CL1</t>
  </si>
  <si>
    <t>VGSP-348_095,000_ES_CL3</t>
  </si>
  <si>
    <t>VGSP-348_095,000_ES_CL2</t>
  </si>
  <si>
    <t>VGSP-348_095,000_EN_CL3</t>
  </si>
  <si>
    <t>VGSP-330_095,000_EN_CL9</t>
  </si>
  <si>
    <t>VGSP-330_095,000_EN_CL11</t>
  </si>
  <si>
    <t>VGSP-330_095,000_EN_CL8</t>
  </si>
  <si>
    <t>VGSP-330_095,000_EN_CL7</t>
  </si>
  <si>
    <t>VGSP-330_095,000_EN_CL6</t>
  </si>
  <si>
    <t>VGSP-330_096,000_ES_CL10</t>
  </si>
  <si>
    <t>96,000</t>
  </si>
  <si>
    <t>96,500</t>
  </si>
  <si>
    <t>VGSP-348_096,000_CC2</t>
  </si>
  <si>
    <t>VGSP-348_096,000_CC1</t>
  </si>
  <si>
    <t>VGSP-330_096,000_ES_CL6</t>
  </si>
  <si>
    <t>VGSP-330_096,000_ES_CL1</t>
  </si>
  <si>
    <t>VGSP-330_096,000_EN_CL2</t>
  </si>
  <si>
    <t>VGSP-348_096,000_EN_CL3</t>
  </si>
  <si>
    <t>VGSP-330_096,000_CC</t>
  </si>
  <si>
    <t>VGSP-330_096,000_ES_CL2</t>
  </si>
  <si>
    <t>VGSP-348_096,000_ES_CL1</t>
  </si>
  <si>
    <t>VGSP-330_096,000_ES_CL4</t>
  </si>
  <si>
    <t>VGSP-348_096,000_EN_CL2</t>
  </si>
  <si>
    <t>VGSP-330_096,000_EN_CL1</t>
  </si>
  <si>
    <t>VGSP-348_096,000_CC3</t>
  </si>
  <si>
    <t>VGSP-348_096,000_EN_CL1</t>
  </si>
  <si>
    <t>VGSP-330_096,000_ES_CL5</t>
  </si>
  <si>
    <t>VGSP-330_096,000_EN_CL4</t>
  </si>
  <si>
    <t>VGSP-330_096,000_ES_CL8</t>
  </si>
  <si>
    <t>VGSP-348_096,000_ES_CL2</t>
  </si>
  <si>
    <t>VGSP-330_096,000_EN_CL3</t>
  </si>
  <si>
    <t>VGSP-330_096,000_ES_CL7</t>
  </si>
  <si>
    <t>VGSP-330_096,000_ES_CL9</t>
  </si>
  <si>
    <t>VGSP-330_096,000_ES_CL3</t>
  </si>
  <si>
    <t>VGSP-348_097,000_CC3</t>
  </si>
  <si>
    <t>97,000</t>
  </si>
  <si>
    <t>97,500</t>
  </si>
  <si>
    <t>VGSP-348_097,000_ES_CL1</t>
  </si>
  <si>
    <t>VGSP-330_097,000_ES_CL12</t>
  </si>
  <si>
    <t>VGSP-330_097,000_ES_CL9</t>
  </si>
  <si>
    <t>VGSP-330_097,000_ES_CL8</t>
  </si>
  <si>
    <t>VGSP-330_097,000_ES_CL4</t>
  </si>
  <si>
    <t>VGSP-330_097,000_EN_CL6</t>
  </si>
  <si>
    <t>VGSP-330_097,000_ES_CL2</t>
  </si>
  <si>
    <t>VGSP-330_097,000_EN_CL7</t>
  </si>
  <si>
    <t>VGSP-330_097,000_ES_CL3</t>
  </si>
  <si>
    <t>VGSP-330_097,000_EN_CL4</t>
  </si>
  <si>
    <t>VGSP-348_097,000_EN_CL4</t>
  </si>
  <si>
    <t>VGSP-348_097,000_EN_CL3</t>
  </si>
  <si>
    <t>VGSP-330_097,000_ES_CL11</t>
  </si>
  <si>
    <t>VGSP-348_097,000_ES_CL3</t>
  </si>
  <si>
    <t>VGSP-348_097,000_EN_CL2</t>
  </si>
  <si>
    <t>VGSP-330_097,000_EN_CL5</t>
  </si>
  <si>
    <t>VGSP-348_097,000_ES_CL2</t>
  </si>
  <si>
    <t>VGSP-348_097,000_EN_CL1</t>
  </si>
  <si>
    <t>VGSP-330_097,000_EN_CL8</t>
  </si>
  <si>
    <t>VGSP-348_097,000_CC1</t>
  </si>
  <si>
    <t>VGSP-348_097,000_CC2</t>
  </si>
  <si>
    <t>VGSP-330_097,000_ES_CL6</t>
  </si>
  <si>
    <t>VGSP-330_097,000_ES_CL7</t>
  </si>
  <si>
    <t>VGSP-330_097,000_ES_CL1</t>
  </si>
  <si>
    <t>VGSP-330_097,000_ES_CL5</t>
  </si>
  <si>
    <t>VGSP-330_097,000_ES_CL10</t>
  </si>
  <si>
    <t>VGSP-330_097,000_EN_CL1</t>
  </si>
  <si>
    <t>VGSP-330_097,000_EN_CL2</t>
  </si>
  <si>
    <t>VGSP-330_097,000_EN_CL3</t>
  </si>
  <si>
    <t>VGSP-330_098,000_CC2</t>
  </si>
  <si>
    <t>98,000</t>
  </si>
  <si>
    <t>98,500</t>
  </si>
  <si>
    <t>VGSP-330_098,000_EN_CL11</t>
  </si>
  <si>
    <t>VGSP-330_098,000_EN_CL4</t>
  </si>
  <si>
    <t>VGSP-330_098,000_EN_CL2</t>
  </si>
  <si>
    <t>VGSP-348_098,000_EN_CL1</t>
  </si>
  <si>
    <t>VGSP-330_098,000_ES_CL14</t>
  </si>
  <si>
    <t>VGSP-330_098,000_ES_CL2</t>
  </si>
  <si>
    <t>VGSP-348_098,000_ES_CL1</t>
  </si>
  <si>
    <t>VGSP-348_098,000_EN_CL3</t>
  </si>
  <si>
    <t>VGSP-330_098,000_ES_CL17</t>
  </si>
  <si>
    <t>VGSP-330_098,000_ES_CL11</t>
  </si>
  <si>
    <t>VGSP-330_098,000_ES_CL18</t>
  </si>
  <si>
    <t>VGSP-330_098,000_EN_CL7</t>
  </si>
  <si>
    <t>VGSP-330_098,000_EN_CL8</t>
  </si>
  <si>
    <t>VGSP-348_098,000_CC2</t>
  </si>
  <si>
    <t>VGSP-330_098,000_EN_CL9</t>
  </si>
  <si>
    <t>VGSP-330_098,000_ES_CL8</t>
  </si>
  <si>
    <t>VGSP-330_098,000_EN_CL12</t>
  </si>
  <si>
    <t>VGSP-330_098,000_EN_CL14</t>
  </si>
  <si>
    <t>VGSP-330_098,000_EN_CL10</t>
  </si>
  <si>
    <t>VGSP-348_098,000_CC1</t>
  </si>
  <si>
    <t>VGSP-330_098,000_ES_CL12</t>
  </si>
  <si>
    <t>VGSP-330_098,000_EN_CL1</t>
  </si>
  <si>
    <t>VGSP-330_098,000_ES_CL5</t>
  </si>
  <si>
    <t>VGSP-348_098,000_ES_CL3</t>
  </si>
  <si>
    <t>VGSP-330_098,000_EN_CL3</t>
  </si>
  <si>
    <t>VGSP-330_098,000_CC1</t>
  </si>
  <si>
    <t>VGSP-330_098,000_ES_CL10</t>
  </si>
  <si>
    <t>VGSP-330_098,000_ES_CL16</t>
  </si>
  <si>
    <t>VGSP-330_098,000_EN_CL6</t>
  </si>
  <si>
    <t>VGSP-330_098,000_ES_CL7</t>
  </si>
  <si>
    <t>VGSP-330_098,000_CC5</t>
  </si>
  <si>
    <t>VGSP-330_098,000_ES_CL9</t>
  </si>
  <si>
    <t>VGSP-330_098,000_ES_CL6</t>
  </si>
  <si>
    <t>VGSP-330_098,000_ES_CL4</t>
  </si>
  <si>
    <t>VGSP-330_098,000_ES_CL3</t>
  </si>
  <si>
    <t>VGSP-330_098,000_CC3</t>
  </si>
  <si>
    <t>VGSP-330_098,000_ES_CL15</t>
  </si>
  <si>
    <t>VGSP-348_098,000_EN_CL4</t>
  </si>
  <si>
    <t>VGSP-330_098,000_EN_CL5</t>
  </si>
  <si>
    <t>VGSP-348_098,000_ES_CL2</t>
  </si>
  <si>
    <t>VGSP-330_098,000_EN_CL13</t>
  </si>
  <si>
    <t>VGSP-330_098,000_ES_CL20</t>
  </si>
  <si>
    <t>VGSP-330_098,000_CC4</t>
  </si>
  <si>
    <t>VGSP-330_098,000_ES_CL1</t>
  </si>
  <si>
    <t>VGSP-330_098,000_ES_CL19</t>
  </si>
  <si>
    <t>VGSP-330_098,000_ES_CL13</t>
  </si>
  <si>
    <t>VGSP-348_098,000_CC3</t>
  </si>
  <si>
    <t>VGSP-348_098,000_EN_CL2</t>
  </si>
  <si>
    <t>VGSP-330_099,000_CC1</t>
  </si>
  <si>
    <t>99,000</t>
  </si>
  <si>
    <t>99,500</t>
  </si>
  <si>
    <t>VGSP-348_099,000_CC2</t>
  </si>
  <si>
    <t>VGSP-330_099,000_ES_CL1</t>
  </si>
  <si>
    <t>VGSP-330_099,000_ES_CL6</t>
  </si>
  <si>
    <t>VGSP-348_099,000_ES_CL3</t>
  </si>
  <si>
    <t>VGSP-348_099,000_ES_CL4</t>
  </si>
  <si>
    <t>VGSP-348_099,000_CC1</t>
  </si>
  <si>
    <t>VGSP-330_099,000_EN_CL4</t>
  </si>
  <si>
    <t>VGSP-330_099,000_EN_CL1</t>
  </si>
  <si>
    <t>VGSP-348_099,000_CC3</t>
  </si>
  <si>
    <t>VGSP-330_099,000_EN_CL6</t>
  </si>
  <si>
    <t>VGSP-330_099,000_ES_CL2</t>
  </si>
  <si>
    <t>VGSP-330_099,000_ES_CL3</t>
  </si>
  <si>
    <t>VGSP-348_099,000_EN_CL2</t>
  </si>
  <si>
    <t>VGSP-348_099,000_ES_CL2</t>
  </si>
  <si>
    <t>VGSP-330_099,000_ES_CL4</t>
  </si>
  <si>
    <t>VGSP-348_099,000_ES_CL1</t>
  </si>
  <si>
    <t>VGSP-330_099,000_EN_CL5</t>
  </si>
  <si>
    <t>VGSP-330_099,000_CC2</t>
  </si>
  <si>
    <t>VGSP-348_099,000_EN_CL3</t>
  </si>
  <si>
    <t>VGSP-330_099,000_ES_CL5</t>
  </si>
  <si>
    <t>VGSP-330_099,000_EN_CL7</t>
  </si>
  <si>
    <t>VGSP-330_099,000_EN_CL2</t>
  </si>
  <si>
    <t>VGSP-330_099,000_EN_CL3</t>
  </si>
  <si>
    <t>VGSP-348_099,000_EN_CL1</t>
  </si>
  <si>
    <t>VGSP-330_100,000_EN_CL4</t>
  </si>
  <si>
    <t>100,000</t>
  </si>
  <si>
    <t>100,500</t>
  </si>
  <si>
    <t>VGSP-330_100,000_CC2</t>
  </si>
  <si>
    <t>VGSP-348_100,000_EN_CL4</t>
  </si>
  <si>
    <t>VGSP-348_100,000_CC3</t>
  </si>
  <si>
    <t>VGSP-348_100,000_EN_CL2</t>
  </si>
  <si>
    <t>VGSP-330_100,000_EN_CL5</t>
  </si>
  <si>
    <t>VGSP-348_100,000_CC1</t>
  </si>
  <si>
    <t>VGSP-330_100,000_ES_CL4</t>
  </si>
  <si>
    <t>VGSP-348_100,000_CC2</t>
  </si>
  <si>
    <t>VGSP-348_100,000_ES_CL1</t>
  </si>
  <si>
    <t>VGSP-330_100,000_ES_CL3</t>
  </si>
  <si>
    <t>VGSP-348_100,000_ES_CL2</t>
  </si>
  <si>
    <t>VGSP-330_100,000_ES_CL6</t>
  </si>
  <si>
    <t>VGSP-330_100,000_CC1</t>
  </si>
  <si>
    <t>VGSP-330_100,000_ES_CL1</t>
  </si>
  <si>
    <t>VGSP-330_100,000_ES_CL5</t>
  </si>
  <si>
    <t>VGSP-330_100,000_EN_CL1</t>
  </si>
  <si>
    <t>VGSP-348_100,000_ES_CL3</t>
  </si>
  <si>
    <t>VGSP-330_100,000_ES_CL7</t>
  </si>
  <si>
    <t>VGSP-330_100,000_ES_CL2</t>
  </si>
  <si>
    <t>VGSP-330_100,000_EN_CL3</t>
  </si>
  <si>
    <t>VGSP-330_100,000_CC3</t>
  </si>
  <si>
    <t>VGSP-348_100,000_EN_CL3</t>
  </si>
  <si>
    <t>VGSP-348_100,000_EN_CL5</t>
  </si>
  <si>
    <t>VGSP-330_100,000_EN_CL2</t>
  </si>
  <si>
    <t>VGSP-348_100,000_EN_CL1</t>
  </si>
  <si>
    <t>VGSP-330_101,000_EN_CL7</t>
  </si>
  <si>
    <t>101,000</t>
  </si>
  <si>
    <t>101,500</t>
  </si>
  <si>
    <t>VGSP-330_101,000_ES_CL3</t>
  </si>
  <si>
    <t>VGSP-348_101,000_ES_CL3</t>
  </si>
  <si>
    <t>VGSP-348_101,000_ES_CL2</t>
  </si>
  <si>
    <t>VGSP-330_101,000_EN_CL2</t>
  </si>
  <si>
    <t>VGSP-330_101,000_EN_CL4</t>
  </si>
  <si>
    <t>VGSP-330_101,000_CC2</t>
  </si>
  <si>
    <t>VGSP-330_101,000_ES_CL1</t>
  </si>
  <si>
    <t>VGSP-330_101,000_CC1</t>
  </si>
  <si>
    <t>VGSP-348_101,000_CC2</t>
  </si>
  <si>
    <t>VGSP-330_101,000_ES_CL6</t>
  </si>
  <si>
    <t>VGSP-330_101,000_ES_CL9</t>
  </si>
  <si>
    <t>VGSP-330_101,000_CC3</t>
  </si>
  <si>
    <t>VGSP-330_101,000_ES_CL5</t>
  </si>
  <si>
    <t>VGSP-348_101,000_EN_CL3</t>
  </si>
  <si>
    <t>VGSP-348_101,000_EN_CL2</t>
  </si>
  <si>
    <t>VGSP-330_101,000_EN_CL6</t>
  </si>
  <si>
    <t>VGSP-348_101,000_CC3</t>
  </si>
  <si>
    <t>VGSP-348_101,000_CC1</t>
  </si>
  <si>
    <t>VGSP-348_101,000_EN_CL1</t>
  </si>
  <si>
    <t>VGSP-330_101,000_ES_CL2</t>
  </si>
  <si>
    <t>VGSP-330_101,000_EN_CL8</t>
  </si>
  <si>
    <t>VGSP-330_101,000_ES_CL4</t>
  </si>
  <si>
    <t>VGSP-330_101,000_ES_CL8</t>
  </si>
  <si>
    <t>VGSP-330_101,000_ES_CL7</t>
  </si>
  <si>
    <t>VGSP-330_101,000_EN_CL1</t>
  </si>
  <si>
    <t>VGSP-330_101,000_EN_CL5</t>
  </si>
  <si>
    <t>VGSP-330_101,000_EN_CL3</t>
  </si>
  <si>
    <t>VGSP-348_101,000_ES_CL1</t>
  </si>
  <si>
    <t>VGSP-330_102,000_EN_CL4</t>
  </si>
  <si>
    <t>102,000</t>
  </si>
  <si>
    <t>102,500</t>
  </si>
  <si>
    <t>VGSP-330_102,000_ES_CL3</t>
  </si>
  <si>
    <t>VGSP-348_102,000_ES_CL1</t>
  </si>
  <si>
    <t>VGSP-330_102,000_ES_CL4</t>
  </si>
  <si>
    <t>VGSP-330_102,000_ES_CL7</t>
  </si>
  <si>
    <t>VGSP-330_102,000_CC2</t>
  </si>
  <si>
    <t>VGSP-330_102,000_ES_CL2</t>
  </si>
  <si>
    <t>VGSP-330_102,000_CC4</t>
  </si>
  <si>
    <t>VGSP-348_102,000_ES_CL2</t>
  </si>
  <si>
    <t>VGSP-330_102,000_EN_CL1</t>
  </si>
  <si>
    <t>VGSP-330_102,000_EN_CL2</t>
  </si>
  <si>
    <t>VGSP-348_102,000_CC2</t>
  </si>
  <si>
    <t>VGSP-348_102,000_CC1</t>
  </si>
  <si>
    <t>VGSP-330_102,000_CC3</t>
  </si>
  <si>
    <t>VGSP-330_102,000_CC1</t>
  </si>
  <si>
    <t>VGSP-348_102,000_EN_CL1</t>
  </si>
  <si>
    <t>VGSP-330_102,000_ES_CL6</t>
  </si>
  <si>
    <t>VGSP-348_102,000_EN_CL2</t>
  </si>
  <si>
    <t>VGSP-330_102,000_ES_CL8</t>
  </si>
  <si>
    <t>VGSP-330_102,000_ES_CL5</t>
  </si>
  <si>
    <t>VGSP-330_102,000_EN_CL5</t>
  </si>
  <si>
    <t>VGSP-330_102,000_EN_CL3</t>
  </si>
  <si>
    <t>VGSP-330_102,000_ES_CL1</t>
  </si>
  <si>
    <t>VGSP-330_103,000_EN_CL3</t>
  </si>
  <si>
    <t>103,000</t>
  </si>
  <si>
    <t>103,500</t>
  </si>
  <si>
    <t>VGSP-330_103,000_ES_CL9</t>
  </si>
  <si>
    <t>VGSP-348_103,000_EN_CL1</t>
  </si>
  <si>
    <t>VGSP-330_103,000_ES_CL4</t>
  </si>
  <si>
    <t>VGSP-330_103,000_EN_CL7</t>
  </si>
  <si>
    <t>VGSP-330_103,000_ES_CL1</t>
  </si>
  <si>
    <t>VGSP-330_103,000_CC4</t>
  </si>
  <si>
    <t>VGSP-348_103,000_CC1</t>
  </si>
  <si>
    <t>VGSP-348_103,000_ES_CL2</t>
  </si>
  <si>
    <t>VGSP-330_103,000_CC3</t>
  </si>
  <si>
    <t>VGSP-330_103,000_EN_CL8</t>
  </si>
  <si>
    <t>VGSP-330_103,000_EN_CL5</t>
  </si>
  <si>
    <t>VGSP-330_103,000_ES_CL5</t>
  </si>
  <si>
    <t>VGSP-330_103,000_ES_CL7</t>
  </si>
  <si>
    <t>VGSP-330_103,000_EN_CL2</t>
  </si>
  <si>
    <t>VGSP-330_103,000_EN_CL1</t>
  </si>
  <si>
    <t>VGSP-348_103,000_ES_CL1</t>
  </si>
  <si>
    <t>VGSP-330_103,000_CC2</t>
  </si>
  <si>
    <t>VGSP-348_103,000_CC2</t>
  </si>
  <si>
    <t>VGSP-330_103,000_ES_CL8</t>
  </si>
  <si>
    <t>VGSP-330_103,000_EN_CL6</t>
  </si>
  <si>
    <t>VGSP-330_103,000_CC1</t>
  </si>
  <si>
    <t>VGSP-348_103,000_EN_CL2</t>
  </si>
  <si>
    <t>VGSP-330_103,000_ES_CL6</t>
  </si>
  <si>
    <t>VGSP-330_103,000_ES_CL2</t>
  </si>
  <si>
    <t>VGSP-330_103,000_EN_CL4</t>
  </si>
  <si>
    <t>VGSP-330_103,000_ES_CL10</t>
  </si>
  <si>
    <t>VGSP-330_103,000_ES_CL3</t>
  </si>
  <si>
    <t>VGSP-330_104,000_ES_CL14</t>
  </si>
  <si>
    <t>104,000</t>
  </si>
  <si>
    <t>104,500</t>
  </si>
  <si>
    <t>VGSP-330_104,000_ES_CL8</t>
  </si>
  <si>
    <t>VGSP-330_104,000_CC5</t>
  </si>
  <si>
    <t>VGSP-330_104,000_ES_CL6</t>
  </si>
  <si>
    <t>VGSP-330_104,000_ES_CL5</t>
  </si>
  <si>
    <t>VGSP-330_104,000_ES_CL12</t>
  </si>
  <si>
    <t>VGSP-348_104,000_EN_CL7</t>
  </si>
  <si>
    <t>VGSP-348_104,000_EN_CL6</t>
  </si>
  <si>
    <t>VGSP-330_104,000_EN_CL4</t>
  </si>
  <si>
    <t>VGSP-330_104,000_ES_CL2</t>
  </si>
  <si>
    <t>VGSP-330_104,000_ES_CL18</t>
  </si>
  <si>
    <t>VGSP-330_104,000_EN_CL2</t>
  </si>
  <si>
    <t>VGSP-348_104,000_EN_CL4</t>
  </si>
  <si>
    <t>VGSP-330_104,000_ES_CL19</t>
  </si>
  <si>
    <t>VGSP-348_104,000_ES_CL1</t>
  </si>
  <si>
    <t>VGSP-348_104,000_CC2</t>
  </si>
  <si>
    <t>VGSP-348_104,000_CC1</t>
  </si>
  <si>
    <t>VGSP-330_104,000_EN_CL15</t>
  </si>
  <si>
    <t>VGSP-330_104,000_CC2</t>
  </si>
  <si>
    <t>VGSP-330_104,000_ES_CL20</t>
  </si>
  <si>
    <t>VGSP-330_104,000_EN_CL16</t>
  </si>
  <si>
    <t>VGSP-348_104,000_EN_CL3</t>
  </si>
  <si>
    <t>VGSP-348_104,000_CC5</t>
  </si>
  <si>
    <t>VGSP-348_104,000_CC3</t>
  </si>
  <si>
    <t>VGSP-348_104,000_CC4</t>
  </si>
  <si>
    <t>VGSP-348_104,000_ES_CL3</t>
  </si>
  <si>
    <t>VGSP-348_104,000_EN_CL1</t>
  </si>
  <si>
    <t>VGSP-330_104,000_EN_CL5</t>
  </si>
  <si>
    <t>VGSP-330_104,000_CC1</t>
  </si>
  <si>
    <t>VGSP-330_104,000_ES_CL1</t>
  </si>
  <si>
    <t>VGSP-330_104,000_ES_CL15</t>
  </si>
  <si>
    <t>VGSP-330_104,000_EN_CL11</t>
  </si>
  <si>
    <t>VGSP-330_104,000_ES_CL11</t>
  </si>
  <si>
    <t>VGSP-330_104,000_ES_CL17</t>
  </si>
  <si>
    <t>VGSP-330_104,000_EN_CL1</t>
  </si>
  <si>
    <t>VGSP-330_104,000_ES_CL10</t>
  </si>
  <si>
    <t>VGSP-330_104,000_ES_CL16</t>
  </si>
  <si>
    <t>VGSP-330_104,000_EN_CL10</t>
  </si>
  <si>
    <t>VGSP-348_104,000_EN_CL5</t>
  </si>
  <si>
    <t>VGSP-330_104,000_ES_CL7</t>
  </si>
  <si>
    <t>VGSP-330_104,000_EN_CL8</t>
  </si>
  <si>
    <t>VGSP-330_104,000_EN_CL3</t>
  </si>
  <si>
    <t>VGSP-330_104,000_CC4</t>
  </si>
  <si>
    <t>VGSP-348_104,000_ES_CL4</t>
  </si>
  <si>
    <t>VGSP-348_104,000_ES_CL2</t>
  </si>
  <si>
    <t>VGSP-348_104,000_EN_CL2</t>
  </si>
  <si>
    <t>VGSP-330_104,000_CC3</t>
  </si>
  <si>
    <t>VGSP-330_104,000_CC6</t>
  </si>
  <si>
    <t>VGSP-330_104,000_EN_CL13</t>
  </si>
  <si>
    <t>VGSP-330_104,000_EN_CL7</t>
  </si>
  <si>
    <t>VGSP-330_104,000_EN_CL6</t>
  </si>
  <si>
    <t>VGSP-348_104,000_CC6</t>
  </si>
  <si>
    <t>VGSP-330_104,000_EN_CL14</t>
  </si>
  <si>
    <t>VGSP-330_104,000_EN_CL9</t>
  </si>
  <si>
    <t>VGSP-330_104,000_ES_CL9</t>
  </si>
  <si>
    <t>VGSP-330_104,000_EN_CL12</t>
  </si>
  <si>
    <t>VGSP-348_104,000_CC7</t>
  </si>
  <si>
    <t>VGSP-330_104,000_ES_CL4</t>
  </si>
  <si>
    <t>VGSP-330_104,000_ES_CL13</t>
  </si>
  <si>
    <t>VGSP-330_104,000_ES_CL3</t>
  </si>
  <si>
    <t>VGSP-330_105,000_ES_CL3</t>
  </si>
  <si>
    <t>105,000</t>
  </si>
  <si>
    <t>105,500</t>
  </si>
  <si>
    <t>VGSP-330_105,000_EN_CL6</t>
  </si>
  <si>
    <t>VGSP-348_105,000_CC1</t>
  </si>
  <si>
    <t>VGSP-348_105,000_EN_CL1</t>
  </si>
  <si>
    <t>VGSP-330_105,000_CC3</t>
  </si>
  <si>
    <t>VGSP-330_105,000_EN_CL5</t>
  </si>
  <si>
    <t>VGSP-330_105,000_EN_CL2</t>
  </si>
  <si>
    <t>VGSP-330_105,000_ES_CL4</t>
  </si>
  <si>
    <t>VGSP-330_105,000_CC1</t>
  </si>
  <si>
    <t>VGSP-330_105,000_EN_CL4</t>
  </si>
  <si>
    <t>VGSP-330_105,000_CC2</t>
  </si>
  <si>
    <t>VGSP-330_105,000_EN_CL1</t>
  </si>
  <si>
    <t>VGSP-330_105,000_ES_CL2</t>
  </si>
  <si>
    <t>VGSP-348_105,000_CC2</t>
  </si>
  <si>
    <t>VGSP-330_105,000_ES_CL1</t>
  </si>
  <si>
    <t>VGSP-330_105,000_EN_CL3</t>
  </si>
  <si>
    <t>VGSP-348_105,000_EN_CL2</t>
  </si>
  <si>
    <t>VGSP-348_105,000_ES_CL1</t>
  </si>
  <si>
    <t>VGSP-348_105,000_ES_CL2</t>
  </si>
  <si>
    <t>VGSP-330_106,000_EN_CL1</t>
  </si>
  <si>
    <t>106,000</t>
  </si>
  <si>
    <t>106,500</t>
  </si>
  <si>
    <t>VGSP-330_106,000_CC3</t>
  </si>
  <si>
    <t>VGSP-348_106,000_EN_CL2</t>
  </si>
  <si>
    <t>VGSP-330_106,000_EN_CL6</t>
  </si>
  <si>
    <t>VGSP-330_106,000_ES_CL4</t>
  </si>
  <si>
    <t>VGSP-330_106,000_ES_CL2</t>
  </si>
  <si>
    <t>VGSP-330_106,000_EN_CL3</t>
  </si>
  <si>
    <t>VGSP-330_106,000_EN_CL7</t>
  </si>
  <si>
    <t>VGSP-330_106,000_ES_CL1</t>
  </si>
  <si>
    <t>VGSP-330_106,000_ES_CL6</t>
  </si>
  <si>
    <t>VGSP-330_106,000_EN_CL5</t>
  </si>
  <si>
    <t>VGSP-330_106,000_ES_CL5</t>
  </si>
  <si>
    <t>VGSP-348_106,000_ES_CL3</t>
  </si>
  <si>
    <t>VGSP-348_106,000_CC3</t>
  </si>
  <si>
    <t>VGSP-330_106,000_EN_CL2</t>
  </si>
  <si>
    <t>VGSP-330_106,000_ES_CL7</t>
  </si>
  <si>
    <t>VGSP-348_106,000_ES_CL2</t>
  </si>
  <si>
    <t>VGSP-330_106,000_ES_CL3</t>
  </si>
  <si>
    <t>VGSP-330_106,000_EN_CL4</t>
  </si>
  <si>
    <t>VGSP-348_106,000_ES_CL1</t>
  </si>
  <si>
    <t>VGSP-348_106,000_EN_CL1</t>
  </si>
  <si>
    <t>VGSP-348_106,000_CC1</t>
  </si>
  <si>
    <t>VGSP-348_106,000_CC2</t>
  </si>
  <si>
    <t>VGSP-330_106,000_CC2</t>
  </si>
  <si>
    <t>VGSP-330_106,000_CC1</t>
  </si>
  <si>
    <t>VGSP-330_106,000_ES_CL8</t>
  </si>
  <si>
    <t>VGSP-348_106,000_EN_CL3</t>
  </si>
  <si>
    <t>VGSP-330_107,000_EN_CL6</t>
  </si>
  <si>
    <t>107,000</t>
  </si>
  <si>
    <t>107,500</t>
  </si>
  <si>
    <t>VGSP-348_107,000_ES_CL2</t>
  </si>
  <si>
    <t>VGSP-330_107,000_ES_CL3</t>
  </si>
  <si>
    <t>VGSP-348_107,000_CC2</t>
  </si>
  <si>
    <t>VGSP-330_107,000_ES_CL7</t>
  </si>
  <si>
    <t>VGSP-348_107,000_EN_CL1</t>
  </si>
  <si>
    <t>VGSP-330_107,000_CC3</t>
  </si>
  <si>
    <t>VGSP-330_107,000_CC2</t>
  </si>
  <si>
    <t>VGSP-330_107,000_EN_CL5</t>
  </si>
  <si>
    <t>VGSP-330_107,000_EN_CL3</t>
  </si>
  <si>
    <t>VGSP-330_107,000_EN_CL2</t>
  </si>
  <si>
    <t>VGSP-348_107,000_EN_CL2</t>
  </si>
  <si>
    <t>VGSP-330_107,000_ES_CL4</t>
  </si>
  <si>
    <t>VGSP-330_107,000_ES_CL5</t>
  </si>
  <si>
    <t>VGSP-330_107,000_ES_CL8</t>
  </si>
  <si>
    <t>VGSP-330_107,000_ES_CL1</t>
  </si>
  <si>
    <t>VGSP-330_107,000_CC6</t>
  </si>
  <si>
    <t>VGSP-330_107,000_EN_CL1</t>
  </si>
  <si>
    <t>VGSP-330_107,000_ES_CL9</t>
  </si>
  <si>
    <t>VGSP-330_107,000_CC4</t>
  </si>
  <si>
    <t>VGSP-330_107,000_CC5</t>
  </si>
  <si>
    <t>VGSP-330_107,000_CC1</t>
  </si>
  <si>
    <t>Trator 1.7m, Eixo-zero</t>
  </si>
  <si>
    <t>VGSP-348_107,000_CC1</t>
  </si>
  <si>
    <t>VGSP-330_107,000_ES_CL2</t>
  </si>
  <si>
    <t>VGSP-348_107,000_ES_CL1</t>
  </si>
  <si>
    <t>VGSP-330_107,000_ES_CL6</t>
  </si>
  <si>
    <t>VGSP-330_107,000_EN_CL4</t>
  </si>
  <si>
    <t>VGSP-348_108,000_ES_CL2</t>
  </si>
  <si>
    <t>108,000</t>
  </si>
  <si>
    <t>108,500</t>
  </si>
  <si>
    <t>VGSP-330_108,000_ES_CL2</t>
  </si>
  <si>
    <t>VGSP-330_108,000_ES_CL3</t>
  </si>
  <si>
    <t>VGSP-348_108,000_ES_CL1</t>
  </si>
  <si>
    <t>VGSP-330_108,000_EN_CL3</t>
  </si>
  <si>
    <t>VGSP-348_108,000_EN_CL2</t>
  </si>
  <si>
    <t>VGSP-330_108,000_EN_CL1</t>
  </si>
  <si>
    <t>VGSP-330_108,000_EN_CL4</t>
  </si>
  <si>
    <t>VGSP-348_108,000_CC2</t>
  </si>
  <si>
    <t>VGSP-348_108,000_CC1</t>
  </si>
  <si>
    <t>VGSP-348_108,000_EN_CL1</t>
  </si>
  <si>
    <t>VGSP-330_108,000_EN_CL2</t>
  </si>
  <si>
    <t>VGSP-330_108,000_CC</t>
  </si>
  <si>
    <t>VGSP-330_108,000_ES_CL1</t>
  </si>
  <si>
    <t>VGSP-330_108,000_ES_CL4</t>
  </si>
  <si>
    <t>VGSP-330_108,000_ES_CL5</t>
  </si>
  <si>
    <t>VGSP-330_108,000_ES_CL6</t>
  </si>
  <si>
    <t>VGSP-330_108,000_ES_CL7</t>
  </si>
  <si>
    <t>VGSP-330_109,000_ES_CL7</t>
  </si>
  <si>
    <t>109,000</t>
  </si>
  <si>
    <t>109,500</t>
  </si>
  <si>
    <t>VGSP-330_109,000_ES_CL5</t>
  </si>
  <si>
    <t>VGSP-330_109,000_ES_CL10</t>
  </si>
  <si>
    <t>VGSP-330_109,000_ES_CL9</t>
  </si>
  <si>
    <t>VGSP-330_109,000_ES_CL8</t>
  </si>
  <si>
    <t>VGSP-330_109,000_EN_CL3</t>
  </si>
  <si>
    <t>VGSP-348_109,000_ES_CL1</t>
  </si>
  <si>
    <t>VGSP-330_109,000_EN_CL5</t>
  </si>
  <si>
    <t>VGSP-348_109,000_ES_CL2</t>
  </si>
  <si>
    <t>VGSP-330_109,000_ES_CL2</t>
  </si>
  <si>
    <t>VGSP-330_109,000_ES_CL6</t>
  </si>
  <si>
    <t>VGSP-348_109,000_CC1</t>
  </si>
  <si>
    <t>VGSP-348_109,000_EN_CL1</t>
  </si>
  <si>
    <t>VGSP-330_109,000_EN_CL6</t>
  </si>
  <si>
    <t>VGSP-330_109,000_CC1</t>
  </si>
  <si>
    <t>Tela de proteção em canteiro central</t>
  </si>
  <si>
    <t>VGSP-330_109,000_CC2</t>
  </si>
  <si>
    <t>VGSP-330_109,000_EN_CL7</t>
  </si>
  <si>
    <t>VGSP-330_109,000_ES_CL11</t>
  </si>
  <si>
    <t>VGSP-330_109,000_ES_CL3</t>
  </si>
  <si>
    <t>VGSP-348_109,000_EN_CL2</t>
  </si>
  <si>
    <t>VGSP-330_109,000_CC3</t>
  </si>
  <si>
    <t>VGSP-330_109,000_EN_CL1</t>
  </si>
  <si>
    <t>VGSP-330_109,000_EN_CL4</t>
  </si>
  <si>
    <t>VGSP-330_109,000_ES_CL1</t>
  </si>
  <si>
    <t>VGSP-348_109,000_CC2</t>
  </si>
  <si>
    <t>VGSP-330_109,000_EN_CL2</t>
  </si>
  <si>
    <t>VGSP-330_109,000_ES_CL4</t>
  </si>
  <si>
    <t>VGSP-330_110,000_CC1</t>
  </si>
  <si>
    <t>110,000</t>
  </si>
  <si>
    <t>110,500</t>
  </si>
  <si>
    <t>VGSP-330_110,000_EN_CL13</t>
  </si>
  <si>
    <t>VGSP-348_110,000_ES_CL2</t>
  </si>
  <si>
    <t>VGSP-330_110,000_ES_CL15</t>
  </si>
  <si>
    <t>VGSP-330_110,000_EN_CL11</t>
  </si>
  <si>
    <t>VGSP-330_110,000_ES_CL13</t>
  </si>
  <si>
    <t>VGSP-330_110,000_EN_CL15</t>
  </si>
  <si>
    <t>VGSP-330_110,000_EN_CL12</t>
  </si>
  <si>
    <t>VGSP-330_110,000_EN_CL9</t>
  </si>
  <si>
    <t>VGSP-330_110,000_EN_CL8</t>
  </si>
  <si>
    <t>VGSP-330_110,000_ES_CL3</t>
  </si>
  <si>
    <t>VGSP-330_110,000_ES_CL2</t>
  </si>
  <si>
    <t>VGSP-330_110,000_ES_CL6</t>
  </si>
  <si>
    <t>VGSP-348_110,000_CC1</t>
  </si>
  <si>
    <t>VGSP-348_110,000_CC3</t>
  </si>
  <si>
    <t>VGSP-348_110,000_EN_CL5</t>
  </si>
  <si>
    <t>VGSP-330_110,000_ES_CL14</t>
  </si>
  <si>
    <t>VGSP-330_110,000_EN_CL16</t>
  </si>
  <si>
    <t>VGSP-348_110,000_EN_CL2</t>
  </si>
  <si>
    <t>VGSP-330_110,000_EN_CL14</t>
  </si>
  <si>
    <t>VGSP-348_110,000_EN_CL1</t>
  </si>
  <si>
    <t>VGSP-330_110,000_EN_CL7</t>
  </si>
  <si>
    <t>VGSP-330_110,000_EN_CL4</t>
  </si>
  <si>
    <t>VGSP-330_110,000_EN_CL2</t>
  </si>
  <si>
    <t>VGSP-330_110,000_EN_CL10</t>
  </si>
  <si>
    <t>VGSP-330_110,000_EN_CL3</t>
  </si>
  <si>
    <t>VGSP-330_110,000_ES_CL4</t>
  </si>
  <si>
    <t>VGSP-348_110,000_ES_CL5</t>
  </si>
  <si>
    <t>VGSP-330_110,000_ES_CL5</t>
  </si>
  <si>
    <t>VGSP-348_110,000_CC2</t>
  </si>
  <si>
    <t>VGSP-330_110,000_ES_CL12</t>
  </si>
  <si>
    <t>VGSP-348_110,000_EN_CL4</t>
  </si>
  <si>
    <t>VGSP-330_110,000_ES_CL11</t>
  </si>
  <si>
    <t>VGSP-330_110,000_ES_CL10</t>
  </si>
  <si>
    <t>VGSP-330_110,000_ES_CL7</t>
  </si>
  <si>
    <t>VGSP-330_110,000_ES_CL9</t>
  </si>
  <si>
    <t>VGSP-348_110,000_ES_CL4</t>
  </si>
  <si>
    <t>VGSP-330_110,000_EN_CL5</t>
  </si>
  <si>
    <t>VGSP-330_110,000_ES_CL1</t>
  </si>
  <si>
    <t>VGSP-330_110,000_EN_CL1</t>
  </si>
  <si>
    <t>VGSP-330_110,000_EN_CL6</t>
  </si>
  <si>
    <t>VGSP-330_110,000_CC4</t>
  </si>
  <si>
    <t>VGSP-348_110,000_EN_CL3</t>
  </si>
  <si>
    <t>VGSP-330_110,000_CC2</t>
  </si>
  <si>
    <t>VGSP-330_110,000_ES_CL8</t>
  </si>
  <si>
    <t>VGSP-348_110,000_ES_CL3</t>
  </si>
  <si>
    <t>VGSP-348_110,000_ES_CL1</t>
  </si>
  <si>
    <t>VGSP-330_110,000_CC5</t>
  </si>
  <si>
    <t>VGSP-330_110,000_CC3</t>
  </si>
  <si>
    <t>VGSP-348_111,000_CC3</t>
  </si>
  <si>
    <t>111,000</t>
  </si>
  <si>
    <t>111,500</t>
  </si>
  <si>
    <t>VGSP-330_111,000_ES_CL5</t>
  </si>
  <si>
    <t>VGSP-330_111,000_EN_CL10</t>
  </si>
  <si>
    <t>VGSP-348_111,000_CC2</t>
  </si>
  <si>
    <t>VGSP-330_111,000_ES_CL3</t>
  </si>
  <si>
    <t>VGSP-330_111,000_EN_CL1</t>
  </si>
  <si>
    <t>VGSP-330_111,000_CC2</t>
  </si>
  <si>
    <t>VGSP-330_111,000_ES_CL2</t>
  </si>
  <si>
    <t>VGSP-330_111,000_ES_CL4</t>
  </si>
  <si>
    <t>VGSP-330_111,000_ES_CL7</t>
  </si>
  <si>
    <t>VGSP-330_111,000_ES_CL6</t>
  </si>
  <si>
    <t>VGSP-330_111,000_EN_CL3</t>
  </si>
  <si>
    <t>VGSP-330_111,000_CC1</t>
  </si>
  <si>
    <t>VGSP-330_111,000_CC3</t>
  </si>
  <si>
    <t>VGSP-330_111,000_CC4</t>
  </si>
  <si>
    <t>VGSP-330_111,000_EN_CL2</t>
  </si>
  <si>
    <t>VGSP-348_111,000_EN_CL2</t>
  </si>
  <si>
    <t>VGSP-330_111,000_EN_CL8</t>
  </si>
  <si>
    <t>VGSP-348_111,000_CC1</t>
  </si>
  <si>
    <t>VGSP-330_111,000_EN_CL6</t>
  </si>
  <si>
    <t>VGSP-348_111,000_ES_CL1</t>
  </si>
  <si>
    <t>VGSP-348_111,000_ES_CL2</t>
  </si>
  <si>
    <t>VGSP-330_111,000_ES_CL10</t>
  </si>
  <si>
    <t>VGSP-330_111,000_ES_CL9</t>
  </si>
  <si>
    <t>VGSP-330_111,000_ES_CL1</t>
  </si>
  <si>
    <t>VGSP-330_111,000_ES_CL8</t>
  </si>
  <si>
    <t>VGSP-330_111,000_EN_CL9</t>
  </si>
  <si>
    <t>VGSP-330_111,000_EN_CL7</t>
  </si>
  <si>
    <t>VGSP-330_111,000_EN_CL4</t>
  </si>
  <si>
    <t>VGSP-330_111,000_EN_CL5</t>
  </si>
  <si>
    <t>VGSP-348_111,000_EN_CL1</t>
  </si>
  <si>
    <t>VGSP-348_112,000_CC3</t>
  </si>
  <si>
    <t>112,000</t>
  </si>
  <si>
    <t>112,500</t>
  </si>
  <si>
    <t>VGSP-330_112,000_ES_CL7</t>
  </si>
  <si>
    <t>VGSP-330_112,000_ES_CL2</t>
  </si>
  <si>
    <t>VGSP-330_112,000_EN_CL8</t>
  </si>
  <si>
    <t>VGSP-330_112,000_ES_CL3</t>
  </si>
  <si>
    <t>VGSP-330_112,000_ES_CL6</t>
  </si>
  <si>
    <t>VGSP-330_112,000_EN_CL5</t>
  </si>
  <si>
    <t>VGSP-330_112,000_ES_CL5</t>
  </si>
  <si>
    <t>VGSP-330_112,000_EN_CL3</t>
  </si>
  <si>
    <t>VGSP-330_112,000_EN_CL2</t>
  </si>
  <si>
    <t>VGSP-330_112,000_ES_CL4</t>
  </si>
  <si>
    <t>VGSP-330_112,000_ES_CL14</t>
  </si>
  <si>
    <t>VGSP-330_112,000_ES_CL1</t>
  </si>
  <si>
    <t>VGSP-348_112,000_CC2</t>
  </si>
  <si>
    <t>VGSP-330_112,000_CC1</t>
  </si>
  <si>
    <t>VGSP-330_112,000_EN_CL6</t>
  </si>
  <si>
    <t>VGSP-330_112,000_ES_CL15</t>
  </si>
  <si>
    <t>VGSP-330_112,000_ES_CL12</t>
  </si>
  <si>
    <t>VGSP-330_112,000_CC3</t>
  </si>
  <si>
    <t>VGSP-348_112,000_ES_CL1</t>
  </si>
  <si>
    <t>VGSP-330_112,000_ES_CL16</t>
  </si>
  <si>
    <t>VGSP-330_112,000_ES_CL13</t>
  </si>
  <si>
    <t>VGSP-330_112,000_EN_CL4</t>
  </si>
  <si>
    <t>VGSP-330_112,000_EN_CL1</t>
  </si>
  <si>
    <t>VGSP-330_112,000_ES_CL11</t>
  </si>
  <si>
    <t>VGSP-330_112,000_ES_CL8</t>
  </si>
  <si>
    <t>VGSP-348_112,000_EN_CL2</t>
  </si>
  <si>
    <t>VGSP-330_112,000_EN_CL7</t>
  </si>
  <si>
    <t>VGSP-330_112,000_ES_CL10</t>
  </si>
  <si>
    <t>VGSP-348_112,000_CC1</t>
  </si>
  <si>
    <t>VGSP-348_112,000_ES_CL2</t>
  </si>
  <si>
    <t>VGSP-348_112,000_EN_CL1</t>
  </si>
  <si>
    <t>VGSP-348_112,000_EN_CL4</t>
  </si>
  <si>
    <t>VGSP-330_112,000_CC2</t>
  </si>
  <si>
    <t>VGSP-348_112,000_ES_CL3</t>
  </si>
  <si>
    <t>VGSP-348_112,000_EN_CL3</t>
  </si>
  <si>
    <t>VGSP-330_112,000_ES_CL9</t>
  </si>
  <si>
    <t>VGSP-348_113,000_EN_CL1</t>
  </si>
  <si>
    <t>113,000</t>
  </si>
  <si>
    <t>113,500</t>
  </si>
  <si>
    <t>VGSP-348_113,000_CC1</t>
  </si>
  <si>
    <t>VGSP-330_113,000_CC5</t>
  </si>
  <si>
    <t>VGSP-330_113,000_EN_CL12</t>
  </si>
  <si>
    <t>VGSP-330_113,000_EN_CL2</t>
  </si>
  <si>
    <t>VGSP-330_113,000_ES_CL2</t>
  </si>
  <si>
    <t>VGSP-330_113,000_CC1</t>
  </si>
  <si>
    <t>VGSP-330_113,000_ES_CL4</t>
  </si>
  <si>
    <t>VGSP-330_113,000_ES_CL6</t>
  </si>
  <si>
    <t>VGSP-330_113,000_EN_CL5</t>
  </si>
  <si>
    <t>VGSP-330_113,000_EN_CL15</t>
  </si>
  <si>
    <t>VGSP-348_113,000_EN_CL2</t>
  </si>
  <si>
    <t>VGSP-330_113,000_EN_CL9</t>
  </si>
  <si>
    <t>VGSP-330_113,000_EN_CL1</t>
  </si>
  <si>
    <t>VGSP-330_113,000_CC3</t>
  </si>
  <si>
    <t>VGSP-330_113,000_CC2</t>
  </si>
  <si>
    <t>VGSP-330_113,000_CC7</t>
  </si>
  <si>
    <t>VGSP-330_113,000_CC6</t>
  </si>
  <si>
    <t>VGSP-330_113,000_CC4</t>
  </si>
  <si>
    <t>VGSP-348_113,000_CC2</t>
  </si>
  <si>
    <t>VGSP-330_113,000_EN_CL4</t>
  </si>
  <si>
    <t>VGSP-330_113,000_EN_CL3</t>
  </si>
  <si>
    <t>VGSP-330_113,000_ES_CL1</t>
  </si>
  <si>
    <t>VGSP-330_113,000_ES_CL5</t>
  </si>
  <si>
    <t>VGSP-330_113,000_EN_CL7</t>
  </si>
  <si>
    <t>VGSP-330_113,000_EN_CL10</t>
  </si>
  <si>
    <t>VGSP-330_113,000_EN_CL14</t>
  </si>
  <si>
    <t>VGSP-348_113,000_ES_CL2</t>
  </si>
  <si>
    <t>VGSP-330_113,000_EN_CL6</t>
  </si>
  <si>
    <t>VGSP-330_113,000_EN_CL13</t>
  </si>
  <si>
    <t>VGSP-330_113,000_EN_CL11</t>
  </si>
  <si>
    <t>VGSP-330_113,000_EN_CL8</t>
  </si>
  <si>
    <t>VGSP-348_113,000_ES_CL1</t>
  </si>
  <si>
    <t>VGSP-330_113,000_ES_CL3</t>
  </si>
  <si>
    <t>VGSP-348_114,000_EN_CL3</t>
  </si>
  <si>
    <t>114,000</t>
  </si>
  <si>
    <t>114,500</t>
  </si>
  <si>
    <t>VGSP-330_114,000_ES_CL2</t>
  </si>
  <si>
    <t>VGSP-348_114,000_CC3</t>
  </si>
  <si>
    <t>VGSP-348_114,000_ES_CL4</t>
  </si>
  <si>
    <t>VGSP-348_114,000_ES_CL1</t>
  </si>
  <si>
    <t>VGSP-348_114,000_ES_CL2</t>
  </si>
  <si>
    <t>VGSP-330_114,000_EN_CL2</t>
  </si>
  <si>
    <t>VGSP-330_114,000_CC4</t>
  </si>
  <si>
    <t>VGSP-348_114,000_ES_CL3</t>
  </si>
  <si>
    <t>VGSP-330_114,000_ES_CL4</t>
  </si>
  <si>
    <t>VGSP-330_114,000_ES_CL1</t>
  </si>
  <si>
    <t>VGSP-330_114,000_CC1</t>
  </si>
  <si>
    <t>VGSP-330_114,000_EN_CL1</t>
  </si>
  <si>
    <t>VGSP-330_114,000_CC3</t>
  </si>
  <si>
    <t>VGSP-348_114,000_CC1</t>
  </si>
  <si>
    <t>VGSP-348_114,000_CC2</t>
  </si>
  <si>
    <t>VGSP-330_114,000_CC2</t>
  </si>
  <si>
    <t>VGSP-348_114,000_EN_CL4</t>
  </si>
  <si>
    <t>VGSP-348_114,000_EN_CL2</t>
  </si>
  <si>
    <t>VGSP-348_114,000_EN_CL1</t>
  </si>
  <si>
    <t>VGSP-330_114,000_ES_CL5</t>
  </si>
  <si>
    <t>VGSP-348_114,000_EN_CL5</t>
  </si>
  <si>
    <t>VGSP-330_114,000_ES_CL6</t>
  </si>
  <si>
    <t>VGSP-330_114,000_ES_CL3</t>
  </si>
  <si>
    <t>VGSP-348_114,000_EN_CL6</t>
  </si>
  <si>
    <t>VGSP-330_115,000_ES_CL5</t>
  </si>
  <si>
    <t>115,000</t>
  </si>
  <si>
    <t>115,500</t>
  </si>
  <si>
    <t>VGSP-348_115,000_EN_CL6</t>
  </si>
  <si>
    <t>VGSP-330_115,000_EN_CL2</t>
  </si>
  <si>
    <t>VGSP-330_115,000_CC3</t>
  </si>
  <si>
    <t>VGSP-330_115,000_CC1</t>
  </si>
  <si>
    <t>VGSP-348_115,000_ES_CL8</t>
  </si>
  <si>
    <t>VGSP-330_115,000_EN_CL3</t>
  </si>
  <si>
    <t>VGSP-330_115,000_CC2</t>
  </si>
  <si>
    <t>VGSP-330_115,000_ES_CL6</t>
  </si>
  <si>
    <t>VGSP-330_115,000_EN_CL1</t>
  </si>
  <si>
    <t>VGSP-330_115,000_EN_CL8</t>
  </si>
  <si>
    <t>VGSP-330_115,000_ES_CL2</t>
  </si>
  <si>
    <t>VGSP-348_115,000_ES_CL7</t>
  </si>
  <si>
    <t>VGSP-348_115,000_ES_CL5</t>
  </si>
  <si>
    <t>VGSP-348_115,000_EN_CL5</t>
  </si>
  <si>
    <t>VGSP-348_115,000_ES_CL6</t>
  </si>
  <si>
    <t>VGSP-348_115,000_CC1</t>
  </si>
  <si>
    <t>VGSP-348_115,000_ES_CL2</t>
  </si>
  <si>
    <t>VGSP-348_115,000_ES_CL1</t>
  </si>
  <si>
    <t>VGSP-330_115,000_EN_CL7</t>
  </si>
  <si>
    <t>VGSP-330_115,000_ES_CL1</t>
  </si>
  <si>
    <t>VGSP-330_115,000_CC4</t>
  </si>
  <si>
    <t>VGSP-348_115,000_ES_CL4</t>
  </si>
  <si>
    <t>VGSP-330_115,000_CC5</t>
  </si>
  <si>
    <t>VGSP-330_115,000_ES_CL4</t>
  </si>
  <si>
    <t>VGSP-348_115,000_ES_CL9</t>
  </si>
  <si>
    <t>VGSP-348_115,000_EN_CL8</t>
  </si>
  <si>
    <t>VGSP-330_115,000_EN_CL4</t>
  </si>
  <si>
    <t>VGSP-348_115,000_EN_CL1</t>
  </si>
  <si>
    <t>VGSP-348_115,000_EN_CL2</t>
  </si>
  <si>
    <t>VGSP-330_115,000_EN_CL5</t>
  </si>
  <si>
    <t>VGSP-330_115,000_EN_CL6</t>
  </si>
  <si>
    <t>VGSP-348_115,000_EN_CL3</t>
  </si>
  <si>
    <t>VGSP-348_115,000_ES_CL3</t>
  </si>
  <si>
    <t>VGSP-348_115,000_EN_CL4</t>
  </si>
  <si>
    <t>VGSP-348_115,000_EN_CL9</t>
  </si>
  <si>
    <t>VGSP-330_115,000_ES_CL3</t>
  </si>
  <si>
    <t>VGSP-348_115,000_EN_CL7</t>
  </si>
  <si>
    <t>VGSP-348_115,000_CC3</t>
  </si>
  <si>
    <t>VGSP-348_115,000_CC2</t>
  </si>
  <si>
    <t>VGSP-330_115,000_EN_CL9</t>
  </si>
  <si>
    <t>VGSP-348_116,000_CC2</t>
  </si>
  <si>
    <t>116,000</t>
  </si>
  <si>
    <t>116,500</t>
  </si>
  <si>
    <t>VGSP-330_116,000_EN_CL1</t>
  </si>
  <si>
    <t>VGSP-330_116,000_EN_CL2</t>
  </si>
  <si>
    <t>VGSP-330_116,000_EN_CL3</t>
  </si>
  <si>
    <t>VGSP-330_116,000_ES_CL3</t>
  </si>
  <si>
    <t>VGSP-330_116,000_ES_CL2</t>
  </si>
  <si>
    <t>VGSP-330_116,000_ES_CL1</t>
  </si>
  <si>
    <t>VGSP-330_116,000_CC1</t>
  </si>
  <si>
    <t>VGSP-330_116,000_CC2</t>
  </si>
  <si>
    <t>VGSP-348_116,000_ES_CL2</t>
  </si>
  <si>
    <t>VGSP-348_116,000_ES_CL1</t>
  </si>
  <si>
    <t>VGSP-348_116,000_EN_CL2</t>
  </si>
  <si>
    <t>VGSP-348_116,000_ES_CL3</t>
  </si>
  <si>
    <t>VGSP-348_116,000_EN_CL1</t>
  </si>
  <si>
    <t>VGSP-348_116,000_CC1</t>
  </si>
  <si>
    <t>VGSP-348_117,000_ES_CL2</t>
  </si>
  <si>
    <t>117,000</t>
  </si>
  <si>
    <t>117,500</t>
  </si>
  <si>
    <t>VGSP-348_117,000_ES_CL5</t>
  </si>
  <si>
    <t>VGSP-348_117,000_ES_CL4</t>
  </si>
  <si>
    <t>VGSP-348_117,000_CC1</t>
  </si>
  <si>
    <t>VGSP-348_117,000_CC2</t>
  </si>
  <si>
    <t>VGSP-330_117,000_CC</t>
  </si>
  <si>
    <t>VGSP-330_117,000_EN_CL2</t>
  </si>
  <si>
    <t>VGSP-348_117,000_ES_CL6</t>
  </si>
  <si>
    <t>VGSP-348_117,000_EN_CL1</t>
  </si>
  <si>
    <t>VGSP-348_117,000_EN_CL5</t>
  </si>
  <si>
    <t>VGSP-348_117,000_EN_CL2</t>
  </si>
  <si>
    <t>VGSP-330_117,000_EN_CL5</t>
  </si>
  <si>
    <t>VGSP-348_117,000_EN_CL3</t>
  </si>
  <si>
    <t>VGSP-330_117,000_EN_CL6</t>
  </si>
  <si>
    <t>VGSP-330_117,000_EN_CL1</t>
  </si>
  <si>
    <t>VGSP-330_117,000_EN_CL3</t>
  </si>
  <si>
    <t>VGSP-330_117,000_EN_CL4</t>
  </si>
  <si>
    <t>VGSP-330_117,000_ES_CL4</t>
  </si>
  <si>
    <t>VGSP-330_117,000_ES_CL3</t>
  </si>
  <si>
    <t>VGSP-330_117,000_ES_CL1</t>
  </si>
  <si>
    <t>VGSP-330_117,000_ES_CL2</t>
  </si>
  <si>
    <t>VGSP-348_117,000_ES_CL3</t>
  </si>
  <si>
    <t>VGSP-348_117,000_ES_CL1</t>
  </si>
  <si>
    <t>VGSP-348_117,000_ES_CL7</t>
  </si>
  <si>
    <t>VGSP-348_117,000_EN_CL4</t>
  </si>
  <si>
    <t>VGSP-348_118,000_ES_CL1</t>
  </si>
  <si>
    <t>118,000</t>
  </si>
  <si>
    <t>118,500</t>
  </si>
  <si>
    <t>VGSP-330_118,000_ES_CL3</t>
  </si>
  <si>
    <t>VGSP-348_118,000_EN_CL6</t>
  </si>
  <si>
    <t>VGSP-330_118,000_ES_CL4</t>
  </si>
  <si>
    <t>VGSP-330_118,000_EN_CL2</t>
  </si>
  <si>
    <t>VGSP-330_118,000_EN_CL1</t>
  </si>
  <si>
    <t>VGSP-348_118,000_ES_CL5</t>
  </si>
  <si>
    <t>VGSP-348_118,000_EN_CL2</t>
  </si>
  <si>
    <t>VGSP-330_118,000_CC</t>
  </si>
  <si>
    <t>VGSP-348_118,000_EN_CL3</t>
  </si>
  <si>
    <t>VGSP-348_118,000_ES_CL4</t>
  </si>
  <si>
    <t>VGSP-348_118,000_ES_CL3</t>
  </si>
  <si>
    <t>VGSP-348_118,000_ES_CL6</t>
  </si>
  <si>
    <t>VGSP-348_118,000_CC2</t>
  </si>
  <si>
    <t>VGSP-348_118,000_ES_CL2</t>
  </si>
  <si>
    <t>VGSP-330_118,000_ES_CL2</t>
  </si>
  <si>
    <t>VGSP-330_118,000_ES_CL1</t>
  </si>
  <si>
    <t>VGSP-348_118,000_EN_CL4</t>
  </si>
  <si>
    <t>VGSP-348_118,000_CC1</t>
  </si>
  <si>
    <t>VGSP-348_118,000_EN_CL1</t>
  </si>
  <si>
    <t>VGSP-348_118,000_EN_CL5</t>
  </si>
  <si>
    <t>VGSP-348_119,000_ES_CL1</t>
  </si>
  <si>
    <t>119,000</t>
  </si>
  <si>
    <t>119,500</t>
  </si>
  <si>
    <t>VGSP-348_119,000_ES_CL5</t>
  </si>
  <si>
    <t>VGSP-348_119,000_ES_CL2</t>
  </si>
  <si>
    <t>VGSP-330_119,000_EN_CL3</t>
  </si>
  <si>
    <t>VGSP-330_119,000_ES_CL5</t>
  </si>
  <si>
    <t>VGSP-330_119,000_ES_CL6</t>
  </si>
  <si>
    <t>VGSP-348_119,000_EN_CL1</t>
  </si>
  <si>
    <t>VGSP-330_119,000_ES_CL4</t>
  </si>
  <si>
    <t>VGSP-330_119,000_EN_CL1</t>
  </si>
  <si>
    <t>VGSP-330_119,000_EN_CL7</t>
  </si>
  <si>
    <t>VGSP-330_119,000_EN_CL4</t>
  </si>
  <si>
    <t>VGSP-330_119,000_ES_CL1</t>
  </si>
  <si>
    <t>VGSP-330_119,000_ES_CL11</t>
  </si>
  <si>
    <t>VGSP-348_119,000_CC2</t>
  </si>
  <si>
    <t>VGSP-348_119,000_EN_CL3</t>
  </si>
  <si>
    <t>VGSP-330_119,000_ES_CL2</t>
  </si>
  <si>
    <t>VGSP-348_119,000_EN_CL2</t>
  </si>
  <si>
    <t>VGSP-330_119,000_ES_CL3</t>
  </si>
  <si>
    <t>VGSP-330_119,000_EN_CL2</t>
  </si>
  <si>
    <t>VGSP-348_119,000_ES_CL3</t>
  </si>
  <si>
    <t>VGSP-330_119,000_EN_CL5</t>
  </si>
  <si>
    <t>VGSP-330_119,000_EN_CL6</t>
  </si>
  <si>
    <t>VGSP-330_119,000_ES_CL7</t>
  </si>
  <si>
    <t>VGSP-330_119,000_ES_CL10</t>
  </si>
  <si>
    <t>VGSP-330_119,000_ES_CL8</t>
  </si>
  <si>
    <t>VGSP-348_119,000_CC3</t>
  </si>
  <si>
    <t>VGSP-330_119,000_ES_CL9</t>
  </si>
  <si>
    <t>VGSP-348_119,000_CC1</t>
  </si>
  <si>
    <t>VGSP-348_119,000_ES_CL4</t>
  </si>
  <si>
    <t>VGSP-348_120,000_CC2</t>
  </si>
  <si>
    <t>120,000</t>
  </si>
  <si>
    <t>120,500</t>
  </si>
  <si>
    <t>VGSP-330_120,000_CC2</t>
  </si>
  <si>
    <t>VGSP-330_120,000_CC3</t>
  </si>
  <si>
    <t>VGSP-330_120,000_EN_CL8</t>
  </si>
  <si>
    <t>VGSP-330_120,000_CC1</t>
  </si>
  <si>
    <t>VGSP-330_120,000_CC6</t>
  </si>
  <si>
    <t>VGSP-348_120,000_EN_CL2</t>
  </si>
  <si>
    <t>Trator 4.7m, Trator com braço articulado</t>
  </si>
  <si>
    <t>VGSP-348_120,000_ES_CL1</t>
  </si>
  <si>
    <t>VGSP-330_120,000_EN_CL6</t>
  </si>
  <si>
    <t>VGSP-330_120,000_EN_CL2</t>
  </si>
  <si>
    <t>VGSP-330_120,000_EN_CL5</t>
  </si>
  <si>
    <t>VGSP-348_120,000_ES_CL2</t>
  </si>
  <si>
    <t>VGSP-348_120,000_EN_CL1</t>
  </si>
  <si>
    <t>VGSP-348_120,000_CC1</t>
  </si>
  <si>
    <t>VGSP-330_120,000_ES_CL4</t>
  </si>
  <si>
    <t>VGSP-330_120,000_ES_CL5</t>
  </si>
  <si>
    <t>VGSP-330_120,000_EN_CL1</t>
  </si>
  <si>
    <t>VGSP-330_120,000_ES_CL3</t>
  </si>
  <si>
    <t>VGSP-330_120,000_CC5</t>
  </si>
  <si>
    <t>VGSP-330_120,000_ES_CL1</t>
  </si>
  <si>
    <t>VGSP-330_120,000_ES_CL2</t>
  </si>
  <si>
    <t>VGSP-330_120,000_EN_CL7</t>
  </si>
  <si>
    <t>VGSP-330_120,000_ES_CL6</t>
  </si>
  <si>
    <t>VGSP-330_120,000_EN_CL4</t>
  </si>
  <si>
    <t>VGSP-330_120,000_EN_CL3</t>
  </si>
  <si>
    <t>VGSP-330_120,000_CC4</t>
  </si>
  <si>
    <t>VGSP-330_121,000_ES_CL1</t>
  </si>
  <si>
    <t>121,000</t>
  </si>
  <si>
    <t>121,500</t>
  </si>
  <si>
    <t>VGSP-330_121,000_EN_CL6</t>
  </si>
  <si>
    <t>VGSP-330_121,000_EN_CL4</t>
  </si>
  <si>
    <t>VGSP-348_121,000_ES_CL1</t>
  </si>
  <si>
    <t>VGSP-330_121,000_EN_CL5</t>
  </si>
  <si>
    <t>VGSP-348_121,000_EN_CL1</t>
  </si>
  <si>
    <t>VGSP-348_121,000_EN_CL2</t>
  </si>
  <si>
    <t>VGSP-330_121,000_ES_CL3</t>
  </si>
  <si>
    <t>VGSP-330_121,000_ES_CL4</t>
  </si>
  <si>
    <t>VGSP-330_121,000_ES_CL5</t>
  </si>
  <si>
    <t>VGSP-348_121,000_ES_CL2</t>
  </si>
  <si>
    <t>VGSP-330_121,000_EN_CL1</t>
  </si>
  <si>
    <t>VGSP-348_121,000_CC2</t>
  </si>
  <si>
    <t>VGSP-348_121,000_CC1</t>
  </si>
  <si>
    <t>VGSP-330_121,000_EN_CL7</t>
  </si>
  <si>
    <t>VGSP-330_121,000_EN_CL2</t>
  </si>
  <si>
    <t>VGSP-330_121,000_ES_CL2</t>
  </si>
  <si>
    <t>VGSP-330_121,000_EN_CL3</t>
  </si>
  <si>
    <t>VGSP-348_122,000_EN_CL4</t>
  </si>
  <si>
    <t>122,000</t>
  </si>
  <si>
    <t>122,500</t>
  </si>
  <si>
    <t>VGSP-330_122,000_ES_CL1</t>
  </si>
  <si>
    <t>VGSP-348_122,000_EN_CL2</t>
  </si>
  <si>
    <t>VGSP-348_122,000_CC3</t>
  </si>
  <si>
    <t>VGSP-348_122,000_ES_CL2</t>
  </si>
  <si>
    <t>VGSP-348_122,000_ES_CL1</t>
  </si>
  <si>
    <t>VGSP-330_122,000_ES_CL2</t>
  </si>
  <si>
    <t>VGSP-348_122,000_EN_CL1</t>
  </si>
  <si>
    <t>VGSP-330_122,000_EN_CL2</t>
  </si>
  <si>
    <t>VGSP-348_122,000_ES_CL3</t>
  </si>
  <si>
    <t>VGSP-330_122,000_EN_CL1</t>
  </si>
  <si>
    <t>VGSP-348_122,000_CC1</t>
  </si>
  <si>
    <t>VGSP-348_122,000_CC2</t>
  </si>
  <si>
    <t>VGSP-348_122,000_ES_CL4</t>
  </si>
  <si>
    <t>VGSP-348_122,000_EN_CL3</t>
  </si>
  <si>
    <t>VGSP-330_123,000_EN_CL1</t>
  </si>
  <si>
    <t>123,000</t>
  </si>
  <si>
    <t>123,500</t>
  </si>
  <si>
    <t>VGSP-330_123,000_EN_CL3</t>
  </si>
  <si>
    <t>VGSP-348_123,000_ES_CL1</t>
  </si>
  <si>
    <t>VGSP-330_123,000_EN_CL8</t>
  </si>
  <si>
    <t>VGSP-348_123,000_CC1</t>
  </si>
  <si>
    <t>VGSP-348_123,000_CC2</t>
  </si>
  <si>
    <t>VGSP-330_123,000_EN_CL7</t>
  </si>
  <si>
    <t>VGSP-330_123,000_EN_CL5</t>
  </si>
  <si>
    <t>VGSP-348_123,000_EN_CL2</t>
  </si>
  <si>
    <t>VGSP-330_123,000_EN_CL4</t>
  </si>
  <si>
    <t>VGSP-330_123,000_EN_CL6</t>
  </si>
  <si>
    <t>VGSP-348_123,000_ES_CL2</t>
  </si>
  <si>
    <t>VGSP-330_123,000_ES_CL1</t>
  </si>
  <si>
    <t>VGSP-348_123,000_EN_CL1</t>
  </si>
  <si>
    <t>VGSP-330_123,000_EN_CL2</t>
  </si>
  <si>
    <t>VGSP-330_123,000_ES_CL2</t>
  </si>
  <si>
    <t>VGSP-330_124,000_EN_CL4</t>
  </si>
  <si>
    <t>124,000</t>
  </si>
  <si>
    <t>124,500</t>
  </si>
  <si>
    <t>VGSP-330_124,000_EN_CL2</t>
  </si>
  <si>
    <t>VGSP-330_124,000_EN_CL1</t>
  </si>
  <si>
    <t>VGSP-330_124,000_ES_CL2</t>
  </si>
  <si>
    <t>VGSP-330_124,000_ES_CL7</t>
  </si>
  <si>
    <t>VGSP-348_124,000_EN_CL3</t>
  </si>
  <si>
    <t>VGSP-348_124,000_EN_CL2</t>
  </si>
  <si>
    <t>VGSP-348_124,000_ES_CL1</t>
  </si>
  <si>
    <t>VGSP-330_124,000_EN_CL3</t>
  </si>
  <si>
    <t>VGSP-330_124,000_EN_CL5</t>
  </si>
  <si>
    <t>VGSP-348_124,000_CC1</t>
  </si>
  <si>
    <t>VGSP-348_124,000_CC2</t>
  </si>
  <si>
    <t>VGSP-330_124,000_ES_CL3</t>
  </si>
  <si>
    <t>VGSP-330_124,000_ES_CL5</t>
  </si>
  <si>
    <t>VGSP-348_124,000_ES_CL2</t>
  </si>
  <si>
    <t>VGSP-330_124,000_ES_CL4</t>
  </si>
  <si>
    <t>VGSP-330_124,000_ES_CL1</t>
  </si>
  <si>
    <t>VGSP-330_124,000_ES_CL6</t>
  </si>
  <si>
    <t>VGSP-348_124,000_EN_CL1</t>
  </si>
  <si>
    <t>VGSP-330_125,000_ES_CL4</t>
  </si>
  <si>
    <t>125,000</t>
  </si>
  <si>
    <t>125,500</t>
  </si>
  <si>
    <t>VGSP-330_125,000_ES_CL3</t>
  </si>
  <si>
    <t>VGSP-330_125,000_EN_CL5</t>
  </si>
  <si>
    <t>VGSP-330_125,000_EN_CL2</t>
  </si>
  <si>
    <t>VGSP-348_125,000_ES_CL1</t>
  </si>
  <si>
    <t>VGSP-330_125,000_EN_CL7</t>
  </si>
  <si>
    <t>VGSP-330_125,000_ES_CL5</t>
  </si>
  <si>
    <t>VGSP-348_125,000_EN_CL2</t>
  </si>
  <si>
    <t>VGSP-348_125,000_ES_CL2</t>
  </si>
  <si>
    <t>VGSP-330_125,000_CC4</t>
  </si>
  <si>
    <t>VGSP-330_125,000_CC3</t>
  </si>
  <si>
    <t>VGSP-330_125,000_CC1</t>
  </si>
  <si>
    <t>VGSP-348_125,000_ES_CL3</t>
  </si>
  <si>
    <t>VGSP-330_125,000_CC2</t>
  </si>
  <si>
    <t>VGSP-330_125,000_EN_CL1</t>
  </si>
  <si>
    <t>VGSP-348_125,000_EN_CL4</t>
  </si>
  <si>
    <t>VGSP-330_125,000_ES_CL2</t>
  </si>
  <si>
    <t>VGSP-330_125,000_EN_CL3</t>
  </si>
  <si>
    <t>VGSP-330_125,000_EN_CL6</t>
  </si>
  <si>
    <t>VGSP-348_125,000_EN_CL3</t>
  </si>
  <si>
    <t>VGSP-348_125,000_CC1</t>
  </si>
  <si>
    <t>VGSP-348_125,000_EN_CL1</t>
  </si>
  <si>
    <t>VGSP-348_125,000_CC2</t>
  </si>
  <si>
    <t>VGSP-330_125,000_ES_CL1</t>
  </si>
  <si>
    <t>VGSP-330_125,000_EN_CL4</t>
  </si>
  <si>
    <t>VGSP-348_125,000_ES_CL4</t>
  </si>
  <si>
    <t>VGSP-348_126,000_ES_CL2</t>
  </si>
  <si>
    <t>126,000</t>
  </si>
  <si>
    <t>126,500</t>
  </si>
  <si>
    <t>VGSP-348_126,000_ES_CL1</t>
  </si>
  <si>
    <t>VGSP-330_126,000_EN_CL5</t>
  </si>
  <si>
    <t>VGSP-330_126,000_EN_CL4</t>
  </si>
  <si>
    <t>VGSP-348_126,000_ES_CL3</t>
  </si>
  <si>
    <t>VGSP-330_126,000_ES_CL2</t>
  </si>
  <si>
    <t>VGSP-330_126,000_EN_CL2</t>
  </si>
  <si>
    <t>VGSP-348_126,000_EN_CL1</t>
  </si>
  <si>
    <t>VGSP-330_126,000_ES_CL4</t>
  </si>
  <si>
    <t>VGSP-330_126,000_ES_CL1</t>
  </si>
  <si>
    <t>VGSP-330_126,000_ES_CL3</t>
  </si>
  <si>
    <t>VGSP-330_126,000_ES_CL6</t>
  </si>
  <si>
    <t>VGSP-348_126,000_EN_CL2</t>
  </si>
  <si>
    <t>VGSP-330_126,000_EN_CL3</t>
  </si>
  <si>
    <t>VGSP-330_126,000_ES_CL7</t>
  </si>
  <si>
    <t>VGSP-330_126,000_CC2</t>
  </si>
  <si>
    <t>VGSP-330_126,000_ES_CL5</t>
  </si>
  <si>
    <t>VGSP-348_126,000_CC1</t>
  </si>
  <si>
    <t>VGSP-348_126,000_EN_CL3</t>
  </si>
  <si>
    <t>VGSP-348_126,000_CC2</t>
  </si>
  <si>
    <t>VGSP-330_126,000_CC1</t>
  </si>
  <si>
    <t>VGSP-330_126,000_EN_CL1</t>
  </si>
  <si>
    <t>VGSP-330_126,000_CC4</t>
  </si>
  <si>
    <t>VGSP-330_126,000_CC3</t>
  </si>
  <si>
    <t>VGSP-348_127,000_ES_CL4</t>
  </si>
  <si>
    <t>127,000</t>
  </si>
  <si>
    <t>127,500</t>
  </si>
  <si>
    <t>VGSP-348_127,000_ES_CL1</t>
  </si>
  <si>
    <t>VGSP-348_127,000_ES_CL3</t>
  </si>
  <si>
    <t>VGSP-330_127,000_ES_CL4</t>
  </si>
  <si>
    <t>VGSP-330_127,000_ES_CL2</t>
  </si>
  <si>
    <t>VGSP-330_127,000_ES_CL3</t>
  </si>
  <si>
    <t>VGSP-348_127,000_EN_CL2</t>
  </si>
  <si>
    <t>VGSP-348_127,000_EN_CL1</t>
  </si>
  <si>
    <t>VGSP-348_127,000_CC2</t>
  </si>
  <si>
    <t>VGSP-330_127,000_CC</t>
  </si>
  <si>
    <t>VGSP-330_127,000_EN_CL2</t>
  </si>
  <si>
    <t>VGSP-348_127,000_CC1</t>
  </si>
  <si>
    <t>VGSP-348_127,000_EN_CL4</t>
  </si>
  <si>
    <t>VGSP-348_127,000_EN_CL5</t>
  </si>
  <si>
    <t>VGSP-348_127,000_ES_CL2</t>
  </si>
  <si>
    <t>VGSP-348_127,000_EN_CL3</t>
  </si>
  <si>
    <t>VGSP-330_127,000_ES_CL5</t>
  </si>
  <si>
    <t>VGSP-330_127,000_EN_CL1</t>
  </si>
  <si>
    <t>VGSP-330_127,000_ES_CL1</t>
  </si>
  <si>
    <t>VGSP-330_128,000_EN_CL5</t>
  </si>
  <si>
    <t>128,000</t>
  </si>
  <si>
    <t>128,500</t>
  </si>
  <si>
    <t>VGSP-330_128,000_ES_CL3</t>
  </si>
  <si>
    <t>VGSP-330_128,000_EN_CL6</t>
  </si>
  <si>
    <t>VGSP-348_128,000_EN_CL3</t>
  </si>
  <si>
    <t>VGSP-348_128,000_ES_CL1</t>
  </si>
  <si>
    <t>VGSP-348_128,000_CC1</t>
  </si>
  <si>
    <t>VGSP-330_128,000_EN_CL8</t>
  </si>
  <si>
    <t>VGSP-330_128,000_EN_CL7</t>
  </si>
  <si>
    <t>VGSP-330_128,000_ES_CL6</t>
  </si>
  <si>
    <t>VGSP-330_128,000_EN_CL4</t>
  </si>
  <si>
    <t>VGSP-348_128,000_CC3</t>
  </si>
  <si>
    <t>VGSP-330_128,000_ES_CL1</t>
  </si>
  <si>
    <t>VGSP-330_128,000_ES_CL2</t>
  </si>
  <si>
    <t>VGSP-330_128,000_ES_CL4</t>
  </si>
  <si>
    <t>VGSP-330_128,000_ES_CL5</t>
  </si>
  <si>
    <t>VGSP-330_128,000_ES_CL7</t>
  </si>
  <si>
    <t>VGSP-330_128,000_ES_CL9</t>
  </si>
  <si>
    <t>VGSP-330_128,000_ES_CL8</t>
  </si>
  <si>
    <t>VGSP-348_128,000_CC2</t>
  </si>
  <si>
    <t>VGSP-330_128,000_EN_CL1</t>
  </si>
  <si>
    <t>VGSP-330_128,000_CC</t>
  </si>
  <si>
    <t>VGSP-348_128,000_EN_CL2</t>
  </si>
  <si>
    <t>VGSP-348_128,000_EN_CL1</t>
  </si>
  <si>
    <t>VGSP-348_128,000_ES_CL3</t>
  </si>
  <si>
    <t>VGSP-348_128,000_ES_CL2</t>
  </si>
  <si>
    <t>VGSP-330_128,000_EN_CL3</t>
  </si>
  <si>
    <t>VGSP-330_128,000_EN_CL2</t>
  </si>
  <si>
    <t>VGSP-330_129,000_EN_CL6</t>
  </si>
  <si>
    <t>129,000</t>
  </si>
  <si>
    <t>129,500</t>
  </si>
  <si>
    <t>VGSP-348_129,000_CC2</t>
  </si>
  <si>
    <t>VGSP-348_129,000_ES_CL1</t>
  </si>
  <si>
    <t>VGSP-348_129,000_CC1</t>
  </si>
  <si>
    <t>VGSP-348_129,000_EN_CL1</t>
  </si>
  <si>
    <t>VGSP-330_129,000_EN_CL4</t>
  </si>
  <si>
    <t>VGSP-330_129,000_EN_CL2</t>
  </si>
  <si>
    <t>VGSP-330_129,000_EN_CL1</t>
  </si>
  <si>
    <t>VGSP-330_129,000_ES_CL2</t>
  </si>
  <si>
    <t>VGSP-348_129,000_EN_CL2</t>
  </si>
  <si>
    <t>VGSP-330_129,000_EN_CL3</t>
  </si>
  <si>
    <t>VGSP-330_129,000_CC1</t>
  </si>
  <si>
    <t>VGSP-330_129,000_CC2</t>
  </si>
  <si>
    <t>VGSP-330_129,000_EN_CL5</t>
  </si>
  <si>
    <t>VGSP-348_129,000_ES_CL2</t>
  </si>
  <si>
    <t>VGSP-330_129,000_ES_CL1</t>
  </si>
  <si>
    <t>VGSP-330_130,000_EN_CL2</t>
  </si>
  <si>
    <t>130,000</t>
  </si>
  <si>
    <t>130,500</t>
  </si>
  <si>
    <t>VGSP-330_130,000_EN_CL1</t>
  </si>
  <si>
    <t>VGSP-330_130,000_CC3</t>
  </si>
  <si>
    <t>VGSP-348_130,000_EN_CL3</t>
  </si>
  <si>
    <t>VGSP-348_130,000_EN_CL4</t>
  </si>
  <si>
    <t>VGSP-348_130,000_ES_CL2</t>
  </si>
  <si>
    <t>VGSP-348_130,000_CC2</t>
  </si>
  <si>
    <t>VGSP-348_130,000_EN_CL2</t>
  </si>
  <si>
    <t>VGSP-330_130,000_CC4</t>
  </si>
  <si>
    <t>VGSP-330_130,000_ES_CL</t>
  </si>
  <si>
    <t>VGSP-330_130,000_CC2</t>
  </si>
  <si>
    <t>VGSP-348_130,000_EN_CL1</t>
  </si>
  <si>
    <t>VGSP-348_130,000_ES_CL1</t>
  </si>
  <si>
    <t>VGSP-330_130,000_CC1</t>
  </si>
  <si>
    <t>VGSP-330_130,000_EN_CL3</t>
  </si>
  <si>
    <t>VGSP-348_130,000_CC1</t>
  </si>
  <si>
    <t>VGSP-330_131,000_CC2</t>
  </si>
  <si>
    <t>131,000</t>
  </si>
  <si>
    <t>131,500</t>
  </si>
  <si>
    <t>VGSP-348_131,000_ES_CL2</t>
  </si>
  <si>
    <t>VGSP-348_131,000_CC3</t>
  </si>
  <si>
    <t>VGSP-348_131,000_EN_CL3</t>
  </si>
  <si>
    <t>VGSP-330_131,000_EN_CL2</t>
  </si>
  <si>
    <t>VGSP-330_131,000_ES_CL</t>
  </si>
  <si>
    <t>VGSP-348_131,000_EN_CL2</t>
  </si>
  <si>
    <t>VGSP-348_131,000_CC2</t>
  </si>
  <si>
    <t>VGSP-330_131,000_EN_CL1</t>
  </si>
  <si>
    <t>VGSP-348_131,000_ES_CL3</t>
  </si>
  <si>
    <t>VGSP-348_131,000_ES_CL1</t>
  </si>
  <si>
    <t>VGSP-348_131,000_EN_CL1</t>
  </si>
  <si>
    <t>VGSP-348_131,000_CC1</t>
  </si>
  <si>
    <t>VGSP-330_131,000_CC1</t>
  </si>
  <si>
    <t>VGSP-348_132,000_ES_CL2</t>
  </si>
  <si>
    <t>132,000</t>
  </si>
  <si>
    <t>132,500</t>
  </si>
  <si>
    <t>VGSP-330_132,000_CC1</t>
  </si>
  <si>
    <t>VGSP-330_132,000_CC2</t>
  </si>
  <si>
    <t>VGSP-348_132,000_CC2</t>
  </si>
  <si>
    <t>VGSP-330_132,000_ES_CL2</t>
  </si>
  <si>
    <t>VGSP-330_132,000_ES_CL1</t>
  </si>
  <si>
    <t>VGSP-348_132,000_EN_CL2</t>
  </si>
  <si>
    <t>VGSP-348_132,000_CC1</t>
  </si>
  <si>
    <t>VGSP-330_132,000_EN_CL2</t>
  </si>
  <si>
    <t>VGSP-348_132,000_EN_CL1</t>
  </si>
  <si>
    <t>VGSP-348_132,000_ES_CL1</t>
  </si>
  <si>
    <t>VGSP-330_132,000_EN_CL1</t>
  </si>
  <si>
    <t>VGSP-330_132,000_EN_CL3</t>
  </si>
  <si>
    <t>VGSP-330_133,000_CC1</t>
  </si>
  <si>
    <t>133,000</t>
  </si>
  <si>
    <t>133,500</t>
  </si>
  <si>
    <t>VGSP-330_133,000_ES_CL4</t>
  </si>
  <si>
    <t>VGSP-348_133,000_EN_CL2</t>
  </si>
  <si>
    <t>VGSP-330_133,000_CC2</t>
  </si>
  <si>
    <t>VGSP-348_133,000_ES_CL3</t>
  </si>
  <si>
    <t>VGSP-330_133,000_EN_CL2</t>
  </si>
  <si>
    <t>VGSP-330_133,000_EN_CL1</t>
  </si>
  <si>
    <t>VGSP-330_133,000_ES_CL2</t>
  </si>
  <si>
    <t>VGSP-348_133,000_ES_CL2</t>
  </si>
  <si>
    <t>VGSP-348_133,000_EN_CL1</t>
  </si>
  <si>
    <t>VGSP-348_133,000_ES_CL1</t>
  </si>
  <si>
    <t>VGSP-330_133,000_ES_CL1</t>
  </si>
  <si>
    <t>VGSP-348_133,000_CC2</t>
  </si>
  <si>
    <t>VGSP-330_133,000_ES_CL3</t>
  </si>
  <si>
    <t>VGSP-348_133,000_CC1</t>
  </si>
  <si>
    <t>VGSP-330_133,000_ES_CL5</t>
  </si>
  <si>
    <t>VGSP-348_134,000_ES_CL7</t>
  </si>
  <si>
    <t>134,000</t>
  </si>
  <si>
    <t>134,500</t>
  </si>
  <si>
    <t>VGSP-348_134,000_ES_CL11</t>
  </si>
  <si>
    <t>VGSP-348_134,000_EN_CL7</t>
  </si>
  <si>
    <t>VGSP-348_134,000_ES_CL10</t>
  </si>
  <si>
    <t>VGSP-348_134,000_ES_CL8</t>
  </si>
  <si>
    <t>VGSP-348_134,000_ES_CL9</t>
  </si>
  <si>
    <t>VGSP-348_134,000_ES_CL14</t>
  </si>
  <si>
    <t>VGSP-348_134,000_ES_CL6</t>
  </si>
  <si>
    <t>VGSP-330_134,000_ES_CL3</t>
  </si>
  <si>
    <t>VGSP-330_134,000_ES_CL4</t>
  </si>
  <si>
    <t>VGSP-348_134,000_ES_CL3</t>
  </si>
  <si>
    <t>VGSP-330_134,000_ES_CL5</t>
  </si>
  <si>
    <t>VGSP-348_134,000_EN_CL3</t>
  </si>
  <si>
    <t>VGSP-348_134,000_ES_CL12</t>
  </si>
  <si>
    <t>VGSP-348_134,000_ES_CL2</t>
  </si>
  <si>
    <t>VGSP-330_134,000_ES_CL1</t>
  </si>
  <si>
    <t>VGSP-330_134,000_EN_CL3</t>
  </si>
  <si>
    <t>VGSP-348_134,000_CC1</t>
  </si>
  <si>
    <t>VGSP-330_134,000_EN_CL1</t>
  </si>
  <si>
    <t>VGSP-330_134,000_ES_CL2</t>
  </si>
  <si>
    <t>VGSP-330_134,000_EN_CL2</t>
  </si>
  <si>
    <t>VGSP-348_134,000_EN_CL2</t>
  </si>
  <si>
    <t>VGSP-330_134,000_ES_CL6</t>
  </si>
  <si>
    <t>VGSP-330_134,000_EN_CL5</t>
  </si>
  <si>
    <t>VGSP-348_134,000_CC3</t>
  </si>
  <si>
    <t>VGSP-348_134,000_EN_CL10</t>
  </si>
  <si>
    <t>VGSP-348_134,000_ES_CL4</t>
  </si>
  <si>
    <t>VGSP-348_134,000_ES_CL1</t>
  </si>
  <si>
    <t>VGSP-330_134,000_EN_CL4</t>
  </si>
  <si>
    <t>VGSP-348_134,000_ES_CL5</t>
  </si>
  <si>
    <t>VGSP-348_134,000_EN_CL5</t>
  </si>
  <si>
    <t>VGSP-348_134,000_EN_CL4</t>
  </si>
  <si>
    <t>VGSP-348_134,000_CC2</t>
  </si>
  <si>
    <t>VGSP-348_134,000_EN_CL1</t>
  </si>
  <si>
    <t>VGSP-348_134,000_ES_CL13</t>
  </si>
  <si>
    <t>VGSP-348_134,000_EN_CL8</t>
  </si>
  <si>
    <t>VGSP-348_134,000_EN_CL9</t>
  </si>
  <si>
    <t>VGSP-348_134,000_EN_CL12</t>
  </si>
  <si>
    <t>VGSP-348_134,000_EN_CL11</t>
  </si>
  <si>
    <t>VGSP-348_134,000_EN_CL6</t>
  </si>
  <si>
    <t>VGSP-330_135,000_EN_CL1</t>
  </si>
  <si>
    <t>135,000</t>
  </si>
  <si>
    <t>135,500</t>
  </si>
  <si>
    <t>VGSP-330_135,000_EN_CL3</t>
  </si>
  <si>
    <t>VGSP-348_135,000_ES_CL3</t>
  </si>
  <si>
    <t>VGSP-348_135,000_EN_CL3</t>
  </si>
  <si>
    <t>VGSP-348_135,000_ES_CL1</t>
  </si>
  <si>
    <t>VGSP-348_135,000_CC1</t>
  </si>
  <si>
    <t>VGSP-348_135,000_EN_CL1</t>
  </si>
  <si>
    <t>VGSP-348_135,000_ES_CL2</t>
  </si>
  <si>
    <t>VGSP-348_135,000_ES_CL4</t>
  </si>
  <si>
    <t>VGSP-348_135,000_CC3</t>
  </si>
  <si>
    <t>VGSP-330_135,000_EN_CL2</t>
  </si>
  <si>
    <t>VGSP-330_135,000_ES_CL1</t>
  </si>
  <si>
    <t>VGSP-348_135,000_CC2</t>
  </si>
  <si>
    <t>VGSP-348_135,000_EN_CL2</t>
  </si>
  <si>
    <t>VGSP-330_135,000_ES_CL2</t>
  </si>
  <si>
    <t>VGSP-330_136,000_EN_CL6</t>
  </si>
  <si>
    <t>136,000</t>
  </si>
  <si>
    <t>136,500</t>
  </si>
  <si>
    <t>VGSP-330_136,000_ES_CL5</t>
  </si>
  <si>
    <t>VGSP-330_136,000_CC3</t>
  </si>
  <si>
    <t>VGSP-348_136,000_ES_CL2</t>
  </si>
  <si>
    <t>VGSP-330_136,000_EN_CL3</t>
  </si>
  <si>
    <t>VGSP-348_136,000_ES_CL1</t>
  </si>
  <si>
    <t>VGSP-330_136,000_ES_CL7</t>
  </si>
  <si>
    <t>VGSP-330_136,000_ES_CL3</t>
  </si>
  <si>
    <t>VGSP-330_136,000_ES_CL1</t>
  </si>
  <si>
    <t>VGSP-330_136,000_CC2</t>
  </si>
  <si>
    <t>VGSP-330_136,000_ES_CL8</t>
  </si>
  <si>
    <t>VGSP-348_136,000_EN_CL2</t>
  </si>
  <si>
    <t>VGSP-348_136,000_EN_CL1</t>
  </si>
  <si>
    <t>VGSP-330_136,000_EN_CL5</t>
  </si>
  <si>
    <t>VGSP-348_136,000_CC2</t>
  </si>
  <si>
    <t>VGSP-330_136,000_EN_CL7</t>
  </si>
  <si>
    <t>VGSP-330_136,000_EN_CL4</t>
  </si>
  <si>
    <t>VGSP-348_136,000_CC1</t>
  </si>
  <si>
    <t>VGSP-330_136,000_CC1</t>
  </si>
  <si>
    <t>VGSP-330_136,000_ES_CL9</t>
  </si>
  <si>
    <t>VGSP-330_136,000_EN_CL2</t>
  </si>
  <si>
    <t>VGSP-330_136,000_EN_CL1</t>
  </si>
  <si>
    <t>VGSP-330_136,000_ES_CL6</t>
  </si>
  <si>
    <t>VGSP-330_136,000_ES_CL2</t>
  </si>
  <si>
    <t>VGSP-330_136,000_ES_CL4</t>
  </si>
  <si>
    <t>VGSP-330_137,000_EN_CL1</t>
  </si>
  <si>
    <t>137,000</t>
  </si>
  <si>
    <t>137,500</t>
  </si>
  <si>
    <t>VGSP-330_137,000_EN_CL2</t>
  </si>
  <si>
    <t>VGSP-348_137,000_ES_CL2</t>
  </si>
  <si>
    <t>VGSP-330_137,000_ES_CL2</t>
  </si>
  <si>
    <t>VGSP-330_137,000_ES_CL1</t>
  </si>
  <si>
    <t>VGSP-330_137,000_EN_CL6</t>
  </si>
  <si>
    <t>VGSP-348_137,000_CC2</t>
  </si>
  <si>
    <t>VGSP-330_137,000_EN_CL4</t>
  </si>
  <si>
    <t>VGSP-348_137,000_EN_CL2</t>
  </si>
  <si>
    <t>VGSP-348_137,000_EN_CL1</t>
  </si>
  <si>
    <t>VGSP-348_137,000_CC1</t>
  </si>
  <si>
    <t>VGSP-330_137,000_EN_CL5</t>
  </si>
  <si>
    <t>VGSP-330_137,000_ES_CL4</t>
  </si>
  <si>
    <t>VGSP-330_137,000_ES_CL3</t>
  </si>
  <si>
    <t>VGSP-348_137,000_ES_CL1</t>
  </si>
  <si>
    <t>VGSP-330_137,000_EN_CL3</t>
  </si>
  <si>
    <t>VGSP-330_138,000_ES_CL2</t>
  </si>
  <si>
    <t>138,000</t>
  </si>
  <si>
    <t>138,500</t>
  </si>
  <si>
    <t>VGSP-348_138,000_ES_CL1</t>
  </si>
  <si>
    <t>VGSP-330_138,000_EN_CL4</t>
  </si>
  <si>
    <t>VGSP-330_138,000_ES_CL1</t>
  </si>
  <si>
    <t>VGSP-348_138,000_CC2</t>
  </si>
  <si>
    <t>VGSP-330_138,000_ES_CL3</t>
  </si>
  <si>
    <t>VGSP-348_138,000_EN_CL2</t>
  </si>
  <si>
    <t>VGSP-330_138,000_EN_CL3</t>
  </si>
  <si>
    <t>VGSP-348_138,000_CC1</t>
  </si>
  <si>
    <t>VGSP-330_138,000_EN_CL1</t>
  </si>
  <si>
    <t>VGSP-348_138,000_ES_CL2</t>
  </si>
  <si>
    <t>VGSP-348_138,000_EN_CL1</t>
  </si>
  <si>
    <t>VGSP-330_138,000_EN_CL2</t>
  </si>
  <si>
    <t>VGSP-330_139,000_EN_CL2</t>
  </si>
  <si>
    <t>139,000</t>
  </si>
  <si>
    <t>139,500</t>
  </si>
  <si>
    <t>VGSP-348_139,000_EN_CL1</t>
  </si>
  <si>
    <t>VGSP-330_139,000_ES_CL8</t>
  </si>
  <si>
    <t>VGSP-330_139,000_ES_CL7</t>
  </si>
  <si>
    <t>VGSP-330_139,000_EN_CL3</t>
  </si>
  <si>
    <t>VGSP-330_139,000_ES_CL1</t>
  </si>
  <si>
    <t>VGSP-330_139,000_ES_CL2</t>
  </si>
  <si>
    <t>VGSP-330_139,000_ES_CL4</t>
  </si>
  <si>
    <t>VGSP-330_139,000_ES_CL3</t>
  </si>
  <si>
    <t>VGSP-348_139,000_ES_CL2</t>
  </si>
  <si>
    <t>VGSP-348_139,000_CC2</t>
  </si>
  <si>
    <t>VGSP-348_139,000_CC1</t>
  </si>
  <si>
    <t>VGSP-330_139,000_ES_CL5</t>
  </si>
  <si>
    <t>VGSP-330_139,000_EN_CL1</t>
  </si>
  <si>
    <t>VGSP-330_139,000_ES_CL6</t>
  </si>
  <si>
    <t>VGSP-348_139,000_EN_CL2</t>
  </si>
  <si>
    <t>VGSP-348_139,000_ES_CL1</t>
  </si>
  <si>
    <t>VGSP-330_139,000_EN_CL4</t>
  </si>
  <si>
    <t>VGSP-330_139,000_EN_CL5</t>
  </si>
  <si>
    <t>VGSP-348_140,000_EN_CL1</t>
  </si>
  <si>
    <t>140,000</t>
  </si>
  <si>
    <t>140,500</t>
  </si>
  <si>
    <t>VGSP-330_140,000_ES_CL1</t>
  </si>
  <si>
    <t>VGSP-330_140,000_ES_CL3</t>
  </si>
  <si>
    <t>VGSP-330_140,000_EN_CL5</t>
  </si>
  <si>
    <t>VGSP-348_140,000_CC1</t>
  </si>
  <si>
    <t>VGSP-348_140,000_CC3</t>
  </si>
  <si>
    <t>VGSP-348_140,000_CC2</t>
  </si>
  <si>
    <t>VGSP-348_140,000_ES_CL</t>
  </si>
  <si>
    <t>VGSP-330_140,000_EN_CL1</t>
  </si>
  <si>
    <t>VGSP-330_140,000_EN_CL2</t>
  </si>
  <si>
    <t>VGSP-330_140,000_EN_CL3</t>
  </si>
  <si>
    <t>VGSP-330_140,000_EN_CL4</t>
  </si>
  <si>
    <t>VGSP-330_140,000_ES_CL2</t>
  </si>
  <si>
    <t>VGSP-348_140,000_EN_CL2</t>
  </si>
  <si>
    <t>VGSP-348_141,000_EN_CL2</t>
  </si>
  <si>
    <t>141,000</t>
  </si>
  <si>
    <t>141,500</t>
  </si>
  <si>
    <t>VGSP-348_141,000_EN_CL1</t>
  </si>
  <si>
    <t>VGSP-330_141,000_EN_CL1</t>
  </si>
  <si>
    <t>VGSP-330_141,000_EN_CL5</t>
  </si>
  <si>
    <t>VGSP-330_141,000_EN_CL3</t>
  </si>
  <si>
    <t>VGSP-330_141,000_EN_CL2</t>
  </si>
  <si>
    <t>VGSP-330_141,000_ES_CL1</t>
  </si>
  <si>
    <t>VGSP-348_141,000_ES_CL1</t>
  </si>
  <si>
    <t>VGSP-330_141,000_ES_CL5</t>
  </si>
  <si>
    <t>VGSP-348_141,000_ES_CL3</t>
  </si>
  <si>
    <t>VGSP-330_141,000_ES_CL4</t>
  </si>
  <si>
    <t>VGSP-348_141,000_ES_CL2</t>
  </si>
  <si>
    <t>VGSP-330_141,000_EN_CL4</t>
  </si>
  <si>
    <t>VGSP-348_141,000_CC3</t>
  </si>
  <si>
    <t>VGSP-348_141,000_CC2</t>
  </si>
  <si>
    <t>VGSP-348_141,000_EN_CL3</t>
  </si>
  <si>
    <t>VGSP-348_141,000_CC1</t>
  </si>
  <si>
    <t>VGSP-330_141,000_ES_CL2</t>
  </si>
  <si>
    <t>VGSP-330_141,000_ES_CL3</t>
  </si>
  <si>
    <t>VGSP-330_142,000_ES_CL1</t>
  </si>
  <si>
    <t>142,000</t>
  </si>
  <si>
    <t>142,500</t>
  </si>
  <si>
    <t>VGSP-348_142,000_ES_CL2</t>
  </si>
  <si>
    <t>VGSP-348_142,000_CC1</t>
  </si>
  <si>
    <t>VGSP-348_142,000_ES_CL4</t>
  </si>
  <si>
    <t>VGSP-330_142,000_ES_CL3</t>
  </si>
  <si>
    <t>VGSP-330_142,000_ES_CL4</t>
  </si>
  <si>
    <t>VGSP-348_142,000_CC3</t>
  </si>
  <si>
    <t>VGSP-348_142,000_EN_CL4</t>
  </si>
  <si>
    <t>VGSP-348_142,000_EN_CL2</t>
  </si>
  <si>
    <t>VGSP-348_142,000_EN_CL1</t>
  </si>
  <si>
    <t>VGSP-330_142,000_ES_CL2</t>
  </si>
  <si>
    <t>VGSP-348_142,000_ES_CL1</t>
  </si>
  <si>
    <t>VGSP-330_142,000_ES_CL8</t>
  </si>
  <si>
    <t>VGSP-330_142,000_EN_CL4</t>
  </si>
  <si>
    <t>VGSP-330_142,000_ES_CL7</t>
  </si>
  <si>
    <t>VGSP-330_142,000_EN_CL3</t>
  </si>
  <si>
    <t>VGSP-348_142,000_EN_CL3</t>
  </si>
  <si>
    <t>VGSP-330_142,000_ES_CL5</t>
  </si>
  <si>
    <t>VGSP-348_142,000_ES_CL5</t>
  </si>
  <si>
    <t>VGSP-330_142,000_EN_CL2</t>
  </si>
  <si>
    <t>VGSP-348_142,000_ES_CL3</t>
  </si>
  <si>
    <t>VGSP-330_142,000_EN_CL1</t>
  </si>
  <si>
    <t>VGSP-330_142,000_ES_CL9</t>
  </si>
  <si>
    <t>VGSP-348_142,000_CC2</t>
  </si>
  <si>
    <t>VGSP-330_142,000_EN_CL5</t>
  </si>
  <si>
    <t>VGSP-330_142,000_ES_CL6</t>
  </si>
  <si>
    <t>VGSP-330_143,000_EN_CL8</t>
  </si>
  <si>
    <t>143,000</t>
  </si>
  <si>
    <t>143,500</t>
  </si>
  <si>
    <t>VGSP-330_143,000_EN_CL6</t>
  </si>
  <si>
    <t>VGSP-348_143,000_CC2</t>
  </si>
  <si>
    <t>VGSP-330_143,000_ES_CL2</t>
  </si>
  <si>
    <t>VGSP-330_143,000_EN_CL5</t>
  </si>
  <si>
    <t>VGSP-330_143,000_EN_CL3</t>
  </si>
  <si>
    <t>VGSP-330_143,000_EN_CL7</t>
  </si>
  <si>
    <t>VGSP-330_143,000_ES_CL5</t>
  </si>
  <si>
    <t>VGSP-348_143,000_EN_CL1</t>
  </si>
  <si>
    <t>VGSP-348_143,000_ES_CL1</t>
  </si>
  <si>
    <t>VGSP-348_143,000_CC1</t>
  </si>
  <si>
    <t>VGSP-330_143,000_EN_CL1</t>
  </si>
  <si>
    <t>VGSP-348_143,000_EN_CL2</t>
  </si>
  <si>
    <t>VGSP-348_143,000_ES_CL2</t>
  </si>
  <si>
    <t>VGSP-330_143,000_EN_CL9</t>
  </si>
  <si>
    <t>VGSP-330_143,000_ES_CL8</t>
  </si>
  <si>
    <t>VGSP-330_143,000_ES_CL4</t>
  </si>
  <si>
    <t>VGSP-330_143,000_ES_CL6</t>
  </si>
  <si>
    <t>VGSP-330_143,000_ES_CL1</t>
  </si>
  <si>
    <t>VGSP-330_143,000_EN_CL4</t>
  </si>
  <si>
    <t>VGSP-330_143,000_EN_CL2</t>
  </si>
  <si>
    <t>VGSP-330_143,000_ES_CL7</t>
  </si>
  <si>
    <t>VGSP-330_143,000_ES_CL3</t>
  </si>
  <si>
    <t>VGSP-330_144,000_ES_CL2</t>
  </si>
  <si>
    <t>144,000</t>
  </si>
  <si>
    <t>144,500</t>
  </si>
  <si>
    <t>VGSP-348_144,000_EN_CL1</t>
  </si>
  <si>
    <t>VGSP-348_144,000_ES_CL1</t>
  </si>
  <si>
    <t>VGSP-348_144,000_CC3</t>
  </si>
  <si>
    <t>VGSP-330_144,000_ES_CL3</t>
  </si>
  <si>
    <t>VGSP-348_144,000_CC2</t>
  </si>
  <si>
    <t>VGSP-348_144,000_ES_CL2</t>
  </si>
  <si>
    <t>VGSP-330_144,000_EN_CL2</t>
  </si>
  <si>
    <t>VGSP-330_144,000_ES_CL1</t>
  </si>
  <si>
    <t>VGSP-330_144,000_EN_CL3</t>
  </si>
  <si>
    <t>VGSP-330_144,000_EN_CL4</t>
  </si>
  <si>
    <t>VGSP-348_144,000_EN_CL2</t>
  </si>
  <si>
    <t>VGSP-348_144,000_EN_CL4</t>
  </si>
  <si>
    <t>VGSP-330_144,000_ES_CL4</t>
  </si>
  <si>
    <t>VGSP-330_144,000_EN_CL1</t>
  </si>
  <si>
    <t>VGSP-348_144,000_EN_CL3</t>
  </si>
  <si>
    <t>VGSP-348_144,000_CC1</t>
  </si>
  <si>
    <t>VGSP-330_145,000_ES_CL3</t>
  </si>
  <si>
    <t>145,000</t>
  </si>
  <si>
    <t>145,500</t>
  </si>
  <si>
    <t>VGSP-330_145,000_ES_CL6</t>
  </si>
  <si>
    <t>VGSP-348_145,000_EN_CL2</t>
  </si>
  <si>
    <t>VGSP-348_145,000_CC1</t>
  </si>
  <si>
    <t>VGSP-330_145,000_EN_CL1</t>
  </si>
  <si>
    <t>VGSP-330_145,000_ES_CL5</t>
  </si>
  <si>
    <t>VGSP-348_145,000_CC2</t>
  </si>
  <si>
    <t>VGSP-348_145,000_ES_CL</t>
  </si>
  <si>
    <t>VGSP-348_145,000_EN_CL3</t>
  </si>
  <si>
    <t>VGSP-330_145,000_ES_CL1</t>
  </si>
  <si>
    <t>VGSP-330_145,000_ES_CL4</t>
  </si>
  <si>
    <t>VGSP-330_145,000_ES_CL2</t>
  </si>
  <si>
    <t>VGSP-330_145,000_EN_CL3</t>
  </si>
  <si>
    <t>VGSP-330_145,000_EN_CL2</t>
  </si>
  <si>
    <t>VGSP-348_145,000_EN_CL1</t>
  </si>
  <si>
    <t>VGSP-330_146,000_EN_CL5</t>
  </si>
  <si>
    <t>146,000</t>
  </si>
  <si>
    <t>146,500</t>
  </si>
  <si>
    <t>VGSP-348_146,000_EN_CL1</t>
  </si>
  <si>
    <t>VGSP-348_146,000_EN_CL2</t>
  </si>
  <si>
    <t>VGSP-330_146,000_CC1</t>
  </si>
  <si>
    <t>VGSP-330_146,000_CC2</t>
  </si>
  <si>
    <t>VGSP-330_146,000_EN_CL1</t>
  </si>
  <si>
    <t>VGSP-330_146,000_CC3</t>
  </si>
  <si>
    <t>VGSP-330_146,000_ES_CL7</t>
  </si>
  <si>
    <t>VGSP-348_146,000_CC1</t>
  </si>
  <si>
    <t>VGSP-348_146,000_CC2</t>
  </si>
  <si>
    <t>VGSP-330_146,000_ES_CL1</t>
  </si>
  <si>
    <t>VGSP-330_146,000_ES_CL2</t>
  </si>
  <si>
    <t>VGSP-330_146,000_ES_CL3</t>
  </si>
  <si>
    <t>VGSP-330_146,000_EN_CL2</t>
  </si>
  <si>
    <t>VGSP-330_146,000_ES_CL5</t>
  </si>
  <si>
    <t>VGSP-330_146,000_ES_CL4</t>
  </si>
  <si>
    <t>VGSP-330_146,000_EN_CL3</t>
  </si>
  <si>
    <t>VGSP-330_146,000_EN_CL4</t>
  </si>
  <si>
    <t>VGSP-330_146,000_ES_CL8</t>
  </si>
  <si>
    <t>VGSP-330_146,000_ES_CL9</t>
  </si>
  <si>
    <t>VGSP-348_146,000_ES_CL1</t>
  </si>
  <si>
    <t>VGSP-348_146,000_ES_CL2</t>
  </si>
  <si>
    <t>VGSP-330_146,000_ES_CL6</t>
  </si>
  <si>
    <t>VGSP-330_146,000_ES_CL10</t>
  </si>
  <si>
    <t>VGSP-330_147,000_CC2</t>
  </si>
  <si>
    <t>147,000</t>
  </si>
  <si>
    <t>147,500</t>
  </si>
  <si>
    <t>VGSP-330_147,000_ES_CL8</t>
  </si>
  <si>
    <t>VGSP-330_147,000_ES_CL11</t>
  </si>
  <si>
    <t>VGSP-330_147,000_EN_CL2</t>
  </si>
  <si>
    <t>VGSP-330_147,000_ES_CL1</t>
  </si>
  <si>
    <t>VGSP-348_147,000_ES_CL3</t>
  </si>
  <si>
    <t>VGSP-348_147,000_CC1</t>
  </si>
  <si>
    <t>VGSP-330_147,000_EN_CL7</t>
  </si>
  <si>
    <t>VGSP-348_147,000_CC3</t>
  </si>
  <si>
    <t>VGSP-330_147,000_ES_CL7</t>
  </si>
  <si>
    <t>VGSP-330_147,000_ES_CL9</t>
  </si>
  <si>
    <t>VGSP-330_147,000_EN_CL3</t>
  </si>
  <si>
    <t>VGSP-330_147,000_ES_CL6</t>
  </si>
  <si>
    <t>VGSP-348_147,000_ES_CL1</t>
  </si>
  <si>
    <t>VGSP-348_147,000_EN_CL2</t>
  </si>
  <si>
    <t>VGSP-330_147,000_EN_CL5</t>
  </si>
  <si>
    <t>VGSP-330_147,000_ES_CL5</t>
  </si>
  <si>
    <t>VGSP-330_147,000_EN_CL4</t>
  </si>
  <si>
    <t>VGSP-330_147,000_CC3</t>
  </si>
  <si>
    <t>VGSP-348_147,000_CC2</t>
  </si>
  <si>
    <t>VGSP-330_147,000_ES_CL10</t>
  </si>
  <si>
    <t>VGSP-330_147,000_ES_CL4</t>
  </si>
  <si>
    <t>VGSP-348_147,000_EN_CL3</t>
  </si>
  <si>
    <t>VGSP-330_147,000_ES_CL2</t>
  </si>
  <si>
    <t>VGSP-330_147,000_EN_CL6</t>
  </si>
  <si>
    <t>VGSP-330_147,000_EN_CL1</t>
  </si>
  <si>
    <t>VGSP-330_147,000_CC1</t>
  </si>
  <si>
    <t>VGSP-330_147,000_ES_CL3</t>
  </si>
  <si>
    <t>VGSP-348_147,000_ES_CL2</t>
  </si>
  <si>
    <t>VGSP-348_147,000_EN_CL1</t>
  </si>
  <si>
    <t>VGSP-330_148,000_ES_CL7</t>
  </si>
  <si>
    <t>148,000</t>
  </si>
  <si>
    <t>148,500</t>
  </si>
  <si>
    <t>VGSP-330_148,000_EN_CL3</t>
  </si>
  <si>
    <t>VGSP-330_148,000_CC1</t>
  </si>
  <si>
    <t>VGSP-330_148,000_CC6</t>
  </si>
  <si>
    <t>VGSP-330_148,000_ES_CL8</t>
  </si>
  <si>
    <t>VGSP-330_148,000_ES_CL5</t>
  </si>
  <si>
    <t>VGSP-330_148,000_EN_CL5</t>
  </si>
  <si>
    <t>VGSP-330_148,000_CC4</t>
  </si>
  <si>
    <t>VGSP-348_148,000_CC2</t>
  </si>
  <si>
    <t>VGSP-330_148,000_CC2</t>
  </si>
  <si>
    <t>VGSP-330_148,000_CC5</t>
  </si>
  <si>
    <t>VGSP-330_148,000_CC3</t>
  </si>
  <si>
    <t>VGSP-348_148,000_ES_CL2</t>
  </si>
  <si>
    <t>VGSP-330_148,000_ES_CL2</t>
  </si>
  <si>
    <t>VGSP-330_148,000_ES_CL4</t>
  </si>
  <si>
    <t>VGSP-348_148,000_EN_CL</t>
  </si>
  <si>
    <t>VGSP-348_148,000_ES_CL1</t>
  </si>
  <si>
    <t>VGSP-348_148,000_CC1</t>
  </si>
  <si>
    <t>VGSP-330_148,000_ES_CL3</t>
  </si>
  <si>
    <t>VGSP-330_148,000_ES_CL6</t>
  </si>
  <si>
    <t>VGSP-330_148,000_EN_CL8</t>
  </si>
  <si>
    <t>VGSP-330_148,000_EN_CL10</t>
  </si>
  <si>
    <t>VGSP-330_148,000_EN_CL1</t>
  </si>
  <si>
    <t>VGSP-330_148,000_EN_CL11</t>
  </si>
  <si>
    <t>VGSP-330_148,000_ES_CL1</t>
  </si>
  <si>
    <t>VGSP-330_148,000_EN_CL6</t>
  </si>
  <si>
    <t>VGSP-330_148,000_EN_CL9</t>
  </si>
  <si>
    <t>VGSP-330_148,000_EN_CL4</t>
  </si>
  <si>
    <t>VGSP-330_148,000_EN_CL2</t>
  </si>
  <si>
    <t>VGSP-348_148,000_CC3</t>
  </si>
  <si>
    <t>VGSP-330_148,000_EN_CL7</t>
  </si>
  <si>
    <t>VGSP-330_148,000_EN_CL12</t>
  </si>
  <si>
    <t>VGSP-330_149,000_CC2</t>
  </si>
  <si>
    <t>149,000</t>
  </si>
  <si>
    <t>149,500</t>
  </si>
  <si>
    <t>VGSP-348_149,000_ES_CL2</t>
  </si>
  <si>
    <t>VGSP-330_149,000_ES_CL5</t>
  </si>
  <si>
    <t>VGSP-348_149,000_ES_CL1</t>
  </si>
  <si>
    <t>VGSP-348_149,000_CC1</t>
  </si>
  <si>
    <t>VGSP-330_149,000_EN_CL1</t>
  </si>
  <si>
    <t>VGSP-330_149,000_EN_CL2</t>
  </si>
  <si>
    <t>VGSP-348_149,000_CC2</t>
  </si>
  <si>
    <t>VGSP-330_149,000_CC1</t>
  </si>
  <si>
    <t>VGSP-330_149,000_ES_CL3</t>
  </si>
  <si>
    <t>VGSP-348_149,000_EN_CL2</t>
  </si>
  <si>
    <t>VGSP-330_149,000_ES_CL2</t>
  </si>
  <si>
    <t>VGSP-330_149,000_ES_CL4</t>
  </si>
  <si>
    <t>VGSP-330_149,000_ES_CL1</t>
  </si>
  <si>
    <t>VGSP-330_149,000_EN_CL3</t>
  </si>
  <si>
    <t>VGSP-348_149,000_EN_CL1</t>
  </si>
  <si>
    <t>VGSP-330_150,000_ES_CL3</t>
  </si>
  <si>
    <t>150,000</t>
  </si>
  <si>
    <t>150,500</t>
  </si>
  <si>
    <t>VGSP-348_150,000_ES_CL3</t>
  </si>
  <si>
    <t>VGSP-348_150,000_CC4</t>
  </si>
  <si>
    <t>VGSP-330_150,000_ES_CL10</t>
  </si>
  <si>
    <t>VGSP-330_150,000_ES_CL1</t>
  </si>
  <si>
    <t>VGSP-348_150,000_EN_CL1</t>
  </si>
  <si>
    <t>VGSP-330_150,000_EN_CL1</t>
  </si>
  <si>
    <t>VGSP-348_150,000_EN_CL3</t>
  </si>
  <si>
    <t>VGSP-330_150,000_CC3</t>
  </si>
  <si>
    <t>VGSP-348_150,000_EN_CL2</t>
  </si>
  <si>
    <t>VGSP-348_150,000_ES_CL2</t>
  </si>
  <si>
    <t>VGSP-348_150,000_ES_CL4</t>
  </si>
  <si>
    <t>VGSP-348_150,000_CC2</t>
  </si>
  <si>
    <t>VGSP-330_150,000_ES_CL4</t>
  </si>
  <si>
    <t>VGSP-330_150,000_ES_CL7</t>
  </si>
  <si>
    <t>VGSP-348_150,000_CC3</t>
  </si>
  <si>
    <t>VGSP-330_150,000_ES_CL8</t>
  </si>
  <si>
    <t>VGSP-348_150,000_ES_CL1</t>
  </si>
  <si>
    <t>VGSP-330_150,000_ES_CL9</t>
  </si>
  <si>
    <t>VGSP-330_150,000_ES_CL5</t>
  </si>
  <si>
    <t>VGSP-348_150,000_CC1</t>
  </si>
  <si>
    <t>VGSP-330_150,000_EN_CL2</t>
  </si>
  <si>
    <t>VGSP-330_150,000_ES_CL2</t>
  </si>
  <si>
    <t>VGSP-330_150,000_ES_CL6</t>
  </si>
  <si>
    <t>VGSP-330_150,000_CC1</t>
  </si>
  <si>
    <t>VGSP-330_150,000_CC2</t>
  </si>
  <si>
    <t>VGSP-348_150,000_ES_CL5</t>
  </si>
  <si>
    <t>VGSP-348_150,000_EN_CL4</t>
  </si>
  <si>
    <t>VGSP-330_151,000_EN_CL2</t>
  </si>
  <si>
    <t>151,000</t>
  </si>
  <si>
    <t>151,500</t>
  </si>
  <si>
    <t>VGSP-330_151,000_EN_CL1</t>
  </si>
  <si>
    <t>VGSP-330_151,000_EN_CL5</t>
  </si>
  <si>
    <t>VGSP-348_151,000_EN_CL2</t>
  </si>
  <si>
    <t>VGSP-330_151,000_CC3</t>
  </si>
  <si>
    <t>VGSP-330_151,000_CC1</t>
  </si>
  <si>
    <t>VGSP-348_151,000_CC2</t>
  </si>
  <si>
    <t>VGSP-330_151,000_EN_CL4</t>
  </si>
  <si>
    <t>VGSP-348_151,000_CC1</t>
  </si>
  <si>
    <t>VGSP-330_151,000_CC2</t>
  </si>
  <si>
    <t>VGSP-330_151,000_ES_CL6</t>
  </si>
  <si>
    <t>VGSP-330_151,000_ES_CL1</t>
  </si>
  <si>
    <t>VGSP-330_151,000_ES_CL5</t>
  </si>
  <si>
    <t>VGSP-348_151,000_EN_CL1</t>
  </si>
  <si>
    <t>VGSP-330_151,000_ES_CL2</t>
  </si>
  <si>
    <t>VGSP-330_151,000_ES_CL3</t>
  </si>
  <si>
    <t>VGSP-330_151,000_ES_CL4</t>
  </si>
  <si>
    <t>VGSP-330_151,000_EN_CL6</t>
  </si>
  <si>
    <t>VGSP-348_151,000_ES_CL1</t>
  </si>
  <si>
    <t>VGSP-348_151,000_ES_CL2</t>
  </si>
  <si>
    <t>VGSP-330_151,000_EN_CL3</t>
  </si>
  <si>
    <t>VGSP-330_152,000_EN_CL1</t>
  </si>
  <si>
    <t>152,000</t>
  </si>
  <si>
    <t>152,500</t>
  </si>
  <si>
    <t>VGSP-330_152,000_CC1</t>
  </si>
  <si>
    <t>VGSP-330_152,000_CC2</t>
  </si>
  <si>
    <t>VGSP-348_152,000_CC1</t>
  </si>
  <si>
    <t>VGSP-330_152,000_EN_CL2</t>
  </si>
  <si>
    <t>VGSP-348_152,000_EN_CL2</t>
  </si>
  <si>
    <t>VGSP-330_152,000_EN_CL3</t>
  </si>
  <si>
    <t>VGSP-348_152,000_ES_CL2</t>
  </si>
  <si>
    <t>VGSP-348_152,000_ES_CL1</t>
  </si>
  <si>
    <t>VGSP-348_152,000_EN_CL1</t>
  </si>
  <si>
    <t>VGSP-348_152,000_CC2</t>
  </si>
  <si>
    <t>VGSP-330_152,000_ES_CL1</t>
  </si>
  <si>
    <t>VGSP-330_152,000_ES_CL2</t>
  </si>
  <si>
    <t>VGSP-330_153,000_EN_CL3</t>
  </si>
  <si>
    <t>153,000</t>
  </si>
  <si>
    <t>153,500</t>
  </si>
  <si>
    <t>VGSP-330_153,000_ES_CL4</t>
  </si>
  <si>
    <t>VGSP-348_153,000_CC2</t>
  </si>
  <si>
    <t>VGSP-330_153,000_EN_CL5</t>
  </si>
  <si>
    <t>VGSP-330_153,000_EN_CL2</t>
  </si>
  <si>
    <t>VGSP-330_153,000_CC3</t>
  </si>
  <si>
    <t>VGSP-348_153,000_CC1</t>
  </si>
  <si>
    <t>VGSP-330_153,000_CC4</t>
  </si>
  <si>
    <t>VGSP-348_153,000_EN_CL1</t>
  </si>
  <si>
    <t>VGSP-330_153,000_ES_CL2</t>
  </si>
  <si>
    <t>VGSP-330_153,000_CC7</t>
  </si>
  <si>
    <t>VGSP-330_153,000_ES_CL5</t>
  </si>
  <si>
    <t>VGSP-330_153,000_CC5</t>
  </si>
  <si>
    <t>VGSP-330_153,000_CC6</t>
  </si>
  <si>
    <t>VGSP-330_153,000_EN_CL1</t>
  </si>
  <si>
    <t>VGSP-330_153,000_CC2</t>
  </si>
  <si>
    <t>VGSP-330_153,000_ES_CL3</t>
  </si>
  <si>
    <t>VGSP-330_153,000_EN_CL4</t>
  </si>
  <si>
    <t>VGSP-348_153,000_ES_CL2</t>
  </si>
  <si>
    <t>VGSP-348_153,000_EN_CL2</t>
  </si>
  <si>
    <t>VGSP-330_153,000_CC1</t>
  </si>
  <si>
    <t>VGSP-348_153,000_ES_CL1</t>
  </si>
  <si>
    <t>VGSP-330_153,000_ES_CL1</t>
  </si>
  <si>
    <t>VGSP-348_154,000_ES_CL2</t>
  </si>
  <si>
    <t>154,000</t>
  </si>
  <si>
    <t>154,500</t>
  </si>
  <si>
    <t>VGSP-348_154,000_CC</t>
  </si>
  <si>
    <t>VGSP-330_154,000_EN_CL5</t>
  </si>
  <si>
    <t>VGSP-348_154,000_EN_CL</t>
  </si>
  <si>
    <t>VGSP-330_154,000_EN_CL3</t>
  </si>
  <si>
    <t>VGSP-330_154,000_EN_CL2</t>
  </si>
  <si>
    <t>VGSP-330_154,000_ES_CL3</t>
  </si>
  <si>
    <t>VGSP-330_154,000_CC2</t>
  </si>
  <si>
    <t>VGSP-330_154,000_CC3</t>
  </si>
  <si>
    <t>VGSP-330_154,000_EN_CL4</t>
  </si>
  <si>
    <t>VGSP-330_154,000_CC1</t>
  </si>
  <si>
    <t>VGSP-348_154,000_ES_CL3</t>
  </si>
  <si>
    <t>VGSP-330_154,000_EN_CL1</t>
  </si>
  <si>
    <t>VGSP-330_154,000_ES_CL2</t>
  </si>
  <si>
    <t>VGSP-330_154,000_ES_CL1</t>
  </si>
  <si>
    <t>VGSP-348_154,000_ES_CL1</t>
  </si>
  <si>
    <t>VGSP-348_154,000_ES_CL4</t>
  </si>
  <si>
    <t>VGSP-348_155,000_EN_CL2</t>
  </si>
  <si>
    <t>155,000</t>
  </si>
  <si>
    <t>155,500</t>
  </si>
  <si>
    <t>VGSP-330_155,000_EN_CL1</t>
  </si>
  <si>
    <t>VGSP-330_155,000_EN_CL4</t>
  </si>
  <si>
    <t>VGSP-348_155,000_CC</t>
  </si>
  <si>
    <t>VGSP-330_155,000_CC3</t>
  </si>
  <si>
    <t>VGSP-330_155,000_CC1</t>
  </si>
  <si>
    <t>VGSP-330_155,000_ES_CL3</t>
  </si>
  <si>
    <t>VGSP-330_155,000_ES_CL4</t>
  </si>
  <si>
    <t>VGSP-330_155,000_ES_CL2</t>
  </si>
  <si>
    <t>VGSP-348_155,000_ES_CL3</t>
  </si>
  <si>
    <t>VGSP-348_155,000_ES_CL1</t>
  </si>
  <si>
    <t>VGSP-330_155,000_EN_CL2</t>
  </si>
  <si>
    <t>VGSP-348_155,000_EN_CL1</t>
  </si>
  <si>
    <t>VGSP-330_155,000_EN_CL3</t>
  </si>
  <si>
    <t>VGSP-348_155,000_ES_CL4</t>
  </si>
  <si>
    <t>VGSP-348_155,000_ES_CL5</t>
  </si>
  <si>
    <t>VGSP-330_155,000_ES_CL1</t>
  </si>
  <si>
    <t>VGSP-348_155,000_ES_CL2</t>
  </si>
  <si>
    <t>VGSP-330_155,000_CC2</t>
  </si>
  <si>
    <t>VGSP-348_156,000_EN_CL4</t>
  </si>
  <si>
    <t>156,000</t>
  </si>
  <si>
    <t>156,500</t>
  </si>
  <si>
    <t>VGSP-348_156,000_EN_CL5</t>
  </si>
  <si>
    <t>VGSP-348_156,000_ES_CL1</t>
  </si>
  <si>
    <t>VGSP-348_156,000_CC4</t>
  </si>
  <si>
    <t>VGSP-330_156,000_EN_CL2</t>
  </si>
  <si>
    <t>VGSP-348_156,000_CC1</t>
  </si>
  <si>
    <t>VGSP-348_156,000_ES_CL9</t>
  </si>
  <si>
    <t>VGSP-330_156,000_ES_CL1</t>
  </si>
  <si>
    <t>VGSP-330_156,000_EN_CL4</t>
  </si>
  <si>
    <t>VGSP-330_156,000_ES_CL2</t>
  </si>
  <si>
    <t>VGSP-330_156,000_EN_CL5</t>
  </si>
  <si>
    <t>VGSP-348_156,000_ES_CL5</t>
  </si>
  <si>
    <t>VGSP-348_156,000_ES_CL8</t>
  </si>
  <si>
    <t>VGSP-348_156,000_ES_CL7</t>
  </si>
  <si>
    <t>VGSP-348_156,000_ES_CL3</t>
  </si>
  <si>
    <t>VGSP-348_156,000_ES_CL11</t>
  </si>
  <si>
    <t>VGSP-348_156,000_ES_CL6</t>
  </si>
  <si>
    <t>VGSP-348_156,000_EN_CL8</t>
  </si>
  <si>
    <t>VGSP-348_156,000_EN_CL6</t>
  </si>
  <si>
    <t>VGSP-348_156,000_EN_CL7</t>
  </si>
  <si>
    <t>VGSP-348_156,000_EN_CL3</t>
  </si>
  <si>
    <t>VGSP-330_156,000_ES_CL4</t>
  </si>
  <si>
    <t>VGSP-348_156,000_CC2</t>
  </si>
  <si>
    <t>VGSP-348_156,000_EN_CL9</t>
  </si>
  <si>
    <t>VGSP-330_156,000_CC2</t>
  </si>
  <si>
    <t>VGSP-330_156,000_CC1</t>
  </si>
  <si>
    <t>VGSP-348_156,000_CC5</t>
  </si>
  <si>
    <t>VGSP-330_156,000_EN_CL1</t>
  </si>
  <si>
    <t>VGSP-348_156,000_EN_CL1</t>
  </si>
  <si>
    <t>VGSP-348_156,000_EN_CL10</t>
  </si>
  <si>
    <t>VGSP-348_156,000_CC6</t>
  </si>
  <si>
    <t>VGSP-348_156,000_CC7</t>
  </si>
  <si>
    <t>VGSP-330_156,000_ES_CL3</t>
  </si>
  <si>
    <t>VGSP-348_156,000_ES_CL10</t>
  </si>
  <si>
    <t>VGSP-348_156,000_ES_CL2</t>
  </si>
  <si>
    <t>VGSP-348_156,000_CC8</t>
  </si>
  <si>
    <t>VGSP-348_156,000_EN_CL2</t>
  </si>
  <si>
    <t>VGSP-348_156,000_ES_CL4</t>
  </si>
  <si>
    <t>VGSP-348_156,000_CC3</t>
  </si>
  <si>
    <t>VGSP-330_156,000_EN_CL3</t>
  </si>
  <si>
    <t>VGSP-330_157,000_EN_CL1</t>
  </si>
  <si>
    <t>157,000</t>
  </si>
  <si>
    <t>157,500</t>
  </si>
  <si>
    <t>VGSP-348_157,000_EN_CL1</t>
  </si>
  <si>
    <t>VGSP-330_157,000_ES_CL2</t>
  </si>
  <si>
    <t>VGSP-330_157,000_EN_CL4</t>
  </si>
  <si>
    <t>VGSP-348_157,000_ES_CL1</t>
  </si>
  <si>
    <t>VGSP-348_157,000_CC2</t>
  </si>
  <si>
    <t>VGSP-330_157,000_EN_CL3</t>
  </si>
  <si>
    <t>VGSP-330_157,000_CC1</t>
  </si>
  <si>
    <t>VGSP-330_157,000_CC5</t>
  </si>
  <si>
    <t>VGSP-330_157,000_CC4</t>
  </si>
  <si>
    <t>VGSP-330_157,000_CC3</t>
  </si>
  <si>
    <t>VGSP-348_157,000_EN_CL2</t>
  </si>
  <si>
    <t>VGSP-330_157,000_CC2</t>
  </si>
  <si>
    <t>VGSP-348_157,000_EN_CL3</t>
  </si>
  <si>
    <t>VGSP-348_157,000_CC1</t>
  </si>
  <si>
    <t>VGSP-348_157,000_ES_CL2</t>
  </si>
  <si>
    <t>VGSP-330_157,000_ES_CL1</t>
  </si>
  <si>
    <t>VGSP-348_157,000_ES_CL3</t>
  </si>
  <si>
    <t>VGSP-330_157,000_EN_CL2</t>
  </si>
  <si>
    <t>VGSP-348_158,000_ES_CL1</t>
  </si>
  <si>
    <t>158,000</t>
  </si>
  <si>
    <t>158,500</t>
  </si>
  <si>
    <t>VGSP-348_158,000_EN_CL2</t>
  </si>
  <si>
    <t>VGSP-330_158,000_ES_CL2</t>
  </si>
  <si>
    <t>VGSP-348_158,000_ES_CL2</t>
  </si>
  <si>
    <t>VGSP-348_158,000_CC3</t>
  </si>
  <si>
    <t>VGSP-348_158,000_CC2</t>
  </si>
  <si>
    <t>VGSP-348_158,000_EN_CL3</t>
  </si>
  <si>
    <t>VGSP-330_158,000_EN_CL4</t>
  </si>
  <si>
    <t>VGSP-330_158,000_ES_CL1</t>
  </si>
  <si>
    <t>VGSP-330_158,000_ES_CL5</t>
  </si>
  <si>
    <t>VGSP-330_158,000_EN_CL5</t>
  </si>
  <si>
    <t>VGSP-330_158,000_EN_CL2</t>
  </si>
  <si>
    <t>VGSP-330_158,000_CC2</t>
  </si>
  <si>
    <t>VGSP-330_158,000_ES_CL4</t>
  </si>
  <si>
    <t>VGSP-330_158,000_CC1</t>
  </si>
  <si>
    <t>VGSP-348_158,000_CC1</t>
  </si>
  <si>
    <t>VGSP-330_158,000_EN_CL1</t>
  </si>
  <si>
    <t>VGSP-330_158,000_ES_CL3</t>
  </si>
  <si>
    <t>VGSP-348_158,000_EN_CL1</t>
  </si>
  <si>
    <t>VGSP-330_158,000_EN_CL3</t>
  </si>
  <si>
    <t>VGSP-348_158,000_ES_CL3</t>
  </si>
  <si>
    <t>VGSP-348_159,000_EN_CL2</t>
  </si>
  <si>
    <t>159,000</t>
  </si>
  <si>
    <t>159,500</t>
  </si>
  <si>
    <t>VGSP-348_159,000_CC1</t>
  </si>
  <si>
    <t>VGSP-348_159,000_CC2</t>
  </si>
  <si>
    <t>VGSP-348_159,000_EN_CL1</t>
  </si>
  <si>
    <t>VGSP-348_159,000_ES_CL2</t>
  </si>
  <si>
    <t>VGSP-348_159,000_ES_CL1</t>
  </si>
  <si>
    <t>VGSP-348_160,000_EN_CL1</t>
  </si>
  <si>
    <t>160,000</t>
  </si>
  <si>
    <t>160,500</t>
  </si>
  <si>
    <t>VGSP-348_160,000_ES_CL3</t>
  </si>
  <si>
    <t>VGSP-348_160,000_ES_CL2</t>
  </si>
  <si>
    <t>VGSP-348_160,000_CC2</t>
  </si>
  <si>
    <t>VGSP-348_160,000_ES_CL1</t>
  </si>
  <si>
    <t>VGSP-348_160,000_CC3</t>
  </si>
  <si>
    <t>VGSP-348_160,000_EN_CL2</t>
  </si>
  <si>
    <t>VGSP-348_160,000_EN_CL3</t>
  </si>
  <si>
    <t>VGSP-348_160,000_ES_CL4</t>
  </si>
  <si>
    <t>VGSP-348_160,000_CC1</t>
  </si>
  <si>
    <t>VGSP-348_160,000_EN_CL4</t>
  </si>
  <si>
    <t>VGSP-348_161,000_CC1</t>
  </si>
  <si>
    <t>161,000</t>
  </si>
  <si>
    <t>161,500</t>
  </si>
  <si>
    <t>VGSP-348_161,000_ES_CL2</t>
  </si>
  <si>
    <t>VGSP-348_161,000_EN_CL1</t>
  </si>
  <si>
    <t>VGSP-348_161,000_CC2</t>
  </si>
  <si>
    <t>VGSP-348_161,000_EN_CL2</t>
  </si>
  <si>
    <t>VGSP-348_161,000_ES_CL1</t>
  </si>
  <si>
    <t>VGSP-348_162,000_EN_CL3</t>
  </si>
  <si>
    <t>162,000</t>
  </si>
  <si>
    <t>162,500</t>
  </si>
  <si>
    <t>VGSP-348_162,000_EN_CL2</t>
  </si>
  <si>
    <t>VGSP-348_162,000_CC2</t>
  </si>
  <si>
    <t>VGSP-348_162,000_ES_CL2</t>
  </si>
  <si>
    <t>VGSP-348_162,000_ES_CL1</t>
  </si>
  <si>
    <t>VGSP-348_162,000_EN_CL1</t>
  </si>
  <si>
    <t>VGSP-348_162,000_ES_CL3</t>
  </si>
  <si>
    <t>VGSP-348_162,000_ES_CL4</t>
  </si>
  <si>
    <t>VGSP-348_162,000_CC1</t>
  </si>
  <si>
    <t>VGSP-348_163,000_ES_CL1</t>
  </si>
  <si>
    <t>163,000</t>
  </si>
  <si>
    <t>163,500</t>
  </si>
  <si>
    <t>VGSP-348_163,000_ES_CL2</t>
  </si>
  <si>
    <t>VGSP-348_163,000_EN_CL1</t>
  </si>
  <si>
    <t>VGSP-348_163,000_CC1</t>
  </si>
  <si>
    <t>VGSP-348_163,000_CC2</t>
  </si>
  <si>
    <t>VGSP-348_163,000_EN_CL2</t>
  </si>
  <si>
    <t>VGSP-348_164,000_CC1</t>
  </si>
  <si>
    <t>164,000</t>
  </si>
  <si>
    <t>164,500</t>
  </si>
  <si>
    <t>VGSP-348_164,000_ES_CL3</t>
  </si>
  <si>
    <t>VGSP-348_164,000_CC4</t>
  </si>
  <si>
    <t>VGSP-348_164,000_ES_CL2</t>
  </si>
  <si>
    <t>VGSP-348_164,000_CC3</t>
  </si>
  <si>
    <t>VGSP-348_164,000_EN_CL3</t>
  </si>
  <si>
    <t>VGSP-348_164,000_EN_CL1</t>
  </si>
  <si>
    <t>VGSP-348_164,000_CC2</t>
  </si>
  <si>
    <t>VGSP-348_164,000_ES_CL1</t>
  </si>
  <si>
    <t>VGSP-348_164,000_EN_CL2</t>
  </si>
  <si>
    <t>VGSP-348_165,000_CC1</t>
  </si>
  <si>
    <t>165,000</t>
  </si>
  <si>
    <t>165,500</t>
  </si>
  <si>
    <t>VGSP-348_165,000_EN_CL1</t>
  </si>
  <si>
    <t>VGSP-348_165,000_EN_CL2</t>
  </si>
  <si>
    <t>VGSP-348_165,000_ES_CL1</t>
  </si>
  <si>
    <t>VGSP-348_165,000_ES_CL2</t>
  </si>
  <si>
    <t>VGSP-348_165,000_EN_CL3</t>
  </si>
  <si>
    <t>VGSP-348_165,000_CC2</t>
  </si>
  <si>
    <t>VGSP-348_165,000_CC3</t>
  </si>
  <si>
    <t>VGSP-348_165,000_ES_CL3</t>
  </si>
  <si>
    <t>VGSP-348_166,000_EN_CL1</t>
  </si>
  <si>
    <t>166,000</t>
  </si>
  <si>
    <t>166,500</t>
  </si>
  <si>
    <t>VGSP-348_166,000_ES_CL3</t>
  </si>
  <si>
    <t>VGSP-348_166,000_ES_CL1</t>
  </si>
  <si>
    <t>VGSP-348_166,000_CC1</t>
  </si>
  <si>
    <t>VGSP-348_166,000_EN_CL3</t>
  </si>
  <si>
    <t>VGSP-348_166,000_CC3</t>
  </si>
  <si>
    <t>VGSP-348_166,000_ES_CL2</t>
  </si>
  <si>
    <t>VGSP-348_166,000_EN_CL2</t>
  </si>
  <si>
    <t>VGSP-348_166,000_CC2</t>
  </si>
  <si>
    <t>VGSP-348_166,000_EN_CL4</t>
  </si>
  <si>
    <t>VGSP-348_167,000_ES_CL1</t>
  </si>
  <si>
    <t>167,000</t>
  </si>
  <si>
    <t>167,500</t>
  </si>
  <si>
    <t>VGSP-348_167,000_ES_CL4</t>
  </si>
  <si>
    <t>VGSP-348_167,000_ES_CL5</t>
  </si>
  <si>
    <t>VGSP-348_167,000_EN_CL2</t>
  </si>
  <si>
    <t>VGSP-348_167,000_CC4</t>
  </si>
  <si>
    <t>VGSP-348_167,000_CC2</t>
  </si>
  <si>
    <t>VGSP-348_167,000_ES_CL3</t>
  </si>
  <si>
    <t>VGSP-348_167,000_EN_CL3</t>
  </si>
  <si>
    <t>VGSP-348_167,000_ES_CL2</t>
  </si>
  <si>
    <t>VGSP-348_167,000_CC1</t>
  </si>
  <si>
    <t>VGSP-348_167,000_CC3</t>
  </si>
  <si>
    <t>VGSP-348_167,000_EN_CL1</t>
  </si>
  <si>
    <t>VGSP-348_168,000_CC4</t>
  </si>
  <si>
    <t>168,000</t>
  </si>
  <si>
    <t>168,500</t>
  </si>
  <si>
    <t>VGSP-348_168,000_CC5</t>
  </si>
  <si>
    <t>VGSP-348_168,000_ES_CL1</t>
  </si>
  <si>
    <t>VGSP-348_168,000_ES_CL2</t>
  </si>
  <si>
    <t>VGSP-348_168,000_ES_CL3</t>
  </si>
  <si>
    <t>VGSP-348_168,000_CC2</t>
  </si>
  <si>
    <t>VGSP-348_168,000_CC1</t>
  </si>
  <si>
    <t>VGSP-348_168,000_CC6</t>
  </si>
  <si>
    <t>VGSP-348_168,000_CC3</t>
  </si>
  <si>
    <t>VGSP-348_168,000_CC7</t>
  </si>
  <si>
    <t>VGSP-348_168,000_EN_CL</t>
  </si>
  <si>
    <t>VGSP-348_169,000_ES_CL2</t>
  </si>
  <si>
    <t>169,000</t>
  </si>
  <si>
    <t>169,500</t>
  </si>
  <si>
    <t>VGSP-348_169,000_EN_CL1</t>
  </si>
  <si>
    <t>VGSP-348_169,000_EN_CL2</t>
  </si>
  <si>
    <t>VGSP-348_169,000_CC2</t>
  </si>
  <si>
    <t>VGSP-348_169,000_ES_CL1</t>
  </si>
  <si>
    <t>VGSP-348_169,000_CC1</t>
  </si>
  <si>
    <t>VGSP-348_170,000_CC3</t>
  </si>
  <si>
    <t>170,000</t>
  </si>
  <si>
    <t>170,500</t>
  </si>
  <si>
    <t>VGSP-348_170,000_ES_CL2</t>
  </si>
  <si>
    <t>VGSP-348_170,000_ES_CL1</t>
  </si>
  <si>
    <t>VGSP-348_170,000_EN_CL</t>
  </si>
  <si>
    <t>VGSP-348_170,000_ES_CL3</t>
  </si>
  <si>
    <t>VGSP-348_170,000_CC1</t>
  </si>
  <si>
    <t>VGSP-348_170,000_CC2</t>
  </si>
  <si>
    <t>VGSP-348_171,000_CC1</t>
  </si>
  <si>
    <t>171,000</t>
  </si>
  <si>
    <t>171,500</t>
  </si>
  <si>
    <t>VGSP-348_171,000_EN_CL2</t>
  </si>
  <si>
    <t>VGSP-348_171,000_ES_CL2</t>
  </si>
  <si>
    <t>VGSP-348_171,000_CC2</t>
  </si>
  <si>
    <t>VGSP-348_171,000_EN_CL1</t>
  </si>
  <si>
    <t>VGSP-348_171,000_ES_CL1</t>
  </si>
  <si>
    <t>Área Pot. Mecanização</t>
  </si>
  <si>
    <t>Item</t>
  </si>
  <si>
    <t>km i</t>
  </si>
  <si>
    <t>km f</t>
  </si>
  <si>
    <t>Rodovia</t>
  </si>
  <si>
    <t>SP-102</t>
  </si>
  <si>
    <t>Trator com Braço Articulado</t>
  </si>
  <si>
    <t>Sul</t>
  </si>
  <si>
    <t>Local</t>
  </si>
  <si>
    <t>SP-330</t>
  </si>
  <si>
    <t>Causa Impeditivo atual</t>
  </si>
  <si>
    <t>Administrativa</t>
  </si>
  <si>
    <t>Detalhamento</t>
  </si>
  <si>
    <t>Não há equipamento no contrato atualmente</t>
  </si>
  <si>
    <t>Necessário abertura de defensa</t>
  </si>
  <si>
    <t>Não há equipamento no contrato atualmente/ km 80 a 80+500 necessário abertura</t>
  </si>
  <si>
    <t>SP-348</t>
  </si>
  <si>
    <t>Norte</t>
  </si>
  <si>
    <t>Administrativa/Bloqueio Físico</t>
  </si>
  <si>
    <t>Bloqueio Físico/ Administrativa</t>
  </si>
  <si>
    <t>Necessário abertura de defensa km 1 a 1+500/ Não há equipamento no contrato atualmente</t>
  </si>
  <si>
    <t>Operacional</t>
  </si>
  <si>
    <t>Neste cenário a terceira tem o implemento mas está quebrado</t>
  </si>
  <si>
    <t>aim</t>
  </si>
  <si>
    <t>Não há equipamento no contrato atualmente/ km 121 a 121+500 necessário abertura</t>
  </si>
  <si>
    <t>S</t>
  </si>
  <si>
    <t>N</t>
  </si>
  <si>
    <t>Central</t>
  </si>
  <si>
    <t>Não há equipamento no contrato atualmente/ km 109 a 109+500 necessário abertura</t>
  </si>
  <si>
    <t>Sepressão de áreas</t>
  </si>
  <si>
    <t xml:space="preserve">Latitude </t>
  </si>
  <si>
    <t>Necessário validação da Agência Reguladora, para supressão da camada vegetal nessas áreas</t>
  </si>
  <si>
    <t>C</t>
  </si>
  <si>
    <t xml:space="preserve"> </t>
  </si>
  <si>
    <t>Eixo-zero,spider</t>
  </si>
  <si>
    <t>Área total pot. de mecanização</t>
  </si>
  <si>
    <t>*Os percentuais representam a participação de cada tipo de equipamento na área total com potencial de mecanização 186.844,31</t>
  </si>
  <si>
    <t>Área total pot. Spider</t>
  </si>
  <si>
    <t>Área total pot. Trator de 1,7 m</t>
  </si>
  <si>
    <t>Área total pot. Trator com braço</t>
  </si>
  <si>
    <t>Área total pot. Eixo Zero</t>
  </si>
  <si>
    <t>Spider (robô)</t>
  </si>
  <si>
    <t>Trator de 1,7m</t>
  </si>
  <si>
    <t>Eixo Zero</t>
  </si>
  <si>
    <t>Equipamentos para as Áreas Potenciais de Mecanização</t>
  </si>
  <si>
    <t>Área potencial de mecanização de cada Equipamento</t>
  </si>
  <si>
    <t>Percentual em relação a área total</t>
  </si>
  <si>
    <t>Mecanização</t>
  </si>
  <si>
    <t>Área total</t>
  </si>
  <si>
    <t>Área manual</t>
  </si>
  <si>
    <t>Área mecânico</t>
  </si>
  <si>
    <t>área mecanizada</t>
  </si>
  <si>
    <t>Operador do Robô</t>
  </si>
  <si>
    <t>Pick up utilitária</t>
  </si>
  <si>
    <t>Robô NAVO NV22X800 + carretinha</t>
  </si>
  <si>
    <t>Braço articulado articulado com roçadeira tipo faca ou tipo trincha - Para tratores até 75cv</t>
  </si>
  <si>
    <t>Equipamentos para as Áreas Potenciais de Mecanização - AUTOBAN</t>
  </si>
  <si>
    <t>Total Geral</t>
  </si>
  <si>
    <t>Rótulos de Linha</t>
  </si>
  <si>
    <t>Contagem de Km inicial</t>
  </si>
  <si>
    <t>DELTA KM</t>
  </si>
  <si>
    <t>VGSP-348_102,000_CC</t>
  </si>
  <si>
    <t>VGSP-348_015,000_CC</t>
  </si>
  <si>
    <t>VGSP-348_016,000_CC</t>
  </si>
  <si>
    <t>VGSP-348_017,000_CC</t>
  </si>
  <si>
    <t>VGSP-348_020,000_CC</t>
  </si>
  <si>
    <t>VGSP-348_021,000_CC</t>
  </si>
  <si>
    <t>VGSP-348_022,000_CC</t>
  </si>
  <si>
    <t>VGSP-348_023,000_CC</t>
  </si>
  <si>
    <t>VGSP-348_024,000_CC</t>
  </si>
  <si>
    <t>VGSP-348_025,000_CC</t>
  </si>
  <si>
    <t>VGSP-348_026,000_CC</t>
  </si>
  <si>
    <t>VGSP-348_027,000_CC</t>
  </si>
  <si>
    <t>VGSP-348_028,000_CC</t>
  </si>
  <si>
    <t>VGSP-348_029,000_CC</t>
  </si>
  <si>
    <t>VGSP-348_031,000_CC</t>
  </si>
  <si>
    <t>VGSP-348_032,000_CC</t>
  </si>
  <si>
    <t>VGSP-348_033,000_CC</t>
  </si>
  <si>
    <t>VGSP-348_034,000_CC</t>
  </si>
  <si>
    <t>VGSP-348_035,000_CC</t>
  </si>
  <si>
    <t>VGSP-348_036,000_CC</t>
  </si>
  <si>
    <t>VGSP-348_037,000_CC</t>
  </si>
  <si>
    <t>VGSP-348_038,000_CC</t>
  </si>
  <si>
    <t>VGSP-348_039,000_CC</t>
  </si>
  <si>
    <t>VGSP-348_040,000_CC</t>
  </si>
  <si>
    <t>VGSP-348_041,000_CC</t>
  </si>
  <si>
    <t>VGSP-348_042,000_CC</t>
  </si>
  <si>
    <t>VGSP-348_043,000_CC</t>
  </si>
  <si>
    <t>VGSP-348_044,000_CC</t>
  </si>
  <si>
    <t>VGSP-348_046,000_CC</t>
  </si>
  <si>
    <t>VGSP-348_047,000_CC</t>
  </si>
  <si>
    <t>VGSP-348_048,000_CC</t>
  </si>
  <si>
    <t>VGSP-348_049,000_CC</t>
  </si>
  <si>
    <t>VGSP-348_050,000_CC</t>
  </si>
  <si>
    <t>VGSP-348_051,000_CC</t>
  </si>
  <si>
    <t>VGSP-348_052,000_CC</t>
  </si>
  <si>
    <t>VGSP-348_053,000_CC</t>
  </si>
  <si>
    <t>VGSP-348_054,000_CC</t>
  </si>
  <si>
    <t>VGSP-348_055,000_CC</t>
  </si>
  <si>
    <t>VGSP-348_056,000_CC</t>
  </si>
  <si>
    <t>VGSP-348_057,000_CC</t>
  </si>
  <si>
    <t>VGSP-348_058,000_CC</t>
  </si>
  <si>
    <t>VGSP-348_059,000_CC</t>
  </si>
  <si>
    <t>VGSP-348_060,000_CC</t>
  </si>
  <si>
    <t>VGSP-348_061,000_CC</t>
  </si>
  <si>
    <t>VGSP-348_062,000_CC</t>
  </si>
  <si>
    <t>VGSP-348_063,000_CC</t>
  </si>
  <si>
    <t>VGSP-348_064,000_CC</t>
  </si>
  <si>
    <t>VGSP-348_065,000_CC</t>
  </si>
  <si>
    <t>VGSP-348_066,000_CC</t>
  </si>
  <si>
    <t>VGSP-348_067,000_CC</t>
  </si>
  <si>
    <t>VGSP-348_068,000_CC</t>
  </si>
  <si>
    <t>VGSP-348_069,000_CC</t>
  </si>
  <si>
    <t>VGSP-348_070,000_CC</t>
  </si>
  <si>
    <t>VGSP-348_071,000_CC</t>
  </si>
  <si>
    <t>VGSP-348_072,000_CC</t>
  </si>
  <si>
    <t>VGSP-348_073,000_CC</t>
  </si>
  <si>
    <t>VGSP-348_074,000_CC</t>
  </si>
  <si>
    <t>VGSP-348_075,000_CC</t>
  </si>
  <si>
    <t>VGSP-348_076,000_CC</t>
  </si>
  <si>
    <t>VGSP-348_077,000_CC</t>
  </si>
  <si>
    <t>VGSP-348_078,000_CC</t>
  </si>
  <si>
    <t>VGSP-348_079,000_CC</t>
  </si>
  <si>
    <t>VGSP-348_080,000_CC</t>
  </si>
  <si>
    <t>VGSP-348_081,000_CC</t>
  </si>
  <si>
    <t>VGSP-348_082,000_CC</t>
  </si>
  <si>
    <t>VGSP-348_083,000_CC</t>
  </si>
  <si>
    <t>VGSP-348_084,000_CC</t>
  </si>
  <si>
    <t>VGSP-348_086,000_CC</t>
  </si>
  <si>
    <t>VGSP-348_087,000_CC</t>
  </si>
  <si>
    <t>VGSP-348_088,000_CC</t>
  </si>
  <si>
    <t>VGSP-348_089,000_CC</t>
  </si>
  <si>
    <t>VGSP-348_090,000_CC</t>
  </si>
  <si>
    <t>VGSP-348_091,000_CC</t>
  </si>
  <si>
    <t>VGSP-348_092,000_CC</t>
  </si>
  <si>
    <t>VGSP-348_093,000_CC</t>
  </si>
  <si>
    <t>VGSP-348_094,000_CC</t>
  </si>
  <si>
    <t>VGSP-348_095,000_CC</t>
  </si>
  <si>
    <t>VGSP-348_096,000_CC</t>
  </si>
  <si>
    <t>VGSP-348_097,000_CC</t>
  </si>
  <si>
    <t>VGSP-348_098,000_CC</t>
  </si>
  <si>
    <t>VGSP-348_099,000_CC</t>
  </si>
  <si>
    <t>VGSP-348_100,000_CC</t>
  </si>
  <si>
    <t>VGSP-348_101,000_CC</t>
  </si>
  <si>
    <t>VGSP-348_103,000_CC</t>
  </si>
  <si>
    <t>VGSP-348_104,000_CC</t>
  </si>
  <si>
    <t>VGSP-348_105,000_CC</t>
  </si>
  <si>
    <t>VGSP-348_106,000_CC</t>
  </si>
  <si>
    <t>VGSP-348_107,000_CC</t>
  </si>
  <si>
    <t>VGSP-348_108,000_CC</t>
  </si>
  <si>
    <t>VGSP-348_109,000_CC</t>
  </si>
  <si>
    <t>VGSP-348_110,000_CC</t>
  </si>
  <si>
    <t>VGSP-348_111,000_CC</t>
  </si>
  <si>
    <t>VGSP-348_112,000_CC</t>
  </si>
  <si>
    <t>VGSP-348_113,000_CC</t>
  </si>
  <si>
    <t>VGSP-348_114,000_CC</t>
  </si>
  <si>
    <t>VGSP-348_115,000_CC</t>
  </si>
  <si>
    <t>VGSP-348_116,000_CC</t>
  </si>
  <si>
    <t>VGSP-348_117,000_CC</t>
  </si>
  <si>
    <t>VGSP-348_118,000_CC</t>
  </si>
  <si>
    <t>VGSP-348_119,000_CC</t>
  </si>
  <si>
    <t>VGSP-348_120,000_CC</t>
  </si>
  <si>
    <t>VGSP-348_121,000_CC</t>
  </si>
  <si>
    <t>VGSP-348_122,000_CC</t>
  </si>
  <si>
    <t>VGSP-348_123,000_CC</t>
  </si>
  <si>
    <t>VGSP-348_124,000_CC</t>
  </si>
  <si>
    <t>VGSP-348_125,000_CC</t>
  </si>
  <si>
    <t>VGSP-348_126,000_CC</t>
  </si>
  <si>
    <t>VGSP-348_127,000_CC</t>
  </si>
  <si>
    <t>VGSP-348_128,000_CC</t>
  </si>
  <si>
    <t>VGSP-348_129,000_CC</t>
  </si>
  <si>
    <t>VGSP-348_130,000_CC</t>
  </si>
  <si>
    <t>VGSP-348_131,000_CC</t>
  </si>
  <si>
    <t>VGSP-348_132,000_CC</t>
  </si>
  <si>
    <t>VGSP-348_133,000_CC</t>
  </si>
  <si>
    <t>VGSP-348_134,000_CC</t>
  </si>
  <si>
    <t>VGSP-348_135,000_CC</t>
  </si>
  <si>
    <t>VGSP-348_136,000_CC</t>
  </si>
  <si>
    <t>VGSP-348_137,000_CC</t>
  </si>
  <si>
    <t>VGSP-348_138,000_CC</t>
  </si>
  <si>
    <t>VGSP-348_139,000_CC</t>
  </si>
  <si>
    <t>VGSP-348_140,000_CC</t>
  </si>
  <si>
    <t>VGSP-348_141,000_CC</t>
  </si>
  <si>
    <t>VGSP-348_142,000_CC</t>
  </si>
  <si>
    <t>VGSP-348_143,000_CC</t>
  </si>
  <si>
    <t>VGSP-348_144,000_CC</t>
  </si>
  <si>
    <t>VGSP-348_145,000_CC</t>
  </si>
  <si>
    <t>VGSP-348_146,000_CC</t>
  </si>
  <si>
    <t>VGSP-348_147,000_CC</t>
  </si>
  <si>
    <t>VGSP-348_148,000_CC</t>
  </si>
  <si>
    <t>VGSP-348_149,000_CC</t>
  </si>
  <si>
    <t>VGSP-348_150,000_CC</t>
  </si>
  <si>
    <t>VGSP-348_151,000_CC</t>
  </si>
  <si>
    <t>VGSP-348_152,000_CC</t>
  </si>
  <si>
    <t>VGSP-348_153,000_CC</t>
  </si>
  <si>
    <t>VGSP-348_156,000_CC</t>
  </si>
  <si>
    <t>VGSP-348_157,000_CC</t>
  </si>
  <si>
    <t>VGSP-348_158,000_CC</t>
  </si>
  <si>
    <t>VGSP-348_159,000_CC</t>
  </si>
  <si>
    <t>VGSP-348_160,000_CC</t>
  </si>
  <si>
    <t>VGSP-348_161,000_CC</t>
  </si>
  <si>
    <t>VGSP-348_162,000_CC</t>
  </si>
  <si>
    <t>VGSP-348_163,000_CC</t>
  </si>
  <si>
    <t>VGSP-348_164,000_CC</t>
  </si>
  <si>
    <t>VGSP-348_165,000_CC</t>
  </si>
  <si>
    <t>VGSP-348_166,000_CC</t>
  </si>
  <si>
    <t>VGSP-348_167,000_CC</t>
  </si>
  <si>
    <t>VGSP-348_168,000_CC</t>
  </si>
  <si>
    <t>VGSP-348_169,000_CC</t>
  </si>
  <si>
    <t>VGSP-348_170,000_CC</t>
  </si>
  <si>
    <t>VGSP-348_171,000_CC</t>
  </si>
  <si>
    <t>Contagem de ID2</t>
  </si>
  <si>
    <t xml:space="preserve">extensão canteiro central </t>
  </si>
  <si>
    <t>SP-300</t>
  </si>
  <si>
    <t>Largura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</si>
</sst>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3">
    <xf numFmtId="0" fontId="0" fillId="0" borderId="0" xfId="0"/>
    <xf numFmtId="4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9" fontId="1" fillId="5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0" borderId="4" xfId="0" pivotButton="1" applyBorder="1"/>
    <xf numFmtId="0" fontId="0" fillId="0" borderId="4" xfId="0" applyBorder="1"/>
    <xf numFmtId="0" fontId="0" fillId="0" borderId="2" xfId="0" pivotButton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Porcentagem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Alex Alves" refreshedDate="46216.546143518521" createdVersion="8" refreshedVersion="8" minRefreshableVersion="3" recordCount="3683" xr:uid="{BFDA791C-DB00-4D3D-BEC2-E9C2491EA751}">
  <cacheSource type="worksheet">
    <worksheetSource ref="A1:V3684" sheet="AB "/>
  </cacheSource>
  <cacheFields count="23">
    <cacheField name="ID Motiva/Quasar" numFmtId="0">
      <sharedItems containsBlank="1"/>
    </cacheField>
    <cacheField name="ID" numFmtId="0">
      <sharedItems containsBlank="1" count="239">
        <m/>
        <s v="VGSP-102_001,000_CC"/>
        <s v="VGSP-102_002,000_CC"/>
        <s v="VGSP-102_003,000_CC"/>
        <s v="VGSP-102_004,000_CC"/>
        <s v="VGSP-102_005,000_CC"/>
        <s v="VGSP-102_006,000_CC"/>
        <s v="VGSP-330_011,000_CC"/>
        <s v="VGSP-330_013,000_CC"/>
        <s v="VGSP-330_014,000_CC"/>
        <s v="VGSP-348_014,000_CC"/>
        <s v="VGSP-330_015,000_CC"/>
        <s v="VGSP-348_015,000_CC"/>
        <s v="VGSP-348_016,000_CC"/>
        <s v="VGSP-348_017,000_CC"/>
        <s v="VGSP-330_017,000_CC"/>
        <s v="VGSP-330_019,000_CC"/>
        <s v="VGSP-348_019,000_CC"/>
        <s v="VGSP-348_020,000_CC"/>
        <s v="VGSP-348_021,000_CC"/>
        <s v="VGSP-330_021,000_CC"/>
        <s v="VGSP-330_022,000_CC"/>
        <s v="VGSP-348_022,000_CC"/>
        <s v="VGSP-348_023,000_CC"/>
        <s v="VGSP-330_023,000_CC"/>
        <s v="VGSP-348_024,000_CC"/>
        <s v="VGSP-348_025,000_CC"/>
        <s v="VGSP-330_025,000_CC"/>
        <s v="VGSP-348_026,000_CC"/>
        <s v="VGSP-330_026,000_CC"/>
        <s v="VGSP-348_027,000_CC"/>
        <s v="VGSP-348_028,000_CC"/>
        <s v="VGSP-348_029,000_CC"/>
        <s v="VGSP-330_029,000_CC"/>
        <s v="VGSP-348_030,000_CC"/>
        <s v="VGSP-348_031,000_CC"/>
        <s v="VGSP-348_032,000_CC"/>
        <s v="VGSP-348_033,000_CC"/>
        <s v="VGSP-348_034,000_CC"/>
        <s v="VGSP-348_035,000_CC"/>
        <s v="VGSP-348_036,000_CC"/>
        <s v="VGSP-330_036,000_CC"/>
        <s v="VGSP-330_037,000_CC"/>
        <s v="VGSP-348_037,000_CC"/>
        <s v="VGSP-348_038,000_CC"/>
        <s v="VGSP-348_039,000_CC"/>
        <s v="VGSP-348_040,000_CC"/>
        <s v="VGSP-348_041,000_CC"/>
        <s v="VGSP-348_042,000_CC"/>
        <s v="VGSP-348_043,000_CC"/>
        <s v="VGSP-330_044,000_CC"/>
        <s v="VGSP-348_044,000_CC"/>
        <s v="VGSP-348_045,000_CC"/>
        <s v="VGSP-348_046,000_CC"/>
        <s v="VGSP-348_047,000_CC"/>
        <s v="VGSP-348_048,000_CC"/>
        <s v="VGSP-348_049,000_CC"/>
        <s v="VGSP-330_050,000_CC"/>
        <s v="VGSP-348_050,000_CC"/>
        <s v="VGSP-330_051,000_CC"/>
        <s v="VGSP-348_051,000_CC"/>
        <s v="VGSP-330_052,000_CC"/>
        <s v="VGSP-348_052,000_CC"/>
        <s v="VGSP-348_053,000_CC"/>
        <s v="VGSP-348_054,000_CC"/>
        <s v="VGSP-348_055,000_CC"/>
        <s v="VGSP-348_056,000_CC"/>
        <s v="VGSP-330_056,000_CC"/>
        <s v="VGSP-348_057,000_CC"/>
        <s v="VGSP-348_058,000_CC"/>
        <s v="VGSP-330_058,000_CC"/>
        <s v="VGSP-348_059,000_CC"/>
        <s v="VGSP-330_059,000_CC"/>
        <s v="VGSP-348_060,000_CC"/>
        <s v="VGSP-348_061,000_CC"/>
        <s v="VGSP-348_062,000_CC"/>
        <s v="VGSP-330_062,000_CC"/>
        <s v="VGSP-348_063,000_CC"/>
        <s v="VGSP-300_063,000_CC"/>
        <s v="VGSP-300_064,000_CC"/>
        <s v="VGSP-348_064,000_CC"/>
        <s v="VGSP-348_065,000_CC"/>
        <s v="VGSP-348_066,000_CC"/>
        <s v="VGSP-348_067,000_CC"/>
        <s v="VGSP-348_068,000_CC"/>
        <s v="VGSP-348_069,000_CC"/>
        <s v="VGSP-348_070,000_CC"/>
        <s v="VGSP-348_071,000_CC"/>
        <s v="VGSP-348_072,000_CC"/>
        <s v="VGSP-348_073,000_CC"/>
        <s v="VGSP-348_074,000_CC"/>
        <s v="VGSP-348_075,000_CC"/>
        <s v="VGSP-348_076,000_CC"/>
        <s v="VGSP-330_076,000_CC"/>
        <s v="VGSP-348_077,000_CC"/>
        <s v="VGSP-348_078,000_CC"/>
        <s v="VGSP-348_079,000_CC"/>
        <s v="VGSP-348_080,000_CC"/>
        <s v="VGSP-348_081,000_CC"/>
        <s v="VGSP-348_082,000_CC"/>
        <s v="VGSP-330_082,000_CC"/>
        <s v="VGSP-348_083,000_CC"/>
        <s v="VGSP-330_083,000_CC"/>
        <s v="VGSP-348_084,000_CC"/>
        <s v="VGSP-348_085,000_CC"/>
        <s v="VGSP-348_086,000_CC"/>
        <s v="VGSP-348_087,000_CC"/>
        <s v="VGSP-348_088,000_CC"/>
        <s v="VGSP-348_089,000_CC"/>
        <s v="VGSP-348_090,000_CC"/>
        <s v="VGSP-348_091,000_CC"/>
        <s v="VGSP-330_092,000_CC"/>
        <s v="VGSP-348_092,000_CC"/>
        <s v="VGSP-348_093,000_CC"/>
        <s v="VGSP-330_093,000_CC"/>
        <s v="VGSP-348_094,000_CC"/>
        <s v="VGSP-348_095,000_CC"/>
        <s v="VGSP-348_096,000_CC"/>
        <s v="VGSP-330_096,000_CC"/>
        <s v="VGSP-348_097,000_CC"/>
        <s v="VGSP-330_098,000_CC"/>
        <s v="VGSP-348_098,000_CC"/>
        <s v="VGSP-330_099,000_CC"/>
        <s v="VGSP-348_099,000_CC"/>
        <s v="VGSP-330_100,000_CC"/>
        <s v="VGSP-348_100,000_CC"/>
        <s v="VGSP-330_101,000_CC"/>
        <s v="VGSP-348_101,000_CC"/>
        <s v="VGSP-330_102,000_CC"/>
        <s v="VGSP-348_102,000_CC"/>
        <s v="VGSP-330_103,000_CC"/>
        <s v="VGSP-348_103,000_CC"/>
        <s v="VGSP-330_104,000_CC"/>
        <s v="VGSP-348_104,000_CC"/>
        <s v="VGSP-348_105,000_CC"/>
        <s v="VGSP-330_105,000_CC"/>
        <s v="VGSP-330_106,000_CC"/>
        <s v="VGSP-348_106,000_CC"/>
        <s v="VGSP-348_107,000_CC"/>
        <s v="VGSP-330_107,000_CC"/>
        <s v="VGSP-348_108,000_CC"/>
        <s v="VGSP-330_108,000_CC"/>
        <s v="VGSP-348_109,000_CC"/>
        <s v="VGSP-330_109,000_CC"/>
        <s v="VGSP-330_110,000_CC"/>
        <s v="VGSP-348_110,000_CC"/>
        <s v="VGSP-348_111,000_CC"/>
        <s v="VGSP-330_111,000_CC"/>
        <s v="VGSP-348_112,000_CC"/>
        <s v="VGSP-330_112,000_CC"/>
        <s v="VGSP-348_113,000_CC"/>
        <s v="VGSP-330_113,000_CC"/>
        <s v="VGSP-348_114,000_CC"/>
        <s v="VGSP-330_114,000_CC"/>
        <s v="VGSP-330_115,000_CC"/>
        <s v="VGSP-348_115,000_CC"/>
        <s v="VGSP-348_116,000_CC"/>
        <s v="VGSP-330_116,000_CC"/>
        <s v="VGSP-348_117,000_CC"/>
        <s v="VGSP-330_117,000_CC"/>
        <s v="VGSP-330_118,000_CC"/>
        <s v="VGSP-348_118,000_CC"/>
        <s v="VGSP-348_119,000_CC"/>
        <s v="VGSP-348_120,000_CC"/>
        <s v="VGSP-330_120,000_CC"/>
        <s v="VGSP-348_121,000_CC"/>
        <s v="VGSP-348_122,000_CC"/>
        <s v="VGSP-348_123,000_CC"/>
        <s v="VGSP-348_124,000_CC"/>
        <s v="VGSP-330_125,000_CC"/>
        <s v="VGSP-348_125,000_CC"/>
        <s v="VGSP-330_126,000_CC"/>
        <s v="VGSP-348_126,000_CC"/>
        <s v="VGSP-348_127,000_CC"/>
        <s v="VGSP-330_127,000_CC"/>
        <s v="VGSP-348_128,000_CC"/>
        <s v="VGSP-330_128,000_CC"/>
        <s v="VGSP-348_129,000_CC"/>
        <s v="VGSP-330_129,000_CC"/>
        <s v="VGSP-330_130,000_CC"/>
        <s v="VGSP-348_130,000_CC"/>
        <s v="VGSP-330_131,000_CC"/>
        <s v="VGSP-348_131,000_CC"/>
        <s v="VGSP-330_132,000_CC"/>
        <s v="VGSP-348_132,000_CC"/>
        <s v="VGSP-330_133,000_CC"/>
        <s v="VGSP-348_133,000_CC"/>
        <s v="VGSP-348_134,000_CC"/>
        <s v="VGSP-348_135,000_CC"/>
        <s v="VGSP-330_136,000_CC"/>
        <s v="VGSP-348_136,000_CC"/>
        <s v="VGSP-348_137,000_CC"/>
        <s v="VGSP-348_138,000_CC"/>
        <s v="VGSP-348_139,000_CC"/>
        <s v="VGSP-348_140,000_CC"/>
        <s v="VGSP-348_141,000_CC"/>
        <s v="VGSP-348_142,000_CC"/>
        <s v="VGSP-348_143,000_CC"/>
        <s v="VGSP-348_144,000_CC"/>
        <s v="VGSP-348_145,000_CC"/>
        <s v="VGSP-330_146,000_CC"/>
        <s v="VGSP-348_146,000_CC"/>
        <s v="VGSP-330_147,000_CC"/>
        <s v="VGSP-348_147,000_CC"/>
        <s v="VGSP-330_148,000_CC"/>
        <s v="VGSP-348_148,000_CC"/>
        <s v="VGSP-330_149,000_CC"/>
        <s v="VGSP-348_149,000_CC"/>
        <s v="VGSP-348_150,000_CC"/>
        <s v="VGSP-330_150,000_CC"/>
        <s v="VGSP-330_151,000_CC"/>
        <s v="VGSP-348_151,000_CC"/>
        <s v="VGSP-330_152,000_CC"/>
        <s v="VGSP-348_152,000_CC"/>
        <s v="VGSP-348_153,000_CC"/>
        <s v="VGSP-330_153,000_CC"/>
        <s v="VGSP-348_154,000_CC"/>
        <s v="VGSP-330_154,000_CC"/>
        <s v="VGSP-348_155,000_CC"/>
        <s v="VGSP-330_155,000_CC"/>
        <s v="VGSP-348_156,000_CC"/>
        <s v="VGSP-330_156,000_CC"/>
        <s v="VGSP-348_157,000_CC"/>
        <s v="VGSP-330_157,000_CC"/>
        <s v="VGSP-348_158,000_CC"/>
        <s v="VGSP-330_158,000_CC"/>
        <s v="VGSP-348_159,000_CC"/>
        <s v="VGSP-348_160,000_CC"/>
        <s v="VGSP-348_161,000_CC"/>
        <s v="VGSP-348_162,000_CC"/>
        <s v="VGSP-348_163,000_CC"/>
        <s v="VGSP-348_164,000_CC"/>
        <s v="VGSP-348_165,000_CC"/>
        <s v="VGSP-348_166,000_CC"/>
        <s v="VGSP-348_167,000_CC"/>
        <s v="VGSP-348_168,000_CC"/>
        <s v="VGSP-348_169,000_CC"/>
        <s v="VGSP-348_170,000_CC"/>
        <s v="VGSP-348_171,000_CC"/>
      </sharedItems>
    </cacheField>
    <cacheField name="Km inicial" numFmtId="0">
      <sharedItems containsBlank="1"/>
    </cacheField>
    <cacheField name="Campo4" caption="Campo4" numFmtId="0">
      <sharedItems containsNonDate="0" containsString="0" containsBlank="1"/>
    </cacheField>
    <cacheField name="Km final" numFmtId="0">
      <sharedItems containsBlank="1"/>
    </cacheField>
    <cacheField name="DELTA KM" numFmtId="0">
      <sharedItems containsString="0" containsBlank="1" containsNumber="1" minValue="0.5" maxValue="0.5"/>
    </cacheField>
    <cacheField name="Canteiro" numFmtId="0">
      <sharedItems containsBlank="1" count="3">
        <s v="CL"/>
        <s v="CC"/>
        <m/>
      </sharedItems>
    </cacheField>
    <cacheField name="Sentido" numFmtId="0">
      <sharedItems containsBlank="1"/>
    </cacheField>
    <cacheField name="Latitude" numFmtId="0">
      <sharedItems containsString="0" containsBlank="1" containsNumber="1" minValue="-23.513938699891039" maxValue="-22.458085037317421"/>
    </cacheField>
    <cacheField name="Longitude" numFmtId="0">
      <sharedItems containsString="0" containsBlank="1" containsNumber="1" minValue="-47.463912312428207" maxValue="-46.720418500029062"/>
    </cacheField>
    <cacheField name="Área" numFmtId="4">
      <sharedItems containsString="0" containsBlank="1" containsNumber="1" minValue="0" maxValue="53498.05"/>
    </cacheField>
    <cacheField name="Inclinação" numFmtId="0">
      <sharedItems containsSemiMixedTypes="0" containsString="0" containsNumber="1" minValue="0.33" maxValue="9640313.2399999946"/>
    </cacheField>
    <cacheField name="% mecanização" numFmtId="0">
      <sharedItems containsString="0" containsBlank="1" containsNumber="1" containsInteger="1" minValue="0" maxValue="100"/>
    </cacheField>
    <cacheField name="área mecanizada" numFmtId="0">
      <sharedItems containsNonDate="0" containsString="0" containsBlank="1"/>
    </cacheField>
    <cacheField name="Área Pot. Mecanização" numFmtId="4">
      <sharedItems containsString="0" containsBlank="1" containsNumber="1" minValue="0" maxValue="6831.9039999999995"/>
    </cacheField>
    <cacheField name="Equipamento" numFmtId="0">
      <sharedItems containsBlank="1"/>
    </cacheField>
    <cacheField name="Observação" numFmtId="0">
      <sharedItems containsBlank="1"/>
    </cacheField>
    <cacheField name="Supressão" numFmtId="0">
      <sharedItems containsBlank="1"/>
    </cacheField>
    <cacheField name="Bloqueio Físico" numFmtId="0">
      <sharedItems containsBlank="1"/>
    </cacheField>
    <cacheField name="Causas Operacionais" numFmtId="0">
      <sharedItems containsBlank="1"/>
    </cacheField>
    <cacheField name="Condições Administrativas" numFmtId="0">
      <sharedItems containsBlank="1"/>
    </cacheField>
    <cacheField name="Mecanização" numFmtId="0">
      <sharedItems containsSemiMixedTypes="0" containsString="0" containsNumber="1" minValue="0" maxValue="4971911.2394999955"/>
    </cacheField>
    <cacheField name="Mecanização2" numFmtId="0">
      <sharedItems containsString="0" containsBlank="1" containsNumber="1" minValue="0" maxValue="4971911.23949999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3">
  <r>
    <s v="VGSP-102_001,000_ES_CL3"/>
    <x v="0"/>
    <s v="1,000"/>
    <m/>
    <s v="1,500"/>
    <m/>
    <x v="0"/>
    <s v="S"/>
    <n v="-22.872293413439539"/>
    <n v="-47.131860939192613"/>
    <n v="142.44999999999999"/>
    <n v="4.9800000000000004"/>
    <n v="30"/>
    <m/>
    <n v="0"/>
    <s v="Trator 1.7m"/>
    <m/>
    <s v="Não"/>
    <s v="Não"/>
    <s v="Não"/>
    <s v="Não"/>
    <n v="42.734999999999992"/>
    <n v="42.734999999999992"/>
  </r>
  <r>
    <s v="VGSP-102_001,000_CC2"/>
    <x v="1"/>
    <s v="1,000"/>
    <m/>
    <s v="1,500"/>
    <m/>
    <x v="1"/>
    <s v="C"/>
    <n v="-22.87064902825011"/>
    <n v="-47.131750965529733"/>
    <n v="13141.37"/>
    <n v="4.13"/>
    <n v="50"/>
    <m/>
    <n v="0"/>
    <s v="Trator 1.7m"/>
    <m/>
    <s v="Não"/>
    <s v="Não"/>
    <s v="Não"/>
    <s v="Não"/>
    <n v="6570.6850000000004"/>
    <n v="6570.6850000000004"/>
  </r>
  <r>
    <s v="VGSP-102_001,000_EN_CL1"/>
    <x v="0"/>
    <s v="1,000"/>
    <m/>
    <s v="1,500"/>
    <m/>
    <x v="0"/>
    <s v="N"/>
    <n v="-22.870434372791031"/>
    <n v="-47.131452162097482"/>
    <n v="1782.96"/>
    <n v="3.97"/>
    <n v="65"/>
    <m/>
    <n v="1158.924"/>
    <s v="Trator com braço articulado"/>
    <m/>
    <s v="Não"/>
    <s v="Sim"/>
    <s v="Não"/>
    <s v="Sim"/>
    <n v="0"/>
    <m/>
  </r>
  <r>
    <s v="VGSP-102_001,000_ES_CL2"/>
    <x v="0"/>
    <s v="1,000"/>
    <m/>
    <s v="1,500"/>
    <m/>
    <x v="0"/>
    <s v="S"/>
    <n v="-22.87244395417467"/>
    <n v="-47.131960339333077"/>
    <n v="181.51"/>
    <n v="4.5"/>
    <n v="30"/>
    <m/>
    <n v="0"/>
    <s v="Trator 1.7m"/>
    <m/>
    <s v="Não"/>
    <s v="Não"/>
    <s v="Não"/>
    <s v="Não"/>
    <n v="54.452999999999996"/>
    <n v="54.452999999999996"/>
  </r>
  <r>
    <s v="VGSP-102_001,000_CC1"/>
    <x v="1"/>
    <s v="1,000"/>
    <m/>
    <s v="1,500"/>
    <m/>
    <x v="1"/>
    <s v="C"/>
    <n v="-22.874740541027059"/>
    <n v="-47.131259901617717"/>
    <n v="14948.87"/>
    <n v="3.68"/>
    <n v="50"/>
    <m/>
    <n v="0"/>
    <s v="Trator 1.7m"/>
    <m/>
    <s v="Não"/>
    <s v="Não"/>
    <s v="Não"/>
    <s v="Não"/>
    <n v="7474.4350000000004"/>
    <n v="7474.4350000000004"/>
  </r>
  <r>
    <s v="VGSP-102_001,000_EN_CL2"/>
    <x v="0"/>
    <s v="1,000"/>
    <m/>
    <s v="1,500"/>
    <m/>
    <x v="0"/>
    <s v="N"/>
    <n v="-22.874699975263422"/>
    <n v="-47.130945455290203"/>
    <n v="1775.42"/>
    <n v="5.94"/>
    <n v="65"/>
    <m/>
    <n v="1154.0230000000001"/>
    <s v="Trator com braço articulado"/>
    <m/>
    <s v="Não"/>
    <s v="Sim"/>
    <s v="Não"/>
    <s v="Sim"/>
    <n v="0"/>
    <m/>
  </r>
  <r>
    <s v="VGSP-102_001,000_ES_CL4"/>
    <x v="0"/>
    <s v="1,000"/>
    <m/>
    <s v="1,500"/>
    <m/>
    <x v="0"/>
    <s v="S"/>
    <n v="-22.870435567915859"/>
    <n v="-47.132125844695011"/>
    <n v="1708.11"/>
    <n v="5"/>
    <n v="70"/>
    <m/>
    <n v="1195.6769999999999"/>
    <s v="Trator com braço articulado"/>
    <m/>
    <s v="Não"/>
    <s v="Não"/>
    <s v="Não"/>
    <s v="Sim"/>
    <n v="0"/>
    <m/>
  </r>
  <r>
    <s v="VGSP-102_001,000_ES_CL1"/>
    <x v="0"/>
    <s v="1,000"/>
    <m/>
    <s v="1,500"/>
    <m/>
    <x v="0"/>
    <s v="S"/>
    <n v="-22.874752010047569"/>
    <n v="-47.131572441543739"/>
    <n v="1775.38"/>
    <n v="2.33"/>
    <n v="70"/>
    <m/>
    <n v="1242.7660000000001"/>
    <s v="Trator com braço articulado"/>
    <m/>
    <s v="Não"/>
    <s v="Não"/>
    <s v="Não"/>
    <s v="Sim"/>
    <n v="0"/>
    <m/>
  </r>
  <r>
    <s v="VGSP-102_002,000_EN_CL1"/>
    <x v="0"/>
    <s v="2,000"/>
    <m/>
    <s v="2,500"/>
    <m/>
    <x v="0"/>
    <s v="N"/>
    <n v="-22.885221865306349"/>
    <n v="-47.130885131611123"/>
    <n v="537.91"/>
    <n v="3.97"/>
    <n v="30"/>
    <m/>
    <n v="0"/>
    <s v="Trator 1.7m"/>
    <m/>
    <s v="Não"/>
    <s v="Não"/>
    <s v="Não"/>
    <s v="Não"/>
    <n v="161.37299999999999"/>
    <n v="161.37299999999999"/>
  </r>
  <r>
    <s v="VGSP-102_002,000_ES_CL3"/>
    <x v="0"/>
    <s v="2,000"/>
    <m/>
    <s v="2,500"/>
    <m/>
    <x v="0"/>
    <s v="S"/>
    <n v="-22.87936209440916"/>
    <n v="-47.131089766409168"/>
    <n v="2009.47"/>
    <n v="2.5499999999999998"/>
    <n v="70"/>
    <m/>
    <n v="1406.6289999999999"/>
    <s v="Trator com braço articulado"/>
    <m/>
    <s v="Não"/>
    <s v="Não"/>
    <s v="Não"/>
    <s v="Sim"/>
    <n v="0"/>
    <m/>
  </r>
  <r>
    <s v="VGSP-102_002,000_EN_CL3"/>
    <x v="0"/>
    <s v="2,000"/>
    <m/>
    <s v="2,500"/>
    <m/>
    <x v="0"/>
    <s v="N"/>
    <n v="-22.88319119747576"/>
    <n v="-47.130494014240263"/>
    <n v="1180.71"/>
    <n v="1.48"/>
    <n v="30"/>
    <m/>
    <n v="0"/>
    <s v="Trator 1.7m"/>
    <m/>
    <s v="Não"/>
    <s v="Não"/>
    <s v="Não"/>
    <s v="Não"/>
    <n v="354.21300000000002"/>
    <n v="354.21300000000002"/>
  </r>
  <r>
    <s v="VGSP-102_002,000_CC2"/>
    <x v="2"/>
    <s v="2,000"/>
    <m/>
    <s v="2,500"/>
    <m/>
    <x v="1"/>
    <s v="C"/>
    <n v="-22.88312424894221"/>
    <n v="-47.13079857019973"/>
    <n v="9163.4599999999991"/>
    <n v="1.86"/>
    <n v="50"/>
    <m/>
    <n v="0"/>
    <s v="Trator 1.7m"/>
    <m/>
    <s v="Não"/>
    <s v="Não"/>
    <s v="Não"/>
    <s v="Não"/>
    <n v="4581.7299999999996"/>
    <n v="4581.7299999999996"/>
  </r>
  <r>
    <s v="VGSP-102_002,000_ES_CL1"/>
    <x v="0"/>
    <s v="2,000"/>
    <m/>
    <s v="2,500"/>
    <m/>
    <x v="0"/>
    <s v="S"/>
    <n v="-22.88510875972711"/>
    <n v="-47.131492281448779"/>
    <n v="486.94"/>
    <n v="4"/>
    <n v="70"/>
    <m/>
    <n v="340.858"/>
    <s v="Trator com braço articulado"/>
    <m/>
    <s v="Não"/>
    <s v="Não"/>
    <s v="Não"/>
    <s v="Sim"/>
    <n v="0"/>
    <m/>
  </r>
  <r>
    <s v="VGSP-102_002,000_ES_CL2"/>
    <x v="0"/>
    <s v="2,000"/>
    <m/>
    <s v="2,500"/>
    <m/>
    <x v="0"/>
    <s v="S"/>
    <n v="-22.883141594312761"/>
    <n v="-47.131122402412458"/>
    <n v="1093.43"/>
    <n v="2.39"/>
    <n v="70"/>
    <m/>
    <n v="765.40099999999995"/>
    <s v="Trator com braço articulado"/>
    <m/>
    <s v="Não"/>
    <s v="Não"/>
    <s v="Não"/>
    <s v="Sim"/>
    <n v="0"/>
    <m/>
  </r>
  <r>
    <s v="VGSP-102_002,000_CC3"/>
    <x v="2"/>
    <s v="2,000"/>
    <m/>
    <s v="2,500"/>
    <m/>
    <x v="1"/>
    <s v="C"/>
    <n v="-22.879328385768108"/>
    <n v="-47.130775795706292"/>
    <n v="16782.150000000001"/>
    <n v="2.73"/>
    <n v="50"/>
    <m/>
    <n v="0"/>
    <s v="Trator 1.7m"/>
    <m/>
    <s v="Não"/>
    <s v="Não"/>
    <s v="Não"/>
    <s v="Não"/>
    <n v="8391.0750000000007"/>
    <n v="8391.0750000000007"/>
  </r>
  <r>
    <s v="VGSP-102_002,000_EN_CL2"/>
    <x v="0"/>
    <s v="2,000"/>
    <m/>
    <s v="2,500"/>
    <m/>
    <x v="0"/>
    <s v="N"/>
    <n v="-22.879305441330729"/>
    <n v="-47.130465012241459"/>
    <n v="2005.28"/>
    <n v="3.34"/>
    <n v="30"/>
    <m/>
    <n v="0"/>
    <s v="Trator 1.7m"/>
    <m/>
    <s v="Não"/>
    <s v="Não"/>
    <s v="Não"/>
    <s v="Não"/>
    <n v="601.58399999999995"/>
    <n v="601.58399999999995"/>
  </r>
  <r>
    <s v="VGSP-102_002,000_CC1"/>
    <x v="2"/>
    <s v="2,000"/>
    <m/>
    <s v="2,500"/>
    <m/>
    <x v="1"/>
    <s v="C"/>
    <n v="-22.885185646757471"/>
    <n v="-47.131190230415918"/>
    <n v="4137.74"/>
    <n v="3.73"/>
    <n v="50"/>
    <m/>
    <n v="0"/>
    <s v="Trator 1.7m"/>
    <m/>
    <s v="Não"/>
    <s v="Não"/>
    <s v="Não"/>
    <s v="Não"/>
    <n v="2068.87"/>
    <n v="2068.87"/>
  </r>
  <r>
    <s v="VGSP-102_003,000_ES_CL3"/>
    <x v="0"/>
    <s v="3,000"/>
    <m/>
    <s v="3,500"/>
    <m/>
    <x v="0"/>
    <s v="S"/>
    <n v="-22.88756885494346"/>
    <n v="-47.132393784861009"/>
    <n v="1638"/>
    <n v="3.99"/>
    <n v="70"/>
    <m/>
    <n v="1146.5999999999999"/>
    <s v="Trator com braço articulado"/>
    <m/>
    <s v="Não"/>
    <s v="Não"/>
    <s v="Não"/>
    <s v="Sim"/>
    <n v="0"/>
    <m/>
  </r>
  <r>
    <s v="VGSP-102_003,000_CC3"/>
    <x v="3"/>
    <s v="3,000"/>
    <m/>
    <s v="3,500"/>
    <m/>
    <x v="1"/>
    <s v="C"/>
    <n v="-22.89013473087093"/>
    <n v="-47.133174307372201"/>
    <n v="4566.32"/>
    <n v="4.54"/>
    <n v="50"/>
    <m/>
    <n v="0"/>
    <s v="Trator 1.7m"/>
    <m/>
    <s v="Não"/>
    <s v="Não"/>
    <s v="Não"/>
    <s v="Não"/>
    <n v="2283.16"/>
    <n v="2283.16"/>
  </r>
  <r>
    <s v="VGSP-102_003,000_ES_CL4"/>
    <x v="0"/>
    <s v="3,000"/>
    <m/>
    <s v="3,500"/>
    <m/>
    <x v="0"/>
    <s v="S"/>
    <n v="-22.890032036203511"/>
    <n v="-47.133502887006912"/>
    <n v="552.45000000000005"/>
    <n v="4.9800000000000004"/>
    <n v="65"/>
    <m/>
    <n v="359.09250000000003"/>
    <s v="Trator com braço articulado, Spider"/>
    <m/>
    <s v="Não"/>
    <s v="Sim"/>
    <s v="Não"/>
    <s v="Sim"/>
    <n v="0"/>
    <m/>
  </r>
  <r>
    <s v="VGSP-102_003,000_CC4"/>
    <x v="3"/>
    <s v="3,000"/>
    <m/>
    <s v="3,500"/>
    <m/>
    <x v="1"/>
    <s v="C"/>
    <n v="-22.887652133357481"/>
    <n v="-47.132087139164433"/>
    <n v="13724.57"/>
    <n v="3.11"/>
    <n v="50"/>
    <m/>
    <n v="0"/>
    <s v="Trator 1.7m"/>
    <m/>
    <s v="Não"/>
    <s v="Não"/>
    <s v="Não"/>
    <s v="Não"/>
    <n v="6862.2849999999999"/>
    <n v="6862.2849999999999"/>
  </r>
  <r>
    <s v="VGSP-102_003,000_CC2"/>
    <x v="3"/>
    <s v="3,000"/>
    <m/>
    <s v="3,500"/>
    <m/>
    <x v="1"/>
    <s v="C"/>
    <n v="-22.891916490229381"/>
    <n v="-47.133986461766739"/>
    <n v="7322.67"/>
    <n v="4.92"/>
    <n v="50"/>
    <m/>
    <n v="0"/>
    <s v="Trator 1.7m"/>
    <m/>
    <s v="Não"/>
    <s v="Não"/>
    <s v="Não"/>
    <s v="Não"/>
    <n v="3661.335"/>
    <n v="3661.335"/>
  </r>
  <r>
    <s v="VGSP-102_003,000_CC1"/>
    <x v="3"/>
    <s v="3,000"/>
    <m/>
    <s v="3,500"/>
    <m/>
    <x v="1"/>
    <s v="C"/>
    <n v="-22.89374410944211"/>
    <n v="-47.134814629218148"/>
    <n v="4150.7"/>
    <n v="5.23"/>
    <n v="50"/>
    <m/>
    <n v="0"/>
    <s v="Trator 1.7m"/>
    <m/>
    <s v="Não"/>
    <s v="Não"/>
    <s v="Não"/>
    <s v="Não"/>
    <n v="2075.35"/>
    <n v="2075.35"/>
  </r>
  <r>
    <s v="VGSP-102_003,000_EN_CL5"/>
    <x v="0"/>
    <s v="3,000"/>
    <m/>
    <s v="3,500"/>
    <m/>
    <x v="0"/>
    <s v="N"/>
    <n v="-22.890051538455129"/>
    <n v="-47.132809018627597"/>
    <n v="397.68"/>
    <n v="7.45"/>
    <n v="30"/>
    <m/>
    <n v="0"/>
    <s v="Trator 1.7m"/>
    <m/>
    <s v="Não"/>
    <s v="Não"/>
    <s v="Não"/>
    <s v="Não"/>
    <n v="119.304"/>
    <n v="119.304"/>
  </r>
  <r>
    <s v="VGSP-102_003,000_EN_CL3"/>
    <x v="0"/>
    <s v="3,000"/>
    <m/>
    <s v="3,500"/>
    <m/>
    <x v="0"/>
    <s v="N"/>
    <n v="-22.891976044985881"/>
    <n v="-47.133671981587923"/>
    <n v="964.3"/>
    <n v="6.28"/>
    <n v="30"/>
    <m/>
    <n v="0"/>
    <s v="Trator 1.7m"/>
    <m/>
    <s v="Não"/>
    <s v="Não"/>
    <s v="Não"/>
    <s v="Não"/>
    <n v="289.28999999999996"/>
    <n v="289.28999999999996"/>
  </r>
  <r>
    <s v="VGSP-102_003,000_EN_CL1"/>
    <x v="0"/>
    <s v="3,000"/>
    <m/>
    <s v="3,500"/>
    <m/>
    <x v="0"/>
    <s v="N"/>
    <n v="-22.893853656547972"/>
    <n v="-47.134553419845702"/>
    <n v="473.99"/>
    <n v="6.07"/>
    <n v="30"/>
    <m/>
    <n v="0"/>
    <s v="Trator 1.7m"/>
    <m/>
    <s v="Não"/>
    <s v="Não"/>
    <s v="Não"/>
    <s v="Não"/>
    <n v="142.197"/>
    <n v="142.197"/>
  </r>
  <r>
    <s v="VGSP-102_003,000_ES_CL2"/>
    <x v="0"/>
    <s v="3,000"/>
    <m/>
    <s v="3,500"/>
    <m/>
    <x v="0"/>
    <s v="S"/>
    <n v="-22.89172550343827"/>
    <n v="-47.134251764012546"/>
    <n v="934.25"/>
    <n v="4.57"/>
    <n v="70"/>
    <m/>
    <n v="653.97499999999991"/>
    <s v="Trator com braço articulado"/>
    <m/>
    <s v="Não"/>
    <s v="Não"/>
    <s v="Não"/>
    <s v="Sim"/>
    <n v="0"/>
    <m/>
  </r>
  <r>
    <s v="VGSP-102_003,000_ES_CL1"/>
    <x v="0"/>
    <s v="3,000"/>
    <m/>
    <s v="3,500"/>
    <m/>
    <x v="0"/>
    <s v="S"/>
    <n v="-22.893628872973771"/>
    <n v="-47.13510539555071"/>
    <n v="509.62"/>
    <n v="4.0999999999999996"/>
    <n v="70"/>
    <m/>
    <n v="356.73399999999998"/>
    <s v="Trator com braço articulado"/>
    <m/>
    <s v="Não"/>
    <s v="Não"/>
    <s v="Não"/>
    <s v="Sim"/>
    <n v="0"/>
    <m/>
  </r>
  <r>
    <s v="VGSP-102_003,000_EN_CL4"/>
    <x v="0"/>
    <s v="3,000"/>
    <m/>
    <s v="3,500"/>
    <m/>
    <x v="0"/>
    <s v="N"/>
    <n v="-22.887743578522951"/>
    <n v="-47.131794828198551"/>
    <n v="1636.96"/>
    <n v="3.66"/>
    <n v="30"/>
    <m/>
    <n v="0"/>
    <s v="Trator 1.7m"/>
    <m/>
    <s v="Não"/>
    <s v="Não"/>
    <s v="Não"/>
    <s v="Não"/>
    <n v="491.08799999999997"/>
    <n v="491.08799999999997"/>
  </r>
  <r>
    <s v="VGSP-102_003,000_EN_CL2"/>
    <x v="0"/>
    <s v="3,000"/>
    <m/>
    <s v="3,500"/>
    <m/>
    <x v="0"/>
    <s v="N"/>
    <n v="-22.893194677695249"/>
    <n v="-47.134222159854652"/>
    <n v="8.11"/>
    <n v="4.08"/>
    <m/>
    <m/>
    <n v="0"/>
    <m/>
    <m/>
    <s v="Não"/>
    <s v="Não"/>
    <s v="Não"/>
    <s v="Não"/>
    <n v="0"/>
    <n v="0"/>
  </r>
  <r>
    <s v="VGSP-102_004,000_ES_CL2"/>
    <x v="0"/>
    <s v="4,000"/>
    <m/>
    <s v="4,500"/>
    <m/>
    <x v="0"/>
    <s v="S"/>
    <n v="-22.89722968994862"/>
    <n v="-47.136581919509233"/>
    <n v="1223.3599999999999"/>
    <n v="5.29"/>
    <n v="65"/>
    <m/>
    <n v="795.18399999999997"/>
    <s v="Trator com braço articulado"/>
    <m/>
    <s v="Não"/>
    <s v="Não"/>
    <s v="Não"/>
    <s v="Sim"/>
    <n v="0"/>
    <m/>
  </r>
  <r>
    <s v="VGSP-102_004,000_EN_CL1"/>
    <x v="0"/>
    <s v="4,000"/>
    <m/>
    <s v="4,500"/>
    <m/>
    <x v="0"/>
    <s v="N"/>
    <n v="-22.901182107313421"/>
    <n v="-47.13656112082932"/>
    <n v="1900.28"/>
    <n v="6.35"/>
    <n v="30"/>
    <m/>
    <n v="0"/>
    <s v="Trator 1.7m"/>
    <m/>
    <s v="Não"/>
    <s v="Não"/>
    <s v="Não"/>
    <s v="Não"/>
    <n v="570.08399999999995"/>
    <n v="570.08399999999995"/>
  </r>
  <r>
    <s v="VGSP-102_004,000_EN_CL2"/>
    <x v="0"/>
    <s v="4,000"/>
    <m/>
    <s v="4,500"/>
    <m/>
    <x v="0"/>
    <s v="N"/>
    <n v="-22.896600304057689"/>
    <n v="-47.135682988387167"/>
    <n v="1929.66"/>
    <n v="4.99"/>
    <n v="30"/>
    <m/>
    <n v="0"/>
    <s v="Trator 1.7m"/>
    <m/>
    <s v="Não"/>
    <s v="Não"/>
    <s v="Não"/>
    <s v="Não"/>
    <n v="578.89800000000002"/>
    <n v="578.89800000000002"/>
  </r>
  <r>
    <s v="VGSP-102_004,000_CC2"/>
    <x v="4"/>
    <s v="4,000"/>
    <m/>
    <s v="4,500"/>
    <m/>
    <x v="1"/>
    <s v="C"/>
    <n v="-22.896514328791"/>
    <n v="-47.13597818942462"/>
    <n v="15947.51"/>
    <n v="4.97"/>
    <n v="50"/>
    <m/>
    <n v="0"/>
    <s v="Trator 1.7m"/>
    <m/>
    <s v="Não"/>
    <s v="Não"/>
    <s v="Não"/>
    <s v="Não"/>
    <n v="7973.7550000000001"/>
    <n v="7973.7550000000001"/>
  </r>
  <r>
    <s v="VGSP-102_004,000_ES_CL3"/>
    <x v="0"/>
    <s v="4,000"/>
    <m/>
    <s v="4,500"/>
    <m/>
    <x v="0"/>
    <s v="S"/>
    <n v="-22.8949935686876"/>
    <n v="-47.135723938900753"/>
    <n v="698.88"/>
    <n v="4.55"/>
    <n v="65"/>
    <m/>
    <n v="454.27199999999999"/>
    <s v="Trator com braço articulado"/>
    <m/>
    <s v="Não"/>
    <s v="Sim"/>
    <s v="Não"/>
    <s v="Sim"/>
    <n v="0"/>
    <m/>
  </r>
  <r>
    <s v="VGSP-102_004,000_CC1"/>
    <x v="4"/>
    <s v="4,000"/>
    <m/>
    <s v="4,500"/>
    <m/>
    <x v="1"/>
    <s v="C"/>
    <n v="-22.901125906317748"/>
    <n v="-47.136872350212293"/>
    <n v="16119.56"/>
    <n v="5.65"/>
    <n v="50"/>
    <m/>
    <n v="0"/>
    <s v="Trator 1.7m"/>
    <m/>
    <s v="Não"/>
    <s v="Não"/>
    <s v="Não"/>
    <s v="Não"/>
    <n v="8059.78"/>
    <n v="8059.78"/>
  </r>
  <r>
    <s v="VGSP-102_004,000_ES_CL1"/>
    <x v="0"/>
    <s v="4,000"/>
    <m/>
    <s v="4,500"/>
    <m/>
    <x v="0"/>
    <s v="S"/>
    <n v="-22.90105802453591"/>
    <n v="-47.137176060138167"/>
    <n v="1951.06"/>
    <n v="7.47"/>
    <n v="30"/>
    <m/>
    <n v="0"/>
    <s v="Trator 1.7m"/>
    <m/>
    <s v="Não"/>
    <s v="Não"/>
    <s v="Não"/>
    <s v="Não"/>
    <n v="585.31799999999998"/>
    <n v="585.31799999999998"/>
  </r>
  <r>
    <s v="VGSP-102_005,000_EN_CL3"/>
    <x v="0"/>
    <s v="5,000"/>
    <m/>
    <s v="5,500"/>
    <m/>
    <x v="0"/>
    <s v="N"/>
    <n v="-22.90763967327597"/>
    <n v="-47.136557984341358"/>
    <n v="2009.54"/>
    <n v="3.98"/>
    <n v="70"/>
    <m/>
    <n v="1406.6779999999999"/>
    <s v="Spider"/>
    <m/>
    <s v="Não"/>
    <s v="Não"/>
    <s v="Não"/>
    <s v="Sim"/>
    <n v="0"/>
    <m/>
  </r>
  <r>
    <s v="VGSP-102_005,000_EN_CL1"/>
    <x v="0"/>
    <s v="5,000"/>
    <m/>
    <s v="5,500"/>
    <m/>
    <x v="0"/>
    <s v="N"/>
    <n v="-22.908965110337"/>
    <n v="-47.136490315238859"/>
    <n v="1907.39"/>
    <n v="5.91"/>
    <n v="60"/>
    <m/>
    <n v="1144.434"/>
    <s v="Trator com braço articulado"/>
    <m/>
    <s v="Não"/>
    <s v="Não"/>
    <s v="Não"/>
    <s v="Sim"/>
    <n v="0"/>
    <m/>
  </r>
  <r>
    <s v="VGSP-102_005,000_EN_CL2"/>
    <x v="0"/>
    <s v="5,000"/>
    <m/>
    <s v="5,500"/>
    <m/>
    <x v="0"/>
    <s v="N"/>
    <n v="-22.90517585548184"/>
    <n v="-47.136619715409623"/>
    <n v="1363.12"/>
    <n v="10.39"/>
    <n v="30"/>
    <m/>
    <n v="0"/>
    <s v="Trator 1.7m"/>
    <m/>
    <s v="Não"/>
    <s v="Não"/>
    <s v="Não"/>
    <s v="Não"/>
    <n v="408.93599999999998"/>
    <n v="408.93599999999998"/>
  </r>
  <r>
    <s v="VGSP-102_005,000_ES_CL1"/>
    <x v="0"/>
    <s v="5,000"/>
    <m/>
    <s v="5,500"/>
    <m/>
    <x v="0"/>
    <s v="S"/>
    <n v="-22.909189341960879"/>
    <n v="-47.137259829004662"/>
    <n v="1890.91"/>
    <n v="4.5"/>
    <n v="30"/>
    <m/>
    <n v="0"/>
    <s v="Trator 1.7m"/>
    <m/>
    <s v="Não"/>
    <s v="Não"/>
    <s v="Não"/>
    <s v="Não"/>
    <n v="567.27300000000002"/>
    <n v="567.27300000000002"/>
  </r>
  <r>
    <s v="VGSP-102_005,000_ES_CL2"/>
    <x v="0"/>
    <s v="5,000"/>
    <m/>
    <s v="5,500"/>
    <m/>
    <x v="0"/>
    <s v="S"/>
    <n v="-22.907095415672011"/>
    <n v="-47.137374604735648"/>
    <n v="1.88"/>
    <n v="6.34"/>
    <m/>
    <m/>
    <n v="0"/>
    <m/>
    <m/>
    <s v="Não"/>
    <s v="Não"/>
    <s v="Não"/>
    <s v="Não"/>
    <n v="0"/>
    <n v="0"/>
  </r>
  <r>
    <s v="VGSP-102_005,000_CC2"/>
    <x v="5"/>
    <s v="5,000"/>
    <m/>
    <s v="5,500"/>
    <m/>
    <x v="1"/>
    <s v="C"/>
    <n v="-22.905195414804151"/>
    <n v="-47.136934818471573"/>
    <n v="11742.12"/>
    <n v="7.57"/>
    <n v="50"/>
    <m/>
    <n v="0"/>
    <s v="Trator 1.7m"/>
    <m/>
    <s v="Não"/>
    <s v="Não"/>
    <s v="Não"/>
    <s v="Não"/>
    <n v="5871.06"/>
    <n v="5871.06"/>
  </r>
  <r>
    <s v="VGSP-102_005,000_CC3"/>
    <x v="5"/>
    <s v="5,000"/>
    <m/>
    <s v="5,500"/>
    <m/>
    <x v="1"/>
    <s v="C"/>
    <n v="-22.906995464708601"/>
    <n v="-47.136922660500083"/>
    <n v="289.33999999999997"/>
    <n v="2.89"/>
    <n v="50"/>
    <m/>
    <n v="0"/>
    <s v="Trator 1.7m"/>
    <m/>
    <s v="Não"/>
    <s v="Não"/>
    <s v="Não"/>
    <s v="Não"/>
    <n v="144.66999999999999"/>
    <n v="144.66999999999999"/>
  </r>
  <r>
    <s v="VGSP-102_005,000_ES_CL4"/>
    <x v="0"/>
    <s v="5,000"/>
    <m/>
    <s v="5,500"/>
    <m/>
    <x v="0"/>
    <s v="S"/>
    <n v="-22.90794519008335"/>
    <n v="-47.137328250068997"/>
    <n v="2930.97"/>
    <n v="5.84"/>
    <n v="70"/>
    <m/>
    <n v="2051.6789999999996"/>
    <s v="Spider"/>
    <m/>
    <s v="Não"/>
    <s v="Não"/>
    <s v="Não"/>
    <s v="Sim"/>
    <n v="0"/>
    <m/>
  </r>
  <r>
    <s v="VGSP-102_005,000_CC1"/>
    <x v="5"/>
    <s v="5,000"/>
    <m/>
    <s v="5,500"/>
    <m/>
    <x v="1"/>
    <s v="C"/>
    <n v="-22.909260872124641"/>
    <n v="-47.13685961259602"/>
    <n v="14084.71"/>
    <n v="4.38"/>
    <n v="50"/>
    <m/>
    <n v="0"/>
    <s v="Trator 1.7m"/>
    <m/>
    <s v="Não"/>
    <s v="Não"/>
    <s v="Não"/>
    <s v="Não"/>
    <n v="7042.3549999999996"/>
    <n v="7042.3549999999996"/>
  </r>
  <r>
    <s v="VGSP-102_005,000_ES_CL3"/>
    <x v="0"/>
    <s v="5,000"/>
    <m/>
    <s v="5,500"/>
    <m/>
    <x v="0"/>
    <s v="S"/>
    <n v="-22.905253196508191"/>
    <n v="-47.137241727562063"/>
    <n v="1477.29"/>
    <n v="4.4800000000000004"/>
    <n v="30"/>
    <m/>
    <n v="0"/>
    <s v="Trator 1.7m"/>
    <m/>
    <s v="Não"/>
    <s v="Não"/>
    <s v="Não"/>
    <s v="Não"/>
    <n v="443.18699999999995"/>
    <n v="443.18699999999995"/>
  </r>
  <r>
    <s v="VGSP-102_006,000_ES_CL2"/>
    <x v="0"/>
    <s v="6,000"/>
    <m/>
    <s v="6,500"/>
    <m/>
    <x v="0"/>
    <s v="S"/>
    <n v="-22.913599075205241"/>
    <n v="-47.13624033973629"/>
    <n v="1833.68"/>
    <n v="4.63"/>
    <n v="30"/>
    <m/>
    <n v="0"/>
    <s v="Trator 1.7m"/>
    <m/>
    <s v="Não"/>
    <s v="Não"/>
    <s v="Não"/>
    <s v="Não"/>
    <n v="550.10400000000004"/>
    <n v="550.10400000000004"/>
  </r>
  <r>
    <s v="VGSP-102_006,000_EN_CL1"/>
    <x v="0"/>
    <s v="6,000"/>
    <m/>
    <s v="6,500"/>
    <m/>
    <x v="0"/>
    <s v="N"/>
    <n v="-22.919744742780519"/>
    <n v="-47.133203275535507"/>
    <n v="3740.18"/>
    <n v="6.34"/>
    <n v="30"/>
    <m/>
    <n v="0"/>
    <s v="Trator 1.7m"/>
    <m/>
    <s v="Não"/>
    <s v="Não"/>
    <s v="Não"/>
    <s v="Não"/>
    <n v="1122.0539999999999"/>
    <n v="1122.0539999999999"/>
  </r>
  <r>
    <s v="VGSP-102_006,000_EN_CL2"/>
    <x v="0"/>
    <s v="6,000"/>
    <m/>
    <s v="6,500"/>
    <m/>
    <x v="0"/>
    <s v="N"/>
    <n v="-22.913399057758671"/>
    <n v="-47.135647528313498"/>
    <n v="1831.42"/>
    <n v="4.1399999999999997"/>
    <n v="60"/>
    <m/>
    <n v="1098.8520000000001"/>
    <s v="Trator com braço articulado"/>
    <m/>
    <s v="Não"/>
    <s v="Não"/>
    <s v="Não"/>
    <s v="Sim"/>
    <n v="0"/>
    <m/>
  </r>
  <r>
    <s v="VGSP-102_006,000_CC1"/>
    <x v="6"/>
    <s v="6,000"/>
    <m/>
    <s v="6,500"/>
    <m/>
    <x v="1"/>
    <s v="C"/>
    <n v="-22.913486689779759"/>
    <n v="-47.135952195375822"/>
    <n v="15333.78"/>
    <n v="3.51"/>
    <n v="50"/>
    <m/>
    <n v="0"/>
    <s v="Trator 1.7m"/>
    <m/>
    <s v="Não"/>
    <s v="Não"/>
    <s v="Não"/>
    <s v="Não"/>
    <n v="7666.89"/>
    <n v="7666.89"/>
  </r>
  <r>
    <s v="VGSP-102_006,000_ES_CL1"/>
    <x v="0"/>
    <s v="6,000"/>
    <m/>
    <s v="6,500"/>
    <m/>
    <x v="0"/>
    <s v="S"/>
    <n v="-22.918574044206309"/>
    <n v="-47.134665581399361"/>
    <n v="2414.3200000000002"/>
    <n v="4.1399999999999997"/>
    <n v="30"/>
    <m/>
    <n v="0"/>
    <s v="Trator 1.7m"/>
    <m/>
    <s v="Não"/>
    <s v="Não"/>
    <s v="Não"/>
    <s v="Não"/>
    <n v="724.29600000000005"/>
    <n v="724.29600000000005"/>
  </r>
  <r>
    <s v="VGSP-102_006,000_CC2"/>
    <x v="6"/>
    <s v="6,000"/>
    <m/>
    <s v="6,500"/>
    <m/>
    <x v="1"/>
    <s v="C"/>
    <n v="-22.91941305163202"/>
    <n v="-47.133854388941138"/>
    <n v="29528.93"/>
    <n v="4.42"/>
    <n v="50"/>
    <m/>
    <n v="0"/>
    <s v="Trator 1.7m"/>
    <m/>
    <s v="Não"/>
    <s v="Não"/>
    <s v="Não"/>
    <s v="Não"/>
    <n v="14764.465"/>
    <n v="14764.465"/>
  </r>
  <r>
    <s v="VGSP-330_011,000_EN_CL1"/>
    <x v="0"/>
    <s v="11,000"/>
    <m/>
    <s v="11,500"/>
    <m/>
    <x v="0"/>
    <s v="N"/>
    <n v="-23.51304321568885"/>
    <n v="-46.726753519949817"/>
    <n v="1674.76"/>
    <n v="3.4"/>
    <n v="0"/>
    <m/>
    <n v="0"/>
    <m/>
    <m/>
    <s v="Não"/>
    <s v="Não"/>
    <s v="Não"/>
    <s v="Não"/>
    <n v="0"/>
    <n v="0"/>
  </r>
  <r>
    <s v="VGSP-330_011,000_EN_CL2"/>
    <x v="0"/>
    <s v="11,000"/>
    <m/>
    <s v="11,500"/>
    <m/>
    <x v="0"/>
    <s v="N"/>
    <n v="-23.51248919768252"/>
    <n v="-46.726112281850646"/>
    <n v="3107.96"/>
    <n v="4.7"/>
    <n v="0"/>
    <m/>
    <n v="0"/>
    <m/>
    <m/>
    <s v="Não"/>
    <s v="Não"/>
    <s v="Não"/>
    <s v="Não"/>
    <n v="0"/>
    <n v="0"/>
  </r>
  <r>
    <s v="VGSP-330_011,000_CC3"/>
    <x v="7"/>
    <s v="11,000"/>
    <m/>
    <s v="11,500"/>
    <m/>
    <x v="1"/>
    <s v="C"/>
    <n v="-23.51242236514064"/>
    <n v="-46.724954872956232"/>
    <n v="6.93"/>
    <n v="9.6"/>
    <m/>
    <m/>
    <n v="0"/>
    <m/>
    <m/>
    <s v="Não"/>
    <s v="Não"/>
    <s v="Não"/>
    <s v="Não"/>
    <n v="0"/>
    <n v="0"/>
  </r>
  <r>
    <s v="VGSP-330_011,000_CC1"/>
    <x v="7"/>
    <s v="11,000"/>
    <m/>
    <s v="11,500"/>
    <m/>
    <x v="1"/>
    <s v="C"/>
    <n v="-23.513938699891039"/>
    <n v="-46.72723505649153"/>
    <n v="375.84"/>
    <n v="5.07"/>
    <n v="0"/>
    <m/>
    <n v="0"/>
    <m/>
    <m/>
    <s v="Não"/>
    <s v="Não"/>
    <s v="Não"/>
    <s v="Não"/>
    <n v="0"/>
    <n v="0"/>
  </r>
  <r>
    <s v="VGSP-330_011,000_CC2"/>
    <x v="7"/>
    <s v="11,000"/>
    <m/>
    <s v="11,500"/>
    <m/>
    <x v="1"/>
    <s v="C"/>
    <n v="-23.51287062912467"/>
    <n v="-46.726082162965717"/>
    <n v="4813.16"/>
    <n v="2.99"/>
    <n v="0"/>
    <m/>
    <n v="0"/>
    <m/>
    <m/>
    <s v="Não"/>
    <s v="Não"/>
    <s v="Não"/>
    <s v="Não"/>
    <n v="0"/>
    <n v="0"/>
  </r>
  <r>
    <s v="VGSP-330_011,000_ES_CL1"/>
    <x v="0"/>
    <s v="11,000"/>
    <m/>
    <s v="11,500"/>
    <m/>
    <x v="0"/>
    <s v="S"/>
    <n v="-23.51362465715016"/>
    <n v="-46.727482223177738"/>
    <n v="291.5"/>
    <n v="3.93"/>
    <n v="0"/>
    <m/>
    <n v="0"/>
    <m/>
    <m/>
    <s v="Não"/>
    <s v="Não"/>
    <s v="Não"/>
    <s v="Não"/>
    <n v="0"/>
    <n v="0"/>
  </r>
  <r>
    <s v="VGSP-330_011,000_ES_CL2"/>
    <x v="0"/>
    <s v="11,000"/>
    <m/>
    <s v="11,500"/>
    <m/>
    <x v="0"/>
    <s v="S"/>
    <n v="-23.513153826144912"/>
    <n v="-46.727174861730752"/>
    <n v="4411.68"/>
    <n v="3.32"/>
    <n v="0"/>
    <m/>
    <n v="0"/>
    <m/>
    <m/>
    <s v="Não"/>
    <s v="Não"/>
    <s v="Não"/>
    <s v="Não"/>
    <n v="0"/>
    <n v="0"/>
  </r>
  <r>
    <s v="VGSP-330_012,000_EN_CL7"/>
    <x v="0"/>
    <s v="12,000"/>
    <m/>
    <s v="12,500"/>
    <m/>
    <x v="0"/>
    <s v="N"/>
    <n v="-23.508489622009709"/>
    <n v="-46.73149165126015"/>
    <n v="139.71"/>
    <n v="2.58"/>
    <n v="0"/>
    <m/>
    <n v="0"/>
    <m/>
    <m/>
    <s v="Não"/>
    <s v="Não"/>
    <s v="Não"/>
    <s v="Não"/>
    <n v="0"/>
    <n v="0"/>
  </r>
  <r>
    <s v="VGSP-330_012,000_ES_CL11"/>
    <x v="0"/>
    <s v="12,000"/>
    <m/>
    <s v="12,500"/>
    <m/>
    <x v="0"/>
    <s v="S"/>
    <n v="-23.509345947439261"/>
    <n v="-46.731992383783002"/>
    <n v="104.96"/>
    <n v="2.79"/>
    <n v="0"/>
    <m/>
    <n v="0"/>
    <m/>
    <m/>
    <s v="Não"/>
    <s v="Não"/>
    <s v="Não"/>
    <s v="Não"/>
    <n v="0"/>
    <n v="0"/>
  </r>
  <r>
    <s v="VGSP-330_012,000_EN_CL5"/>
    <x v="0"/>
    <s v="12,000"/>
    <m/>
    <s v="12,500"/>
    <m/>
    <x v="0"/>
    <s v="N"/>
    <n v="-23.511490065553861"/>
    <n v="-46.72690351632238"/>
    <n v="65.75"/>
    <n v="8.19"/>
    <n v="0"/>
    <m/>
    <n v="0"/>
    <m/>
    <m/>
    <s v="Não"/>
    <s v="Não"/>
    <s v="Não"/>
    <s v="Não"/>
    <n v="0"/>
    <n v="0"/>
  </r>
  <r>
    <s v="VGSP-330_012,000_ES_CL14"/>
    <x v="0"/>
    <s v="12,000"/>
    <m/>
    <s v="12,500"/>
    <m/>
    <x v="0"/>
    <s v="S"/>
    <n v="-23.508920289510861"/>
    <n v="-46.732643714967168"/>
    <n v="2626.94"/>
    <n v="2.38"/>
    <n v="75"/>
    <m/>
    <n v="1970.2049999999999"/>
    <s v="Spider"/>
    <m/>
    <s v="Não"/>
    <s v="Sim"/>
    <s v="Não"/>
    <s v="Não"/>
    <n v="0"/>
    <m/>
  </r>
  <r>
    <s v="VGSP-330_012,000_EN_CL9"/>
    <x v="0"/>
    <s v="12,000"/>
    <m/>
    <s v="12,500"/>
    <m/>
    <x v="0"/>
    <s v="N"/>
    <n v="-23.508409103004961"/>
    <n v="-46.732652389279927"/>
    <n v="1013.78"/>
    <n v="4.46"/>
    <n v="0"/>
    <m/>
    <n v="0"/>
    <m/>
    <m/>
    <s v="Não"/>
    <s v="Não"/>
    <s v="Não"/>
    <s v="Não"/>
    <n v="0"/>
    <n v="0"/>
  </r>
  <r>
    <s v="VGSP-330_012,000_ES_CL15"/>
    <x v="0"/>
    <s v="12,000"/>
    <m/>
    <s v="12,500"/>
    <m/>
    <x v="0"/>
    <s v="S"/>
    <n v="-23.508778383276599"/>
    <n v="-46.734098056658617"/>
    <n v="145.01"/>
    <n v="8.23"/>
    <n v="0"/>
    <m/>
    <n v="0"/>
    <m/>
    <m/>
    <s v="Sim"/>
    <s v="Não"/>
    <s v="Não"/>
    <s v="Não"/>
    <n v="0"/>
    <m/>
  </r>
  <r>
    <s v="VGSP-330_012,000_EN_CL11"/>
    <x v="0"/>
    <s v="12,000"/>
    <m/>
    <s v="12,500"/>
    <m/>
    <x v="0"/>
    <s v="N"/>
    <n v="-23.50819876783692"/>
    <n v="-46.733098281494151"/>
    <n v="19.38"/>
    <n v="7.2"/>
    <m/>
    <m/>
    <n v="0"/>
    <m/>
    <m/>
    <s v="Não"/>
    <s v="Não"/>
    <s v="Não"/>
    <s v="Não"/>
    <n v="0"/>
    <n v="0"/>
  </r>
  <r>
    <s v="VGSP-330_012,000_EN_CL1"/>
    <x v="0"/>
    <s v="12,000"/>
    <m/>
    <s v="12,500"/>
    <m/>
    <x v="0"/>
    <s v="N"/>
    <n v="-23.512110643550379"/>
    <n v="-46.726098731000938"/>
    <n v="399.45"/>
    <n v="7.16"/>
    <n v="0"/>
    <m/>
    <n v="0"/>
    <m/>
    <m/>
    <s v="Não"/>
    <s v="Não"/>
    <s v="Não"/>
    <s v="Não"/>
    <n v="0"/>
    <n v="0"/>
  </r>
  <r>
    <s v="VGSP-330_012,000_EN_CL4"/>
    <x v="0"/>
    <s v="12,000"/>
    <m/>
    <s v="12,500"/>
    <m/>
    <x v="0"/>
    <s v="N"/>
    <n v="-23.51169891487373"/>
    <n v="-46.727319521947202"/>
    <n v="101.29"/>
    <n v="5.59"/>
    <n v="0"/>
    <m/>
    <n v="0"/>
    <m/>
    <m/>
    <s v="Não"/>
    <s v="Não"/>
    <s v="Não"/>
    <s v="Não"/>
    <n v="0"/>
    <n v="0"/>
  </r>
  <r>
    <s v="VGSP-330_012,000_EN_CL2"/>
    <x v="0"/>
    <s v="12,000"/>
    <m/>
    <s v="12,500"/>
    <m/>
    <x v="0"/>
    <s v="N"/>
    <n v="-23.512037875908071"/>
    <n v="-46.726745687363447"/>
    <n v="458.7"/>
    <n v="4.66"/>
    <n v="0"/>
    <m/>
    <n v="0"/>
    <m/>
    <m/>
    <s v="Não"/>
    <s v="Não"/>
    <s v="Não"/>
    <s v="Não"/>
    <n v="0"/>
    <n v="0"/>
  </r>
  <r>
    <s v="VGSP-330_012,000_ES_CL13"/>
    <x v="0"/>
    <s v="12,000"/>
    <m/>
    <s v="12,500"/>
    <m/>
    <x v="0"/>
    <s v="S"/>
    <n v="-23.508667672506238"/>
    <n v="-46.734223966486383"/>
    <n v="626.5"/>
    <n v="6.8"/>
    <n v="0"/>
    <m/>
    <n v="0"/>
    <m/>
    <m/>
    <s v="Não"/>
    <s v="Não"/>
    <s v="Não"/>
    <s v="Não"/>
    <n v="0"/>
    <n v="0"/>
  </r>
  <r>
    <s v="VGSP-330_012,000_ES_CL6"/>
    <x v="0"/>
    <s v="12,000"/>
    <m/>
    <s v="12,500"/>
    <m/>
    <x v="0"/>
    <s v="S"/>
    <n v="-23.511396452278461"/>
    <n v="-46.727880221003623"/>
    <n v="278.95999999999998"/>
    <n v="5.22"/>
    <n v="0"/>
    <m/>
    <n v="0"/>
    <m/>
    <m/>
    <s v="Não"/>
    <s v="Não"/>
    <s v="Não"/>
    <s v="Não"/>
    <n v="0"/>
    <n v="0"/>
  </r>
  <r>
    <s v="VGSP-330_012,000_EN_CL10"/>
    <x v="0"/>
    <s v="12,000"/>
    <m/>
    <s v="12,500"/>
    <m/>
    <x v="0"/>
    <s v="N"/>
    <n v="-23.50822913895653"/>
    <n v="-46.734033497401072"/>
    <n v="258.99"/>
    <n v="5.53"/>
    <n v="0"/>
    <m/>
    <n v="0"/>
    <m/>
    <m/>
    <s v="Não"/>
    <s v="Não"/>
    <s v="Não"/>
    <s v="Não"/>
    <n v="0"/>
    <n v="0"/>
  </r>
  <r>
    <s v="VGSP-330_012,000_ES_CL10"/>
    <x v="0"/>
    <s v="12,000"/>
    <m/>
    <s v="12,500"/>
    <m/>
    <x v="0"/>
    <s v="S"/>
    <n v="-23.509390597436681"/>
    <n v="-46.731864728981307"/>
    <n v="58.79"/>
    <n v="3.02"/>
    <n v="0"/>
    <m/>
    <n v="0"/>
    <m/>
    <m/>
    <s v="Não"/>
    <s v="Não"/>
    <s v="Não"/>
    <s v="Não"/>
    <n v="0"/>
    <n v="0"/>
  </r>
  <r>
    <s v="VGSP-330_012,000_ES_CL7"/>
    <x v="0"/>
    <s v="12,000"/>
    <m/>
    <s v="12,500"/>
    <m/>
    <x v="0"/>
    <s v="S"/>
    <n v="-23.511026568899819"/>
    <n v="-46.728609307589288"/>
    <n v="260.73"/>
    <n v="7.18"/>
    <n v="0"/>
    <m/>
    <n v="0"/>
    <m/>
    <m/>
    <s v="Não"/>
    <s v="Não"/>
    <s v="Não"/>
    <s v="Não"/>
    <n v="0"/>
    <n v="0"/>
  </r>
  <r>
    <s v="VGSP-330_012,000_ES_CL2"/>
    <x v="0"/>
    <s v="12,000"/>
    <m/>
    <s v="12,500"/>
    <m/>
    <x v="0"/>
    <s v="S"/>
    <n v="-23.512142892203801"/>
    <n v="-46.727373195828037"/>
    <n v="143.37"/>
    <n v="3.61"/>
    <n v="0"/>
    <m/>
    <n v="0"/>
    <m/>
    <m/>
    <s v="Não"/>
    <s v="Não"/>
    <s v="Não"/>
    <s v="Não"/>
    <n v="0"/>
    <n v="0"/>
  </r>
  <r>
    <s v="VGSP-330_012,000_ES_CL8"/>
    <x v="0"/>
    <s v="12,000"/>
    <m/>
    <s v="12,500"/>
    <m/>
    <x v="0"/>
    <s v="S"/>
    <n v="-23.50992936692791"/>
    <n v="-46.729959714250242"/>
    <n v="1306.4100000000001"/>
    <n v="4.03"/>
    <n v="0"/>
    <m/>
    <n v="0"/>
    <m/>
    <m/>
    <s v="Não"/>
    <s v="Não"/>
    <s v="Não"/>
    <s v="Não"/>
    <n v="0"/>
    <n v="0"/>
  </r>
  <r>
    <s v="VGSP-330_012,000_ES_CL5"/>
    <x v="0"/>
    <s v="12,000"/>
    <m/>
    <s v="12,500"/>
    <m/>
    <x v="0"/>
    <s v="S"/>
    <n v="-23.51198720343217"/>
    <n v="-46.727905476435701"/>
    <n v="1159.44"/>
    <n v="5.76"/>
    <n v="0"/>
    <m/>
    <n v="0"/>
    <m/>
    <m/>
    <s v="Não"/>
    <s v="Não"/>
    <s v="Não"/>
    <s v="Não"/>
    <n v="0"/>
    <n v="0"/>
  </r>
  <r>
    <s v="VGSP-330_012,000_EN_CL6"/>
    <x v="0"/>
    <s v="12,000"/>
    <m/>
    <s v="12,500"/>
    <m/>
    <x v="0"/>
    <s v="N"/>
    <n v="-23.508630503447112"/>
    <n v="-46.731679710797742"/>
    <n v="14.85"/>
    <n v="3.34"/>
    <n v="0"/>
    <m/>
    <n v="0"/>
    <m/>
    <m/>
    <s v="Não"/>
    <s v="Não"/>
    <s v="Não"/>
    <s v="Não"/>
    <n v="0"/>
    <n v="0"/>
  </r>
  <r>
    <s v="VGSP-330_012,000_ES_CL4"/>
    <x v="0"/>
    <s v="12,000"/>
    <m/>
    <s v="12,500"/>
    <m/>
    <x v="0"/>
    <s v="S"/>
    <n v="-23.51187144977828"/>
    <n v="-46.727507357693199"/>
    <n v="112.95"/>
    <n v="3.36"/>
    <n v="0"/>
    <m/>
    <n v="0"/>
    <m/>
    <m/>
    <s v="Não"/>
    <s v="Não"/>
    <s v="Não"/>
    <s v="Não"/>
    <n v="0"/>
    <n v="0"/>
  </r>
  <r>
    <s v="VGSP-330_012,000_ES_CL3"/>
    <x v="0"/>
    <s v="12,000"/>
    <m/>
    <s v="12,500"/>
    <m/>
    <x v="0"/>
    <s v="S"/>
    <n v="-23.51211368219607"/>
    <n v="-46.727478579765858"/>
    <n v="72.930000000000007"/>
    <n v="4.6900000000000004"/>
    <n v="0"/>
    <m/>
    <n v="0"/>
    <m/>
    <m/>
    <s v="Não"/>
    <s v="Não"/>
    <s v="Não"/>
    <s v="Não"/>
    <n v="0"/>
    <n v="0"/>
  </r>
  <r>
    <s v="VGSP-330_012,000_EN_CL8"/>
    <x v="0"/>
    <s v="12,000"/>
    <m/>
    <s v="12,500"/>
    <m/>
    <x v="0"/>
    <s v="N"/>
    <n v="-23.50842311413307"/>
    <n v="-46.731655673252078"/>
    <n v="3.68"/>
    <n v="2.36"/>
    <n v="0"/>
    <m/>
    <n v="0"/>
    <m/>
    <m/>
    <s v="Não"/>
    <s v="Não"/>
    <s v="Não"/>
    <s v="Não"/>
    <n v="0"/>
    <n v="0"/>
  </r>
  <r>
    <s v="VGSP-330_012,000_ES_CL1"/>
    <x v="0"/>
    <s v="12,000"/>
    <m/>
    <s v="12,500"/>
    <m/>
    <x v="0"/>
    <s v="S"/>
    <n v="-23.51278090875989"/>
    <n v="-46.727677269139043"/>
    <n v="6139.43"/>
    <n v="3.89"/>
    <n v="0"/>
    <m/>
    <n v="0"/>
    <m/>
    <m/>
    <s v="Não"/>
    <s v="Não"/>
    <s v="Não"/>
    <s v="Não"/>
    <n v="0"/>
    <n v="0"/>
  </r>
  <r>
    <s v="VGSP-330_012,000_ES_CL9"/>
    <x v="0"/>
    <s v="12,000"/>
    <m/>
    <s v="12,500"/>
    <m/>
    <x v="0"/>
    <s v="S"/>
    <n v="-23.51053630897696"/>
    <n v="-46.728970015325039"/>
    <n v="1324.56"/>
    <n v="4.12"/>
    <n v="0"/>
    <m/>
    <n v="0"/>
    <m/>
    <m/>
    <s v="Não"/>
    <s v="Não"/>
    <s v="Não"/>
    <s v="Não"/>
    <n v="0"/>
    <n v="0"/>
  </r>
  <r>
    <s v="VGSP-330_012,000_ES_CL16"/>
    <x v="0"/>
    <s v="12,000"/>
    <m/>
    <s v="12,500"/>
    <m/>
    <x v="0"/>
    <s v="S"/>
    <n v="-23.5088351862797"/>
    <n v="-46.733670187883831"/>
    <n v="27.31"/>
    <n v="6.95"/>
    <n v="0"/>
    <m/>
    <n v="0"/>
    <m/>
    <m/>
    <s v="Sim"/>
    <s v="Não"/>
    <s v="Não"/>
    <s v="Não"/>
    <n v="0"/>
    <m/>
  </r>
  <r>
    <s v="VGSP-330_012,000_ES_CL12"/>
    <x v="0"/>
    <s v="12,000"/>
    <m/>
    <s v="12,500"/>
    <m/>
    <x v="0"/>
    <s v="S"/>
    <n v="-23.50929158731029"/>
    <n v="-46.731260011480963"/>
    <n v="1878.94"/>
    <n v="3.59"/>
    <n v="70"/>
    <m/>
    <n v="1315.258"/>
    <s v="Trator 1.7m, Spider"/>
    <m/>
    <s v="Não"/>
    <s v="Sim"/>
    <s v="Não"/>
    <s v="Não"/>
    <n v="0"/>
    <m/>
  </r>
  <r>
    <s v="VGSP-330_012,000_EN_CL3"/>
    <x v="0"/>
    <s v="12,000"/>
    <m/>
    <s v="12,500"/>
    <m/>
    <x v="0"/>
    <s v="N"/>
    <n v="-23.511739517453059"/>
    <n v="-46.726994088760101"/>
    <n v="60.64"/>
    <n v="7.16"/>
    <n v="0"/>
    <m/>
    <n v="0"/>
    <m/>
    <m/>
    <s v="Não"/>
    <s v="Não"/>
    <s v="Não"/>
    <s v="Não"/>
    <n v="0"/>
    <n v="0"/>
  </r>
  <r>
    <s v="VGSP-330_013,000_EN_CL8"/>
    <x v="0"/>
    <s v="13,000"/>
    <m/>
    <s v="13,500"/>
    <m/>
    <x v="0"/>
    <s v="N"/>
    <n v="-23.50742804418303"/>
    <n v="-46.744188913065173"/>
    <n v="354.75"/>
    <n v="2.91"/>
    <n v="10"/>
    <m/>
    <n v="0"/>
    <s v="Trator 1.7m"/>
    <m/>
    <s v="Não"/>
    <s v="Não"/>
    <s v="Não"/>
    <s v="Não"/>
    <n v="35.475000000000001"/>
    <n v="35.475000000000001"/>
  </r>
  <r>
    <s v="VGSP-330_013,000_EN_CL10"/>
    <x v="0"/>
    <s v="13,000"/>
    <m/>
    <s v="13,500"/>
    <m/>
    <x v="0"/>
    <s v="N"/>
    <n v="-23.50737501776101"/>
    <n v="-46.742363520328233"/>
    <n v="304.14"/>
    <n v="3.66"/>
    <n v="0"/>
    <m/>
    <n v="0"/>
    <m/>
    <m/>
    <s v="Não"/>
    <s v="Não"/>
    <s v="Não"/>
    <s v="Não"/>
    <n v="0"/>
    <n v="0"/>
  </r>
  <r>
    <s v="VGSP-330_013,000_CC3"/>
    <x v="8"/>
    <s v="13,000"/>
    <m/>
    <s v="13,500"/>
    <m/>
    <x v="1"/>
    <s v="C"/>
    <n v="-23.508134173473721"/>
    <n v="-46.738629025818689"/>
    <n v="1352.89"/>
    <n v="5.17"/>
    <n v="80"/>
    <m/>
    <n v="0"/>
    <s v="Trator 1.7m"/>
    <m/>
    <s v="Não"/>
    <s v="Não"/>
    <s v="Não"/>
    <s v="Não"/>
    <n v="1082.3120000000001"/>
    <n v="1082.3120000000001"/>
  </r>
  <r>
    <s v="VGSP-330_013,000_ES_CL7"/>
    <x v="0"/>
    <s v="13,000"/>
    <m/>
    <s v="13,500"/>
    <m/>
    <x v="0"/>
    <s v="S"/>
    <n v="-23.508628497798622"/>
    <n v="-46.738878416333478"/>
    <n v="1249.5899999999999"/>
    <n v="3.62"/>
    <n v="0"/>
    <m/>
    <n v="0"/>
    <m/>
    <m/>
    <s v="Não"/>
    <s v="Não"/>
    <s v="Não"/>
    <s v="Não"/>
    <n v="0"/>
    <n v="0"/>
  </r>
  <r>
    <s v="VGSP-330_013,000_ES_CL11"/>
    <x v="0"/>
    <s v="13,000"/>
    <m/>
    <s v="13,500"/>
    <m/>
    <x v="0"/>
    <s v="S"/>
    <n v="-23.50833678659691"/>
    <n v="-46.744229931970182"/>
    <n v="464.86"/>
    <n v="3.99"/>
    <n v="0"/>
    <m/>
    <n v="0"/>
    <m/>
    <m/>
    <s v="Não"/>
    <s v="Não"/>
    <s v="Não"/>
    <s v="Não"/>
    <n v="0"/>
    <n v="0"/>
  </r>
  <r>
    <s v="VGSP-330_013,000_ES_CL15"/>
    <x v="0"/>
    <s v="13,000"/>
    <m/>
    <s v="13,500"/>
    <m/>
    <x v="0"/>
    <s v="S"/>
    <n v="-23.50806034262148"/>
    <n v="-46.744017856223657"/>
    <n v="25.32"/>
    <n v="3.21"/>
    <n v="0"/>
    <m/>
    <n v="0"/>
    <m/>
    <m/>
    <s v="Não"/>
    <s v="Não"/>
    <s v="Não"/>
    <s v="Não"/>
    <n v="0"/>
    <n v="0"/>
  </r>
  <r>
    <s v="VGSP-330_013,000_ES_CL13"/>
    <x v="0"/>
    <s v="13,000"/>
    <m/>
    <s v="13,500"/>
    <m/>
    <x v="0"/>
    <s v="S"/>
    <n v="-23.508171154280149"/>
    <n v="-46.741229552403802"/>
    <n v="1238.7"/>
    <n v="2.99"/>
    <n v="0"/>
    <m/>
    <n v="0"/>
    <m/>
    <m/>
    <s v="Não"/>
    <s v="Não"/>
    <s v="Não"/>
    <s v="Não"/>
    <n v="0"/>
    <n v="0"/>
  </r>
  <r>
    <s v="VGSP-330_013,000_ES_CL9"/>
    <x v="0"/>
    <s v="13,000"/>
    <m/>
    <s v="13,500"/>
    <m/>
    <x v="0"/>
    <s v="S"/>
    <n v="-23.508513900536919"/>
    <n v="-46.740215504350942"/>
    <n v="109.79"/>
    <n v="0.97"/>
    <n v="0"/>
    <m/>
    <n v="0"/>
    <m/>
    <m/>
    <s v="Não"/>
    <s v="Não"/>
    <s v="Não"/>
    <s v="Não"/>
    <n v="0"/>
    <n v="0"/>
  </r>
  <r>
    <s v="VGSP-330_013,000_ES_CL12"/>
    <x v="0"/>
    <s v="13,000"/>
    <m/>
    <s v="13,500"/>
    <m/>
    <x v="0"/>
    <s v="S"/>
    <n v="-23.508371485929541"/>
    <n v="-46.742010483049476"/>
    <n v="1374.37"/>
    <n v="2.13"/>
    <n v="0"/>
    <m/>
    <n v="0"/>
    <m/>
    <m/>
    <s v="Não"/>
    <s v="Não"/>
    <s v="Não"/>
    <s v="Não"/>
    <n v="0"/>
    <n v="0"/>
  </r>
  <r>
    <s v="VGSP-330_013,000_ES_CL14"/>
    <x v="0"/>
    <s v="13,000"/>
    <m/>
    <s v="13,500"/>
    <m/>
    <x v="0"/>
    <s v="S"/>
    <n v="-23.50810698153532"/>
    <n v="-46.743256612547171"/>
    <n v="1022.15"/>
    <n v="2.86"/>
    <n v="0"/>
    <m/>
    <n v="0"/>
    <m/>
    <m/>
    <s v="Não"/>
    <s v="Não"/>
    <s v="Não"/>
    <s v="Não"/>
    <n v="0"/>
    <n v="0"/>
  </r>
  <r>
    <s v="VGSP-330_013,000_ES_CL1"/>
    <x v="0"/>
    <s v="13,000"/>
    <m/>
    <s v="13,500"/>
    <m/>
    <x v="0"/>
    <s v="S"/>
    <n v="-23.509083488722059"/>
    <n v="-46.73833576904547"/>
    <n v="49.1"/>
    <n v="1.64"/>
    <n v="0"/>
    <m/>
    <n v="0"/>
    <m/>
    <m/>
    <s v="Não"/>
    <s v="Não"/>
    <s v="Não"/>
    <s v="Não"/>
    <n v="0"/>
    <n v="0"/>
  </r>
  <r>
    <s v="VGSP-330_013,000_ES_CL6"/>
    <x v="0"/>
    <s v="13,000"/>
    <m/>
    <s v="13,500"/>
    <m/>
    <x v="0"/>
    <s v="S"/>
    <n v="-23.50854589006407"/>
    <n v="-46.73974954250891"/>
    <n v="222.77"/>
    <n v="1.71"/>
    <n v="0"/>
    <m/>
    <n v="0"/>
    <m/>
    <m/>
    <s v="Não"/>
    <s v="Não"/>
    <s v="Não"/>
    <s v="Não"/>
    <n v="0"/>
    <n v="0"/>
  </r>
  <r>
    <s v="VGSP-330_013,000_ES_CL5"/>
    <x v="0"/>
    <s v="13,000"/>
    <m/>
    <s v="13,500"/>
    <m/>
    <x v="0"/>
    <s v="S"/>
    <n v="-23.508588789148039"/>
    <n v="-46.739384421677777"/>
    <n v="80.45"/>
    <n v="5.12"/>
    <n v="0"/>
    <m/>
    <n v="0"/>
    <m/>
    <m/>
    <s v="Não"/>
    <s v="Não"/>
    <s v="Não"/>
    <s v="Não"/>
    <n v="0"/>
    <n v="0"/>
  </r>
  <r>
    <s v="VGSP-330_013,000_ES_CL8"/>
    <x v="0"/>
    <s v="13,000"/>
    <m/>
    <s v="13,500"/>
    <m/>
    <x v="0"/>
    <s v="S"/>
    <n v="-23.50828850322117"/>
    <n v="-46.740157241415083"/>
    <n v="2812.02"/>
    <n v="2.36"/>
    <n v="0"/>
    <m/>
    <n v="0"/>
    <m/>
    <m/>
    <s v="Não"/>
    <s v="Não"/>
    <s v="Não"/>
    <s v="Não"/>
    <n v="0"/>
    <n v="0"/>
  </r>
  <r>
    <s v="VGSP-330_013,000_EN_CL4"/>
    <x v="0"/>
    <s v="13,000"/>
    <m/>
    <s v="13,500"/>
    <m/>
    <x v="0"/>
    <s v="N"/>
    <n v="-23.507697322710829"/>
    <n v="-46.739970799332283"/>
    <n v="2284.1"/>
    <n v="5.91"/>
    <n v="0"/>
    <m/>
    <n v="0"/>
    <m/>
    <m/>
    <s v="Não"/>
    <s v="Não"/>
    <s v="Não"/>
    <s v="Não"/>
    <n v="0"/>
    <n v="0"/>
  </r>
  <r>
    <s v="VGSP-330_013,000_ES_CL2"/>
    <x v="0"/>
    <s v="13,000"/>
    <m/>
    <s v="13,500"/>
    <m/>
    <x v="0"/>
    <s v="S"/>
    <n v="-23.508927665337829"/>
    <n v="-46.737979607331503"/>
    <n v="178.7"/>
    <n v="4.26"/>
    <n v="0"/>
    <m/>
    <n v="0"/>
    <m/>
    <m/>
    <s v="Não"/>
    <s v="Não"/>
    <s v="Não"/>
    <s v="Não"/>
    <n v="0"/>
    <n v="0"/>
  </r>
  <r>
    <s v="VGSP-330_013,000_EN_CL6"/>
    <x v="0"/>
    <s v="13,000"/>
    <m/>
    <s v="13,500"/>
    <m/>
    <x v="0"/>
    <s v="N"/>
    <n v="-23.507552171040629"/>
    <n v="-46.741911184088849"/>
    <n v="1343.03"/>
    <n v="5.45"/>
    <n v="0"/>
    <m/>
    <n v="0"/>
    <m/>
    <m/>
    <s v="Não"/>
    <s v="Não"/>
    <s v="Não"/>
    <s v="Não"/>
    <n v="0"/>
    <n v="0"/>
  </r>
  <r>
    <s v="VGSP-330_013,000_EN_CL9"/>
    <x v="0"/>
    <s v="13,000"/>
    <m/>
    <s v="13,500"/>
    <m/>
    <x v="0"/>
    <s v="N"/>
    <n v="-23.507414101232861"/>
    <n v="-46.741657171437701"/>
    <n v="80.900000000000006"/>
    <n v="6.03"/>
    <n v="0"/>
    <m/>
    <n v="0"/>
    <m/>
    <m/>
    <s v="Não"/>
    <s v="Não"/>
    <s v="Não"/>
    <s v="Não"/>
    <n v="0"/>
    <n v="0"/>
  </r>
  <r>
    <s v="VGSP-330_013,000_EN_CL5"/>
    <x v="0"/>
    <s v="13,000"/>
    <m/>
    <s v="13,500"/>
    <m/>
    <x v="0"/>
    <s v="N"/>
    <n v="-23.507609938753269"/>
    <n v="-46.743488546560698"/>
    <n v="244.41"/>
    <n v="3.31"/>
    <n v="0"/>
    <m/>
    <n v="0"/>
    <m/>
    <m/>
    <s v="Sim"/>
    <s v="Não"/>
    <s v="Não"/>
    <s v="Não"/>
    <n v="0"/>
    <m/>
  </r>
  <r>
    <s v="VGSP-330_013,000_ES_CL3"/>
    <x v="0"/>
    <s v="13,000"/>
    <m/>
    <s v="13,500"/>
    <m/>
    <x v="0"/>
    <s v="S"/>
    <n v="-23.50876938554428"/>
    <n v="-46.735031264621767"/>
    <n v="892.08"/>
    <n v="4.8600000000000003"/>
    <n v="0"/>
    <m/>
    <n v="0"/>
    <m/>
    <m/>
    <s v="Não"/>
    <s v="Não"/>
    <s v="Não"/>
    <s v="Não"/>
    <n v="0"/>
    <n v="0"/>
  </r>
  <r>
    <s v="VGSP-330_013,000_ES_CL4"/>
    <x v="0"/>
    <s v="13,000"/>
    <m/>
    <s v="13,500"/>
    <m/>
    <x v="0"/>
    <s v="S"/>
    <n v="-23.50864069385419"/>
    <n v="-46.739288122220081"/>
    <n v="0.06"/>
    <n v="7.62"/>
    <m/>
    <m/>
    <n v="0"/>
    <m/>
    <m/>
    <s v="Não"/>
    <s v="Não"/>
    <s v="Não"/>
    <s v="Não"/>
    <n v="0"/>
    <n v="0"/>
  </r>
  <r>
    <s v="VGSP-330_013,000_ES_CL16"/>
    <x v="0"/>
    <s v="13,000"/>
    <m/>
    <s v="13,500"/>
    <m/>
    <x v="0"/>
    <s v="S"/>
    <n v="-23.508002915591231"/>
    <n v="-46.744010943721307"/>
    <n v="45.73"/>
    <n v="3.21"/>
    <n v="0"/>
    <m/>
    <n v="0"/>
    <m/>
    <m/>
    <s v="Não"/>
    <s v="Não"/>
    <s v="Não"/>
    <s v="Não"/>
    <n v="0"/>
    <n v="0"/>
  </r>
  <r>
    <s v="VGSP-330_013,000_EN_CL1"/>
    <x v="0"/>
    <s v="13,000"/>
    <m/>
    <s v="13,500"/>
    <m/>
    <x v="0"/>
    <s v="N"/>
    <n v="-23.508257124373412"/>
    <n v="-46.734692027755798"/>
    <n v="185.9"/>
    <n v="9.06"/>
    <n v="0"/>
    <m/>
    <n v="0"/>
    <m/>
    <m/>
    <s v="Não"/>
    <s v="Não"/>
    <s v="Não"/>
    <s v="Não"/>
    <n v="0"/>
    <n v="0"/>
  </r>
  <r>
    <s v="VGSP-330_013,000_EN_CL7"/>
    <x v="0"/>
    <s v="13,000"/>
    <m/>
    <s v="13,500"/>
    <m/>
    <x v="0"/>
    <s v="N"/>
    <n v="-23.507454208456942"/>
    <n v="-46.74362699009351"/>
    <n v="287.17"/>
    <n v="3.94"/>
    <n v="10"/>
    <m/>
    <n v="0"/>
    <s v="Trator 1.7m"/>
    <m/>
    <s v="Não"/>
    <s v="Não"/>
    <s v="Não"/>
    <s v="Não"/>
    <n v="28.717000000000002"/>
    <n v="28.717000000000002"/>
  </r>
  <r>
    <s v="VGSP-330_013,000_EN_CL3"/>
    <x v="0"/>
    <s v="13,000"/>
    <m/>
    <s v="13,500"/>
    <m/>
    <x v="0"/>
    <s v="N"/>
    <n v="-23.50799201731774"/>
    <n v="-46.73743326668211"/>
    <n v="8539.8799999999992"/>
    <n v="6.14"/>
    <n v="80"/>
    <m/>
    <n v="6831.9039999999995"/>
    <s v="Trator 1.7m"/>
    <m/>
    <s v="Não"/>
    <s v="Não"/>
    <s v="Sim"/>
    <s v="Não"/>
    <n v="0"/>
    <m/>
  </r>
  <r>
    <s v="VGSP-330_013,000_CC2"/>
    <x v="8"/>
    <s v="13,000"/>
    <m/>
    <s v="13,500"/>
    <m/>
    <x v="1"/>
    <s v="C"/>
    <n v="-23.507884258998391"/>
    <n v="-46.74133554520828"/>
    <n v="5671.85"/>
    <n v="4.41"/>
    <n v="80"/>
    <m/>
    <n v="0"/>
    <s v="Trator 1.7m"/>
    <m/>
    <s v="Não"/>
    <s v="Não"/>
    <s v="Não"/>
    <s v="Não"/>
    <n v="4537.4800000000005"/>
    <n v="4537.4800000000005"/>
  </r>
  <r>
    <s v="VGSP-330_013,000_EN_CL2"/>
    <x v="0"/>
    <s v="13,000"/>
    <m/>
    <s v="13,500"/>
    <m/>
    <x v="0"/>
    <s v="N"/>
    <n v="-23.507996361929031"/>
    <n v="-46.735502875456532"/>
    <n v="84.89"/>
    <n v="7.29"/>
    <n v="0"/>
    <m/>
    <n v="0"/>
    <m/>
    <m/>
    <s v="Não"/>
    <s v="Não"/>
    <s v="Não"/>
    <s v="Não"/>
    <n v="0"/>
    <n v="0"/>
  </r>
  <r>
    <s v="VGSP-330_013,000_ES_CL10"/>
    <x v="0"/>
    <s v="13,000"/>
    <m/>
    <s v="13,500"/>
    <m/>
    <x v="0"/>
    <s v="S"/>
    <n v="-23.508466079907919"/>
    <n v="-46.74088695928539"/>
    <n v="36.799999999999997"/>
    <n v="1.72"/>
    <n v="0"/>
    <m/>
    <n v="0"/>
    <m/>
    <m/>
    <s v="Não"/>
    <s v="Não"/>
    <s v="Não"/>
    <s v="Não"/>
    <n v="0"/>
    <n v="0"/>
  </r>
  <r>
    <s v="VGSP-330_013,000_CC1"/>
    <x v="8"/>
    <s v="13,000"/>
    <m/>
    <s v="13,500"/>
    <m/>
    <x v="1"/>
    <s v="C"/>
    <n v="-23.508525648532409"/>
    <n v="-46.737470975779289"/>
    <n v="10800.76"/>
    <n v="4.8"/>
    <n v="0"/>
    <m/>
    <n v="0"/>
    <m/>
    <m/>
    <s v="Não"/>
    <s v="Não"/>
    <s v="Não"/>
    <s v="Não"/>
    <n v="0"/>
    <n v="0"/>
  </r>
  <r>
    <s v="VGSP-330_014,000_EN_CL5"/>
    <x v="0"/>
    <s v="14,000"/>
    <m/>
    <s v="14,500"/>
    <m/>
    <x v="0"/>
    <s v="N"/>
    <n v="-23.50729646040984"/>
    <n v="-46.744313436796297"/>
    <n v="478.94"/>
    <n v="4.99"/>
    <n v="10"/>
    <m/>
    <n v="0"/>
    <s v="Trator 1.7m"/>
    <m/>
    <s v="Não"/>
    <s v="Não"/>
    <s v="Não"/>
    <s v="Não"/>
    <n v="47.894000000000005"/>
    <n v="47.894000000000005"/>
  </r>
  <r>
    <s v="VGSP-330_014,000_ES_CL1"/>
    <x v="0"/>
    <s v="14,000"/>
    <m/>
    <s v="14,500"/>
    <m/>
    <x v="0"/>
    <s v="S"/>
    <n v="-23.508704091926941"/>
    <n v="-46.745494030544499"/>
    <n v="43.62"/>
    <n v="7.36"/>
    <n v="0"/>
    <m/>
    <n v="0"/>
    <m/>
    <m/>
    <s v="Não"/>
    <s v="Não"/>
    <s v="Não"/>
    <s v="Não"/>
    <n v="0"/>
    <n v="0"/>
  </r>
  <r>
    <s v="VGSP-330_014,000_ES_CL12"/>
    <x v="0"/>
    <s v="14,000"/>
    <m/>
    <s v="14,500"/>
    <m/>
    <x v="0"/>
    <s v="S"/>
    <n v="-23.5060760747741"/>
    <n v="-46.751754012631629"/>
    <n v="2571.61"/>
    <n v="7.16"/>
    <n v="0"/>
    <m/>
    <n v="0"/>
    <m/>
    <m/>
    <s v="Não"/>
    <s v="Não"/>
    <s v="Não"/>
    <s v="Não"/>
    <n v="0"/>
    <n v="0"/>
  </r>
  <r>
    <s v="VGSP-330_014,000_CC3"/>
    <x v="9"/>
    <s v="14,000"/>
    <m/>
    <s v="14,500"/>
    <m/>
    <x v="1"/>
    <s v="C"/>
    <n v="-23.50438761919488"/>
    <n v="-46.753182400815021"/>
    <n v="984.25"/>
    <n v="6.57"/>
    <n v="0"/>
    <m/>
    <n v="0"/>
    <m/>
    <m/>
    <s v="Não"/>
    <s v="Não"/>
    <s v="Não"/>
    <s v="Não"/>
    <n v="0"/>
    <n v="0"/>
  </r>
  <r>
    <s v="VGSP-330_014,000_EN_CL1"/>
    <x v="0"/>
    <s v="14,000"/>
    <m/>
    <s v="14,500"/>
    <m/>
    <x v="0"/>
    <s v="N"/>
    <n v="-23.507478944991149"/>
    <n v="-46.745181307593917"/>
    <n v="440.01"/>
    <n v="3.57"/>
    <n v="0"/>
    <m/>
    <n v="0"/>
    <m/>
    <m/>
    <s v="Sim"/>
    <s v="Não"/>
    <s v="Não"/>
    <s v="Não"/>
    <n v="0"/>
    <m/>
  </r>
  <r>
    <s v="VGSP-330_014,000_EN_CL7"/>
    <x v="0"/>
    <s v="14,000"/>
    <m/>
    <s v="14,500"/>
    <m/>
    <x v="0"/>
    <s v="N"/>
    <n v="-23.50698814014315"/>
    <n v="-46.748263144674297"/>
    <n v="524.85"/>
    <n v="5.22"/>
    <n v="10"/>
    <m/>
    <n v="0"/>
    <s v="Trator 1.7m"/>
    <m/>
    <s v="Não"/>
    <s v="Não"/>
    <s v="Não"/>
    <s v="Não"/>
    <n v="52.485000000000007"/>
    <n v="52.485000000000007"/>
  </r>
  <r>
    <s v="VGSP-330_014,000_EN_CL9"/>
    <x v="0"/>
    <s v="14,000"/>
    <m/>
    <s v="14,500"/>
    <m/>
    <x v="0"/>
    <s v="N"/>
    <n v="-23.504362897391609"/>
    <n v="-46.752748389147563"/>
    <n v="2105.4899999999998"/>
    <n v="3.14"/>
    <n v="50"/>
    <m/>
    <n v="0"/>
    <s v="Trator 1.7m"/>
    <m/>
    <s v="Não"/>
    <s v="Não"/>
    <s v="Não"/>
    <s v="Não"/>
    <n v="1052.7449999999999"/>
    <n v="1052.7449999999999"/>
  </r>
  <r>
    <s v="VGSP-348_014,000_ES_CL2"/>
    <x v="0"/>
    <s v="14,000"/>
    <m/>
    <s v="14,500"/>
    <m/>
    <x v="0"/>
    <s v="S"/>
    <n v="-23.50748369631658"/>
    <n v="-46.721927511351844"/>
    <n v="839.54"/>
    <n v="5.56"/>
    <n v="0"/>
    <m/>
    <n v="0"/>
    <m/>
    <m/>
    <s v="Não"/>
    <s v="Não"/>
    <s v="Não"/>
    <s v="Não"/>
    <n v="0"/>
    <n v="0"/>
  </r>
  <r>
    <s v="VGSP-330_014,000_ES_CL5"/>
    <x v="0"/>
    <s v="14,000"/>
    <m/>
    <s v="14,500"/>
    <m/>
    <x v="0"/>
    <s v="S"/>
    <n v="-23.508101844141351"/>
    <n v="-46.744349580586487"/>
    <n v="704.37"/>
    <n v="3.52"/>
    <n v="0"/>
    <m/>
    <n v="0"/>
    <m/>
    <m/>
    <s v="Não"/>
    <s v="Não"/>
    <s v="Não"/>
    <s v="Não"/>
    <n v="0"/>
    <n v="0"/>
  </r>
  <r>
    <s v="VGSP-330_014,000_CC2"/>
    <x v="9"/>
    <s v="14,000"/>
    <m/>
    <s v="14,500"/>
    <m/>
    <x v="1"/>
    <s v="C"/>
    <n v="-23.507939543252441"/>
    <n v="-46.745056138930863"/>
    <n v="23.14"/>
    <n v="3.02"/>
    <n v="0"/>
    <m/>
    <n v="0"/>
    <m/>
    <m/>
    <s v="Não"/>
    <s v="Não"/>
    <s v="Não"/>
    <s v="Não"/>
    <n v="0"/>
    <n v="0"/>
  </r>
  <r>
    <s v="VGSP-330_014,000_ES_CL8"/>
    <x v="0"/>
    <s v="14,000"/>
    <m/>
    <s v="14,500"/>
    <m/>
    <x v="0"/>
    <s v="S"/>
    <n v="-23.508034615650171"/>
    <n v="-46.745874107741493"/>
    <n v="4224.42"/>
    <n v="4.63"/>
    <n v="0"/>
    <m/>
    <n v="0"/>
    <m/>
    <m/>
    <s v="Não"/>
    <s v="Não"/>
    <s v="Não"/>
    <s v="Não"/>
    <n v="0"/>
    <n v="0"/>
  </r>
  <r>
    <s v="VGSP-330_014,000_CC1"/>
    <x v="9"/>
    <s v="14,000"/>
    <m/>
    <s v="14,500"/>
    <m/>
    <x v="1"/>
    <s v="C"/>
    <n v="-23.508127372354501"/>
    <n v="-46.745202338576732"/>
    <n v="572.51"/>
    <n v="2.13"/>
    <n v="0"/>
    <m/>
    <n v="0"/>
    <m/>
    <m/>
    <s v="Não"/>
    <s v="Não"/>
    <s v="Não"/>
    <s v="Não"/>
    <n v="0"/>
    <n v="0"/>
  </r>
  <r>
    <s v="VGSP-348_014,000_EN_CL2"/>
    <x v="0"/>
    <s v="14,000"/>
    <m/>
    <s v="14,500"/>
    <m/>
    <x v="0"/>
    <s v="N"/>
    <n v="-23.506972437261801"/>
    <n v="-46.721003583453928"/>
    <n v="928.76"/>
    <n v="13.34"/>
    <n v="70"/>
    <m/>
    <n v="0"/>
    <s v="Trator 1.7m"/>
    <m/>
    <s v="Não"/>
    <s v="Não"/>
    <s v="Não"/>
    <s v="Não"/>
    <n v="650.13199999999995"/>
    <n v="650.13199999999995"/>
  </r>
  <r>
    <s v="VGSP-330_014,000_ES_CL4"/>
    <x v="0"/>
    <s v="14,000"/>
    <m/>
    <s v="14,500"/>
    <m/>
    <x v="0"/>
    <s v="S"/>
    <n v="-23.50822677755874"/>
    <n v="-46.746183979320577"/>
    <n v="645.62"/>
    <n v="5.79"/>
    <n v="0"/>
    <m/>
    <n v="0"/>
    <m/>
    <m/>
    <s v="Não"/>
    <s v="Não"/>
    <s v="Não"/>
    <s v="Não"/>
    <n v="0"/>
    <n v="0"/>
  </r>
  <r>
    <s v="VGSP-330_014,000_ES_CL6"/>
    <x v="0"/>
    <s v="14,000"/>
    <m/>
    <s v="14,500"/>
    <m/>
    <x v="0"/>
    <s v="S"/>
    <n v="-23.50802380232987"/>
    <n v="-46.744726776121517"/>
    <n v="116.53"/>
    <n v="4.58"/>
    <n v="0"/>
    <m/>
    <n v="0"/>
    <m/>
    <m/>
    <s v="Não"/>
    <s v="Não"/>
    <s v="Não"/>
    <s v="Não"/>
    <n v="0"/>
    <n v="0"/>
  </r>
  <r>
    <s v="VGSP-330_014,000_EN_CL3"/>
    <x v="0"/>
    <s v="14,000"/>
    <m/>
    <s v="14,500"/>
    <m/>
    <x v="0"/>
    <s v="N"/>
    <n v="-23.507419022622091"/>
    <n v="-46.744541657534768"/>
    <n v="1.81"/>
    <n v="3.09"/>
    <m/>
    <m/>
    <n v="0"/>
    <m/>
    <m/>
    <s v="Não"/>
    <s v="Não"/>
    <s v="Não"/>
    <s v="Não"/>
    <n v="0"/>
    <n v="0"/>
  </r>
  <r>
    <s v="VGSP-330_014,000_ES_CL7"/>
    <x v="0"/>
    <s v="14,000"/>
    <m/>
    <s v="14,500"/>
    <m/>
    <x v="0"/>
    <s v="S"/>
    <n v="-23.508312099016472"/>
    <n v="-46.744782081737029"/>
    <n v="20.2"/>
    <n v="3.95"/>
    <n v="0"/>
    <m/>
    <n v="0"/>
    <m/>
    <m/>
    <s v="Não"/>
    <s v="Não"/>
    <s v="Não"/>
    <s v="Não"/>
    <n v="0"/>
    <n v="0"/>
  </r>
  <r>
    <s v="VGSP-330_014,000_ES_CL9"/>
    <x v="0"/>
    <s v="14,000"/>
    <m/>
    <s v="14,500"/>
    <m/>
    <x v="0"/>
    <s v="S"/>
    <n v="-23.507978189641481"/>
    <n v="-46.744937277576618"/>
    <n v="43.38"/>
    <n v="3.8"/>
    <n v="0"/>
    <m/>
    <n v="0"/>
    <m/>
    <m/>
    <s v="Não"/>
    <s v="Não"/>
    <s v="Não"/>
    <s v="Não"/>
    <n v="0"/>
    <n v="0"/>
  </r>
  <r>
    <s v="VGSP-330_014,000_ES_CL10"/>
    <x v="0"/>
    <s v="14,000"/>
    <m/>
    <s v="14,500"/>
    <m/>
    <x v="0"/>
    <s v="S"/>
    <n v="-23.50766646758662"/>
    <n v="-46.747449726031867"/>
    <n v="57.57"/>
    <n v="1.65"/>
    <n v="0"/>
    <m/>
    <n v="0"/>
    <m/>
    <m/>
    <s v="Não"/>
    <s v="Não"/>
    <s v="Não"/>
    <s v="Não"/>
    <n v="0"/>
    <n v="0"/>
  </r>
  <r>
    <s v="VGSP-348_014,000_ES_CL1"/>
    <x v="0"/>
    <s v="14,000"/>
    <m/>
    <s v="14,500"/>
    <m/>
    <x v="0"/>
    <s v="S"/>
    <n v="-23.507995280222008"/>
    <n v="-46.721404653726132"/>
    <n v="730.71"/>
    <n v="4.6900000000000004"/>
    <n v="0"/>
    <m/>
    <n v="0"/>
    <m/>
    <m/>
    <s v="Não"/>
    <s v="Não"/>
    <s v="Não"/>
    <s v="Não"/>
    <n v="0"/>
    <n v="0"/>
  </r>
  <r>
    <s v="VGSP-330_014,000_ES_CL11"/>
    <x v="0"/>
    <s v="14,000"/>
    <m/>
    <s v="14,500"/>
    <m/>
    <x v="0"/>
    <s v="S"/>
    <n v="-23.50754527742653"/>
    <n v="-46.74850701855852"/>
    <n v="466.7"/>
    <n v="1.94"/>
    <n v="0"/>
    <m/>
    <n v="0"/>
    <m/>
    <m/>
    <s v="Não"/>
    <s v="Não"/>
    <s v="Não"/>
    <s v="Não"/>
    <n v="0"/>
    <n v="0"/>
  </r>
  <r>
    <s v="VGSP-330_014,000_ES_CL13"/>
    <x v="0"/>
    <s v="14,000"/>
    <m/>
    <s v="14,500"/>
    <m/>
    <x v="0"/>
    <s v="S"/>
    <n v="-23.505238894876779"/>
    <n v="-46.752876002803127"/>
    <n v="2103.94"/>
    <n v="4.1500000000000004"/>
    <n v="0"/>
    <m/>
    <n v="0"/>
    <m/>
    <m/>
    <s v="Não"/>
    <s v="Não"/>
    <s v="Não"/>
    <s v="Não"/>
    <n v="0"/>
    <n v="0"/>
  </r>
  <r>
    <s v="VGSP-330_014,000_ES_CL3"/>
    <x v="0"/>
    <s v="14,000"/>
    <m/>
    <s v="14,500"/>
    <m/>
    <x v="0"/>
    <s v="S"/>
    <n v="-23.508499470722661"/>
    <n v="-46.74515110855652"/>
    <n v="309.26"/>
    <n v="5.28"/>
    <n v="0"/>
    <m/>
    <n v="0"/>
    <m/>
    <m/>
    <s v="Não"/>
    <s v="Não"/>
    <s v="Não"/>
    <s v="Não"/>
    <n v="0"/>
    <n v="0"/>
  </r>
  <r>
    <s v="VGSP-348_014,000_CC"/>
    <x v="10"/>
    <s v="14,000"/>
    <m/>
    <s v="14,500"/>
    <n v="0.5"/>
    <x v="1"/>
    <s v="C"/>
    <n v="-23.507446174034531"/>
    <n v="-46.721295393543564"/>
    <n v="12583.72"/>
    <n v="6.85"/>
    <n v="30"/>
    <m/>
    <n v="0"/>
    <s v="Eixo-zero"/>
    <m/>
    <s v="Não"/>
    <s v="Não"/>
    <s v="Não"/>
    <s v="Não"/>
    <n v="3775.1159999999995"/>
    <n v="3775.1159999999995"/>
  </r>
  <r>
    <s v="VGSP-330_014,000_EN_CL2"/>
    <x v="0"/>
    <s v="14,000"/>
    <m/>
    <s v="14,500"/>
    <m/>
    <x v="0"/>
    <s v="N"/>
    <n v="-23.507560322783078"/>
    <n v="-46.744226728505581"/>
    <n v="278.89"/>
    <n v="2.91"/>
    <n v="0"/>
    <m/>
    <n v="0"/>
    <m/>
    <m/>
    <s v="Sim"/>
    <s v="Não"/>
    <s v="Não"/>
    <s v="Não"/>
    <n v="0"/>
    <m/>
  </r>
  <r>
    <s v="VGSP-330_014,000_ES_CL2"/>
    <x v="0"/>
    <s v="14,000"/>
    <m/>
    <s v="14,500"/>
    <m/>
    <x v="0"/>
    <s v="S"/>
    <n v="-23.508448157530449"/>
    <n v="-46.745608179250858"/>
    <n v="19.07"/>
    <n v="5.19"/>
    <n v="0"/>
    <m/>
    <n v="0"/>
    <m/>
    <m/>
    <s v="Não"/>
    <s v="Não"/>
    <s v="Não"/>
    <s v="Não"/>
    <n v="0"/>
    <n v="0"/>
  </r>
  <r>
    <s v="VGSP-348_014,000_EN_CL1"/>
    <x v="0"/>
    <s v="14,000"/>
    <m/>
    <s v="14,500"/>
    <m/>
    <x v="0"/>
    <s v="N"/>
    <n v="-23.507607601356149"/>
    <n v="-46.720418500029062"/>
    <n v="1540.02"/>
    <n v="7.49"/>
    <n v="70"/>
    <m/>
    <n v="0"/>
    <s v="Trator 1.7m"/>
    <m/>
    <s v="Não"/>
    <s v="Não"/>
    <s v="Não"/>
    <s v="Não"/>
    <n v="1078.0139999999999"/>
    <n v="1078.0139999999999"/>
  </r>
  <r>
    <s v="VGSP-330_014,000_EN_CL8"/>
    <x v="0"/>
    <s v="14,000"/>
    <m/>
    <s v="14,500"/>
    <m/>
    <x v="0"/>
    <s v="N"/>
    <n v="-23.505944626751571"/>
    <n v="-46.751263483791817"/>
    <n v="4652.18"/>
    <n v="5.91"/>
    <n v="0"/>
    <m/>
    <n v="0"/>
    <m/>
    <m/>
    <s v="Não"/>
    <s v="Não"/>
    <s v="Não"/>
    <s v="Não"/>
    <n v="0"/>
    <n v="0"/>
  </r>
  <r>
    <s v="VGSP-330_014,000_EN_CL6"/>
    <x v="0"/>
    <s v="14,000"/>
    <m/>
    <s v="14,500"/>
    <m/>
    <x v="0"/>
    <s v="N"/>
    <n v="-23.507149856593841"/>
    <n v="-46.747157386694887"/>
    <n v="341.95"/>
    <n v="4.9400000000000004"/>
    <n v="10"/>
    <m/>
    <n v="0"/>
    <s v="Trator 1.7m"/>
    <m/>
    <s v="Não"/>
    <s v="Não"/>
    <s v="Não"/>
    <s v="Não"/>
    <n v="34.195"/>
    <n v="34.195"/>
  </r>
  <r>
    <s v="VGSP-330_014,000_EN_CL4"/>
    <x v="0"/>
    <s v="14,000"/>
    <m/>
    <s v="14,500"/>
    <m/>
    <x v="0"/>
    <s v="N"/>
    <n v="-23.507242651923949"/>
    <n v="-46.745464662906294"/>
    <n v="4004.79"/>
    <n v="5.92"/>
    <n v="10"/>
    <m/>
    <n v="0"/>
    <s v="Trator 1.7m"/>
    <m/>
    <s v="Não"/>
    <s v="Não"/>
    <s v="Não"/>
    <s v="Não"/>
    <n v="400.47900000000004"/>
    <n v="400.47900000000004"/>
  </r>
  <r>
    <s v="VGSP-330_015,000_ES_CL15"/>
    <x v="0"/>
    <s v="15,000"/>
    <m/>
    <s v="15,500"/>
    <m/>
    <x v="0"/>
    <s v="S"/>
    <n v="-23.496632366999531"/>
    <n v="-46.755220090371907"/>
    <n v="117.67"/>
    <n v="4.22"/>
    <n v="0"/>
    <m/>
    <n v="0"/>
    <m/>
    <m/>
    <s v="Não"/>
    <s v="Não"/>
    <s v="Não"/>
    <s v="Não"/>
    <n v="0"/>
    <n v="0"/>
  </r>
  <r>
    <s v="VGSP-330_015,000_ES_CL1"/>
    <x v="0"/>
    <s v="15,000"/>
    <m/>
    <s v="15,500"/>
    <m/>
    <x v="0"/>
    <s v="S"/>
    <n v="-23.50324332917382"/>
    <n v="-46.754399576978429"/>
    <n v="871.94"/>
    <n v="9.4700000000000006"/>
    <n v="0"/>
    <m/>
    <n v="0"/>
    <m/>
    <m/>
    <s v="Não"/>
    <s v="Não"/>
    <s v="Não"/>
    <s v="Não"/>
    <n v="0"/>
    <n v="0"/>
  </r>
  <r>
    <s v="VGSP-330_015,000_ES_CL2"/>
    <x v="0"/>
    <s v="15,000"/>
    <m/>
    <s v="15,500"/>
    <m/>
    <x v="0"/>
    <s v="S"/>
    <n v="-23.502576720334869"/>
    <n v="-46.755454971130114"/>
    <n v="272.87"/>
    <n v="8.36"/>
    <n v="0"/>
    <m/>
    <n v="0"/>
    <m/>
    <m/>
    <s v="Não"/>
    <s v="Não"/>
    <s v="Não"/>
    <s v="Não"/>
    <n v="0"/>
    <n v="0"/>
  </r>
  <r>
    <s v="VGSP-330_015,000_ES_CL10"/>
    <x v="0"/>
    <s v="15,000"/>
    <m/>
    <s v="15,500"/>
    <m/>
    <x v="0"/>
    <s v="S"/>
    <n v="-23.50052191411757"/>
    <n v="-46.75497650314076"/>
    <n v="523.03"/>
    <n v="2.63"/>
    <n v="0"/>
    <m/>
    <n v="0"/>
    <m/>
    <m/>
    <s v="Não"/>
    <s v="Não"/>
    <s v="Não"/>
    <s v="Não"/>
    <n v="0"/>
    <n v="0"/>
  </r>
  <r>
    <s v="VGSP-330_015,000_ES_CL13"/>
    <x v="0"/>
    <s v="15,000"/>
    <m/>
    <s v="15,500"/>
    <m/>
    <x v="0"/>
    <s v="S"/>
    <n v="-23.497933406222899"/>
    <n v="-46.755027389717718"/>
    <n v="53.12"/>
    <n v="3.92"/>
    <n v="0"/>
    <m/>
    <n v="0"/>
    <m/>
    <m/>
    <s v="Não"/>
    <s v="Não"/>
    <s v="Não"/>
    <s v="Não"/>
    <n v="0"/>
    <n v="0"/>
  </r>
  <r>
    <s v="VGSP-330_015,000_ES_CL14"/>
    <x v="0"/>
    <s v="15,000"/>
    <m/>
    <s v="15,500"/>
    <m/>
    <x v="0"/>
    <s v="S"/>
    <n v="-23.497161255074761"/>
    <n v="-46.75512072187459"/>
    <n v="326.55"/>
    <n v="5.86"/>
    <n v="0"/>
    <m/>
    <n v="0"/>
    <m/>
    <m/>
    <s v="Não"/>
    <s v="Não"/>
    <s v="Não"/>
    <s v="Não"/>
    <n v="0"/>
    <n v="0"/>
  </r>
  <r>
    <s v="VGSP-330_015,000_ES_CL11"/>
    <x v="0"/>
    <s v="15,000"/>
    <m/>
    <s v="15,500"/>
    <m/>
    <x v="0"/>
    <s v="S"/>
    <n v="-23.49934581363528"/>
    <n v="-46.754974524060607"/>
    <n v="750.59"/>
    <n v="7.14"/>
    <n v="0"/>
    <m/>
    <n v="0"/>
    <m/>
    <m/>
    <s v="Não"/>
    <s v="Não"/>
    <s v="Não"/>
    <s v="Não"/>
    <n v="0"/>
    <n v="0"/>
  </r>
  <r>
    <s v="VGSP-330_015,000_ES_CL4"/>
    <x v="0"/>
    <s v="15,000"/>
    <m/>
    <s v="15,500"/>
    <m/>
    <x v="0"/>
    <s v="S"/>
    <n v="-23.502442024388191"/>
    <n v="-46.754787955937317"/>
    <n v="1213.55"/>
    <n v="6.27"/>
    <n v="0"/>
    <m/>
    <n v="0"/>
    <m/>
    <m/>
    <s v="Não"/>
    <s v="Não"/>
    <s v="Não"/>
    <s v="Não"/>
    <n v="0"/>
    <n v="0"/>
  </r>
  <r>
    <s v="VGSP-330_015,000_ES_CL6"/>
    <x v="0"/>
    <s v="15,000"/>
    <m/>
    <s v="15,500"/>
    <m/>
    <x v="0"/>
    <s v="S"/>
    <n v="-23.501819022226371"/>
    <n v="-46.754945052828852"/>
    <n v="719.45"/>
    <n v="4.5599999999999996"/>
    <n v="0"/>
    <m/>
    <n v="0"/>
    <m/>
    <m/>
    <s v="Não"/>
    <s v="Não"/>
    <s v="Não"/>
    <s v="Não"/>
    <n v="0"/>
    <n v="0"/>
  </r>
  <r>
    <s v="VGSP-330_015,000_EN_CL11"/>
    <x v="0"/>
    <s v="15,000"/>
    <m/>
    <s v="15,500"/>
    <m/>
    <x v="0"/>
    <s v="N"/>
    <n v="-23.496880607260842"/>
    <n v="-46.754447976964393"/>
    <n v="517.19000000000005"/>
    <n v="11.77"/>
    <n v="0"/>
    <m/>
    <n v="0"/>
    <m/>
    <m/>
    <s v="Não"/>
    <s v="Não"/>
    <s v="Não"/>
    <s v="Não"/>
    <n v="0"/>
    <n v="0"/>
  </r>
  <r>
    <s v="VGSP-330_015,000_EN_CL9"/>
    <x v="0"/>
    <s v="15,000"/>
    <m/>
    <s v="15,500"/>
    <m/>
    <x v="0"/>
    <s v="N"/>
    <n v="-23.49879151770082"/>
    <n v="-46.754335169853363"/>
    <n v="1103.72"/>
    <n v="10.27"/>
    <n v="0"/>
    <m/>
    <n v="0"/>
    <m/>
    <m/>
    <s v="Não"/>
    <s v="Não"/>
    <s v="Não"/>
    <s v="Não"/>
    <n v="0"/>
    <n v="0"/>
  </r>
  <r>
    <s v="VGSP-330_015,000_CC1"/>
    <x v="11"/>
    <s v="15,000"/>
    <m/>
    <s v="15,500"/>
    <m/>
    <x v="1"/>
    <s v="C"/>
    <n v="-23.50319526702631"/>
    <n v="-46.754042485268442"/>
    <n v="1407.35"/>
    <n v="8.19"/>
    <n v="0"/>
    <m/>
    <n v="0"/>
    <m/>
    <m/>
    <s v="Não"/>
    <s v="Não"/>
    <s v="Não"/>
    <s v="Não"/>
    <n v="0"/>
    <n v="0"/>
  </r>
  <r>
    <s v="VGSP-330_015,000_EN_CL2"/>
    <x v="0"/>
    <s v="15,000"/>
    <m/>
    <s v="15,500"/>
    <m/>
    <x v="0"/>
    <s v="N"/>
    <n v="-23.500777949256449"/>
    <n v="-46.754173780215851"/>
    <n v="145.16999999999999"/>
    <n v="6.43"/>
    <n v="10"/>
    <m/>
    <n v="0"/>
    <s v="Trator 1.7m"/>
    <m/>
    <s v="Não"/>
    <s v="Não"/>
    <s v="Não"/>
    <s v="Não"/>
    <n v="14.516999999999999"/>
    <n v="14.516999999999999"/>
  </r>
  <r>
    <s v="VGSP-330_015,000_EN_CL1"/>
    <x v="0"/>
    <s v="15,000"/>
    <m/>
    <s v="15,500"/>
    <m/>
    <x v="0"/>
    <s v="N"/>
    <n v="-23.502348608061691"/>
    <n v="-46.753966684493413"/>
    <n v="6680.97"/>
    <n v="6.47"/>
    <n v="90"/>
    <m/>
    <n v="0"/>
    <s v="Trator 1.7m"/>
    <m/>
    <s v="Não"/>
    <s v="Não"/>
    <s v="Não"/>
    <s v="Não"/>
    <n v="6012.8730000000005"/>
    <n v="6012.8730000000005"/>
  </r>
  <r>
    <s v="VGSP-330_015,000_CC2"/>
    <x v="11"/>
    <s v="15,000"/>
    <m/>
    <s v="15,500"/>
    <m/>
    <x v="1"/>
    <s v="C"/>
    <n v="-23.50038424486101"/>
    <n v="-46.754444854138868"/>
    <n v="672.49"/>
    <n v="9.5299999999999994"/>
    <n v="0"/>
    <m/>
    <n v="0"/>
    <m/>
    <m/>
    <s v="Não"/>
    <s v="Não"/>
    <s v="Não"/>
    <s v="Não"/>
    <n v="0"/>
    <n v="0"/>
  </r>
  <r>
    <s v="VGSP-330_015,000_EN_CL10"/>
    <x v="0"/>
    <s v="15,000"/>
    <m/>
    <s v="15,500"/>
    <m/>
    <x v="0"/>
    <s v="N"/>
    <n v="-23.500286941616618"/>
    <n v="-46.753572238899082"/>
    <n v="645.39"/>
    <n v="9.61"/>
    <n v="10"/>
    <m/>
    <n v="0"/>
    <s v="Trator 1.7m"/>
    <m/>
    <s v="Não"/>
    <s v="Não"/>
    <s v="Não"/>
    <s v="Não"/>
    <n v="64.539000000000001"/>
    <n v="64.539000000000001"/>
  </r>
  <r>
    <s v="VGSP-330_015,000_EN_CL8"/>
    <x v="0"/>
    <s v="15,000"/>
    <m/>
    <s v="15,500"/>
    <m/>
    <x v="0"/>
    <s v="N"/>
    <n v="-23.499729886179541"/>
    <n v="-46.754488526554368"/>
    <n v="273.68"/>
    <n v="13"/>
    <n v="0"/>
    <m/>
    <n v="0"/>
    <m/>
    <m/>
    <s v="Não"/>
    <s v="Não"/>
    <s v="Não"/>
    <s v="Não"/>
    <n v="0"/>
    <n v="0"/>
  </r>
  <r>
    <s v="VGSP-348_015,000_EN_CL"/>
    <x v="0"/>
    <s v="15,000"/>
    <m/>
    <s v="15,500"/>
    <m/>
    <x v="0"/>
    <s v="N"/>
    <n v="-23.505240568882101"/>
    <n v="-46.722905057353273"/>
    <n v="1264.71"/>
    <n v="12.28"/>
    <n v="70"/>
    <m/>
    <n v="0"/>
    <s v="Trator 1.7m"/>
    <m/>
    <s v="Não"/>
    <s v="Não"/>
    <s v="Não"/>
    <s v="Não"/>
    <n v="885.29700000000003"/>
    <n v="885.29700000000003"/>
  </r>
  <r>
    <s v="VGSP-330_015,000_EN_CL7"/>
    <x v="0"/>
    <s v="15,000"/>
    <m/>
    <s v="15,500"/>
    <m/>
    <x v="0"/>
    <s v="N"/>
    <n v="-23.50036575783766"/>
    <n v="-46.754197776932223"/>
    <n v="339.07"/>
    <n v="7.5"/>
    <n v="10"/>
    <m/>
    <n v="0"/>
    <s v="Trator 1.7m"/>
    <m/>
    <s v="Não"/>
    <s v="Não"/>
    <s v="Não"/>
    <s v="Não"/>
    <n v="33.907000000000004"/>
    <n v="33.907000000000004"/>
  </r>
  <r>
    <s v="VGSP-330_015,000_ES_CL9"/>
    <x v="0"/>
    <s v="15,000"/>
    <m/>
    <s v="15,500"/>
    <m/>
    <x v="0"/>
    <s v="S"/>
    <n v="-23.50082584444143"/>
    <n v="-46.754747277343007"/>
    <n v="39.090000000000003"/>
    <n v="6.55"/>
    <n v="0"/>
    <m/>
    <n v="0"/>
    <m/>
    <m/>
    <s v="Não"/>
    <s v="Não"/>
    <s v="Não"/>
    <s v="Não"/>
    <n v="0"/>
    <n v="0"/>
  </r>
  <r>
    <s v="VGSP-330_015,000_EN_CL3"/>
    <x v="0"/>
    <s v="15,000"/>
    <m/>
    <s v="15,500"/>
    <m/>
    <x v="0"/>
    <s v="N"/>
    <n v="-23.500601350753509"/>
    <n v="-46.753728176599331"/>
    <n v="460.34"/>
    <n v="7.84"/>
    <n v="0"/>
    <m/>
    <n v="0"/>
    <m/>
    <m/>
    <s v="Não"/>
    <s v="Não"/>
    <s v="Não"/>
    <s v="Não"/>
    <n v="0"/>
    <n v="0"/>
  </r>
  <r>
    <s v="VGSP-330_015,000_EN_CL5"/>
    <x v="0"/>
    <s v="15,000"/>
    <m/>
    <s v="15,500"/>
    <m/>
    <x v="0"/>
    <s v="N"/>
    <n v="-23.50045126112704"/>
    <n v="-46.75372936556348"/>
    <n v="791.98"/>
    <n v="8.66"/>
    <n v="0"/>
    <m/>
    <n v="0"/>
    <m/>
    <m/>
    <s v="Não"/>
    <s v="Não"/>
    <s v="Não"/>
    <s v="Não"/>
    <n v="0"/>
    <n v="0"/>
  </r>
  <r>
    <s v="VGSP-330_015,000_EN_CL6"/>
    <x v="0"/>
    <s v="15,000"/>
    <m/>
    <s v="15,500"/>
    <m/>
    <x v="0"/>
    <s v="N"/>
    <n v="-23.500424505572951"/>
    <n v="-46.752682039481243"/>
    <n v="31.14"/>
    <n v="6.64"/>
    <n v="0"/>
    <m/>
    <n v="0"/>
    <m/>
    <m/>
    <s v="Não"/>
    <s v="Não"/>
    <s v="Não"/>
    <s v="Não"/>
    <n v="0"/>
    <n v="0"/>
  </r>
  <r>
    <s v="VGSP-348_015,000_ES_CL2"/>
    <x v="0"/>
    <s v="15,000"/>
    <m/>
    <s v="15,500"/>
    <m/>
    <x v="0"/>
    <s v="S"/>
    <n v="-23.502521112271531"/>
    <n v="-46.725944521095677"/>
    <n v="2145.5700000000002"/>
    <n v="6.71"/>
    <n v="70"/>
    <m/>
    <n v="0"/>
    <s v="Trator 1.7m"/>
    <m/>
    <s v="Não"/>
    <s v="Não"/>
    <s v="Não"/>
    <s v="Não"/>
    <n v="1501.8990000000001"/>
    <n v="1501.8990000000001"/>
  </r>
  <r>
    <s v="VGSP-330_015,000_ES_CL7"/>
    <x v="0"/>
    <s v="15,000"/>
    <m/>
    <s v="15,500"/>
    <m/>
    <x v="0"/>
    <s v="S"/>
    <n v="-23.50171179456559"/>
    <n v="-46.754653080457807"/>
    <n v="86.66"/>
    <n v="3.69"/>
    <n v="0"/>
    <m/>
    <n v="0"/>
    <m/>
    <m/>
    <s v="Não"/>
    <s v="Não"/>
    <s v="Não"/>
    <s v="Não"/>
    <n v="0"/>
    <n v="0"/>
  </r>
  <r>
    <s v="VGSP-348_015,000_ES_CL1"/>
    <x v="0"/>
    <s v="15,000"/>
    <m/>
    <s v="15,500"/>
    <m/>
    <x v="0"/>
    <s v="S"/>
    <n v="-23.505516261534101"/>
    <n v="-46.723339925133047"/>
    <n v="1258.55"/>
    <n v="7.74"/>
    <n v="0"/>
    <m/>
    <n v="0"/>
    <m/>
    <m/>
    <s v="Não"/>
    <s v="Não"/>
    <s v="Não"/>
    <s v="Não"/>
    <n v="0"/>
    <n v="0"/>
  </r>
  <r>
    <s v="VGSP-330_015,000_EN_CL4"/>
    <x v="0"/>
    <s v="15,000"/>
    <m/>
    <s v="15,500"/>
    <m/>
    <x v="0"/>
    <s v="N"/>
    <n v="-23.50048467400805"/>
    <n v="-46.752792302696697"/>
    <n v="41.21"/>
    <n v="6.35"/>
    <n v="0"/>
    <m/>
    <n v="0"/>
    <m/>
    <m/>
    <s v="Não"/>
    <s v="Não"/>
    <s v="Não"/>
    <s v="Não"/>
    <n v="0"/>
    <n v="0"/>
  </r>
  <r>
    <s v="VGSP-330_015,000_ES_CL5"/>
    <x v="0"/>
    <s v="15,000"/>
    <m/>
    <s v="15,500"/>
    <m/>
    <x v="0"/>
    <s v="S"/>
    <n v="-23.502380412303651"/>
    <n v="-46.755454410906111"/>
    <n v="72.31"/>
    <n v="9.1300000000000008"/>
    <n v="0"/>
    <m/>
    <n v="0"/>
    <m/>
    <m/>
    <s v="Não"/>
    <s v="Não"/>
    <s v="Não"/>
    <s v="Não"/>
    <n v="0"/>
    <n v="0"/>
  </r>
  <r>
    <s v="VGSP-330_015,000_ES_CL8"/>
    <x v="0"/>
    <s v="15,000"/>
    <m/>
    <s v="15,500"/>
    <m/>
    <x v="0"/>
    <s v="S"/>
    <n v="-23.501093103115579"/>
    <n v="-46.75500081733712"/>
    <n v="471.63"/>
    <n v="3.56"/>
    <n v="0"/>
    <m/>
    <n v="0"/>
    <m/>
    <m/>
    <s v="Não"/>
    <s v="Não"/>
    <s v="Não"/>
    <s v="Não"/>
    <n v="0"/>
    <n v="0"/>
  </r>
  <r>
    <s v="VGSP-330_015,000_ES_CL12"/>
    <x v="0"/>
    <s v="15,000"/>
    <m/>
    <s v="15,500"/>
    <m/>
    <x v="0"/>
    <s v="S"/>
    <n v="-23.49812254908522"/>
    <n v="-46.755040726921777"/>
    <n v="9.6199999999999992"/>
    <n v="3.28"/>
    <n v="0"/>
    <m/>
    <n v="0"/>
    <m/>
    <m/>
    <s v="Não"/>
    <s v="Não"/>
    <s v="Não"/>
    <s v="Não"/>
    <n v="0"/>
    <n v="0"/>
  </r>
  <r>
    <s v="VGSP-330_015,000_ES_CL3"/>
    <x v="0"/>
    <s v="15,000"/>
    <m/>
    <s v="15,500"/>
    <m/>
    <x v="0"/>
    <s v="S"/>
    <n v="-23.502603259048119"/>
    <n v="-46.755115169972832"/>
    <n v="92.68"/>
    <n v="9.07"/>
    <n v="0"/>
    <m/>
    <n v="0"/>
    <m/>
    <m/>
    <s v="Não"/>
    <s v="Não"/>
    <s v="Não"/>
    <s v="Não"/>
    <n v="0"/>
    <n v="0"/>
  </r>
  <r>
    <s v="VGSP-348_015,000_CC2"/>
    <x v="12"/>
    <s v="15,000"/>
    <m/>
    <s v="15,500"/>
    <n v="0.5"/>
    <x v="1"/>
    <s v="C"/>
    <n v="-23.502392405128582"/>
    <n v="-46.725769412158371"/>
    <n v="1702.68"/>
    <n v="7.34"/>
    <n v="0"/>
    <m/>
    <n v="0"/>
    <m/>
    <m/>
    <s v="Não"/>
    <s v="Não"/>
    <s v="Não"/>
    <s v="Não"/>
    <n v="0"/>
    <n v="0"/>
  </r>
  <r>
    <s v="VGSP-348_015,000_CC1"/>
    <x v="12"/>
    <s v="15,000"/>
    <m/>
    <s v="15,500"/>
    <n v="0.5"/>
    <x v="1"/>
    <s v="C"/>
    <n v="-23.505771493032761"/>
    <n v="-46.722784984963774"/>
    <n v="3358.07"/>
    <n v="10.119999999999999"/>
    <n v="0"/>
    <m/>
    <n v="0"/>
    <m/>
    <m/>
    <s v="Não"/>
    <s v="Não"/>
    <s v="Não"/>
    <s v="Não"/>
    <n v="0"/>
    <n v="0"/>
  </r>
  <r>
    <s v="VGSP-348_015,000_CC3"/>
    <x v="12"/>
    <s v="15,000"/>
    <m/>
    <s v="15,500"/>
    <n v="0.5"/>
    <x v="1"/>
    <s v="C"/>
    <n v="-23.502247427427829"/>
    <n v="-46.725609124953507"/>
    <n v="2187.7199999999998"/>
    <n v="7.98"/>
    <n v="70"/>
    <m/>
    <n v="0"/>
    <s v="Trator 1.7m"/>
    <m/>
    <s v="Não"/>
    <s v="Não"/>
    <s v="Não"/>
    <s v="Não"/>
    <n v="1531.4039999999998"/>
    <n v="1531.4039999999998"/>
  </r>
  <r>
    <s v="VGSP-348_016,000_ES_CL2"/>
    <x v="0"/>
    <s v="16,000"/>
    <m/>
    <s v="16,500"/>
    <m/>
    <x v="0"/>
    <s v="S"/>
    <n v="-23.496950580332779"/>
    <n v="-46.730335644814033"/>
    <n v="548.73"/>
    <n v="5.21"/>
    <n v="0"/>
    <m/>
    <n v="0"/>
    <m/>
    <m/>
    <s v="Não"/>
    <s v="Não"/>
    <s v="Não"/>
    <s v="Não"/>
    <n v="0"/>
    <n v="0"/>
  </r>
  <r>
    <s v="VGSP-348_016,000_EN_CL6"/>
    <x v="0"/>
    <s v="16,000"/>
    <m/>
    <s v="16,500"/>
    <m/>
    <x v="0"/>
    <s v="N"/>
    <n v="-23.494026509595351"/>
    <n v="-46.732145995116042"/>
    <n v="6251"/>
    <n v="4.8499999999999996"/>
    <n v="80"/>
    <m/>
    <n v="0"/>
    <s v="Eixo-zero"/>
    <m/>
    <s v="Não"/>
    <s v="Não"/>
    <s v="Não"/>
    <s v="Não"/>
    <n v="5000.8"/>
    <n v="5000.8"/>
  </r>
  <r>
    <s v="VGSP-348_016,000_CC3"/>
    <x v="13"/>
    <s v="16,000"/>
    <m/>
    <s v="16,500"/>
    <n v="0.5"/>
    <x v="1"/>
    <s v="C"/>
    <n v="-23.496610022430371"/>
    <n v="-46.730522284754301"/>
    <n v="450.31"/>
    <n v="4.37"/>
    <n v="0"/>
    <m/>
    <n v="0"/>
    <m/>
    <m/>
    <s v="Não"/>
    <s v="Não"/>
    <s v="Não"/>
    <s v="Não"/>
    <n v="0"/>
    <n v="0"/>
  </r>
  <r>
    <s v="VGSP-330_016,000_EN_CL6"/>
    <x v="0"/>
    <s v="16,000"/>
    <m/>
    <s v="16,500"/>
    <m/>
    <x v="0"/>
    <s v="N"/>
    <n v="-23.493927850066211"/>
    <n v="-46.757350782575692"/>
    <n v="745.41"/>
    <n v="9.64"/>
    <n v="0"/>
    <m/>
    <n v="0"/>
    <m/>
    <m/>
    <s v="Não"/>
    <s v="Não"/>
    <s v="Não"/>
    <s v="Não"/>
    <n v="0"/>
    <n v="0"/>
  </r>
  <r>
    <s v="VGSP-348_016,000_EN_CL3"/>
    <x v="0"/>
    <s v="16,000"/>
    <m/>
    <s v="16,500"/>
    <m/>
    <x v="0"/>
    <s v="N"/>
    <n v="-23.496396887981309"/>
    <n v="-46.730025136008138"/>
    <n v="219.54"/>
    <n v="8.2899999999999991"/>
    <n v="0"/>
    <m/>
    <n v="0"/>
    <m/>
    <m/>
    <s v="Não"/>
    <s v="Não"/>
    <s v="Não"/>
    <s v="Não"/>
    <n v="0"/>
    <n v="0"/>
  </r>
  <r>
    <s v="VGSP-330_016,000_ES_CL10"/>
    <x v="0"/>
    <s v="16,000"/>
    <m/>
    <s v="16,500"/>
    <m/>
    <x v="0"/>
    <s v="S"/>
    <n v="-23.494535351025199"/>
    <n v="-46.757309387803737"/>
    <n v="442.68"/>
    <n v="6.12"/>
    <n v="0"/>
    <m/>
    <n v="0"/>
    <m/>
    <m/>
    <s v="Não"/>
    <s v="Não"/>
    <s v="Não"/>
    <s v="Não"/>
    <n v="0"/>
    <n v="0"/>
  </r>
  <r>
    <s v="VGSP-330_016,000_EN_CL8"/>
    <x v="0"/>
    <s v="16,000"/>
    <m/>
    <s v="16,500"/>
    <m/>
    <x v="0"/>
    <s v="N"/>
    <n v="-23.493991322505931"/>
    <n v="-46.762568505360193"/>
    <n v="758.71"/>
    <n v="4.38"/>
    <n v="0"/>
    <m/>
    <n v="0"/>
    <m/>
    <m/>
    <s v="Não"/>
    <s v="Não"/>
    <s v="Não"/>
    <s v="Não"/>
    <n v="0"/>
    <n v="0"/>
  </r>
  <r>
    <s v="VGSP-348_016,000_ES_CL3"/>
    <x v="0"/>
    <s v="16,000"/>
    <m/>
    <s v="16,500"/>
    <m/>
    <x v="0"/>
    <s v="S"/>
    <n v="-23.498739189779961"/>
    <n v="-46.729182199422951"/>
    <n v="2144.2800000000002"/>
    <n v="8.11"/>
    <n v="70"/>
    <m/>
    <n v="0"/>
    <s v="Trator 1.7m"/>
    <m/>
    <s v="Não"/>
    <s v="Não"/>
    <s v="Não"/>
    <s v="Não"/>
    <n v="1500.9960000000001"/>
    <n v="1500.9960000000001"/>
  </r>
  <r>
    <s v="VGSP-330_016,000_EN_CL7"/>
    <x v="0"/>
    <s v="16,000"/>
    <m/>
    <s v="16,500"/>
    <m/>
    <x v="0"/>
    <s v="N"/>
    <n v="-23.493850281766921"/>
    <n v="-46.758758549511548"/>
    <n v="182.56"/>
    <n v="5.0199999999999996"/>
    <n v="0"/>
    <m/>
    <n v="0"/>
    <m/>
    <m/>
    <s v="Não"/>
    <s v="Não"/>
    <s v="Não"/>
    <s v="Não"/>
    <n v="0"/>
    <n v="0"/>
  </r>
  <r>
    <s v="VGSP-348_016,000_CC1"/>
    <x v="13"/>
    <s v="16,000"/>
    <m/>
    <s v="16,500"/>
    <n v="0.5"/>
    <x v="1"/>
    <s v="C"/>
    <n v="-23.498918450352729"/>
    <n v="-46.728645612950402"/>
    <n v="1183.02"/>
    <n v="8.7799999999999994"/>
    <n v="0"/>
    <m/>
    <n v="0"/>
    <m/>
    <m/>
    <s v="Não"/>
    <s v="Não"/>
    <s v="Não"/>
    <s v="Não"/>
    <n v="0"/>
    <n v="0"/>
  </r>
  <r>
    <s v="VGSP-348_016,000_ES_CL1"/>
    <x v="0"/>
    <s v="16,000"/>
    <m/>
    <s v="16,500"/>
    <m/>
    <x v="0"/>
    <s v="S"/>
    <n v="-23.497711971644751"/>
    <n v="-46.729802196814198"/>
    <n v="1528.88"/>
    <n v="8.1300000000000008"/>
    <n v="70"/>
    <m/>
    <n v="0"/>
    <s v="Trator 1.7m"/>
    <m/>
    <s v="Não"/>
    <s v="Não"/>
    <s v="Não"/>
    <s v="Não"/>
    <n v="1070.2160000000001"/>
    <n v="1070.2160000000001"/>
  </r>
  <r>
    <s v="VGSP-348_016,000_EN_CL4"/>
    <x v="0"/>
    <s v="16,000"/>
    <m/>
    <s v="16,500"/>
    <m/>
    <x v="0"/>
    <s v="N"/>
    <n v="-23.496636165486962"/>
    <n v="-46.729700443877377"/>
    <n v="120.92"/>
    <n v="10.7"/>
    <n v="70"/>
    <m/>
    <n v="0"/>
    <s v="Trator 1.7m"/>
    <m/>
    <s v="Não"/>
    <s v="Não"/>
    <s v="Não"/>
    <s v="Não"/>
    <n v="84.643999999999991"/>
    <n v="84.643999999999991"/>
  </r>
  <r>
    <s v="VGSP-348_016,000_EN_CL5"/>
    <x v="0"/>
    <s v="16,000"/>
    <m/>
    <s v="16,500"/>
    <m/>
    <x v="0"/>
    <s v="N"/>
    <n v="-23.496268051850731"/>
    <n v="-46.730018456513427"/>
    <n v="291.27999999999997"/>
    <n v="8.7899999999999991"/>
    <n v="90"/>
    <m/>
    <n v="0"/>
    <s v="Trator 1.7m"/>
    <m/>
    <s v="Não"/>
    <s v="Não"/>
    <s v="Não"/>
    <s v="Não"/>
    <n v="262.15199999999999"/>
    <n v="262.15199999999999"/>
  </r>
  <r>
    <s v="VGSP-330_016,000_ES_CL13"/>
    <x v="0"/>
    <s v="16,000"/>
    <m/>
    <s v="16,500"/>
    <m/>
    <x v="0"/>
    <s v="S"/>
    <n v="-23.494437702094359"/>
    <n v="-46.758846855041043"/>
    <n v="362.62"/>
    <n v="1.65"/>
    <n v="0"/>
    <m/>
    <n v="0"/>
    <m/>
    <m/>
    <s v="Não"/>
    <s v="Não"/>
    <s v="Não"/>
    <s v="Não"/>
    <n v="0"/>
    <n v="0"/>
  </r>
  <r>
    <s v="VGSP-330_016,000_EN_CL5"/>
    <x v="0"/>
    <s v="16,000"/>
    <m/>
    <s v="16,500"/>
    <m/>
    <x v="0"/>
    <s v="N"/>
    <n v="-23.494039482520169"/>
    <n v="-46.762626446146008"/>
    <n v="82.04"/>
    <n v="3.75"/>
    <n v="0"/>
    <m/>
    <n v="0"/>
    <m/>
    <m/>
    <s v="Não"/>
    <s v="Não"/>
    <s v="Não"/>
    <s v="Não"/>
    <n v="0"/>
    <n v="0"/>
  </r>
  <r>
    <s v="VGSP-330_016,000_ES_CL7"/>
    <x v="0"/>
    <s v="16,000"/>
    <m/>
    <s v="16,500"/>
    <m/>
    <x v="0"/>
    <s v="S"/>
    <n v="-23.494626193313788"/>
    <n v="-46.76105253391836"/>
    <n v="790.08"/>
    <n v="5.97"/>
    <n v="0"/>
    <m/>
    <n v="0"/>
    <m/>
    <m/>
    <s v="Não"/>
    <s v="Não"/>
    <s v="Não"/>
    <s v="Não"/>
    <n v="0"/>
    <n v="0"/>
  </r>
  <r>
    <s v="VGSP-348_016,000_CC2"/>
    <x v="13"/>
    <s v="16,000"/>
    <m/>
    <s v="16,500"/>
    <n v="0.5"/>
    <x v="1"/>
    <s v="C"/>
    <n v="-23.498663863593372"/>
    <n v="-46.728457520522191"/>
    <n v="1765.79"/>
    <n v="9.57"/>
    <n v="70"/>
    <m/>
    <n v="0"/>
    <s v="Trator 1.7m"/>
    <m/>
    <s v="Não"/>
    <s v="Não"/>
    <s v="Não"/>
    <s v="Não"/>
    <n v="1236.0529999999999"/>
    <n v="1236.0529999999999"/>
  </r>
  <r>
    <s v="VGSP-348_016,000_EN_CL1"/>
    <x v="0"/>
    <s v="16,000"/>
    <m/>
    <s v="16,500"/>
    <m/>
    <x v="0"/>
    <s v="N"/>
    <n v="-23.497401723745941"/>
    <n v="-46.729345706760078"/>
    <n v="1314.72"/>
    <n v="11.98"/>
    <n v="70"/>
    <m/>
    <n v="0"/>
    <s v="Trator 1.7m"/>
    <m/>
    <s v="Não"/>
    <s v="Não"/>
    <s v="Não"/>
    <s v="Não"/>
    <n v="920.30399999999997"/>
    <n v="920.30399999999997"/>
  </r>
  <r>
    <s v="VGSP-330_016,000_ES_CL5"/>
    <x v="0"/>
    <s v="16,000"/>
    <m/>
    <s v="16,500"/>
    <m/>
    <x v="0"/>
    <s v="S"/>
    <n v="-23.494697015970129"/>
    <n v="-46.757487487589842"/>
    <n v="6.81"/>
    <n v="3.93"/>
    <n v="0"/>
    <m/>
    <n v="0"/>
    <m/>
    <m/>
    <s v="Não"/>
    <s v="Não"/>
    <s v="Não"/>
    <s v="Não"/>
    <n v="0"/>
    <n v="0"/>
  </r>
  <r>
    <s v="VGSP-330_016,000_EN_CL9"/>
    <x v="0"/>
    <s v="16,000"/>
    <m/>
    <s v="16,500"/>
    <m/>
    <x v="0"/>
    <s v="N"/>
    <n v="-23.493765826672671"/>
    <n v="-46.763533804833649"/>
    <n v="65.55"/>
    <n v="6.48"/>
    <n v="0"/>
    <m/>
    <n v="0"/>
    <m/>
    <m/>
    <s v="Não"/>
    <s v="Não"/>
    <s v="Não"/>
    <s v="Não"/>
    <n v="0"/>
    <n v="0"/>
  </r>
  <r>
    <s v="VGSP-330_016,000_ES_CL6"/>
    <x v="0"/>
    <s v="16,000"/>
    <m/>
    <s v="16,500"/>
    <m/>
    <x v="0"/>
    <s v="S"/>
    <n v="-23.4946895832392"/>
    <n v="-46.757808895362217"/>
    <n v="181.55"/>
    <n v="5.24"/>
    <n v="0"/>
    <m/>
    <n v="0"/>
    <m/>
    <m/>
    <s v="Não"/>
    <s v="Não"/>
    <s v="Não"/>
    <s v="Não"/>
    <n v="0"/>
    <n v="0"/>
  </r>
  <r>
    <s v="VGSP-348_016,000_CC4"/>
    <x v="13"/>
    <s v="16,000"/>
    <m/>
    <s v="16,500"/>
    <n v="0.5"/>
    <x v="1"/>
    <s v="C"/>
    <n v="-23.495007045704231"/>
    <n v="-46.731794593253163"/>
    <n v="1943.5"/>
    <n v="5.27"/>
    <n v="0"/>
    <m/>
    <n v="0"/>
    <m/>
    <m/>
    <s v="Não"/>
    <s v="Não"/>
    <s v="Não"/>
    <s v="Não"/>
    <n v="0"/>
    <n v="0"/>
  </r>
  <r>
    <s v="VGSP-348_016,000_EN_CL2"/>
    <x v="0"/>
    <s v="16,000"/>
    <m/>
    <s v="16,500"/>
    <m/>
    <x v="0"/>
    <s v="N"/>
    <n v="-23.4967047800999"/>
    <n v="-46.72979749069264"/>
    <n v="261.57"/>
    <n v="10.54"/>
    <n v="0"/>
    <m/>
    <n v="0"/>
    <m/>
    <m/>
    <s v="Não"/>
    <s v="Não"/>
    <s v="Não"/>
    <s v="Não"/>
    <n v="0"/>
    <n v="0"/>
  </r>
  <r>
    <s v="VGSP-330_016,000_EN_CL2"/>
    <x v="0"/>
    <s v="16,000"/>
    <m/>
    <s v="16,500"/>
    <m/>
    <x v="0"/>
    <s v="N"/>
    <n v="-23.49466004942915"/>
    <n v="-46.75599227211211"/>
    <n v="282.52"/>
    <n v="3"/>
    <n v="0"/>
    <m/>
    <n v="0"/>
    <m/>
    <m/>
    <s v="Não"/>
    <s v="Não"/>
    <s v="Não"/>
    <s v="Não"/>
    <n v="0"/>
    <n v="0"/>
  </r>
  <r>
    <s v="VGSP-330_016,000_ES_CL11"/>
    <x v="0"/>
    <s v="16,000"/>
    <m/>
    <s v="16,500"/>
    <m/>
    <x v="0"/>
    <s v="S"/>
    <n v="-23.494505474326392"/>
    <n v="-46.762441514795377"/>
    <n v="108.38"/>
    <n v="7.83"/>
    <n v="0"/>
    <m/>
    <n v="0"/>
    <m/>
    <m/>
    <s v="Não"/>
    <s v="Não"/>
    <s v="Não"/>
    <s v="Não"/>
    <n v="0"/>
    <n v="0"/>
  </r>
  <r>
    <s v="VGSP-330_016,000_ES_CL12"/>
    <x v="0"/>
    <s v="16,000"/>
    <m/>
    <s v="16,500"/>
    <m/>
    <x v="0"/>
    <s v="S"/>
    <n v="-23.494484674770799"/>
    <n v="-46.758072886330972"/>
    <n v="1809.2"/>
    <n v="3.35"/>
    <n v="0"/>
    <m/>
    <n v="0"/>
    <m/>
    <m/>
    <s v="Não"/>
    <s v="Não"/>
    <s v="Não"/>
    <s v="Não"/>
    <n v="0"/>
    <n v="0"/>
  </r>
  <r>
    <s v="VGSP-330_016,000_ES_CL9"/>
    <x v="0"/>
    <s v="16,000"/>
    <m/>
    <s v="16,500"/>
    <m/>
    <x v="0"/>
    <s v="S"/>
    <n v="-23.49454223087081"/>
    <n v="-46.763566593511086"/>
    <n v="153.16999999999999"/>
    <n v="5.83"/>
    <n v="0"/>
    <m/>
    <n v="0"/>
    <m/>
    <m/>
    <s v="Não"/>
    <s v="Não"/>
    <s v="Não"/>
    <s v="Não"/>
    <n v="0"/>
    <n v="0"/>
  </r>
  <r>
    <s v="VGSP-330_016,000_ES_CL2"/>
    <x v="0"/>
    <s v="16,000"/>
    <m/>
    <s v="16,500"/>
    <m/>
    <x v="0"/>
    <s v="S"/>
    <n v="-23.495424588215791"/>
    <n v="-46.755939410809432"/>
    <n v="404.14"/>
    <n v="2.56"/>
    <n v="0"/>
    <m/>
    <n v="0"/>
    <m/>
    <m/>
    <s v="Não"/>
    <s v="Não"/>
    <s v="Não"/>
    <s v="Não"/>
    <n v="0"/>
    <n v="0"/>
  </r>
  <r>
    <s v="VGSP-330_016,000_ES_CL1"/>
    <x v="0"/>
    <s v="16,000"/>
    <m/>
    <s v="16,500"/>
    <m/>
    <x v="0"/>
    <s v="S"/>
    <n v="-23.496135746257789"/>
    <n v="-46.755407866861702"/>
    <n v="364.57"/>
    <n v="2.52"/>
    <n v="0"/>
    <m/>
    <n v="0"/>
    <m/>
    <m/>
    <s v="Não"/>
    <s v="Não"/>
    <s v="Não"/>
    <s v="Não"/>
    <n v="0"/>
    <n v="0"/>
  </r>
  <r>
    <s v="VGSP-330_016,000_ES_CL3"/>
    <x v="0"/>
    <s v="16,000"/>
    <m/>
    <s v="16,500"/>
    <m/>
    <x v="0"/>
    <s v="S"/>
    <n v="-23.494839032114061"/>
    <n v="-46.756611381619237"/>
    <n v="1292.6199999999999"/>
    <n v="2.74"/>
    <n v="0"/>
    <m/>
    <n v="0"/>
    <m/>
    <m/>
    <s v="Não"/>
    <s v="Não"/>
    <s v="Não"/>
    <s v="Não"/>
    <n v="0"/>
    <n v="0"/>
  </r>
  <r>
    <s v="VGSP-330_016,000_EN_CL1"/>
    <x v="0"/>
    <s v="16,000"/>
    <m/>
    <s v="16,500"/>
    <m/>
    <x v="0"/>
    <s v="N"/>
    <n v="-23.495480397489949"/>
    <n v="-46.755005205519097"/>
    <n v="779.15"/>
    <n v="7.46"/>
    <n v="0"/>
    <m/>
    <n v="0"/>
    <m/>
    <m/>
    <s v="Não"/>
    <s v="Não"/>
    <s v="Não"/>
    <s v="Não"/>
    <n v="0"/>
    <n v="0"/>
  </r>
  <r>
    <s v="VGSP-330_016,000_ES_CL8"/>
    <x v="0"/>
    <s v="16,000"/>
    <m/>
    <s v="16,500"/>
    <m/>
    <x v="0"/>
    <s v="S"/>
    <n v="-23.494681169588389"/>
    <n v="-46.758454268029674"/>
    <n v="93.81"/>
    <n v="6.36"/>
    <n v="0"/>
    <m/>
    <n v="0"/>
    <m/>
    <m/>
    <s v="Não"/>
    <s v="Não"/>
    <s v="Não"/>
    <s v="Não"/>
    <n v="0"/>
    <n v="0"/>
  </r>
  <r>
    <s v="VGSP-330_016,000_ES_CL14"/>
    <x v="0"/>
    <s v="16,000"/>
    <m/>
    <s v="16,500"/>
    <m/>
    <x v="0"/>
    <s v="S"/>
    <n v="-23.49416077033985"/>
    <n v="-46.763778069401113"/>
    <n v="2679.93"/>
    <n v="7.35"/>
    <n v="0"/>
    <m/>
    <n v="0"/>
    <m/>
    <m/>
    <s v="Não"/>
    <s v="Não"/>
    <s v="Não"/>
    <s v="Não"/>
    <n v="0"/>
    <n v="0"/>
  </r>
  <r>
    <s v="VGSP-348_016,000_EN_CL7"/>
    <x v="0"/>
    <s v="16,000"/>
    <m/>
    <s v="16,500"/>
    <m/>
    <x v="0"/>
    <s v="N"/>
    <n v="-23.49372295380136"/>
    <n v="-46.731962106377743"/>
    <n v="956.67"/>
    <n v="7.74"/>
    <n v="90"/>
    <m/>
    <n v="0"/>
    <s v="Trator 1.7m"/>
    <m/>
    <s v="Não"/>
    <s v="Não"/>
    <s v="Não"/>
    <s v="Não"/>
    <n v="861.00299999999993"/>
    <n v="861.00299999999993"/>
  </r>
  <r>
    <s v="VGSP-330_016,000_ES_CL4"/>
    <x v="0"/>
    <s v="16,000"/>
    <m/>
    <s v="16,500"/>
    <m/>
    <x v="0"/>
    <s v="S"/>
    <n v="-23.494710948454209"/>
    <n v="-46.762641057327919"/>
    <n v="551.33000000000004"/>
    <n v="8.1300000000000008"/>
    <n v="0"/>
    <m/>
    <n v="0"/>
    <m/>
    <m/>
    <s v="Não"/>
    <s v="Não"/>
    <s v="Não"/>
    <s v="Não"/>
    <n v="0"/>
    <n v="0"/>
  </r>
  <r>
    <s v="VGSP-330_016,000_EN_CL4"/>
    <x v="0"/>
    <s v="16,000"/>
    <m/>
    <s v="16,500"/>
    <m/>
    <x v="0"/>
    <s v="N"/>
    <n v="-23.49408782895491"/>
    <n v="-46.761235598790542"/>
    <n v="40.43"/>
    <n v="5.5"/>
    <n v="0"/>
    <m/>
    <n v="0"/>
    <m/>
    <m/>
    <s v="Não"/>
    <s v="Não"/>
    <s v="Não"/>
    <s v="Não"/>
    <n v="0"/>
    <n v="0"/>
  </r>
  <r>
    <s v="VGSP-330_016,000_EN_CL3"/>
    <x v="0"/>
    <s v="16,000"/>
    <m/>
    <s v="16,500"/>
    <m/>
    <x v="0"/>
    <s v="N"/>
    <n v="-23.49424070205389"/>
    <n v="-46.756270471388312"/>
    <n v="115.91"/>
    <n v="5.23"/>
    <n v="0"/>
    <m/>
    <n v="0"/>
    <m/>
    <m/>
    <s v="Não"/>
    <s v="Não"/>
    <s v="Não"/>
    <s v="Não"/>
    <n v="0"/>
    <n v="0"/>
  </r>
  <r>
    <s v="VGSP-348_017,000_EN_CL1"/>
    <x v="0"/>
    <s v="17,000"/>
    <m/>
    <s v="17,500"/>
    <m/>
    <x v="0"/>
    <s v="N"/>
    <n v="-23.491120770584139"/>
    <n v="-46.734152858494149"/>
    <n v="1917.04"/>
    <n v="6.16"/>
    <n v="90"/>
    <m/>
    <n v="0"/>
    <s v="Trator 1.7m"/>
    <m/>
    <s v="Não"/>
    <s v="Não"/>
    <s v="Não"/>
    <s v="Não"/>
    <n v="1725.336"/>
    <n v="1725.336"/>
  </r>
  <r>
    <s v="VGSP-348_017,000_EN_CL2"/>
    <x v="0"/>
    <s v="17,000"/>
    <m/>
    <s v="17,500"/>
    <m/>
    <x v="0"/>
    <s v="N"/>
    <n v="-23.488037212076421"/>
    <n v="-46.736468098246583"/>
    <n v="1425.32"/>
    <n v="5.44"/>
    <n v="0"/>
    <m/>
    <n v="0"/>
    <m/>
    <m/>
    <s v="Não"/>
    <s v="Não"/>
    <s v="Não"/>
    <s v="Não"/>
    <n v="0"/>
    <n v="0"/>
  </r>
  <r>
    <s v="VGSP-348_017,000_CC1"/>
    <x v="14"/>
    <s v="17,000"/>
    <m/>
    <s v="17,500"/>
    <n v="0.5"/>
    <x v="1"/>
    <s v="C"/>
    <n v="-23.49129216738433"/>
    <n v="-46.734574584509403"/>
    <n v="20985.91"/>
    <n v="6.6"/>
    <n v="80"/>
    <m/>
    <n v="0"/>
    <s v="Eixo-zero"/>
    <m/>
    <s v="Não"/>
    <s v="Não"/>
    <s v="Não"/>
    <s v="Não"/>
    <n v="16788.727999999999"/>
    <n v="16788.727999999999"/>
  </r>
  <r>
    <s v="VGSP-348_017,000_EN_CL3"/>
    <x v="0"/>
    <s v="17,000"/>
    <m/>
    <s v="17,500"/>
    <m/>
    <x v="0"/>
    <s v="N"/>
    <n v="-23.486112262374832"/>
    <n v="-46.737140439662141"/>
    <n v="1.57"/>
    <n v="4.72"/>
    <n v="0"/>
    <m/>
    <n v="0"/>
    <m/>
    <m/>
    <s v="Não"/>
    <s v="Não"/>
    <s v="Não"/>
    <s v="Não"/>
    <n v="0"/>
    <n v="0"/>
  </r>
  <r>
    <s v="VGSP-330_017,000_CC"/>
    <x v="15"/>
    <s v="17,000"/>
    <m/>
    <s v="17,500"/>
    <m/>
    <x v="1"/>
    <s v="C"/>
    <n v="-23.492035238852889"/>
    <n v="-46.766190163380308"/>
    <n v="7053.92"/>
    <n v="4.9000000000000004"/>
    <n v="20"/>
    <m/>
    <n v="0"/>
    <s v="Trator 1.7m"/>
    <m/>
    <s v="Não"/>
    <s v="Não"/>
    <s v="Não"/>
    <s v="Não"/>
    <n v="1410.7840000000001"/>
    <n v="1410.7840000000001"/>
  </r>
  <r>
    <s v="VGSP-330_017,000_ES_CL3"/>
    <x v="0"/>
    <s v="17,000"/>
    <m/>
    <s v="17,500"/>
    <m/>
    <x v="0"/>
    <s v="S"/>
    <n v="-23.4894110721809"/>
    <n v="-46.767386852383673"/>
    <n v="1918.58"/>
    <n v="4.96"/>
    <n v="90"/>
    <m/>
    <n v="0"/>
    <s v="Trator 1.7m"/>
    <m/>
    <s v="Não"/>
    <s v="Não"/>
    <s v="Não"/>
    <s v="Não"/>
    <n v="1726.722"/>
    <n v="1726.722"/>
  </r>
  <r>
    <s v="VGSP-330_017,000_ES_CL2"/>
    <x v="0"/>
    <s v="17,000"/>
    <m/>
    <s v="17,500"/>
    <m/>
    <x v="0"/>
    <s v="S"/>
    <n v="-23.494106925791929"/>
    <n v="-46.76451652999652"/>
    <n v="260.68"/>
    <n v="5.56"/>
    <n v="0"/>
    <m/>
    <n v="0"/>
    <m/>
    <m/>
    <s v="Não"/>
    <s v="Não"/>
    <s v="Não"/>
    <s v="Não"/>
    <n v="0"/>
    <n v="0"/>
  </r>
  <r>
    <s v="VGSP-330_017,000_EN_CL5"/>
    <x v="0"/>
    <s v="17,000"/>
    <m/>
    <s v="17,500"/>
    <m/>
    <x v="0"/>
    <s v="N"/>
    <n v="-23.49069091576105"/>
    <n v="-46.766490694652653"/>
    <n v="5435.58"/>
    <n v="5.34"/>
    <n v="0"/>
    <m/>
    <n v="0"/>
    <m/>
    <m/>
    <s v="Não"/>
    <s v="Não"/>
    <s v="Não"/>
    <s v="Não"/>
    <n v="0"/>
    <n v="0"/>
  </r>
  <r>
    <s v="VGSP-330_017,000_ES_CL10"/>
    <x v="0"/>
    <s v="17,000"/>
    <m/>
    <s v="17,500"/>
    <m/>
    <x v="0"/>
    <s v="S"/>
    <n v="-23.486478351379791"/>
    <n v="-46.768658186563151"/>
    <n v="1879.72"/>
    <n v="6.56"/>
    <n v="70"/>
    <m/>
    <n v="1315.8039999999999"/>
    <s v="Spider"/>
    <m/>
    <s v="Não"/>
    <s v="Sim"/>
    <s v="Não"/>
    <s v="Não"/>
    <n v="0"/>
    <m/>
  </r>
  <r>
    <s v="VGSP-330_017,000_ES_CL4"/>
    <x v="0"/>
    <s v="17,000"/>
    <m/>
    <s v="17,500"/>
    <m/>
    <x v="0"/>
    <s v="S"/>
    <n v="-23.491262368987151"/>
    <n v="-46.766998554418059"/>
    <n v="990.47"/>
    <n v="4.8600000000000003"/>
    <n v="0"/>
    <m/>
    <n v="0"/>
    <m/>
    <m/>
    <s v="Não"/>
    <s v="Não"/>
    <s v="Não"/>
    <s v="Não"/>
    <n v="0"/>
    <n v="0"/>
  </r>
  <r>
    <s v="VGSP-330_017,000_ES_CL6"/>
    <x v="0"/>
    <s v="17,000"/>
    <m/>
    <s v="17,500"/>
    <m/>
    <x v="0"/>
    <s v="S"/>
    <n v="-23.488723574940629"/>
    <n v="-46.767889730979192"/>
    <n v="665.89"/>
    <n v="6.3"/>
    <n v="20"/>
    <m/>
    <n v="0"/>
    <s v="Trator 1.7m"/>
    <m/>
    <s v="Não"/>
    <s v="Não"/>
    <s v="Não"/>
    <s v="Não"/>
    <n v="133.178"/>
    <n v="133.178"/>
  </r>
  <r>
    <s v="VGSP-330_017,000_ES_CL1"/>
    <x v="0"/>
    <s v="17,000"/>
    <m/>
    <s v="17,500"/>
    <m/>
    <x v="0"/>
    <s v="S"/>
    <n v="-23.4933483070614"/>
    <n v="-46.76559215643902"/>
    <n v="844.39"/>
    <n v="8.61"/>
    <n v="0"/>
    <m/>
    <n v="0"/>
    <m/>
    <m/>
    <s v="Não"/>
    <s v="Não"/>
    <s v="Não"/>
    <s v="Não"/>
    <n v="0"/>
    <n v="0"/>
  </r>
  <r>
    <s v="VGSP-330_017,000_EN_CL1"/>
    <x v="0"/>
    <s v="17,000"/>
    <m/>
    <s v="17,500"/>
    <m/>
    <x v="0"/>
    <s v="N"/>
    <n v="-23.493574640513849"/>
    <n v="-46.763986813568202"/>
    <n v="401.13"/>
    <n v="4.3"/>
    <n v="0"/>
    <m/>
    <n v="0"/>
    <m/>
    <m/>
    <s v="Não"/>
    <s v="Não"/>
    <s v="Não"/>
    <s v="Não"/>
    <n v="0"/>
    <n v="0"/>
  </r>
  <r>
    <s v="VGSP-330_017,000_EN_CL3"/>
    <x v="0"/>
    <s v="17,000"/>
    <m/>
    <s v="17,500"/>
    <m/>
    <x v="0"/>
    <s v="N"/>
    <n v="-23.491769934223001"/>
    <n v="-46.765821554661628"/>
    <n v="30.95"/>
    <n v="6.49"/>
    <n v="0"/>
    <m/>
    <n v="0"/>
    <m/>
    <m/>
    <s v="Não"/>
    <s v="Não"/>
    <s v="Não"/>
    <s v="Não"/>
    <n v="0"/>
    <n v="0"/>
  </r>
  <r>
    <s v="VGSP-330_017,000_ES_CL7"/>
    <x v="0"/>
    <s v="17,000"/>
    <m/>
    <s v="17,500"/>
    <m/>
    <x v="0"/>
    <s v="S"/>
    <n v="-23.48784789348473"/>
    <n v="-46.767946956545337"/>
    <n v="853.26"/>
    <n v="8.92"/>
    <n v="20"/>
    <m/>
    <n v="0"/>
    <s v="Trator 1.7m"/>
    <m/>
    <s v="Não"/>
    <s v="Não"/>
    <s v="Não"/>
    <s v="Não"/>
    <n v="170.65200000000002"/>
    <n v="170.65200000000002"/>
  </r>
  <r>
    <s v="VGSP-330_017,000_EN_CL6"/>
    <x v="0"/>
    <s v="17,000"/>
    <m/>
    <s v="17,500"/>
    <m/>
    <x v="0"/>
    <s v="N"/>
    <n v="-23.488400557298821"/>
    <n v="-46.767260486751837"/>
    <n v="6991.57"/>
    <n v="3.48"/>
    <n v="0"/>
    <m/>
    <n v="0"/>
    <m/>
    <m/>
    <s v="Não"/>
    <s v="Não"/>
    <s v="Não"/>
    <s v="Não"/>
    <n v="0"/>
    <n v="0"/>
  </r>
  <r>
    <s v="VGSP-330_017,000_EN_CL4"/>
    <x v="0"/>
    <s v="17,000"/>
    <m/>
    <s v="17,500"/>
    <m/>
    <x v="0"/>
    <s v="N"/>
    <n v="-23.491639001366242"/>
    <n v="-46.765934088355422"/>
    <n v="24.17"/>
    <n v="7.85"/>
    <n v="0"/>
    <m/>
    <n v="0"/>
    <m/>
    <m/>
    <s v="Não"/>
    <s v="Não"/>
    <s v="Não"/>
    <s v="Não"/>
    <n v="0"/>
    <n v="0"/>
  </r>
  <r>
    <s v="VGSP-348_017,000_ES_CL2"/>
    <x v="0"/>
    <s v="17,000"/>
    <m/>
    <s v="17,500"/>
    <m/>
    <x v="0"/>
    <s v="S"/>
    <n v="-23.487480445499891"/>
    <n v="-46.737239009726864"/>
    <n v="2154.37"/>
    <n v="6.07"/>
    <n v="0"/>
    <m/>
    <n v="0"/>
    <m/>
    <m/>
    <s v="Não"/>
    <s v="Não"/>
    <s v="Não"/>
    <s v="Não"/>
    <n v="0"/>
    <n v="0"/>
  </r>
  <r>
    <s v="VGSP-348_017,000_EN_CL4"/>
    <x v="0"/>
    <s v="17,000"/>
    <m/>
    <s v="17,500"/>
    <m/>
    <x v="0"/>
    <s v="N"/>
    <n v="-23.48516352270661"/>
    <n v="-46.737257878565231"/>
    <n v="88.09"/>
    <n v="3.23"/>
    <n v="0"/>
    <m/>
    <n v="0"/>
    <m/>
    <m/>
    <s v="Não"/>
    <s v="Não"/>
    <s v="Não"/>
    <s v="Não"/>
    <n v="0"/>
    <n v="0"/>
  </r>
  <r>
    <s v="VGSP-348_017,000_ES_CL1"/>
    <x v="0"/>
    <s v="17,000"/>
    <m/>
    <s v="17,500"/>
    <m/>
    <x v="0"/>
    <s v="S"/>
    <n v="-23.4915836451313"/>
    <n v="-46.73489185728269"/>
    <n v="2015.82"/>
    <n v="13.05"/>
    <n v="0"/>
    <m/>
    <n v="0"/>
    <m/>
    <m/>
    <s v="Não"/>
    <s v="Não"/>
    <s v="Não"/>
    <s v="Não"/>
    <n v="0"/>
    <n v="0"/>
  </r>
  <r>
    <s v="VGSP-330_017,000_ES_CL8"/>
    <x v="0"/>
    <s v="17,000"/>
    <m/>
    <s v="17,500"/>
    <m/>
    <x v="0"/>
    <s v="S"/>
    <n v="-23.487529631944511"/>
    <n v="-46.768313535483543"/>
    <n v="696.93"/>
    <n v="9.33"/>
    <n v="20"/>
    <m/>
    <n v="0"/>
    <s v="Trator 1.7m"/>
    <m/>
    <s v="Não"/>
    <s v="Não"/>
    <s v="Não"/>
    <s v="Não"/>
    <n v="139.386"/>
    <n v="139.386"/>
  </r>
  <r>
    <s v="VGSP-330_017,000_EN_CL2"/>
    <x v="0"/>
    <s v="17,000"/>
    <m/>
    <s v="17,500"/>
    <m/>
    <x v="0"/>
    <s v="N"/>
    <n v="-23.49319736579093"/>
    <n v="-46.764655266922333"/>
    <n v="249.92"/>
    <n v="3.55"/>
    <n v="0"/>
    <m/>
    <n v="0"/>
    <m/>
    <m/>
    <s v="Não"/>
    <s v="Não"/>
    <s v="Não"/>
    <s v="Não"/>
    <n v="0"/>
    <n v="0"/>
  </r>
  <r>
    <s v="VGSP-330_017,000_ES_CL9"/>
    <x v="0"/>
    <s v="17,000"/>
    <m/>
    <s v="17,500"/>
    <m/>
    <x v="0"/>
    <s v="S"/>
    <n v="-23.486375474834681"/>
    <n v="-46.769001925695257"/>
    <n v="472.75"/>
    <n v="8.99"/>
    <n v="20"/>
    <m/>
    <n v="0"/>
    <s v="Trator 1.7m"/>
    <m/>
    <s v="Não"/>
    <s v="Não"/>
    <s v="Não"/>
    <s v="Não"/>
    <n v="94.550000000000011"/>
    <n v="94.550000000000011"/>
  </r>
  <r>
    <s v="VGSP-330_017,000_EN_CL7"/>
    <x v="0"/>
    <s v="17,000"/>
    <m/>
    <s v="17,500"/>
    <m/>
    <x v="0"/>
    <s v="N"/>
    <n v="-23.486502443098399"/>
    <n v="-46.768095743933308"/>
    <n v="3643.03"/>
    <n v="3.87"/>
    <n v="0"/>
    <m/>
    <n v="0"/>
    <m/>
    <m/>
    <s v="Não"/>
    <s v="Não"/>
    <s v="Não"/>
    <s v="Não"/>
    <n v="0"/>
    <n v="0"/>
  </r>
  <r>
    <s v="VGSP-330_017,000_ES_CL5"/>
    <x v="0"/>
    <s v="17,000"/>
    <m/>
    <s v="17,500"/>
    <m/>
    <x v="0"/>
    <s v="S"/>
    <n v="-23.489845958255881"/>
    <n v="-46.767534689580657"/>
    <n v="340.8"/>
    <n v="5.46"/>
    <n v="0"/>
    <m/>
    <n v="0"/>
    <m/>
    <m/>
    <s v="Não"/>
    <s v="Não"/>
    <s v="Não"/>
    <s v="Não"/>
    <n v="0"/>
    <n v="0"/>
  </r>
  <r>
    <s v="VGSP-348_017,000_CC2"/>
    <x v="14"/>
    <s v="17,000"/>
    <m/>
    <s v="17,500"/>
    <n v="0.5"/>
    <x v="1"/>
    <s v="C"/>
    <n v="-23.488956619487901"/>
    <n v="-46.73636488258537"/>
    <n v="3734.49"/>
    <n v="3.59"/>
    <n v="70"/>
    <m/>
    <n v="0"/>
    <s v="Eixo-zero"/>
    <m/>
    <s v="Não"/>
    <s v="Não"/>
    <s v="Não"/>
    <s v="Não"/>
    <n v="2614.1429999999996"/>
    <n v="2614.1429999999996"/>
  </r>
  <r>
    <s v="VGSP-330_018,000_ES_CL7"/>
    <x v="0"/>
    <s v="18,000"/>
    <m/>
    <s v="18,500"/>
    <m/>
    <x v="0"/>
    <s v="S"/>
    <n v="-23.481901045467499"/>
    <n v="-46.772223090775469"/>
    <n v="1513.04"/>
    <n v="2.39"/>
    <n v="70"/>
    <m/>
    <n v="0"/>
    <s v="Trator 1.7m"/>
    <m/>
    <s v="Não"/>
    <s v="Não"/>
    <s v="Não"/>
    <s v="Não"/>
    <n v="1059.1279999999999"/>
    <n v="1059.1279999999999"/>
  </r>
  <r>
    <s v="VGSP-330_018,000_ES_CL6"/>
    <x v="0"/>
    <s v="18,000"/>
    <m/>
    <s v="18,500"/>
    <m/>
    <x v="0"/>
    <s v="S"/>
    <n v="-23.482545772599721"/>
    <n v="-46.771524748926417"/>
    <n v="5558.85"/>
    <n v="7.22"/>
    <n v="70"/>
    <m/>
    <n v="0"/>
    <s v="Trator 1.7m"/>
    <m/>
    <s v="Não"/>
    <s v="Não"/>
    <s v="Não"/>
    <s v="Não"/>
    <n v="3891.1950000000002"/>
    <n v="3891.1950000000002"/>
  </r>
  <r>
    <s v="VGSP-330_018,000_EN_CL6"/>
    <x v="0"/>
    <s v="18,000"/>
    <m/>
    <s v="18,500"/>
    <m/>
    <x v="0"/>
    <s v="N"/>
    <n v="-23.481383582725901"/>
    <n v="-46.769950297443977"/>
    <n v="1662.39"/>
    <n v="7.9"/>
    <n v="0"/>
    <m/>
    <n v="0"/>
    <m/>
    <m/>
    <s v="Não"/>
    <s v="Não"/>
    <s v="Não"/>
    <s v="Não"/>
    <n v="0"/>
    <n v="0"/>
  </r>
  <r>
    <s v="VGSP-330_018,000_ES_CL15"/>
    <x v="0"/>
    <s v="18,000"/>
    <m/>
    <s v="18,500"/>
    <m/>
    <x v="0"/>
    <s v="S"/>
    <n v="-23.480297900161919"/>
    <n v="-46.77102650044084"/>
    <n v="33.99"/>
    <n v="0.93"/>
    <n v="0"/>
    <m/>
    <n v="0"/>
    <m/>
    <m/>
    <s v="Não"/>
    <s v="Não"/>
    <s v="Não"/>
    <s v="Não"/>
    <n v="0"/>
    <n v="0"/>
  </r>
  <r>
    <s v="VGSP-330_018,000_ES_CL5"/>
    <x v="0"/>
    <s v="18,000"/>
    <m/>
    <s v="18,500"/>
    <m/>
    <x v="0"/>
    <s v="S"/>
    <n v="-23.48263266950827"/>
    <n v="-46.771955325093373"/>
    <n v="127.29"/>
    <n v="9.35"/>
    <n v="20"/>
    <m/>
    <n v="0"/>
    <s v="Trator 1.7m"/>
    <m/>
    <s v="Não"/>
    <s v="Não"/>
    <s v="Não"/>
    <s v="Não"/>
    <n v="25.458000000000002"/>
    <n v="25.458000000000002"/>
  </r>
  <r>
    <s v="VGSP-330_018,000_EN_CL7"/>
    <x v="0"/>
    <s v="18,000"/>
    <m/>
    <s v="18,500"/>
    <m/>
    <x v="0"/>
    <s v="N"/>
    <n v="-23.481066508226359"/>
    <n v="-46.77003842217642"/>
    <n v="4419.92"/>
    <n v="6.62"/>
    <n v="0"/>
    <m/>
    <n v="0"/>
    <m/>
    <m/>
    <s v="Não"/>
    <s v="Não"/>
    <s v="Não"/>
    <s v="Não"/>
    <n v="0"/>
    <n v="0"/>
  </r>
  <r>
    <s v="VGSP-330_018,000_EN_CL5"/>
    <x v="0"/>
    <s v="18,000"/>
    <m/>
    <s v="18,500"/>
    <m/>
    <x v="0"/>
    <s v="N"/>
    <n v="-23.481586755068552"/>
    <n v="-46.76950179765555"/>
    <n v="1399.23"/>
    <n v="10.54"/>
    <n v="0"/>
    <m/>
    <n v="0"/>
    <m/>
    <m/>
    <s v="Não"/>
    <s v="Não"/>
    <s v="Não"/>
    <s v="Não"/>
    <n v="0"/>
    <n v="0"/>
  </r>
  <r>
    <s v="VGSP-330_018,000_ES_CL20"/>
    <x v="0"/>
    <s v="18,000"/>
    <m/>
    <s v="18,500"/>
    <m/>
    <x v="0"/>
    <s v="S"/>
    <n v="-23.479089311310119"/>
    <n v="-46.770916612435897"/>
    <n v="2734.46"/>
    <n v="8.57"/>
    <n v="20"/>
    <m/>
    <n v="0"/>
    <s v="Trator 1.7m"/>
    <m/>
    <s v="Não"/>
    <s v="Não"/>
    <s v="Não"/>
    <s v="Não"/>
    <n v="546.89200000000005"/>
    <n v="546.89200000000005"/>
  </r>
  <r>
    <s v="VGSP-330_018,000_ES_CL17"/>
    <x v="0"/>
    <s v="18,000"/>
    <m/>
    <s v="18,500"/>
    <m/>
    <x v="0"/>
    <s v="S"/>
    <n v="-23.4801526334568"/>
    <n v="-46.771464067605017"/>
    <n v="160.71"/>
    <n v="12.93"/>
    <n v="20"/>
    <m/>
    <n v="0"/>
    <s v="Trator 1.7m"/>
    <m/>
    <s v="Não"/>
    <s v="Não"/>
    <s v="Não"/>
    <s v="Não"/>
    <n v="32.142000000000003"/>
    <n v="32.142000000000003"/>
  </r>
  <r>
    <s v="VGSP-330_018,000_ES_CL8"/>
    <x v="0"/>
    <s v="18,000"/>
    <m/>
    <s v="18,500"/>
    <m/>
    <x v="0"/>
    <s v="S"/>
    <n v="-23.482294260044419"/>
    <n v="-46.772439103081616"/>
    <n v="294.10000000000002"/>
    <n v="5.53"/>
    <n v="20"/>
    <m/>
    <n v="0"/>
    <s v="Trator 1.7m"/>
    <m/>
    <s v="Não"/>
    <s v="Não"/>
    <s v="Não"/>
    <s v="Não"/>
    <n v="58.820000000000007"/>
    <n v="58.820000000000007"/>
  </r>
  <r>
    <s v="VGSP-330_018,000_ES_CL1"/>
    <x v="0"/>
    <s v="18,000"/>
    <m/>
    <s v="18,500"/>
    <m/>
    <x v="0"/>
    <s v="S"/>
    <n v="-23.485372924372399"/>
    <n v="-46.769779456032239"/>
    <n v="570.37"/>
    <n v="9.66"/>
    <n v="20"/>
    <m/>
    <n v="0"/>
    <s v="Trator 1.7m"/>
    <m/>
    <s v="Não"/>
    <s v="Não"/>
    <s v="Não"/>
    <s v="Não"/>
    <n v="114.07400000000001"/>
    <n v="114.07400000000001"/>
  </r>
  <r>
    <s v="VGSP-330_018,000_ES_CL13"/>
    <x v="0"/>
    <s v="18,000"/>
    <m/>
    <s v="18,500"/>
    <m/>
    <x v="0"/>
    <s v="S"/>
    <n v="-23.48104950229996"/>
    <n v="-46.771466808469903"/>
    <n v="6383.85"/>
    <n v="6.09"/>
    <n v="0"/>
    <m/>
    <n v="0"/>
    <m/>
    <m/>
    <s v="Não"/>
    <s v="Não"/>
    <s v="Não"/>
    <s v="Não"/>
    <n v="0"/>
    <n v="0"/>
  </r>
  <r>
    <s v="VGSP-330_018,000_EN_CL2"/>
    <x v="0"/>
    <s v="18,000"/>
    <m/>
    <s v="18,500"/>
    <m/>
    <x v="0"/>
    <s v="N"/>
    <n v="-23.482713768349821"/>
    <n v="-46.7697260582081"/>
    <n v="4457.46"/>
    <n v="6.34"/>
    <n v="60"/>
    <m/>
    <n v="2674.4760000000001"/>
    <s v="Spider"/>
    <m/>
    <s v="Não"/>
    <s v="Sim"/>
    <s v="Não"/>
    <s v="Não"/>
    <n v="0"/>
    <m/>
  </r>
  <r>
    <s v="VGSP-348_018,000_ES_CL2"/>
    <x v="0"/>
    <s v="18,000"/>
    <m/>
    <s v="18,500"/>
    <m/>
    <x v="0"/>
    <s v="S"/>
    <n v="-23.47916895364413"/>
    <n v="-46.739274231934743"/>
    <n v="1648.88"/>
    <n v="12.33"/>
    <n v="20"/>
    <m/>
    <n v="0"/>
    <s v="Trator 1.7m"/>
    <m/>
    <s v="Não"/>
    <s v="Não"/>
    <s v="Não"/>
    <s v="Não"/>
    <n v="329.77600000000007"/>
    <n v="329.77600000000007"/>
  </r>
  <r>
    <s v="VGSP-330_018,000_EN_CL4"/>
    <x v="0"/>
    <s v="18,000"/>
    <m/>
    <s v="18,500"/>
    <m/>
    <x v="0"/>
    <s v="N"/>
    <n v="-23.482233052475021"/>
    <n v="-46.769933590172442"/>
    <n v="7191.57"/>
    <n v="7.01"/>
    <n v="0"/>
    <m/>
    <n v="0"/>
    <m/>
    <m/>
    <s v="Não"/>
    <s v="Não"/>
    <s v="Não"/>
    <s v="Não"/>
    <n v="0"/>
    <n v="0"/>
  </r>
  <r>
    <s v="VGSP-330_018,000_ES_CL18"/>
    <x v="0"/>
    <s v="18,000"/>
    <m/>
    <s v="18,500"/>
    <m/>
    <x v="0"/>
    <s v="S"/>
    <n v="-23.480112741917349"/>
    <n v="-46.771021568408933"/>
    <n v="35.380000000000003"/>
    <n v="3.13"/>
    <n v="0"/>
    <m/>
    <n v="0"/>
    <m/>
    <m/>
    <s v="Não"/>
    <s v="Não"/>
    <s v="Não"/>
    <s v="Não"/>
    <n v="0"/>
    <n v="0"/>
  </r>
  <r>
    <s v="VGSP-330_018,000_ES_CL2"/>
    <x v="0"/>
    <s v="18,000"/>
    <m/>
    <s v="18,500"/>
    <m/>
    <x v="0"/>
    <s v="S"/>
    <n v="-23.484420319372528"/>
    <n v="-46.769993821987583"/>
    <n v="4526.79"/>
    <n v="7.13"/>
    <n v="60"/>
    <m/>
    <n v="2716.0740000000001"/>
    <s v="Spider"/>
    <m/>
    <s v="Não"/>
    <s v="Sim"/>
    <s v="Não"/>
    <s v="Não"/>
    <n v="0"/>
    <m/>
  </r>
  <r>
    <s v="VGSP-330_018,000_EN_CL1"/>
    <x v="0"/>
    <s v="18,000"/>
    <m/>
    <s v="18,500"/>
    <m/>
    <x v="0"/>
    <s v="N"/>
    <n v="-23.485100209538889"/>
    <n v="-46.769064836781702"/>
    <n v="4172.55"/>
    <n v="3.76"/>
    <n v="80"/>
    <m/>
    <n v="3338.0400000000004"/>
    <s v="Spider"/>
    <m/>
    <s v="Não"/>
    <s v="Sim"/>
    <s v="Não"/>
    <s v="Não"/>
    <n v="0"/>
    <m/>
  </r>
  <r>
    <s v="VGSP-330_018,000_EN_CL9"/>
    <x v="0"/>
    <s v="18,000"/>
    <m/>
    <s v="18,500"/>
    <m/>
    <x v="0"/>
    <s v="N"/>
    <n v="-23.479470312781679"/>
    <n v="-46.769986595062313"/>
    <n v="1526.8"/>
    <n v="3.19"/>
    <n v="0"/>
    <m/>
    <n v="0"/>
    <m/>
    <m/>
    <s v="Não"/>
    <s v="Não"/>
    <s v="Não"/>
    <s v="Não"/>
    <n v="0"/>
    <n v="0"/>
  </r>
  <r>
    <s v="VGSP-348_018,000_EN_CL1"/>
    <x v="0"/>
    <s v="18,000"/>
    <m/>
    <s v="18,500"/>
    <m/>
    <x v="0"/>
    <s v="N"/>
    <n v="-23.47898779951058"/>
    <n v="-46.738811010088"/>
    <n v="1754.18"/>
    <n v="5.71"/>
    <n v="40"/>
    <m/>
    <n v="0"/>
    <s v="Trator 1.7m"/>
    <m/>
    <s v="Não"/>
    <s v="Não"/>
    <s v="Não"/>
    <s v="Não"/>
    <n v="701.67200000000003"/>
    <n v="701.67200000000003"/>
  </r>
  <r>
    <s v="VGSP-330_018,000_ES_CL23"/>
    <x v="0"/>
    <s v="18,000"/>
    <m/>
    <s v="18,500"/>
    <m/>
    <x v="0"/>
    <s v="S"/>
    <n v="-23.478187829057742"/>
    <n v="-46.770502988829882"/>
    <n v="1082.07"/>
    <n v="7.21"/>
    <n v="20"/>
    <m/>
    <n v="0"/>
    <s v="Trator 1.7m"/>
    <m/>
    <s v="Não"/>
    <s v="Não"/>
    <s v="Não"/>
    <s v="Não"/>
    <n v="216.41399999999999"/>
    <n v="216.41399999999999"/>
  </r>
  <r>
    <s v="VGSP-330_018,000_ES_CL22"/>
    <x v="0"/>
    <s v="18,000"/>
    <m/>
    <s v="18,500"/>
    <m/>
    <x v="0"/>
    <s v="S"/>
    <n v="-23.478010692209519"/>
    <n v="-46.770894512988221"/>
    <n v="430.32"/>
    <n v="8.0399999999999991"/>
    <n v="20"/>
    <m/>
    <n v="0"/>
    <s v="Trator 1.7m"/>
    <m/>
    <s v="Não"/>
    <s v="Não"/>
    <s v="Não"/>
    <s v="Não"/>
    <n v="86.064000000000007"/>
    <n v="86.064000000000007"/>
  </r>
  <r>
    <s v="VGSP-330_018,000_ES_CL19"/>
    <x v="0"/>
    <s v="18,000"/>
    <m/>
    <s v="18,500"/>
    <m/>
    <x v="0"/>
    <s v="S"/>
    <n v="-23.47973862225032"/>
    <n v="-46.771274446029992"/>
    <n v="86.91"/>
    <n v="11.33"/>
    <n v="20"/>
    <m/>
    <n v="0"/>
    <s v="Trator 1.7m"/>
    <m/>
    <s v="Não"/>
    <s v="Não"/>
    <s v="Não"/>
    <s v="Não"/>
    <n v="17.382000000000001"/>
    <n v="17.382000000000001"/>
  </r>
  <r>
    <s v="VGSP-330_018,000_ES_CL10"/>
    <x v="0"/>
    <s v="18,000"/>
    <m/>
    <s v="18,500"/>
    <m/>
    <x v="0"/>
    <s v="S"/>
    <n v="-23.481753597675741"/>
    <n v="-46.771526700896558"/>
    <n v="217.34"/>
    <n v="4.2300000000000004"/>
    <n v="0"/>
    <m/>
    <n v="0"/>
    <m/>
    <m/>
    <s v="Não"/>
    <s v="Não"/>
    <s v="Não"/>
    <s v="Não"/>
    <n v="0"/>
    <n v="0"/>
  </r>
  <r>
    <s v="VGSP-330_018,000_ES_CL11"/>
    <x v="0"/>
    <s v="18,000"/>
    <m/>
    <s v="18,500"/>
    <m/>
    <x v="0"/>
    <s v="S"/>
    <n v="-23.481359787658558"/>
    <n v="-46.77210321020393"/>
    <n v="1799.6"/>
    <n v="7.8"/>
    <n v="20"/>
    <m/>
    <n v="0"/>
    <s v="Trator 1.7m"/>
    <m/>
    <s v="Não"/>
    <s v="Não"/>
    <s v="Não"/>
    <s v="Não"/>
    <n v="359.92"/>
    <n v="359.92"/>
  </r>
  <r>
    <s v="VGSP-330_018,000_ES_CL3"/>
    <x v="0"/>
    <s v="18,000"/>
    <m/>
    <s v="18,500"/>
    <m/>
    <x v="0"/>
    <s v="S"/>
    <n v="-23.484188693398789"/>
    <n v="-46.770407153160477"/>
    <n v="1829.68"/>
    <n v="8.59"/>
    <n v="20"/>
    <m/>
    <n v="0"/>
    <s v="Trator 1.7m"/>
    <m/>
    <s v="Não"/>
    <s v="Não"/>
    <s v="Não"/>
    <s v="Não"/>
    <n v="365.93600000000004"/>
    <n v="365.93600000000004"/>
  </r>
  <r>
    <s v="VGSP-348_018,000_ES_CL1"/>
    <x v="0"/>
    <s v="18,000"/>
    <m/>
    <s v="18,500"/>
    <m/>
    <x v="0"/>
    <s v="S"/>
    <n v="-23.482965622254522"/>
    <n v="-46.738049672960827"/>
    <n v="1917.61"/>
    <n v="4.9800000000000004"/>
    <n v="0"/>
    <m/>
    <n v="0"/>
    <m/>
    <m/>
    <s v="Não"/>
    <s v="Não"/>
    <s v="Não"/>
    <s v="Não"/>
    <n v="0"/>
    <n v="0"/>
  </r>
  <r>
    <s v="VGSP-330_018,000_EN_CL11"/>
    <x v="0"/>
    <s v="18,000"/>
    <m/>
    <s v="18,500"/>
    <m/>
    <x v="0"/>
    <s v="N"/>
    <n v="-23.47781156674618"/>
    <n v="-46.769875503770187"/>
    <n v="89.76"/>
    <n v="3.78"/>
    <n v="0"/>
    <m/>
    <n v="0"/>
    <m/>
    <m/>
    <s v="Não"/>
    <s v="Não"/>
    <s v="Não"/>
    <s v="Não"/>
    <n v="0"/>
    <n v="0"/>
  </r>
  <r>
    <s v="VGSP-330_018,000_ES_CL14"/>
    <x v="0"/>
    <s v="18,000"/>
    <m/>
    <s v="18,500"/>
    <m/>
    <x v="0"/>
    <s v="S"/>
    <n v="-23.480453739800559"/>
    <n v="-46.771252248827587"/>
    <n v="1386.43"/>
    <n v="5.8"/>
    <n v="70"/>
    <m/>
    <n v="970.50099999999998"/>
    <s v="Spider"/>
    <m/>
    <s v="Não"/>
    <s v="Não"/>
    <s v="Não"/>
    <s v="Sim"/>
    <n v="0"/>
    <m/>
  </r>
  <r>
    <s v="VGSP-330_018,000_ES_CL4"/>
    <x v="0"/>
    <s v="18,000"/>
    <m/>
    <s v="18,500"/>
    <m/>
    <x v="0"/>
    <s v="S"/>
    <n v="-23.483436489046859"/>
    <n v="-46.770989880292397"/>
    <n v="773.77"/>
    <n v="9.68"/>
    <n v="20"/>
    <m/>
    <n v="0"/>
    <s v="Trator 1.7m"/>
    <m/>
    <s v="Não"/>
    <s v="Não"/>
    <s v="Não"/>
    <s v="Não"/>
    <n v="154.75400000000002"/>
    <n v="154.75400000000002"/>
  </r>
  <r>
    <s v="VGSP-330_018,000_EN_CL10"/>
    <x v="0"/>
    <s v="18,000"/>
    <m/>
    <s v="18,500"/>
    <m/>
    <x v="0"/>
    <s v="N"/>
    <n v="-23.477745789694549"/>
    <n v="-46.769849479824927"/>
    <n v="85.85"/>
    <n v="3.78"/>
    <n v="0"/>
    <m/>
    <n v="0"/>
    <m/>
    <m/>
    <s v="Não"/>
    <s v="Não"/>
    <s v="Não"/>
    <s v="Não"/>
    <n v="0"/>
    <n v="0"/>
  </r>
  <r>
    <s v="VGSP-330_018,000_ES_CL9"/>
    <x v="0"/>
    <s v="18,000"/>
    <m/>
    <s v="18,500"/>
    <m/>
    <x v="0"/>
    <s v="S"/>
    <n v="-23.482109678329881"/>
    <n v="-46.771418351359983"/>
    <n v="6914.99"/>
    <n v="5.99"/>
    <n v="0"/>
    <m/>
    <n v="0"/>
    <m/>
    <m/>
    <s v="Não"/>
    <s v="Não"/>
    <s v="Não"/>
    <s v="Não"/>
    <n v="0"/>
    <n v="0"/>
  </r>
  <r>
    <s v="VGSP-330_018,000_ES_CL21"/>
    <x v="0"/>
    <s v="18,000"/>
    <m/>
    <s v="18,500"/>
    <m/>
    <x v="0"/>
    <s v="S"/>
    <n v="-23.4789453057526"/>
    <n v="-46.771029031755809"/>
    <n v="119.39"/>
    <n v="9.9600000000000009"/>
    <n v="20"/>
    <m/>
    <n v="0"/>
    <s v="Trator 1.7m"/>
    <m/>
    <s v="Não"/>
    <s v="Não"/>
    <s v="Não"/>
    <s v="Não"/>
    <n v="23.878"/>
    <n v="23.878"/>
  </r>
  <r>
    <s v="VGSP-330_018,000_ES_CL12"/>
    <x v="0"/>
    <s v="18,000"/>
    <m/>
    <s v="18,500"/>
    <m/>
    <x v="0"/>
    <s v="S"/>
    <n v="-23.481299968882791"/>
    <n v="-46.772424684632313"/>
    <n v="824.81"/>
    <n v="10.45"/>
    <n v="20"/>
    <m/>
    <n v="0"/>
    <s v="Trator 1.7m"/>
    <m/>
    <s v="Não"/>
    <s v="Não"/>
    <s v="Não"/>
    <s v="Não"/>
    <n v="164.96199999999999"/>
    <n v="164.96199999999999"/>
  </r>
  <r>
    <s v="VGSP-348_018,000_EN_CL2"/>
    <x v="0"/>
    <s v="18,000"/>
    <m/>
    <s v="18,500"/>
    <m/>
    <x v="0"/>
    <s v="N"/>
    <n v="-23.482131509567431"/>
    <n v="-46.737647571910912"/>
    <n v="1147.49"/>
    <n v="5.08"/>
    <n v="0"/>
    <m/>
    <n v="0"/>
    <m/>
    <m/>
    <s v="Não"/>
    <s v="Não"/>
    <s v="Não"/>
    <s v="Não"/>
    <n v="0"/>
    <n v="0"/>
  </r>
  <r>
    <s v="VGSP-330_018,000_ES_CL16"/>
    <x v="0"/>
    <s v="18,000"/>
    <m/>
    <s v="18,500"/>
    <m/>
    <x v="0"/>
    <s v="S"/>
    <n v="-23.48016825822133"/>
    <n v="-46.771340445693461"/>
    <n v="42.25"/>
    <n v="9.8800000000000008"/>
    <n v="0"/>
    <m/>
    <n v="0"/>
    <m/>
    <m/>
    <s v="Não"/>
    <s v="Não"/>
    <s v="Não"/>
    <s v="Não"/>
    <n v="0"/>
    <n v="0"/>
  </r>
  <r>
    <s v="VGSP-330_018,000_EN_CL3"/>
    <x v="0"/>
    <s v="18,000"/>
    <m/>
    <s v="18,500"/>
    <m/>
    <x v="0"/>
    <s v="N"/>
    <n v="-23.48272287461338"/>
    <n v="-46.768129660055649"/>
    <n v="223.78"/>
    <n v="8.75"/>
    <n v="0"/>
    <m/>
    <n v="0"/>
    <m/>
    <m/>
    <s v="Não"/>
    <s v="Não"/>
    <s v="Não"/>
    <s v="Não"/>
    <n v="0"/>
    <n v="0"/>
  </r>
  <r>
    <s v="VGSP-330_018,000_EN_CL8"/>
    <x v="0"/>
    <s v="18,000"/>
    <m/>
    <s v="18,500"/>
    <m/>
    <x v="0"/>
    <s v="N"/>
    <n v="-23.480386583220209"/>
    <n v="-46.770207709832711"/>
    <n v="3149.89"/>
    <n v="4.46"/>
    <n v="70"/>
    <m/>
    <n v="2204.9229999999998"/>
    <s v="Spider"/>
    <m/>
    <s v="Não"/>
    <s v="Sim"/>
    <s v="Não"/>
    <s v="Sim"/>
    <n v="0"/>
    <m/>
  </r>
  <r>
    <s v="VGSP-330_019,000_ES_CL9"/>
    <x v="0"/>
    <s v="19,000"/>
    <m/>
    <s v="19,500"/>
    <m/>
    <x v="0"/>
    <s v="S"/>
    <n v="-23.47352758845701"/>
    <n v="-46.774178144940777"/>
    <n v="42.43"/>
    <n v="5.79"/>
    <n v="0"/>
    <m/>
    <n v="0"/>
    <m/>
    <m/>
    <s v="Não"/>
    <s v="Não"/>
    <s v="Não"/>
    <s v="Não"/>
    <n v="0"/>
    <n v="0"/>
  </r>
  <r>
    <s v="VGSP-330_019,000_CC"/>
    <x v="16"/>
    <s v="19,000"/>
    <m/>
    <s v="19,500"/>
    <m/>
    <x v="1"/>
    <s v="C"/>
    <n v="-23.4761170955192"/>
    <n v="-46.770639964266017"/>
    <n v="4771.33"/>
    <n v="5.39"/>
    <n v="20"/>
    <m/>
    <n v="0"/>
    <s v="Trator 1.7m"/>
    <m/>
    <s v="Não"/>
    <s v="Não"/>
    <s v="Não"/>
    <s v="Não"/>
    <n v="954.26600000000008"/>
    <n v="954.26600000000008"/>
  </r>
  <r>
    <s v="VGSP-330_019,000_ES_CL5"/>
    <x v="0"/>
    <s v="19,000"/>
    <m/>
    <s v="19,500"/>
    <m/>
    <x v="0"/>
    <s v="S"/>
    <n v="-23.47424039168617"/>
    <n v="-46.772356871849503"/>
    <n v="279.44"/>
    <n v="3.87"/>
    <n v="0"/>
    <m/>
    <n v="0"/>
    <m/>
    <m/>
    <s v="Não"/>
    <s v="Não"/>
    <s v="Não"/>
    <s v="Não"/>
    <n v="0"/>
    <n v="0"/>
  </r>
  <r>
    <s v="VGSP-348_019,000_EN_CL1"/>
    <x v="0"/>
    <s v="19,000"/>
    <m/>
    <s v="19,500"/>
    <m/>
    <x v="0"/>
    <s v="N"/>
    <n v="-23.476100228336868"/>
    <n v="-46.742149523738263"/>
    <n v="2067.54"/>
    <n v="6.57"/>
    <n v="40"/>
    <m/>
    <n v="0"/>
    <s v="Trator 1.7m"/>
    <m/>
    <s v="Não"/>
    <s v="Não"/>
    <s v="Não"/>
    <s v="Não"/>
    <n v="827.01600000000008"/>
    <n v="827.01600000000008"/>
  </r>
  <r>
    <s v="VGSP-330_019,000_EN_CL3"/>
    <x v="0"/>
    <s v="19,000"/>
    <m/>
    <s v="19,500"/>
    <m/>
    <x v="0"/>
    <s v="N"/>
    <n v="-23.474079358531881"/>
    <n v="-46.771386290269511"/>
    <n v="29.36"/>
    <n v="3.99"/>
    <n v="0"/>
    <m/>
    <n v="0"/>
    <m/>
    <m/>
    <s v="Não"/>
    <s v="Não"/>
    <s v="Não"/>
    <s v="Não"/>
    <n v="0"/>
    <n v="0"/>
  </r>
  <r>
    <s v="VGSP-330_019,000_EN_CL5"/>
    <x v="0"/>
    <s v="19,000"/>
    <m/>
    <s v="19,500"/>
    <m/>
    <x v="0"/>
    <s v="N"/>
    <n v="-23.472251859447692"/>
    <n v="-46.775691072645259"/>
    <n v="1718.54"/>
    <n v="6.62"/>
    <n v="80"/>
    <m/>
    <n v="1374.8320000000001"/>
    <s v="Spider"/>
    <m/>
    <s v="Não"/>
    <s v="Sim"/>
    <s v="Não"/>
    <s v="Não"/>
    <n v="0"/>
    <m/>
  </r>
  <r>
    <s v="VGSP-330_019,000_EN_CL2"/>
    <x v="0"/>
    <s v="19,000"/>
    <m/>
    <s v="19,500"/>
    <m/>
    <x v="0"/>
    <s v="N"/>
    <n v="-23.474581407001729"/>
    <n v="-46.770842701953683"/>
    <n v="595.6"/>
    <n v="4.7"/>
    <n v="0"/>
    <m/>
    <n v="0"/>
    <m/>
    <m/>
    <s v="Não"/>
    <s v="Não"/>
    <s v="Não"/>
    <s v="Não"/>
    <n v="0"/>
    <n v="0"/>
  </r>
  <r>
    <s v="VGSP-348_019,000_CC"/>
    <x v="17"/>
    <s v="19,000"/>
    <m/>
    <s v="19,500"/>
    <n v="0.5"/>
    <x v="1"/>
    <s v="C"/>
    <n v="-23.472745941040731"/>
    <n v="-46.747715829376808"/>
    <n v="5155.68"/>
    <n v="4.8499999999999996"/>
    <n v="60"/>
    <m/>
    <n v="0"/>
    <s v="Eixo-zero"/>
    <m/>
    <s v="Não"/>
    <s v="Não"/>
    <s v="Não"/>
    <s v="Não"/>
    <n v="3093.4079999999999"/>
    <n v="3093.4079999999999"/>
  </r>
  <r>
    <s v="VGSP-330_019,000_EN_CL1"/>
    <x v="0"/>
    <s v="19,000"/>
    <m/>
    <s v="19,500"/>
    <m/>
    <x v="0"/>
    <s v="N"/>
    <n v="-23.47748914363223"/>
    <n v="-46.769783471638583"/>
    <n v="235.13"/>
    <n v="2.1800000000000002"/>
    <n v="0"/>
    <m/>
    <n v="0"/>
    <m/>
    <m/>
    <s v="Não"/>
    <s v="Não"/>
    <s v="Não"/>
    <s v="Não"/>
    <n v="0"/>
    <n v="0"/>
  </r>
  <r>
    <s v="VGSP-348_019,000_ES_CL2"/>
    <x v="0"/>
    <s v="19,000"/>
    <m/>
    <s v="19,500"/>
    <m/>
    <x v="0"/>
    <s v="S"/>
    <n v="-23.473762028722231"/>
    <n v="-46.747067860074331"/>
    <n v="2548.8200000000002"/>
    <n v="5.87"/>
    <n v="20"/>
    <m/>
    <n v="0"/>
    <s v="Trator 1.7m"/>
    <m/>
    <s v="Não"/>
    <s v="Não"/>
    <s v="Não"/>
    <s v="Não"/>
    <n v="509.76400000000007"/>
    <n v="509.76400000000007"/>
  </r>
  <r>
    <s v="VGSP-330_019,000_ES_CL7"/>
    <x v="0"/>
    <s v="19,000"/>
    <m/>
    <s v="19,500"/>
    <m/>
    <x v="0"/>
    <s v="S"/>
    <n v="-23.473568341810601"/>
    <n v="-46.774027192161981"/>
    <n v="18.2"/>
    <n v="7.2"/>
    <n v="0"/>
    <m/>
    <n v="0"/>
    <m/>
    <m/>
    <s v="Não"/>
    <s v="Não"/>
    <s v="Não"/>
    <s v="Não"/>
    <n v="0"/>
    <n v="0"/>
  </r>
  <r>
    <s v="VGSP-330_019,000_ES_CL3"/>
    <x v="0"/>
    <s v="19,000"/>
    <m/>
    <s v="19,500"/>
    <m/>
    <x v="0"/>
    <s v="S"/>
    <n v="-23.474270324961271"/>
    <n v="-46.771923451054342"/>
    <n v="41.79"/>
    <n v="4.38"/>
    <n v="20"/>
    <m/>
    <n v="0"/>
    <s v="Trator 1.7m"/>
    <m/>
    <s v="Não"/>
    <s v="Não"/>
    <s v="Não"/>
    <s v="Não"/>
    <n v="8.3580000000000005"/>
    <n v="8.3580000000000005"/>
  </r>
  <r>
    <s v="VGSP-348_019,000_EN_CL2"/>
    <x v="0"/>
    <s v="19,000"/>
    <m/>
    <s v="19,500"/>
    <m/>
    <x v="0"/>
    <s v="N"/>
    <n v="-23.47333546542038"/>
    <n v="-46.746714044639262"/>
    <n v="2398.73"/>
    <n v="6.41"/>
    <n v="30"/>
    <m/>
    <n v="0"/>
    <s v="Trator 1.7m"/>
    <m/>
    <s v="Não"/>
    <s v="Não"/>
    <s v="Não"/>
    <s v="Não"/>
    <n v="719.61900000000003"/>
    <n v="719.61900000000003"/>
  </r>
  <r>
    <s v="VGSP-348_019,000_ES_CL1"/>
    <x v="0"/>
    <s v="19,000"/>
    <m/>
    <s v="19,500"/>
    <m/>
    <x v="0"/>
    <s v="S"/>
    <n v="-23.476467915019271"/>
    <n v="-46.742483001682523"/>
    <n v="1985.52"/>
    <n v="7.26"/>
    <n v="20"/>
    <m/>
    <n v="0"/>
    <s v="Trator 1.7m"/>
    <m/>
    <s v="Não"/>
    <s v="Não"/>
    <s v="Não"/>
    <s v="Não"/>
    <n v="397.10400000000004"/>
    <n v="397.10400000000004"/>
  </r>
  <r>
    <s v="VGSP-330_019,000_ES_CL2"/>
    <x v="0"/>
    <s v="19,000"/>
    <m/>
    <s v="19,500"/>
    <m/>
    <x v="0"/>
    <s v="S"/>
    <n v="-23.476146637355921"/>
    <n v="-46.770843411255292"/>
    <n v="1356.94"/>
    <n v="7.08"/>
    <n v="20"/>
    <m/>
    <n v="0"/>
    <s v="Trator 1.7m"/>
    <m/>
    <s v="Não"/>
    <s v="Não"/>
    <s v="Não"/>
    <s v="Não"/>
    <n v="271.38800000000003"/>
    <n v="271.38800000000003"/>
  </r>
  <r>
    <s v="VGSP-330_019,000_ES_CL4"/>
    <x v="0"/>
    <s v="19,000"/>
    <m/>
    <s v="19,500"/>
    <m/>
    <x v="0"/>
    <s v="S"/>
    <n v="-23.474443839038109"/>
    <n v="-46.771993498934251"/>
    <n v="87.53"/>
    <n v="3.25"/>
    <n v="0"/>
    <m/>
    <n v="0"/>
    <m/>
    <m/>
    <s v="Não"/>
    <s v="Não"/>
    <s v="Não"/>
    <s v="Não"/>
    <n v="0"/>
    <n v="0"/>
  </r>
  <r>
    <s v="VGSP-330_019,000_ES_CL8"/>
    <x v="0"/>
    <s v="19,000"/>
    <m/>
    <s v="19,500"/>
    <m/>
    <x v="0"/>
    <s v="S"/>
    <n v="-23.473535183999768"/>
    <n v="-46.774012208734938"/>
    <n v="6.91"/>
    <n v="7.2"/>
    <n v="0"/>
    <m/>
    <n v="0"/>
    <m/>
    <m/>
    <s v="Não"/>
    <s v="Não"/>
    <s v="Não"/>
    <s v="Não"/>
    <n v="0"/>
    <n v="0"/>
  </r>
  <r>
    <s v="VGSP-330_019,000_EN_CL4"/>
    <x v="0"/>
    <s v="19,000"/>
    <m/>
    <s v="19,500"/>
    <m/>
    <x v="0"/>
    <s v="N"/>
    <n v="-23.472753918576529"/>
    <n v="-46.77435858942949"/>
    <n v="1024.4100000000001"/>
    <n v="5.73"/>
    <n v="0"/>
    <m/>
    <n v="0"/>
    <m/>
    <m/>
    <s v="Não"/>
    <s v="Não"/>
    <s v="Não"/>
    <s v="Não"/>
    <n v="0"/>
    <n v="0"/>
  </r>
  <r>
    <s v="VGSP-330_019,000_ES_CL1"/>
    <x v="0"/>
    <s v="19,000"/>
    <m/>
    <s v="19,500"/>
    <m/>
    <x v="0"/>
    <s v="S"/>
    <n v="-23.477738031229119"/>
    <n v="-46.770657889558699"/>
    <n v="101.58"/>
    <n v="8.32"/>
    <n v="20"/>
    <m/>
    <n v="0"/>
    <s v="Trator 1.7m"/>
    <m/>
    <s v="Não"/>
    <s v="Não"/>
    <s v="Não"/>
    <s v="Não"/>
    <n v="20.316000000000003"/>
    <n v="20.316000000000003"/>
  </r>
  <r>
    <s v="VGSP-330_019,000_ES_CL11"/>
    <x v="0"/>
    <s v="19,000"/>
    <m/>
    <s v="19,500"/>
    <m/>
    <x v="0"/>
    <s v="S"/>
    <n v="-23.473019321332881"/>
    <n v="-46.775709567737593"/>
    <n v="899.15"/>
    <n v="9.41"/>
    <n v="0"/>
    <m/>
    <n v="0"/>
    <m/>
    <m/>
    <s v="Não"/>
    <s v="Não"/>
    <s v="Não"/>
    <s v="Não"/>
    <n v="0"/>
    <n v="0"/>
  </r>
  <r>
    <s v="VGSP-330_019,000_ES_CL10"/>
    <x v="0"/>
    <s v="19,000"/>
    <m/>
    <s v="19,500"/>
    <m/>
    <x v="0"/>
    <s v="S"/>
    <n v="-23.472799179262239"/>
    <n v="-46.775990432742447"/>
    <n v="1870.28"/>
    <n v="9.74"/>
    <n v="0"/>
    <m/>
    <n v="0"/>
    <m/>
    <m/>
    <s v="Não"/>
    <s v="Não"/>
    <s v="Não"/>
    <s v="Não"/>
    <n v="0"/>
    <n v="0"/>
  </r>
  <r>
    <s v="VGSP-330_019,000_ES_CL6"/>
    <x v="0"/>
    <s v="19,000"/>
    <m/>
    <s v="19,500"/>
    <m/>
    <x v="0"/>
    <s v="S"/>
    <n v="-23.473841093085799"/>
    <n v="-46.773321253851172"/>
    <n v="182.69"/>
    <n v="5.03"/>
    <n v="0"/>
    <m/>
    <n v="0"/>
    <m/>
    <m/>
    <s v="Não"/>
    <s v="Não"/>
    <s v="Não"/>
    <s v="Não"/>
    <n v="0"/>
    <n v="0"/>
  </r>
  <r>
    <s v="VGSP-348_020,000_EN_CL6"/>
    <x v="0"/>
    <s v="20,000"/>
    <m/>
    <s v="20,500"/>
    <m/>
    <x v="0"/>
    <s v="N"/>
    <n v="-23.46552613586373"/>
    <n v="-46.750673299750368"/>
    <n v="575.75"/>
    <n v="13.41"/>
    <n v="70"/>
    <m/>
    <n v="0"/>
    <s v="Trator 1.7m"/>
    <m/>
    <s v="Não"/>
    <s v="Não"/>
    <s v="Não"/>
    <s v="Não"/>
    <n v="403.02499999999998"/>
    <n v="403.02499999999998"/>
  </r>
  <r>
    <s v="VGSP-348_020,000_CC2"/>
    <x v="18"/>
    <s v="20,000"/>
    <m/>
    <s v="20,500"/>
    <n v="0.5"/>
    <x v="1"/>
    <s v="C"/>
    <n v="-23.46458590974612"/>
    <n v="-46.751426991856029"/>
    <n v="7920.78"/>
    <n v="11.31"/>
    <n v="30"/>
    <m/>
    <n v="0"/>
    <s v="Trator 1.7m"/>
    <m/>
    <s v="Não"/>
    <s v="Não"/>
    <s v="Não"/>
    <s v="Não"/>
    <n v="2376.2339999999999"/>
    <n v="2376.2339999999999"/>
  </r>
  <r>
    <s v="VGSP-330_020,000_ES_CL2"/>
    <x v="0"/>
    <s v="20,000"/>
    <m/>
    <s v="20,500"/>
    <m/>
    <x v="0"/>
    <s v="S"/>
    <n v="-23.46622099066802"/>
    <n v="-46.778410958558297"/>
    <n v="1973.59"/>
    <n v="12.51"/>
    <n v="0"/>
    <m/>
    <n v="0"/>
    <m/>
    <m/>
    <s v="Não"/>
    <s v="Não"/>
    <s v="Não"/>
    <s v="Não"/>
    <n v="0"/>
    <n v="0"/>
  </r>
  <r>
    <s v="VGSP-348_020,000_CC1"/>
    <x v="18"/>
    <s v="20,000"/>
    <m/>
    <s v="20,500"/>
    <n v="0.5"/>
    <x v="1"/>
    <s v="C"/>
    <n v="-23.469532566975111"/>
    <n v="-46.74930203714684"/>
    <n v="6537.39"/>
    <n v="5.58"/>
    <n v="60"/>
    <m/>
    <n v="0"/>
    <s v="Eixo-zero"/>
    <m/>
    <s v="Não"/>
    <s v="Não"/>
    <s v="Não"/>
    <s v="Não"/>
    <n v="3922.4340000000002"/>
    <n v="3922.4340000000002"/>
  </r>
  <r>
    <s v="VGSP-348_020,000_EN_CL7"/>
    <x v="0"/>
    <s v="20,000"/>
    <m/>
    <s v="20,500"/>
    <m/>
    <x v="0"/>
    <s v="N"/>
    <n v="-23.463136118756982"/>
    <n v="-46.751595882710809"/>
    <n v="940.63"/>
    <n v="31.18"/>
    <n v="70"/>
    <m/>
    <n v="0"/>
    <s v="Trator 1.7m"/>
    <m/>
    <s v="Não"/>
    <s v="Não"/>
    <s v="Não"/>
    <s v="Não"/>
    <n v="658.44099999999992"/>
    <n v="658.44099999999992"/>
  </r>
  <r>
    <s v="VGSP-348_020,000_ES_CL2"/>
    <x v="0"/>
    <s v="20,000"/>
    <m/>
    <s v="20,500"/>
    <m/>
    <x v="0"/>
    <s v="S"/>
    <n v="-23.464767295573498"/>
    <n v="-46.751661235250587"/>
    <n v="2137.06"/>
    <n v="6.72"/>
    <n v="80"/>
    <m/>
    <n v="0"/>
    <s v="Trator 1.7m"/>
    <m/>
    <s v="Não"/>
    <s v="Não"/>
    <s v="Não"/>
    <s v="Não"/>
    <n v="1709.6480000000001"/>
    <n v="1709.6480000000001"/>
  </r>
  <r>
    <s v="VGSP-348_020,000_EN_CL5"/>
    <x v="0"/>
    <s v="20,000"/>
    <m/>
    <s v="20,500"/>
    <m/>
    <x v="0"/>
    <s v="N"/>
    <n v="-23.466997434490558"/>
    <n v="-46.750054541725341"/>
    <n v="100.09"/>
    <n v="3.16"/>
    <n v="30"/>
    <m/>
    <n v="0"/>
    <s v="Trator 1.7m"/>
    <m/>
    <s v="Não"/>
    <s v="Não"/>
    <s v="Não"/>
    <s v="Não"/>
    <n v="30.027000000000001"/>
    <n v="30.027000000000001"/>
  </r>
  <r>
    <s v="VGSP-348_020,000_CC3"/>
    <x v="18"/>
    <s v="20,000"/>
    <m/>
    <s v="20,500"/>
    <n v="0.5"/>
    <x v="1"/>
    <s v="C"/>
    <n v="-23.467031809396008"/>
    <n v="-46.750381289916817"/>
    <n v="221.92"/>
    <n v="6.95"/>
    <n v="30"/>
    <m/>
    <n v="0"/>
    <s v="Trator 1.7m"/>
    <m/>
    <s v="Não"/>
    <s v="Não"/>
    <s v="Não"/>
    <s v="Não"/>
    <n v="66.575999999999993"/>
    <n v="66.575999999999993"/>
  </r>
  <r>
    <s v="VGSP-348_020,000_ES_CL3"/>
    <x v="0"/>
    <s v="20,000"/>
    <m/>
    <s v="20,500"/>
    <m/>
    <x v="0"/>
    <s v="S"/>
    <n v="-23.467059943666399"/>
    <n v="-46.750686249485263"/>
    <n v="45.65"/>
    <n v="6.54"/>
    <n v="80"/>
    <m/>
    <n v="0"/>
    <s v="Trator 1.7m"/>
    <m/>
    <s v="Não"/>
    <s v="Não"/>
    <s v="Não"/>
    <s v="Não"/>
    <n v="36.520000000000003"/>
    <n v="36.520000000000003"/>
  </r>
  <r>
    <s v="VGSP-348_020,000_EN_CL2"/>
    <x v="0"/>
    <s v="20,000"/>
    <m/>
    <s v="20,500"/>
    <m/>
    <x v="0"/>
    <s v="N"/>
    <n v="-23.469372175951701"/>
    <n v="-46.749037274263387"/>
    <n v="231.07"/>
    <n v="4.5999999999999996"/>
    <n v="30"/>
    <m/>
    <n v="0"/>
    <s v="Trator 1.7m"/>
    <m/>
    <s v="Não"/>
    <s v="Não"/>
    <s v="Não"/>
    <s v="Não"/>
    <n v="69.320999999999998"/>
    <n v="69.320999999999998"/>
  </r>
  <r>
    <s v="VGSP-330_020,000_EN_CL3"/>
    <x v="0"/>
    <s v="20,000"/>
    <m/>
    <s v="20,500"/>
    <m/>
    <x v="0"/>
    <s v="N"/>
    <n v="-23.471941433258099"/>
    <n v="-46.77622630462529"/>
    <n v="69.3"/>
    <n v="14.09"/>
    <n v="0"/>
    <m/>
    <n v="0"/>
    <m/>
    <m/>
    <s v="Não"/>
    <s v="Não"/>
    <s v="Não"/>
    <s v="Não"/>
    <n v="0"/>
    <n v="0"/>
  </r>
  <r>
    <s v="VGSP-330_020,000_ES_CL1"/>
    <x v="0"/>
    <s v="20,000"/>
    <m/>
    <s v="20,500"/>
    <m/>
    <x v="0"/>
    <s v="S"/>
    <n v="-23.470726192507829"/>
    <n v="-46.778454497565868"/>
    <n v="2426.9699999999998"/>
    <n v="12.96"/>
    <n v="0"/>
    <m/>
    <n v="0"/>
    <m/>
    <m/>
    <s v="Não"/>
    <s v="Não"/>
    <s v="Não"/>
    <s v="Não"/>
    <n v="0"/>
    <n v="0"/>
  </r>
  <r>
    <s v="VGSP-330_020,000_EN_CL2"/>
    <x v="0"/>
    <s v="20,000"/>
    <m/>
    <s v="20,500"/>
    <m/>
    <x v="0"/>
    <s v="N"/>
    <n v="-23.470461564760139"/>
    <n v="-46.778164805608398"/>
    <n v="2293.2399999999998"/>
    <n v="23.16"/>
    <n v="0"/>
    <m/>
    <n v="0"/>
    <m/>
    <m/>
    <s v="Não"/>
    <s v="Não"/>
    <s v="Não"/>
    <s v="Não"/>
    <n v="0"/>
    <n v="0"/>
  </r>
  <r>
    <s v="VGSP-330_020,000_ES_CL3"/>
    <x v="0"/>
    <s v="20,000"/>
    <m/>
    <s v="20,500"/>
    <m/>
    <x v="0"/>
    <s v="S"/>
    <n v="-23.464312250472549"/>
    <n v="-46.779016157852332"/>
    <n v="166.92"/>
    <n v="12.34"/>
    <n v="0"/>
    <m/>
    <n v="0"/>
    <m/>
    <m/>
    <s v="Não"/>
    <s v="Não"/>
    <s v="Não"/>
    <s v="Não"/>
    <n v="0"/>
    <n v="0"/>
  </r>
  <r>
    <s v="VGSP-348_020,000_EN_CL4"/>
    <x v="0"/>
    <s v="20,000"/>
    <m/>
    <s v="20,500"/>
    <m/>
    <x v="0"/>
    <s v="N"/>
    <n v="-23.466395003978619"/>
    <n v="-46.750290154532877"/>
    <n v="469.73"/>
    <n v="6.23"/>
    <n v="70"/>
    <m/>
    <n v="0"/>
    <s v="Trator 1.7m"/>
    <m/>
    <s v="Não"/>
    <s v="Não"/>
    <s v="Não"/>
    <s v="Não"/>
    <n v="328.81099999999998"/>
    <n v="328.81099999999998"/>
  </r>
  <r>
    <s v="VGSP-348_020,000_EN_CL3"/>
    <x v="0"/>
    <s v="20,000"/>
    <m/>
    <s v="20,500"/>
    <m/>
    <x v="0"/>
    <s v="N"/>
    <n v="-23.468088195105519"/>
    <n v="-46.749587456582837"/>
    <n v="582.66999999999996"/>
    <n v="6.12"/>
    <n v="30"/>
    <m/>
    <n v="0"/>
    <s v="Trator 1.7m"/>
    <m/>
    <s v="Não"/>
    <s v="Não"/>
    <s v="Não"/>
    <s v="Não"/>
    <n v="174.80099999999999"/>
    <n v="174.80099999999999"/>
  </r>
  <r>
    <s v="VGSP-348_020,000_EN_CL1"/>
    <x v="0"/>
    <s v="20,000"/>
    <m/>
    <s v="20,500"/>
    <m/>
    <x v="0"/>
    <s v="N"/>
    <n v="-23.470637009777221"/>
    <n v="-46.748488442224733"/>
    <n v="456.05"/>
    <n v="6.11"/>
    <n v="30"/>
    <m/>
    <n v="0"/>
    <s v="Trator 1.7m"/>
    <m/>
    <s v="Não"/>
    <s v="Não"/>
    <s v="Não"/>
    <s v="Não"/>
    <n v="136.815"/>
    <n v="136.815"/>
  </r>
  <r>
    <s v="VGSP-330_020,000_EN_CL1"/>
    <x v="0"/>
    <s v="20,000"/>
    <m/>
    <s v="20,500"/>
    <m/>
    <x v="0"/>
    <s v="N"/>
    <n v="-23.466048881983109"/>
    <n v="-46.778023321571517"/>
    <n v="2034.45"/>
    <n v="20.329999999999998"/>
    <n v="0"/>
    <m/>
    <n v="0"/>
    <m/>
    <m/>
    <s v="Não"/>
    <s v="Não"/>
    <s v="Não"/>
    <s v="Não"/>
    <n v="0"/>
    <n v="0"/>
  </r>
  <r>
    <s v="VGSP-348_020,000_ES_CL1"/>
    <x v="0"/>
    <s v="20,000"/>
    <m/>
    <s v="20,500"/>
    <m/>
    <x v="0"/>
    <s v="S"/>
    <n v="-23.469557171964361"/>
    <n v="-46.749634814510713"/>
    <n v="1812.56"/>
    <n v="5.0999999999999996"/>
    <n v="20"/>
    <m/>
    <n v="0"/>
    <s v="Trator 1.7m"/>
    <m/>
    <s v="Não"/>
    <s v="Não"/>
    <s v="Não"/>
    <s v="Não"/>
    <n v="362.512"/>
    <n v="362.512"/>
  </r>
  <r>
    <s v="VGSP-330_021,000_ES_CL4"/>
    <x v="0"/>
    <s v="21,000"/>
    <m/>
    <s v="21,500"/>
    <m/>
    <x v="0"/>
    <s v="S"/>
    <n v="-23.460511732341882"/>
    <n v="-46.781964951661372"/>
    <n v="579.75"/>
    <n v="11.53"/>
    <n v="0"/>
    <m/>
    <n v="0"/>
    <m/>
    <m/>
    <s v="Não"/>
    <s v="Não"/>
    <s v="Não"/>
    <s v="Não"/>
    <n v="0"/>
    <n v="0"/>
  </r>
  <r>
    <s v="VGSP-330_021,000_ES_CL3"/>
    <x v="0"/>
    <s v="21,000"/>
    <m/>
    <s v="21,500"/>
    <m/>
    <x v="0"/>
    <s v="S"/>
    <n v="-23.46377095545564"/>
    <n v="-46.779225704054177"/>
    <n v="488.67"/>
    <n v="9.3000000000000007"/>
    <n v="0"/>
    <m/>
    <n v="0"/>
    <m/>
    <m/>
    <s v="Não"/>
    <s v="Não"/>
    <s v="Não"/>
    <s v="Não"/>
    <n v="0"/>
    <n v="0"/>
  </r>
  <r>
    <s v="VGSP-330_021,000_EN_CL2"/>
    <x v="0"/>
    <s v="21,000"/>
    <m/>
    <s v="21,500"/>
    <m/>
    <x v="0"/>
    <s v="N"/>
    <n v="-23.462405868491711"/>
    <n v="-46.779963275491141"/>
    <n v="1785.42"/>
    <n v="9.1199999999999992"/>
    <n v="0"/>
    <m/>
    <n v="0"/>
    <m/>
    <m/>
    <s v="Não"/>
    <s v="Não"/>
    <s v="Não"/>
    <s v="Não"/>
    <n v="0"/>
    <n v="0"/>
  </r>
  <r>
    <s v="VGSP-348_021,000_CC1"/>
    <x v="19"/>
    <s v="21,000"/>
    <m/>
    <s v="21,500"/>
    <n v="0.5"/>
    <x v="1"/>
    <s v="C"/>
    <n v="-23.45554811984444"/>
    <n v="-46.753319047217083"/>
    <n v="2188.7199999999998"/>
    <n v="12.65"/>
    <n v="70"/>
    <m/>
    <n v="0"/>
    <s v="Trator 1.7m"/>
    <m/>
    <s v="Não"/>
    <s v="Não"/>
    <s v="Não"/>
    <s v="Não"/>
    <n v="1532.1039999999998"/>
    <n v="1532.1039999999998"/>
  </r>
  <r>
    <s v="VGSP-330_021,000_ES_CL1"/>
    <x v="0"/>
    <s v="21,000"/>
    <m/>
    <s v="21,500"/>
    <m/>
    <x v="0"/>
    <s v="S"/>
    <n v="-23.464155767091611"/>
    <n v="-46.778879165092761"/>
    <n v="234.13"/>
    <n v="7.36"/>
    <n v="0"/>
    <m/>
    <n v="0"/>
    <m/>
    <m/>
    <s v="Não"/>
    <s v="Não"/>
    <s v="Não"/>
    <s v="Não"/>
    <n v="0"/>
    <n v="0"/>
  </r>
  <r>
    <s v="VGSP-330_021,000_EN_CL3"/>
    <x v="0"/>
    <s v="21,000"/>
    <m/>
    <s v="21,500"/>
    <m/>
    <x v="0"/>
    <s v="N"/>
    <n v="-23.457115710440959"/>
    <n v="-46.784062790008761"/>
    <n v="395.76"/>
    <n v="7.25"/>
    <n v="0"/>
    <m/>
    <n v="0"/>
    <m/>
    <m/>
    <s v="Não"/>
    <s v="Não"/>
    <s v="Não"/>
    <s v="Não"/>
    <n v="0"/>
    <n v="0"/>
  </r>
  <r>
    <s v="VGSP-330_021,000_ES_CL5"/>
    <x v="0"/>
    <s v="21,000"/>
    <m/>
    <s v="21,500"/>
    <m/>
    <x v="0"/>
    <s v="S"/>
    <n v="-23.462574355902351"/>
    <n v="-46.780308022605553"/>
    <n v="1722.88"/>
    <n v="14.79"/>
    <n v="0"/>
    <m/>
    <n v="0"/>
    <m/>
    <m/>
    <s v="Não"/>
    <s v="Não"/>
    <s v="Não"/>
    <s v="Não"/>
    <n v="0"/>
    <n v="0"/>
  </r>
  <r>
    <s v="VGSP-330_021,000_CC"/>
    <x v="20"/>
    <s v="21,000"/>
    <m/>
    <s v="21,500"/>
    <m/>
    <x v="1"/>
    <s v="C"/>
    <n v="-23.45866094708391"/>
    <n v="-46.783517123378488"/>
    <n v="12788.07"/>
    <n v="16.559999999999999"/>
    <n v="0"/>
    <m/>
    <n v="0"/>
    <m/>
    <m/>
    <s v="Não"/>
    <s v="Não"/>
    <s v="Não"/>
    <s v="Não"/>
    <n v="0"/>
    <n v="0"/>
  </r>
  <r>
    <s v="VGSP-348_021,000_EN_CL"/>
    <x v="0"/>
    <s v="21,000"/>
    <m/>
    <s v="21,500"/>
    <m/>
    <x v="0"/>
    <s v="N"/>
    <n v="-23.46004297447714"/>
    <n v="-46.752350343343963"/>
    <n v="1871.69"/>
    <n v="17.82"/>
    <n v="70"/>
    <m/>
    <n v="0"/>
    <s v="Trator 1.7m"/>
    <m/>
    <s v="Não"/>
    <s v="Não"/>
    <s v="Não"/>
    <s v="Não"/>
    <n v="1310.183"/>
    <n v="1310.183"/>
  </r>
  <r>
    <s v="VGSP-348_021,000_ES_CL2"/>
    <x v="0"/>
    <s v="21,000"/>
    <m/>
    <s v="21,500"/>
    <m/>
    <x v="0"/>
    <s v="S"/>
    <n v="-23.460270885341082"/>
    <n v="-46.752986170632688"/>
    <n v="2003.46"/>
    <n v="5.94"/>
    <n v="80"/>
    <m/>
    <n v="0"/>
    <s v="Trator 1.7m"/>
    <m/>
    <s v="Não"/>
    <s v="Não"/>
    <s v="Não"/>
    <s v="Não"/>
    <n v="1602.768"/>
    <n v="1602.768"/>
  </r>
  <r>
    <s v="VGSP-330_021,000_ES_CL6"/>
    <x v="0"/>
    <s v="21,000"/>
    <m/>
    <s v="21,500"/>
    <m/>
    <x v="0"/>
    <s v="S"/>
    <n v="-23.46007806183415"/>
    <n v="-46.782268004125648"/>
    <n v="133.38999999999999"/>
    <n v="4.2699999999999996"/>
    <n v="0"/>
    <m/>
    <n v="0"/>
    <m/>
    <m/>
    <s v="Não"/>
    <s v="Não"/>
    <s v="Não"/>
    <s v="Não"/>
    <n v="0"/>
    <n v="0"/>
  </r>
  <r>
    <s v="VGSP-348_021,000_ES_CL1"/>
    <x v="0"/>
    <s v="21,000"/>
    <m/>
    <s v="21,500"/>
    <m/>
    <x v="0"/>
    <s v="S"/>
    <n v="-23.455631053162151"/>
    <n v="-46.753987346197697"/>
    <n v="2188.2199999999998"/>
    <n v="7.42"/>
    <n v="0"/>
    <m/>
    <n v="0"/>
    <m/>
    <m/>
    <s v="Não"/>
    <s v="Não"/>
    <s v="Não"/>
    <s v="Não"/>
    <n v="0"/>
    <n v="0"/>
  </r>
  <r>
    <s v="VGSP-330_021,000_ES_CL2"/>
    <x v="0"/>
    <s v="21,000"/>
    <m/>
    <s v="21,500"/>
    <m/>
    <x v="0"/>
    <s v="S"/>
    <n v="-23.46407450112396"/>
    <n v="-46.778964784673747"/>
    <n v="81.650000000000006"/>
    <n v="9.1999999999999993"/>
    <n v="0"/>
    <m/>
    <n v="0"/>
    <m/>
    <m/>
    <s v="Não"/>
    <s v="Não"/>
    <s v="Não"/>
    <s v="Não"/>
    <n v="0"/>
    <n v="0"/>
  </r>
  <r>
    <s v="VGSP-330_021,000_EN_CL1"/>
    <x v="0"/>
    <s v="21,000"/>
    <m/>
    <s v="21,500"/>
    <m/>
    <x v="0"/>
    <s v="N"/>
    <n v="-23.458821552693511"/>
    <n v="-46.782701897242319"/>
    <n v="2103.64"/>
    <n v="9.2799999999999994"/>
    <n v="0"/>
    <m/>
    <n v="0"/>
    <m/>
    <m/>
    <s v="Não"/>
    <s v="Não"/>
    <s v="Não"/>
    <s v="Não"/>
    <n v="0"/>
    <n v="0"/>
  </r>
  <r>
    <s v="VGSP-348_021,000_CC2"/>
    <x v="19"/>
    <s v="21,000"/>
    <m/>
    <s v="21,500"/>
    <n v="0.5"/>
    <x v="1"/>
    <s v="C"/>
    <n v="-23.460206783135501"/>
    <n v="-46.75269393989057"/>
    <n v="6961.62"/>
    <n v="10.33"/>
    <n v="30"/>
    <m/>
    <n v="0"/>
    <s v="Eixo-zero"/>
    <m/>
    <s v="Não"/>
    <s v="Não"/>
    <s v="Não"/>
    <s v="Não"/>
    <n v="2088.4859999999999"/>
    <n v="2088.4859999999999"/>
  </r>
  <r>
    <s v="VGSP-348_021,000_CC3"/>
    <x v="19"/>
    <s v="21,000"/>
    <m/>
    <s v="21,500"/>
    <n v="0.5"/>
    <x v="1"/>
    <s v="C"/>
    <n v="-23.4555652164237"/>
    <n v="-46.753660070155973"/>
    <n v="7935.94"/>
    <n v="7.28"/>
    <n v="30"/>
    <m/>
    <n v="0"/>
    <s v="Eixo-zero"/>
    <m/>
    <s v="Não"/>
    <s v="Não"/>
    <s v="Não"/>
    <s v="Não"/>
    <n v="2380.7819999999997"/>
    <n v="2380.7819999999997"/>
  </r>
  <r>
    <s v="VGSP-330_022,000_CC4"/>
    <x v="21"/>
    <s v="22,000"/>
    <m/>
    <s v="22,500"/>
    <m/>
    <x v="1"/>
    <s v="C"/>
    <n v="-23.453593835767709"/>
    <n v="-46.787637880279647"/>
    <n v="12279.87"/>
    <n v="11.89"/>
    <n v="0"/>
    <m/>
    <n v="0"/>
    <m/>
    <m/>
    <s v="Não"/>
    <s v="Não"/>
    <s v="Não"/>
    <s v="Não"/>
    <n v="0"/>
    <n v="0"/>
  </r>
  <r>
    <s v="VGSP-330_022,000_EN_CL3"/>
    <x v="0"/>
    <s v="22,000"/>
    <m/>
    <s v="22,500"/>
    <m/>
    <x v="0"/>
    <s v="N"/>
    <n v="-23.455098586567601"/>
    <n v="-46.785376000185522"/>
    <n v="8609.9500000000007"/>
    <n v="5.97"/>
    <n v="0"/>
    <m/>
    <n v="0"/>
    <m/>
    <m/>
    <s v="Não"/>
    <s v="Não"/>
    <s v="Não"/>
    <s v="Não"/>
    <n v="0"/>
    <n v="0"/>
  </r>
  <r>
    <s v="VGSP-330_022,000_EN_CL1"/>
    <x v="0"/>
    <s v="22,000"/>
    <m/>
    <s v="22,500"/>
    <m/>
    <x v="0"/>
    <s v="N"/>
    <n v="-23.454997881316391"/>
    <n v="-46.785026493112291"/>
    <n v="1803.46"/>
    <n v="12.54"/>
    <n v="0"/>
    <m/>
    <n v="0"/>
    <m/>
    <m/>
    <s v="Não"/>
    <s v="Não"/>
    <s v="Não"/>
    <s v="Não"/>
    <n v="0"/>
    <n v="0"/>
  </r>
  <r>
    <s v="VGSP-330_022,000_ES_CL12"/>
    <x v="0"/>
    <s v="22,000"/>
    <m/>
    <s v="22,500"/>
    <m/>
    <x v="0"/>
    <s v="S"/>
    <n v="-23.448822326401309"/>
    <n v="-46.787658053973402"/>
    <n v="5672.36"/>
    <n v="5.94"/>
    <n v="0"/>
    <m/>
    <n v="0"/>
    <m/>
    <m/>
    <s v="Não"/>
    <s v="Não"/>
    <s v="Não"/>
    <s v="Não"/>
    <n v="0"/>
    <n v="0"/>
  </r>
  <r>
    <s v="VGSP-330_022,000_ES_CL13"/>
    <x v="0"/>
    <s v="22,000"/>
    <m/>
    <s v="22,500"/>
    <m/>
    <x v="0"/>
    <s v="S"/>
    <n v="-23.451398316752229"/>
    <n v="-46.786698688358896"/>
    <n v="113.32"/>
    <n v="1.04"/>
    <n v="0"/>
    <m/>
    <n v="0"/>
    <m/>
    <m/>
    <s v="Não"/>
    <s v="Não"/>
    <s v="Não"/>
    <s v="Não"/>
    <n v="0"/>
    <n v="0"/>
  </r>
  <r>
    <s v="VGSP-330_022,000_EN_CL2"/>
    <x v="0"/>
    <s v="22,000"/>
    <m/>
    <s v="22,500"/>
    <m/>
    <x v="0"/>
    <s v="N"/>
    <n v="-23.45035197567541"/>
    <n v="-46.783974564308608"/>
    <n v="2798.21"/>
    <n v="11.4"/>
    <n v="0"/>
    <m/>
    <n v="0"/>
    <m/>
    <m/>
    <s v="Não"/>
    <s v="Não"/>
    <s v="Não"/>
    <s v="Não"/>
    <n v="0"/>
    <n v="0"/>
  </r>
  <r>
    <s v="VGSP-330_022,000_ES_CL2"/>
    <x v="0"/>
    <s v="22,000"/>
    <m/>
    <s v="22,500"/>
    <m/>
    <x v="0"/>
    <s v="S"/>
    <n v="-23.451453863686851"/>
    <n v="-46.788209866288327"/>
    <n v="1600.83"/>
    <n v="5.36"/>
    <n v="0"/>
    <m/>
    <n v="0"/>
    <m/>
    <m/>
    <s v="Não"/>
    <s v="Não"/>
    <s v="Não"/>
    <s v="Não"/>
    <n v="0"/>
    <n v="0"/>
  </r>
  <r>
    <s v="VGSP-330_022,000_ES_CL4"/>
    <x v="0"/>
    <s v="22,000"/>
    <m/>
    <s v="22,500"/>
    <m/>
    <x v="0"/>
    <s v="S"/>
    <n v="-23.45266068268209"/>
    <n v="-46.787798296700792"/>
    <n v="3407.51"/>
    <n v="8.1999999999999993"/>
    <n v="0"/>
    <m/>
    <n v="0"/>
    <m/>
    <m/>
    <s v="Não"/>
    <s v="Não"/>
    <s v="Não"/>
    <s v="Não"/>
    <n v="0"/>
    <n v="0"/>
  </r>
  <r>
    <s v="VGSP-330_022,000_CC9"/>
    <x v="21"/>
    <s v="22,000"/>
    <m/>
    <s v="22,500"/>
    <m/>
    <x v="1"/>
    <s v="C"/>
    <n v="-23.448464892554259"/>
    <n v="-46.786733898503662"/>
    <n v="12551.54"/>
    <n v="14.91"/>
    <n v="0"/>
    <m/>
    <n v="0"/>
    <m/>
    <m/>
    <s v="Não"/>
    <s v="Não"/>
    <s v="Não"/>
    <s v="Não"/>
    <n v="0"/>
    <n v="0"/>
  </r>
  <r>
    <s v="VGSP-330_022,000_CC3"/>
    <x v="21"/>
    <s v="22,000"/>
    <m/>
    <s v="22,500"/>
    <m/>
    <x v="1"/>
    <s v="C"/>
    <n v="-23.45278333942079"/>
    <n v="-46.78700255879366"/>
    <n v="1529.08"/>
    <n v="10.08"/>
    <n v="0"/>
    <m/>
    <n v="0"/>
    <m/>
    <m/>
    <s v="Não"/>
    <s v="Não"/>
    <s v="Não"/>
    <s v="Não"/>
    <n v="0"/>
    <n v="0"/>
  </r>
  <r>
    <s v="VGSP-330_022,000_CC6"/>
    <x v="21"/>
    <s v="22,000"/>
    <m/>
    <s v="22,500"/>
    <m/>
    <x v="1"/>
    <s v="C"/>
    <n v="-23.45176718912472"/>
    <n v="-46.786625153233061"/>
    <n v="361.86"/>
    <n v="1.36"/>
    <n v="0"/>
    <m/>
    <n v="0"/>
    <m/>
    <m/>
    <s v="Não"/>
    <s v="Não"/>
    <s v="Não"/>
    <s v="Não"/>
    <n v="0"/>
    <n v="0"/>
  </r>
  <r>
    <s v="VGSP-330_022,000_EN_CL10"/>
    <x v="0"/>
    <s v="22,000"/>
    <m/>
    <s v="22,500"/>
    <m/>
    <x v="0"/>
    <s v="N"/>
    <n v="-23.45167086677359"/>
    <n v="-46.785454922183312"/>
    <n v="14577.99"/>
    <n v="13.11"/>
    <n v="0"/>
    <m/>
    <n v="0"/>
    <m/>
    <m/>
    <s v="Não"/>
    <s v="Não"/>
    <s v="Não"/>
    <s v="Não"/>
    <n v="0"/>
    <n v="0"/>
  </r>
  <r>
    <s v="VGSP-330_022,000_CC2"/>
    <x v="21"/>
    <s v="22,000"/>
    <m/>
    <s v="22,500"/>
    <m/>
    <x v="1"/>
    <s v="C"/>
    <n v="-23.453962889865942"/>
    <n v="-46.787806427730068"/>
    <n v="13913.48"/>
    <n v="11.52"/>
    <n v="0"/>
    <m/>
    <n v="0"/>
    <m/>
    <m/>
    <s v="Não"/>
    <s v="Não"/>
    <s v="Não"/>
    <s v="Não"/>
    <n v="0"/>
    <n v="0"/>
  </r>
  <r>
    <s v="VGSP-330_022,000_ES_CL14"/>
    <x v="0"/>
    <s v="22,000"/>
    <m/>
    <s v="22,500"/>
    <m/>
    <x v="0"/>
    <s v="S"/>
    <n v="-23.448850963765089"/>
    <n v="-46.787935649044528"/>
    <n v="930.72"/>
    <n v="7.42"/>
    <n v="0"/>
    <m/>
    <n v="0"/>
    <m/>
    <m/>
    <s v="Não"/>
    <s v="Não"/>
    <s v="Não"/>
    <s v="Não"/>
    <n v="0"/>
    <n v="0"/>
  </r>
  <r>
    <s v="VGSP-330_022,000_EN_CL5"/>
    <x v="0"/>
    <s v="22,000"/>
    <m/>
    <s v="22,500"/>
    <m/>
    <x v="0"/>
    <s v="N"/>
    <n v="-23.452708004203949"/>
    <n v="-46.785993021148059"/>
    <n v="1008.18"/>
    <n v="21.58"/>
    <n v="0"/>
    <m/>
    <n v="0"/>
    <m/>
    <m/>
    <s v="Não"/>
    <s v="Não"/>
    <s v="Não"/>
    <s v="Não"/>
    <n v="0"/>
    <n v="0"/>
  </r>
  <r>
    <s v="VGSP-348_022,000_EN_CL2"/>
    <x v="0"/>
    <s v="22,000"/>
    <m/>
    <s v="22,500"/>
    <m/>
    <x v="0"/>
    <s v="N"/>
    <n v="-23.450887137538128"/>
    <n v="-46.754294309371943"/>
    <n v="2017.18"/>
    <n v="10.83"/>
    <n v="70"/>
    <m/>
    <n v="0"/>
    <s v="Trator 1.7m"/>
    <m/>
    <s v="Não"/>
    <s v="Não"/>
    <s v="Não"/>
    <s v="Não"/>
    <n v="1412.0260000000001"/>
    <n v="1412.0260000000001"/>
  </r>
  <r>
    <s v="VGSP-330_022,000_EN_CL4"/>
    <x v="0"/>
    <s v="22,000"/>
    <m/>
    <s v="22,500"/>
    <m/>
    <x v="0"/>
    <s v="N"/>
    <n v="-23.454113437722111"/>
    <n v="-46.786113059182448"/>
    <n v="134.38999999999999"/>
    <n v="3.11"/>
    <n v="0"/>
    <m/>
    <n v="0"/>
    <m/>
    <m/>
    <s v="Não"/>
    <s v="Não"/>
    <s v="Não"/>
    <s v="Não"/>
    <n v="0"/>
    <n v="0"/>
  </r>
  <r>
    <s v="VGSP-330_022,000_CC5"/>
    <x v="21"/>
    <s v="22,000"/>
    <m/>
    <s v="22,500"/>
    <m/>
    <x v="1"/>
    <s v="C"/>
    <n v="-23.452596374864822"/>
    <n v="-46.786853099609473"/>
    <n v="304.7"/>
    <n v="6.42"/>
    <n v="0"/>
    <m/>
    <n v="0"/>
    <m/>
    <m/>
    <s v="Não"/>
    <s v="Não"/>
    <s v="Não"/>
    <s v="Não"/>
    <n v="0"/>
    <n v="0"/>
  </r>
  <r>
    <s v="VGSP-330_022,000_ES_CL9"/>
    <x v="0"/>
    <s v="22,000"/>
    <m/>
    <s v="22,500"/>
    <m/>
    <x v="0"/>
    <s v="S"/>
    <n v="-23.453219718719591"/>
    <n v="-46.78892781947259"/>
    <n v="394.14"/>
    <n v="7.9"/>
    <n v="0"/>
    <m/>
    <n v="0"/>
    <m/>
    <m/>
    <s v="Não"/>
    <s v="Não"/>
    <s v="Não"/>
    <s v="Não"/>
    <n v="0"/>
    <n v="0"/>
  </r>
  <r>
    <s v="VGSP-348_022,000_ES_CL1"/>
    <x v="0"/>
    <s v="22,000"/>
    <m/>
    <s v="22,500"/>
    <m/>
    <x v="0"/>
    <s v="S"/>
    <n v="-23.451010218923461"/>
    <n v="-46.754941866915303"/>
    <n v="1979.53"/>
    <n v="14.39"/>
    <n v="0"/>
    <m/>
    <n v="0"/>
    <m/>
    <m/>
    <s v="Não"/>
    <s v="Não"/>
    <s v="Não"/>
    <s v="Não"/>
    <n v="0"/>
    <n v="0"/>
  </r>
  <r>
    <s v="VGSP-330_022,000_ES_CL7"/>
    <x v="0"/>
    <s v="22,000"/>
    <m/>
    <s v="22,500"/>
    <m/>
    <x v="0"/>
    <s v="S"/>
    <n v="-23.452041826861809"/>
    <n v="-46.786974698918733"/>
    <n v="302.72000000000003"/>
    <n v="5.14"/>
    <n v="0"/>
    <m/>
    <n v="0"/>
    <m/>
    <m/>
    <s v="Não"/>
    <s v="Não"/>
    <s v="Não"/>
    <s v="Não"/>
    <n v="0"/>
    <n v="0"/>
  </r>
  <r>
    <s v="VGSP-330_022,000_CC8"/>
    <x v="21"/>
    <s v="22,000"/>
    <m/>
    <s v="22,500"/>
    <m/>
    <x v="1"/>
    <s v="C"/>
    <n v="-23.449252810091881"/>
    <n v="-46.785106915429267"/>
    <n v="27767.91"/>
    <n v="10.199999999999999"/>
    <n v="0"/>
    <m/>
    <n v="0"/>
    <m/>
    <m/>
    <s v="Não"/>
    <s v="Não"/>
    <s v="Não"/>
    <s v="Não"/>
    <n v="0"/>
    <n v="0"/>
  </r>
  <r>
    <s v="VGSP-330_022,000_ES_CL6"/>
    <x v="0"/>
    <s v="22,000"/>
    <m/>
    <s v="22,500"/>
    <m/>
    <x v="0"/>
    <s v="S"/>
    <n v="-23.452179636910842"/>
    <n v="-46.787147123739949"/>
    <n v="476.57"/>
    <n v="5.39"/>
    <n v="0"/>
    <m/>
    <n v="0"/>
    <m/>
    <m/>
    <s v="Não"/>
    <s v="Não"/>
    <s v="Não"/>
    <s v="Não"/>
    <n v="0"/>
    <n v="0"/>
  </r>
  <r>
    <s v="VGSP-348_022,000_CC1"/>
    <x v="22"/>
    <s v="22,000"/>
    <m/>
    <s v="22,500"/>
    <n v="0.5"/>
    <x v="1"/>
    <s v="C"/>
    <n v="-23.450995230266692"/>
    <n v="-46.754604041960079"/>
    <n v="7181.46"/>
    <n v="6.77"/>
    <n v="30"/>
    <m/>
    <n v="0"/>
    <s v="Eixo-zero"/>
    <m/>
    <s v="Não"/>
    <s v="Não"/>
    <s v="Não"/>
    <s v="Não"/>
    <n v="2154.4380000000001"/>
    <n v="2154.4380000000001"/>
  </r>
  <r>
    <s v="VGSP-330_022,000_ES_CL3"/>
    <x v="0"/>
    <s v="22,000"/>
    <m/>
    <s v="22,500"/>
    <m/>
    <x v="0"/>
    <s v="S"/>
    <n v="-23.45290518047528"/>
    <n v="-46.787406884839847"/>
    <n v="1893.92"/>
    <n v="8.52"/>
    <n v="0"/>
    <m/>
    <n v="0"/>
    <m/>
    <m/>
    <s v="Não"/>
    <s v="Não"/>
    <s v="Não"/>
    <s v="Não"/>
    <n v="0"/>
    <n v="0"/>
  </r>
  <r>
    <s v="VGSP-348_022,000_CC2"/>
    <x v="22"/>
    <s v="22,000"/>
    <m/>
    <s v="22,500"/>
    <n v="0.5"/>
    <x v="1"/>
    <s v="C"/>
    <n v="-23.446369980058989"/>
    <n v="-46.755562001664927"/>
    <n v="7663.06"/>
    <n v="3.26"/>
    <n v="50"/>
    <m/>
    <n v="0"/>
    <s v="Eixo-zero"/>
    <m/>
    <s v="Não"/>
    <s v="Não"/>
    <s v="Não"/>
    <s v="Não"/>
    <n v="3831.53"/>
    <n v="3831.53"/>
  </r>
  <r>
    <s v="VGSP-330_022,000_ES_CL11"/>
    <x v="0"/>
    <s v="22,000"/>
    <m/>
    <s v="22,500"/>
    <m/>
    <x v="0"/>
    <s v="S"/>
    <n v="-23.450823092429349"/>
    <n v="-46.787405568741413"/>
    <n v="3200.78"/>
    <n v="3.33"/>
    <n v="0"/>
    <m/>
    <n v="0"/>
    <m/>
    <m/>
    <s v="Não"/>
    <s v="Não"/>
    <s v="Não"/>
    <s v="Não"/>
    <n v="0"/>
    <n v="0"/>
  </r>
  <r>
    <s v="VGSP-330_022,000_EN_CL12"/>
    <x v="0"/>
    <s v="22,000"/>
    <m/>
    <s v="22,500"/>
    <m/>
    <x v="0"/>
    <s v="N"/>
    <n v="-23.451533553074349"/>
    <n v="-46.786355807717037"/>
    <n v="330.62"/>
    <n v="5.29"/>
    <n v="0"/>
    <m/>
    <n v="0"/>
    <m/>
    <m/>
    <s v="Não"/>
    <s v="Não"/>
    <s v="Não"/>
    <s v="Não"/>
    <n v="0"/>
    <n v="0"/>
  </r>
  <r>
    <s v="VGSP-330_022,000_ES_CL10"/>
    <x v="0"/>
    <s v="22,000"/>
    <m/>
    <s v="22,500"/>
    <m/>
    <x v="0"/>
    <s v="S"/>
    <n v="-23.451003335052889"/>
    <n v="-46.78720414702142"/>
    <n v="1735.39"/>
    <n v="2.38"/>
    <n v="0"/>
    <m/>
    <n v="0"/>
    <m/>
    <m/>
    <s v="Não"/>
    <s v="Não"/>
    <s v="Não"/>
    <s v="Não"/>
    <n v="0"/>
    <n v="0"/>
  </r>
  <r>
    <s v="VGSP-330_022,000_EN_CL7"/>
    <x v="0"/>
    <s v="22,000"/>
    <m/>
    <s v="22,500"/>
    <m/>
    <x v="0"/>
    <s v="N"/>
    <n v="-23.453338900004042"/>
    <n v="-46.786277489662297"/>
    <n v="2022.41"/>
    <n v="8.4499999999999993"/>
    <n v="70"/>
    <m/>
    <n v="0"/>
    <s v="Trator com braço articulado"/>
    <m/>
    <s v="Não"/>
    <s v="Não"/>
    <s v="Não"/>
    <s v="Não"/>
    <n v="1415.6869999999999"/>
    <n v="1415.6869999999999"/>
  </r>
  <r>
    <s v="VGSP-330_022,000_EN_CL8"/>
    <x v="0"/>
    <s v="22,000"/>
    <m/>
    <s v="22,500"/>
    <m/>
    <x v="0"/>
    <s v="N"/>
    <n v="-23.452602799582479"/>
    <n v="-46.786420472115772"/>
    <n v="3216.82"/>
    <n v="9.44"/>
    <n v="70"/>
    <m/>
    <n v="2251.7739999999999"/>
    <s v="Trator com braço articulado"/>
    <m/>
    <s v="Não"/>
    <s v="Não"/>
    <s v="Não"/>
    <s v="Sim"/>
    <n v="0"/>
    <m/>
  </r>
  <r>
    <s v="VGSP-330_022,000_EN_CL13"/>
    <x v="0"/>
    <s v="22,000"/>
    <m/>
    <s v="22,500"/>
    <m/>
    <x v="0"/>
    <s v="N"/>
    <n v="-23.449609828376541"/>
    <n v="-46.784033101891012"/>
    <n v="15230.88"/>
    <n v="7.62"/>
    <n v="0"/>
    <m/>
    <n v="0"/>
    <m/>
    <m/>
    <s v="Não"/>
    <s v="Não"/>
    <s v="Não"/>
    <s v="Não"/>
    <n v="0"/>
    <n v="0"/>
  </r>
  <r>
    <s v="VGSP-348_022,000_ES_CL2"/>
    <x v="0"/>
    <s v="22,000"/>
    <m/>
    <s v="22,500"/>
    <m/>
    <x v="0"/>
    <s v="S"/>
    <n v="-23.447693378447049"/>
    <n v="-46.755654055297427"/>
    <n v="1020.37"/>
    <n v="4.16"/>
    <n v="10"/>
    <m/>
    <n v="0"/>
    <s v="Trator 1.7m"/>
    <m/>
    <s v="Não"/>
    <s v="Não"/>
    <s v="Não"/>
    <s v="Não"/>
    <n v="102.03700000000001"/>
    <n v="102.03700000000001"/>
  </r>
  <r>
    <s v="VGSP-330_022,000_ES_CL8"/>
    <x v="0"/>
    <s v="22,000"/>
    <m/>
    <s v="22,500"/>
    <m/>
    <x v="0"/>
    <s v="S"/>
    <n v="-23.45175527391379"/>
    <n v="-46.787869755818647"/>
    <n v="13118.94"/>
    <n v="6.13"/>
    <n v="0"/>
    <m/>
    <n v="0"/>
    <m/>
    <m/>
    <s v="Não"/>
    <s v="Não"/>
    <s v="Não"/>
    <s v="Não"/>
    <n v="0"/>
    <n v="0"/>
  </r>
  <r>
    <s v="VGSP-348_022,000_ES_CL4"/>
    <x v="0"/>
    <s v="22,000"/>
    <m/>
    <s v="22,500"/>
    <m/>
    <x v="0"/>
    <s v="S"/>
    <n v="-23.445125347222941"/>
    <n v="-46.756209944538703"/>
    <n v="752.75"/>
    <n v="5.17"/>
    <n v="10"/>
    <m/>
    <n v="0"/>
    <s v="Trator 1.7m"/>
    <m/>
    <s v="Não"/>
    <s v="Não"/>
    <s v="Não"/>
    <s v="Não"/>
    <n v="75.275000000000006"/>
    <n v="75.275000000000006"/>
  </r>
  <r>
    <s v="VGSP-330_022,000_CC1"/>
    <x v="21"/>
    <s v="22,000"/>
    <m/>
    <s v="22,500"/>
    <m/>
    <x v="1"/>
    <s v="C"/>
    <n v="-23.45486015741141"/>
    <n v="-46.786412700284203"/>
    <n v="8839.14"/>
    <n v="8.75"/>
    <n v="0"/>
    <m/>
    <n v="0"/>
    <m/>
    <m/>
    <s v="Não"/>
    <s v="Não"/>
    <s v="Não"/>
    <s v="Não"/>
    <n v="0"/>
    <n v="0"/>
  </r>
  <r>
    <s v="VGSP-330_022,000_EN_CL9"/>
    <x v="0"/>
    <s v="22,000"/>
    <m/>
    <s v="22,500"/>
    <m/>
    <x v="0"/>
    <s v="N"/>
    <n v="-23.451915347550688"/>
    <n v="-46.786244379827913"/>
    <n v="167.73"/>
    <n v="13.13"/>
    <n v="0"/>
    <m/>
    <n v="0"/>
    <m/>
    <m/>
    <s v="Não"/>
    <s v="Não"/>
    <s v="Não"/>
    <s v="Não"/>
    <n v="0"/>
    <n v="0"/>
  </r>
  <r>
    <s v="VGSP-330_022,000_ES_CL5"/>
    <x v="0"/>
    <s v="22,000"/>
    <m/>
    <s v="22,500"/>
    <m/>
    <x v="0"/>
    <s v="S"/>
    <n v="-23.453616450734941"/>
    <n v="-46.788965298757503"/>
    <n v="4723.2700000000004"/>
    <n v="12.31"/>
    <n v="0"/>
    <m/>
    <n v="0"/>
    <m/>
    <m/>
    <s v="Não"/>
    <s v="Não"/>
    <s v="Não"/>
    <s v="Não"/>
    <n v="0"/>
    <n v="0"/>
  </r>
  <r>
    <s v="VGSP-330_022,000_CC7"/>
    <x v="21"/>
    <s v="22,000"/>
    <m/>
    <s v="22,500"/>
    <m/>
    <x v="1"/>
    <s v="C"/>
    <n v="-23.450064304739431"/>
    <n v="-46.786003021857738"/>
    <n v="19750.490000000002"/>
    <n v="6.84"/>
    <n v="0"/>
    <m/>
    <n v="0"/>
    <m/>
    <m/>
    <s v="Não"/>
    <s v="Não"/>
    <s v="Não"/>
    <s v="Não"/>
    <n v="0"/>
    <n v="0"/>
  </r>
  <r>
    <s v="VGSP-348_022,000_ES_CL3"/>
    <x v="0"/>
    <s v="22,000"/>
    <m/>
    <s v="22,500"/>
    <m/>
    <x v="0"/>
    <s v="S"/>
    <n v="-23.446424626053439"/>
    <n v="-46.755957107692851"/>
    <n v="1255.26"/>
    <n v="7.52"/>
    <n v="10"/>
    <m/>
    <n v="0"/>
    <s v="Trator 1.7m"/>
    <m/>
    <s v="Não"/>
    <s v="Não"/>
    <s v="Não"/>
    <s v="Não"/>
    <n v="125.52600000000001"/>
    <n v="125.52600000000001"/>
  </r>
  <r>
    <s v="VGSP-348_022,000_EN_CL1"/>
    <x v="0"/>
    <s v="22,000"/>
    <m/>
    <s v="22,500"/>
    <m/>
    <x v="0"/>
    <s v="N"/>
    <n v="-23.4463216769479"/>
    <n v="-46.755238684193401"/>
    <n v="2100.86"/>
    <n v="6.08"/>
    <n v="70"/>
    <m/>
    <n v="0"/>
    <s v="Trator 1.7m"/>
    <m/>
    <s v="Não"/>
    <s v="Não"/>
    <s v="Não"/>
    <s v="Não"/>
    <n v="1470.6020000000001"/>
    <n v="1470.6020000000001"/>
  </r>
  <r>
    <s v="VGSP-330_022,000_ES_CL1"/>
    <x v="0"/>
    <s v="22,000"/>
    <m/>
    <s v="22,500"/>
    <m/>
    <x v="0"/>
    <s v="S"/>
    <n v="-23.455237764715559"/>
    <n v="-46.788000666953593"/>
    <n v="6628.36"/>
    <n v="10.43"/>
    <n v="0"/>
    <m/>
    <n v="0"/>
    <m/>
    <m/>
    <s v="Não"/>
    <s v="Não"/>
    <s v="Não"/>
    <s v="Não"/>
    <n v="0"/>
    <n v="0"/>
  </r>
  <r>
    <s v="VGSP-330_022,000_EN_CL11"/>
    <x v="0"/>
    <s v="22,000"/>
    <m/>
    <s v="22,500"/>
    <m/>
    <x v="0"/>
    <s v="N"/>
    <n v="-23.453221698911928"/>
    <n v="-46.785674001304542"/>
    <n v="486.37"/>
    <n v="22.19"/>
    <n v="0"/>
    <m/>
    <n v="0"/>
    <m/>
    <m/>
    <s v="Não"/>
    <s v="Não"/>
    <s v="Não"/>
    <s v="Não"/>
    <n v="0"/>
    <n v="0"/>
  </r>
  <r>
    <s v="VGSP-330_022,000_EN_CL6"/>
    <x v="0"/>
    <s v="22,000"/>
    <m/>
    <s v="22,500"/>
    <m/>
    <x v="0"/>
    <s v="N"/>
    <n v="-23.453649300024271"/>
    <n v="-46.785890735615538"/>
    <n v="3761.81"/>
    <n v="13.68"/>
    <n v="0"/>
    <m/>
    <n v="0"/>
    <m/>
    <m/>
    <s v="Não"/>
    <s v="Não"/>
    <s v="Não"/>
    <s v="Não"/>
    <n v="0"/>
    <n v="0"/>
  </r>
  <r>
    <s v="VGSP-348_023,000_ES_CL2"/>
    <x v="0"/>
    <s v="23,000"/>
    <m/>
    <s v="23,500"/>
    <m/>
    <x v="0"/>
    <s v="S"/>
    <n v="-23.4376369284277"/>
    <n v="-46.759089641044071"/>
    <n v="7202.13"/>
    <n v="4.54"/>
    <n v="50"/>
    <m/>
    <n v="0"/>
    <s v="Trator 1.7m"/>
    <m/>
    <s v="Não"/>
    <s v="Não"/>
    <s v="Não"/>
    <s v="Não"/>
    <n v="3601.0650000000001"/>
    <n v="3601.0650000000001"/>
  </r>
  <r>
    <s v="VGSP-348_023,000_ES_CL1"/>
    <x v="0"/>
    <s v="23,000"/>
    <m/>
    <s v="23,500"/>
    <m/>
    <x v="0"/>
    <s v="S"/>
    <n v="-23.443074771766391"/>
    <n v="-46.756661545954778"/>
    <n v="1102.97"/>
    <n v="5.56"/>
    <n v="10"/>
    <m/>
    <n v="0"/>
    <s v="Trator 1.7m"/>
    <m/>
    <s v="Não"/>
    <s v="Não"/>
    <s v="Não"/>
    <s v="Não"/>
    <n v="110.29700000000001"/>
    <n v="110.29700000000001"/>
  </r>
  <r>
    <s v="VGSP-348_023,000_CC1"/>
    <x v="23"/>
    <s v="23,000"/>
    <m/>
    <s v="23,500"/>
    <n v="0.5"/>
    <x v="1"/>
    <s v="C"/>
    <n v="-23.441937418542231"/>
    <n v="-46.756661888488637"/>
    <n v="7793.3"/>
    <n v="4.7"/>
    <n v="50"/>
    <m/>
    <n v="0"/>
    <s v="Eixo-zero"/>
    <m/>
    <s v="Não"/>
    <s v="Não"/>
    <s v="Não"/>
    <s v="Não"/>
    <n v="3896.65"/>
    <n v="3896.65"/>
  </r>
  <r>
    <s v="VGSP-348_023,000_EN_CL5"/>
    <x v="0"/>
    <s v="23,000"/>
    <m/>
    <s v="23,500"/>
    <m/>
    <x v="0"/>
    <s v="N"/>
    <n v="-23.437196446016529"/>
    <n v="-46.758327844271633"/>
    <n v="7522.85"/>
    <n v="3.64"/>
    <n v="70"/>
    <m/>
    <n v="0"/>
    <s v="Trator 1.7m"/>
    <m/>
    <s v="Não"/>
    <s v="Não"/>
    <s v="Não"/>
    <s v="Não"/>
    <n v="5265.9949999999999"/>
    <n v="5265.9949999999999"/>
  </r>
  <r>
    <s v="VGSP-330_023,000_EN_CL6"/>
    <x v="0"/>
    <s v="23,000"/>
    <m/>
    <s v="23,500"/>
    <m/>
    <x v="0"/>
    <s v="N"/>
    <n v="-23.44204367130699"/>
    <n v="-46.786322536952731"/>
    <n v="5863.54"/>
    <n v="4.71"/>
    <n v="60"/>
    <m/>
    <n v="0"/>
    <s v="Trator 1.7m"/>
    <m/>
    <s v="Não"/>
    <s v="Não"/>
    <s v="Não"/>
    <s v="Não"/>
    <n v="3518.1239999999998"/>
    <n v="3518.1239999999998"/>
  </r>
  <r>
    <s v="VGSP-330_023,000_EN_CL1"/>
    <x v="0"/>
    <s v="23,000"/>
    <m/>
    <s v="23,500"/>
    <m/>
    <x v="0"/>
    <s v="N"/>
    <n v="-23.448285222174981"/>
    <n v="-46.784514708940797"/>
    <n v="2319.89"/>
    <n v="12.14"/>
    <n v="0"/>
    <m/>
    <n v="0"/>
    <m/>
    <m/>
    <s v="Não"/>
    <s v="Não"/>
    <s v="Não"/>
    <s v="Não"/>
    <n v="0"/>
    <n v="0"/>
  </r>
  <r>
    <s v="VGSP-330_023,000_EN_CL8"/>
    <x v="0"/>
    <s v="23,000"/>
    <m/>
    <s v="23,500"/>
    <m/>
    <x v="0"/>
    <s v="N"/>
    <n v="-23.439347022249319"/>
    <n v="-46.785811496187563"/>
    <n v="2063.9"/>
    <n v="7.83"/>
    <n v="70"/>
    <m/>
    <n v="1444.73"/>
    <s v="Spider"/>
    <m/>
    <s v="Não"/>
    <s v="Não"/>
    <s v="Não"/>
    <s v="Sim"/>
    <n v="0"/>
    <m/>
  </r>
  <r>
    <s v="VGSP-348_023,000_EN_CL6"/>
    <x v="0"/>
    <s v="23,000"/>
    <m/>
    <s v="23,500"/>
    <m/>
    <x v="0"/>
    <s v="N"/>
    <n v="-23.436339828260099"/>
    <n v="-46.758914985941892"/>
    <n v="234.04"/>
    <n v="2.71"/>
    <n v="70"/>
    <m/>
    <n v="0"/>
    <s v="Trator 1.7m"/>
    <m/>
    <s v="Não"/>
    <s v="Não"/>
    <s v="Não"/>
    <s v="Não"/>
    <n v="163.82799999999997"/>
    <n v="163.82799999999997"/>
  </r>
  <r>
    <s v="VGSP-348_023,000_EN_CL1"/>
    <x v="0"/>
    <s v="23,000"/>
    <m/>
    <s v="23,500"/>
    <m/>
    <x v="0"/>
    <s v="N"/>
    <n v="-23.443261312805021"/>
    <n v="-46.755874725857083"/>
    <n v="653.53"/>
    <n v="3.1"/>
    <n v="70"/>
    <m/>
    <n v="0"/>
    <s v="Trator 1.7m"/>
    <m/>
    <s v="Não"/>
    <s v="Não"/>
    <s v="Não"/>
    <s v="Não"/>
    <n v="457.47099999999995"/>
    <n v="457.47099999999995"/>
  </r>
  <r>
    <s v="VGSP-348_023,000_EN_CL3"/>
    <x v="0"/>
    <s v="23,000"/>
    <m/>
    <s v="23,500"/>
    <m/>
    <x v="0"/>
    <s v="N"/>
    <n v="-23.439864240500089"/>
    <n v="-46.757121021135539"/>
    <n v="174.89"/>
    <n v="2.97"/>
    <n v="70"/>
    <m/>
    <n v="0"/>
    <s v="Trator 1.7m"/>
    <m/>
    <s v="Não"/>
    <s v="Não"/>
    <s v="Não"/>
    <s v="Não"/>
    <n v="122.42299999999999"/>
    <n v="122.42299999999999"/>
  </r>
  <r>
    <s v="VGSP-330_023,000_ES_CL3"/>
    <x v="0"/>
    <s v="23,000"/>
    <m/>
    <s v="23,500"/>
    <m/>
    <x v="0"/>
    <s v="S"/>
    <n v="-23.442048117391678"/>
    <n v="-46.786753408745682"/>
    <n v="1426.57"/>
    <n v="2.82"/>
    <n v="0"/>
    <m/>
    <n v="0"/>
    <m/>
    <m/>
    <s v="Não"/>
    <s v="Não"/>
    <s v="Não"/>
    <s v="Não"/>
    <n v="0"/>
    <n v="0"/>
  </r>
  <r>
    <s v="VGSP-330_023,000_EN_CL9"/>
    <x v="0"/>
    <s v="23,000"/>
    <m/>
    <s v="23,500"/>
    <m/>
    <x v="0"/>
    <s v="N"/>
    <n v="-23.441791311489229"/>
    <n v="-46.786063213290547"/>
    <n v="888.46"/>
    <n v="3.55"/>
    <n v="0"/>
    <m/>
    <n v="0"/>
    <m/>
    <m/>
    <s v="Não"/>
    <s v="Não"/>
    <s v="Não"/>
    <s v="Não"/>
    <n v="0"/>
    <n v="0"/>
  </r>
  <r>
    <s v="VGSP-348_023,000_ES_CL3"/>
    <x v="0"/>
    <s v="23,000"/>
    <m/>
    <s v="23,500"/>
    <m/>
    <x v="0"/>
    <s v="S"/>
    <n v="-23.43637474661945"/>
    <n v="-46.75959096713656"/>
    <n v="15.18"/>
    <n v="5.91"/>
    <n v="0"/>
    <m/>
    <n v="0"/>
    <m/>
    <m/>
    <s v="Não"/>
    <s v="Não"/>
    <s v="Não"/>
    <s v="Não"/>
    <n v="0"/>
    <n v="0"/>
  </r>
  <r>
    <s v="VGSP-330_023,000_EN_CL2"/>
    <x v="0"/>
    <s v="23,000"/>
    <m/>
    <s v="23,500"/>
    <m/>
    <x v="0"/>
    <s v="N"/>
    <n v="-23.446997066013321"/>
    <n v="-46.787031529213372"/>
    <n v="627.29999999999995"/>
    <n v="12.66"/>
    <n v="0"/>
    <m/>
    <n v="0"/>
    <m/>
    <m/>
    <s v="Não"/>
    <s v="Não"/>
    <s v="Não"/>
    <s v="Não"/>
    <n v="0"/>
    <n v="0"/>
  </r>
  <r>
    <s v="VGSP-330_023,000_ES_CL1"/>
    <x v="0"/>
    <s v="23,000"/>
    <m/>
    <s v="23,500"/>
    <m/>
    <x v="0"/>
    <s v="S"/>
    <n v="-23.44697092122513"/>
    <n v="-46.787702063385467"/>
    <n v="2423.5100000000002"/>
    <n v="9.68"/>
    <n v="0"/>
    <m/>
    <n v="0"/>
    <m/>
    <m/>
    <s v="Não"/>
    <s v="Não"/>
    <s v="Não"/>
    <s v="Não"/>
    <n v="0"/>
    <n v="0"/>
  </r>
  <r>
    <s v="VGSP-330_023,000_CC"/>
    <x v="24"/>
    <s v="23,000"/>
    <m/>
    <s v="23,500"/>
    <m/>
    <x v="1"/>
    <s v="C"/>
    <n v="-23.447112095815221"/>
    <n v="-46.787246609314778"/>
    <n v="3398.86"/>
    <n v="13.5"/>
    <n v="0"/>
    <m/>
    <n v="0"/>
    <m/>
    <m/>
    <s v="Não"/>
    <s v="Não"/>
    <s v="Não"/>
    <s v="Não"/>
    <n v="0"/>
    <n v="0"/>
  </r>
  <r>
    <s v="VGSP-330_023,000_EN_CL3"/>
    <x v="0"/>
    <s v="23,000"/>
    <m/>
    <s v="23,500"/>
    <m/>
    <x v="0"/>
    <s v="N"/>
    <n v="-23.444475649404261"/>
    <n v="-46.786635457654533"/>
    <n v="730.99"/>
    <n v="14.32"/>
    <n v="0"/>
    <m/>
    <n v="0"/>
    <m/>
    <m/>
    <s v="Não"/>
    <s v="Não"/>
    <s v="Não"/>
    <s v="Não"/>
    <n v="0"/>
    <n v="0"/>
  </r>
  <r>
    <s v="VGSP-348_023,000_CC2"/>
    <x v="23"/>
    <s v="23,000"/>
    <m/>
    <s v="23,500"/>
    <n v="0.5"/>
    <x v="1"/>
    <s v="C"/>
    <n v="-23.438044720927252"/>
    <n v="-46.758424572821198"/>
    <n v="6602.03"/>
    <n v="4.59"/>
    <n v="30"/>
    <m/>
    <n v="0"/>
    <s v="Eixo-zero"/>
    <m/>
    <s v="Não"/>
    <s v="Não"/>
    <s v="Não"/>
    <s v="Não"/>
    <n v="1980.6089999999999"/>
    <n v="1980.6089999999999"/>
  </r>
  <r>
    <s v="VGSP-330_023,000_EN_CL4"/>
    <x v="0"/>
    <s v="23,000"/>
    <m/>
    <s v="23,500"/>
    <m/>
    <x v="0"/>
    <s v="N"/>
    <n v="-23.443560090853708"/>
    <n v="-46.786456159013127"/>
    <n v="65.31"/>
    <n v="12.69"/>
    <n v="0"/>
    <m/>
    <n v="0"/>
    <m/>
    <m/>
    <s v="Não"/>
    <s v="Não"/>
    <s v="Não"/>
    <s v="Não"/>
    <n v="0"/>
    <n v="0"/>
  </r>
  <r>
    <s v="VGSP-330_023,000_EN_CL5"/>
    <x v="0"/>
    <s v="23,000"/>
    <m/>
    <s v="23,500"/>
    <m/>
    <x v="0"/>
    <s v="N"/>
    <n v="-23.44312191130242"/>
    <n v="-46.786345223962698"/>
    <n v="275.42"/>
    <n v="5.08"/>
    <n v="0"/>
    <m/>
    <n v="0"/>
    <m/>
    <m/>
    <s v="Não"/>
    <s v="Não"/>
    <s v="Não"/>
    <s v="Não"/>
    <n v="0"/>
    <n v="0"/>
  </r>
  <r>
    <s v="VGSP-330_023,000_ES_CL2"/>
    <x v="0"/>
    <s v="23,000"/>
    <m/>
    <s v="23,500"/>
    <m/>
    <x v="0"/>
    <s v="S"/>
    <n v="-23.445706459426901"/>
    <n v="-46.787605053694122"/>
    <n v="1890.46"/>
    <n v="7.46"/>
    <n v="0"/>
    <m/>
    <n v="0"/>
    <m/>
    <m/>
    <s v="Não"/>
    <s v="Não"/>
    <s v="Não"/>
    <s v="Não"/>
    <n v="0"/>
    <n v="0"/>
  </r>
  <r>
    <s v="VGSP-348_023,000_EN_CL2"/>
    <x v="0"/>
    <s v="23,000"/>
    <m/>
    <s v="23,500"/>
    <m/>
    <x v="0"/>
    <s v="N"/>
    <n v="-23.441061884933589"/>
    <n v="-46.756561136216632"/>
    <n v="211.28"/>
    <n v="1.67"/>
    <n v="70"/>
    <m/>
    <n v="0"/>
    <s v="Trator 1.7m"/>
    <m/>
    <s v="Não"/>
    <s v="Não"/>
    <s v="Não"/>
    <s v="Não"/>
    <n v="147.89599999999999"/>
    <n v="147.89599999999999"/>
  </r>
  <r>
    <s v="VGSP-348_023,000_EN_CL4"/>
    <x v="0"/>
    <s v="23,000"/>
    <m/>
    <s v="23,500"/>
    <m/>
    <x v="0"/>
    <s v="N"/>
    <n v="-23.438356432828972"/>
    <n v="-46.757746860254812"/>
    <n v="1255.71"/>
    <n v="4.51"/>
    <n v="70"/>
    <m/>
    <n v="0"/>
    <s v="Trator 1.7m"/>
    <m/>
    <s v="Não"/>
    <s v="Não"/>
    <s v="Não"/>
    <s v="Não"/>
    <n v="878.99699999999996"/>
    <n v="878.99699999999996"/>
  </r>
  <r>
    <s v="VGSP-330_023,000_EN_CL10"/>
    <x v="0"/>
    <s v="23,000"/>
    <m/>
    <s v="23,500"/>
    <m/>
    <x v="0"/>
    <s v="N"/>
    <n v="-23.44057552748761"/>
    <n v="-46.785808576575917"/>
    <n v="66.91"/>
    <n v="5.7"/>
    <n v="0"/>
    <m/>
    <n v="0"/>
    <m/>
    <m/>
    <s v="Não"/>
    <s v="Não"/>
    <s v="Não"/>
    <s v="Não"/>
    <n v="0"/>
    <n v="0"/>
  </r>
  <r>
    <s v="VGSP-330_023,000_EN_CL7"/>
    <x v="0"/>
    <s v="23,000"/>
    <m/>
    <s v="23,500"/>
    <m/>
    <x v="0"/>
    <s v="N"/>
    <n v="-23.444923770046518"/>
    <n v="-46.786864992332049"/>
    <n v="4227.7299999999996"/>
    <n v="11.85"/>
    <n v="0"/>
    <m/>
    <n v="0"/>
    <m/>
    <m/>
    <s v="Não"/>
    <s v="Não"/>
    <s v="Não"/>
    <s v="Não"/>
    <n v="0"/>
    <n v="0"/>
  </r>
  <r>
    <s v="VGSP-330_024,000_ES_CL5"/>
    <x v="0"/>
    <s v="24,000"/>
    <m/>
    <s v="24,500"/>
    <m/>
    <x v="0"/>
    <s v="S"/>
    <n v="-23.43227948186783"/>
    <n v="-46.786938872255263"/>
    <n v="1871.05"/>
    <n v="7.04"/>
    <n v="30"/>
    <m/>
    <n v="0"/>
    <s v="Eixo-zero"/>
    <m/>
    <s v="Não"/>
    <s v="Não"/>
    <s v="Não"/>
    <s v="Não"/>
    <n v="561.31499999999994"/>
    <n v="561.31499999999994"/>
  </r>
  <r>
    <s v="VGSP-330_024,000_EN_CL11"/>
    <x v="0"/>
    <s v="24,000"/>
    <m/>
    <s v="24,500"/>
    <m/>
    <x v="0"/>
    <s v="N"/>
    <n v="-23.432002797184211"/>
    <n v="-46.786427842044617"/>
    <n v="1845.94"/>
    <n v="4.09"/>
    <n v="20"/>
    <m/>
    <n v="0"/>
    <s v="Eixo-zero"/>
    <m/>
    <s v="Não"/>
    <s v="Não"/>
    <s v="Não"/>
    <s v="Não"/>
    <n v="369.18800000000005"/>
    <n v="369.18800000000005"/>
  </r>
  <r>
    <s v="VGSP-330_024,000_ES_CL1"/>
    <x v="0"/>
    <s v="24,000"/>
    <m/>
    <s v="24,500"/>
    <m/>
    <x v="0"/>
    <s v="S"/>
    <n v="-23.43593474065143"/>
    <n v="-46.786396431334467"/>
    <n v="76.5"/>
    <n v="3.74"/>
    <n v="0"/>
    <m/>
    <n v="0"/>
    <m/>
    <m/>
    <s v="Não"/>
    <s v="Não"/>
    <s v="Não"/>
    <s v="Não"/>
    <n v="0"/>
    <n v="0"/>
  </r>
  <r>
    <s v="VGSP-348_024,000_ES_CL1"/>
    <x v="0"/>
    <s v="24,000"/>
    <m/>
    <s v="24,500"/>
    <m/>
    <x v="0"/>
    <s v="S"/>
    <n v="-23.433038066078069"/>
    <n v="-46.760685152404569"/>
    <n v="1597.45"/>
    <n v="4.3"/>
    <n v="50"/>
    <m/>
    <n v="0"/>
    <s v="Trator 1.7m"/>
    <m/>
    <s v="Não"/>
    <s v="Não"/>
    <s v="Não"/>
    <s v="Não"/>
    <n v="798.72500000000002"/>
    <n v="798.72500000000002"/>
  </r>
  <r>
    <s v="VGSP-348_024,000_ES_CL5"/>
    <x v="0"/>
    <s v="24,000"/>
    <m/>
    <s v="24,500"/>
    <m/>
    <x v="0"/>
    <s v="S"/>
    <n v="-23.432348579842511"/>
    <n v="-46.759969318754308"/>
    <n v="3611.56"/>
    <n v="3.89"/>
    <n v="70"/>
    <m/>
    <n v="0"/>
    <s v="Trator 1.7m"/>
    <m/>
    <s v="Não"/>
    <s v="Não"/>
    <s v="Não"/>
    <s v="Não"/>
    <n v="2528.0919999999996"/>
    <n v="2528.0919999999996"/>
  </r>
  <r>
    <s v="VGSP-348_024,000_ES_CL8"/>
    <x v="0"/>
    <s v="24,000"/>
    <m/>
    <s v="24,500"/>
    <m/>
    <x v="0"/>
    <s v="S"/>
    <n v="-23.42965874685882"/>
    <n v="-46.761028863005713"/>
    <n v="1808.81"/>
    <n v="3.03"/>
    <n v="80"/>
    <m/>
    <n v="0"/>
    <s v="Trator 1.7m"/>
    <m/>
    <s v="Não"/>
    <s v="Não"/>
    <s v="Não"/>
    <s v="Não"/>
    <n v="1447.048"/>
    <n v="1447.048"/>
  </r>
  <r>
    <s v="VGSP-348_024,000_EN_CL1"/>
    <x v="0"/>
    <s v="24,000"/>
    <m/>
    <s v="24,500"/>
    <m/>
    <x v="0"/>
    <s v="N"/>
    <n v="-23.435693898813849"/>
    <n v="-46.75877025238831"/>
    <n v="3797.12"/>
    <n v="3.25"/>
    <n v="70"/>
    <m/>
    <n v="0"/>
    <s v="Trator 1.7m"/>
    <m/>
    <s v="Não"/>
    <s v="Não"/>
    <s v="Não"/>
    <s v="Não"/>
    <n v="2657.9839999999999"/>
    <n v="2657.9839999999999"/>
  </r>
  <r>
    <s v="VGSP-330_024,000_ES_CL4"/>
    <x v="0"/>
    <s v="24,000"/>
    <m/>
    <s v="24,500"/>
    <m/>
    <x v="0"/>
    <s v="S"/>
    <n v="-23.435217323544791"/>
    <n v="-46.786556987120292"/>
    <n v="847.3"/>
    <n v="9.7799999999999994"/>
    <n v="0"/>
    <m/>
    <n v="0"/>
    <m/>
    <m/>
    <s v="Não"/>
    <s v="Não"/>
    <s v="Não"/>
    <s v="Não"/>
    <n v="0"/>
    <n v="0"/>
  </r>
  <r>
    <s v="VGSP-330_024,000_EN_CL8"/>
    <x v="0"/>
    <s v="24,000"/>
    <m/>
    <s v="24,500"/>
    <m/>
    <x v="0"/>
    <s v="N"/>
    <n v="-23.434872921469189"/>
    <n v="-46.786040879149787"/>
    <n v="311.76"/>
    <n v="4.42"/>
    <n v="0"/>
    <m/>
    <n v="0"/>
    <m/>
    <m/>
    <s v="Não"/>
    <s v="Não"/>
    <s v="Não"/>
    <s v="Não"/>
    <n v="0"/>
    <n v="0"/>
  </r>
  <r>
    <s v="VGSP-348_024,000_CC4"/>
    <x v="25"/>
    <s v="24,000"/>
    <m/>
    <s v="24,500"/>
    <n v="0.5"/>
    <x v="1"/>
    <s v="C"/>
    <n v="-23.429590972692189"/>
    <n v="-46.760561904571468"/>
    <n v="6663.72"/>
    <n v="6.09"/>
    <n v="30"/>
    <m/>
    <n v="0"/>
    <s v="Eixo-zero"/>
    <m/>
    <s v="Não"/>
    <s v="Não"/>
    <s v="Não"/>
    <s v="Não"/>
    <n v="1999.116"/>
    <n v="1999.116"/>
  </r>
  <r>
    <s v="VGSP-348_024,000_CC3"/>
    <x v="25"/>
    <s v="24,000"/>
    <m/>
    <s v="24,500"/>
    <n v="0.5"/>
    <x v="1"/>
    <s v="C"/>
    <n v="-23.43010681540531"/>
    <n v="-46.760058811589403"/>
    <n v="10653.4"/>
    <n v="12.24"/>
    <n v="60"/>
    <m/>
    <n v="0"/>
    <s v="Trator 1.7m"/>
    <m/>
    <s v="Não"/>
    <s v="Não"/>
    <s v="Não"/>
    <s v="Não"/>
    <n v="6392.04"/>
    <n v="6392.04"/>
  </r>
  <r>
    <s v="VGSP-348_024,000_CC1"/>
    <x v="25"/>
    <s v="24,000"/>
    <m/>
    <s v="24,500"/>
    <n v="0.5"/>
    <x v="1"/>
    <s v="C"/>
    <n v="-23.435222019303541"/>
    <n v="-46.759786668179679"/>
    <n v="3862.86"/>
    <n v="6.25"/>
    <n v="30"/>
    <m/>
    <n v="0"/>
    <s v="Eixo-zero"/>
    <m/>
    <s v="Não"/>
    <s v="Não"/>
    <s v="Não"/>
    <s v="Não"/>
    <n v="1158.8579999999999"/>
    <n v="1158.8579999999999"/>
  </r>
  <r>
    <s v="VGSP-330_024,000_EN_CL5"/>
    <x v="0"/>
    <s v="24,000"/>
    <m/>
    <s v="24,500"/>
    <m/>
    <x v="0"/>
    <s v="N"/>
    <n v="-23.437262922859102"/>
    <n v="-46.785787053665601"/>
    <n v="511.26"/>
    <n v="8.6"/>
    <n v="0"/>
    <m/>
    <n v="0"/>
    <m/>
    <m/>
    <s v="Não"/>
    <s v="Não"/>
    <s v="Não"/>
    <s v="Não"/>
    <n v="0"/>
    <n v="0"/>
  </r>
  <r>
    <s v="VGSP-330_024,000_ES_CL6"/>
    <x v="0"/>
    <s v="24,000"/>
    <m/>
    <s v="24,500"/>
    <m/>
    <x v="0"/>
    <s v="S"/>
    <n v="-23.43052852599045"/>
    <n v="-46.787253155491442"/>
    <n v="249.32"/>
    <n v="2.31"/>
    <n v="30"/>
    <m/>
    <n v="0"/>
    <s v="Eixo-zero"/>
    <m/>
    <s v="Não"/>
    <s v="Não"/>
    <s v="Não"/>
    <s v="Não"/>
    <n v="74.795999999999992"/>
    <n v="74.795999999999992"/>
  </r>
  <r>
    <s v="VGSP-330_024,000_ES_CL3"/>
    <x v="0"/>
    <s v="24,000"/>
    <m/>
    <s v="24,500"/>
    <m/>
    <x v="0"/>
    <s v="S"/>
    <n v="-23.43639243708996"/>
    <n v="-46.7863460273242"/>
    <n v="532.59"/>
    <n v="3.19"/>
    <n v="0"/>
    <m/>
    <n v="0"/>
    <m/>
    <m/>
    <s v="Não"/>
    <s v="Não"/>
    <s v="Não"/>
    <s v="Não"/>
    <n v="0"/>
    <n v="0"/>
  </r>
  <r>
    <s v="VGSP-330_024,000_EN_CL6"/>
    <x v="0"/>
    <s v="24,000"/>
    <m/>
    <s v="24,500"/>
    <m/>
    <x v="0"/>
    <s v="N"/>
    <n v="-23.43566015042736"/>
    <n v="-46.785833416855439"/>
    <n v="73.319999999999993"/>
    <n v="2.02"/>
    <n v="0"/>
    <m/>
    <n v="0"/>
    <m/>
    <m/>
    <s v="Não"/>
    <s v="Não"/>
    <s v="Não"/>
    <s v="Não"/>
    <n v="0"/>
    <n v="0"/>
  </r>
  <r>
    <s v="VGSP-330_024,000_EN_CL1"/>
    <x v="0"/>
    <s v="24,000"/>
    <m/>
    <s v="24,500"/>
    <m/>
    <x v="0"/>
    <s v="N"/>
    <n v="-23.438781905014579"/>
    <n v="-46.785635216691098"/>
    <n v="1414.98"/>
    <n v="9.56"/>
    <n v="0"/>
    <m/>
    <n v="0"/>
    <m/>
    <m/>
    <s v="Não"/>
    <s v="Não"/>
    <s v="Não"/>
    <s v="Não"/>
    <n v="0"/>
    <n v="0"/>
  </r>
  <r>
    <s v="VGSP-348_024,000_ES_CL7"/>
    <x v="0"/>
    <s v="24,000"/>
    <m/>
    <s v="24,500"/>
    <m/>
    <x v="0"/>
    <s v="S"/>
    <n v="-23.430768480993581"/>
    <n v="-46.760818954581779"/>
    <n v="1262.5"/>
    <n v="2.4300000000000002"/>
    <n v="80"/>
    <m/>
    <n v="0"/>
    <s v="Trator 1.7m"/>
    <m/>
    <s v="Não"/>
    <s v="Não"/>
    <s v="Não"/>
    <s v="Não"/>
    <n v="1010"/>
    <n v="1010"/>
  </r>
  <r>
    <s v="VGSP-348_024,000_CC2"/>
    <x v="25"/>
    <s v="24,000"/>
    <m/>
    <s v="24,500"/>
    <n v="0.5"/>
    <x v="1"/>
    <s v="C"/>
    <n v="-23.435021467522631"/>
    <n v="-46.759512873868907"/>
    <n v="2149.17"/>
    <n v="2.4300000000000002"/>
    <n v="70"/>
    <m/>
    <n v="0"/>
    <s v="Trator 1.7m"/>
    <m/>
    <s v="Não"/>
    <s v="Não"/>
    <s v="Não"/>
    <s v="Não"/>
    <n v="1504.4189999999999"/>
    <n v="1504.4189999999999"/>
  </r>
  <r>
    <s v="VGSP-330_024,000_ES_CL2"/>
    <x v="0"/>
    <s v="24,000"/>
    <m/>
    <s v="24,500"/>
    <m/>
    <x v="0"/>
    <s v="S"/>
    <n v="-23.438718166184302"/>
    <n v="-46.786210003592849"/>
    <n v="1565.09"/>
    <n v="3.17"/>
    <n v="0"/>
    <m/>
    <n v="0"/>
    <m/>
    <m/>
    <s v="Não"/>
    <s v="Não"/>
    <s v="Não"/>
    <s v="Não"/>
    <n v="0"/>
    <n v="0"/>
  </r>
  <r>
    <s v="VGSP-330_024,000_EN_CL9"/>
    <x v="0"/>
    <s v="24,000"/>
    <m/>
    <s v="24,500"/>
    <m/>
    <x v="0"/>
    <s v="N"/>
    <n v="-23.434163403774811"/>
    <n v="-46.786088131542478"/>
    <n v="130.1"/>
    <n v="2.8"/>
    <n v="20"/>
    <m/>
    <n v="0"/>
    <s v="Eixo-zero"/>
    <m/>
    <s v="Não"/>
    <s v="Não"/>
    <s v="Não"/>
    <s v="Não"/>
    <n v="26.02"/>
    <n v="26.02"/>
  </r>
  <r>
    <s v="VGSP-330_024,000_EN_CL10"/>
    <x v="0"/>
    <s v="24,000"/>
    <m/>
    <s v="24,500"/>
    <m/>
    <x v="0"/>
    <s v="N"/>
    <n v="-23.43495578223142"/>
    <n v="-46.785981294164181"/>
    <n v="642.59"/>
    <n v="2.94"/>
    <n v="0"/>
    <m/>
    <n v="0"/>
    <m/>
    <m/>
    <s v="Não"/>
    <s v="Não"/>
    <s v="Não"/>
    <s v="Não"/>
    <n v="0"/>
    <n v="0"/>
  </r>
  <r>
    <s v="VGSP-330_024,000_EN_CL4"/>
    <x v="0"/>
    <s v="24,000"/>
    <m/>
    <s v="24,500"/>
    <m/>
    <x v="0"/>
    <s v="N"/>
    <n v="-23.43633333810816"/>
    <n v="-46.785895340288988"/>
    <n v="3088.36"/>
    <n v="3.64"/>
    <n v="0"/>
    <m/>
    <n v="0"/>
    <m/>
    <m/>
    <s v="Não"/>
    <s v="Não"/>
    <s v="Não"/>
    <s v="Não"/>
    <n v="0"/>
    <n v="0"/>
  </r>
  <r>
    <s v="VGSP-348_024,000_ES_CL3"/>
    <x v="0"/>
    <s v="24,000"/>
    <m/>
    <s v="24,500"/>
    <m/>
    <x v="0"/>
    <s v="S"/>
    <n v="-23.431859036526671"/>
    <n v="-46.760424352602769"/>
    <n v="398.4"/>
    <n v="1.1200000000000001"/>
    <n v="30"/>
    <m/>
    <n v="0"/>
    <s v="Eixo-zero"/>
    <m/>
    <s v="Não"/>
    <s v="Não"/>
    <s v="Não"/>
    <s v="Não"/>
    <n v="119.51999999999998"/>
    <n v="119.51999999999998"/>
  </r>
  <r>
    <s v="VGSP-348_024,000_ES_CL2"/>
    <x v="0"/>
    <s v="24,000"/>
    <m/>
    <s v="24,500"/>
    <m/>
    <x v="0"/>
    <s v="S"/>
    <n v="-23.43202807157315"/>
    <n v="-46.760751916100411"/>
    <n v="244.68"/>
    <n v="1.2"/>
    <n v="50"/>
    <m/>
    <n v="0"/>
    <s v="Trator 1.7m"/>
    <m/>
    <s v="Não"/>
    <s v="Não"/>
    <s v="Não"/>
    <s v="Não"/>
    <n v="122.34"/>
    <n v="122.34"/>
  </r>
  <r>
    <s v="VGSP-348_024,000_ES_CL4"/>
    <x v="0"/>
    <s v="24,000"/>
    <m/>
    <s v="24,500"/>
    <m/>
    <x v="0"/>
    <s v="S"/>
    <n v="-23.432782152507539"/>
    <n v="-46.760362378703448"/>
    <n v="2444.6999999999998"/>
    <n v="2.76"/>
    <n v="30"/>
    <m/>
    <n v="0"/>
    <s v="Eixo-zero"/>
    <m/>
    <s v="Não"/>
    <s v="Não"/>
    <s v="Não"/>
    <s v="Não"/>
    <n v="733.41"/>
    <n v="733.41"/>
  </r>
  <r>
    <s v="VGSP-348_024,000_ES_CL6"/>
    <x v="0"/>
    <s v="24,000"/>
    <m/>
    <s v="24,500"/>
    <m/>
    <x v="0"/>
    <s v="S"/>
    <n v="-23.431714414626121"/>
    <n v="-46.760015115662902"/>
    <n v="230"/>
    <n v="2.37"/>
    <n v="60"/>
    <m/>
    <n v="0"/>
    <s v="Trator 1.7m"/>
    <m/>
    <s v="Não"/>
    <s v="Não"/>
    <s v="Não"/>
    <s v="Não"/>
    <n v="138"/>
    <n v="138"/>
  </r>
  <r>
    <s v="VGSP-330_024,000_EN_CL7"/>
    <x v="0"/>
    <s v="24,000"/>
    <m/>
    <s v="24,500"/>
    <m/>
    <x v="0"/>
    <s v="N"/>
    <n v="-23.431240335495279"/>
    <n v="-46.786704995983477"/>
    <n v="2706.23"/>
    <n v="5.76"/>
    <n v="30"/>
    <m/>
    <n v="0"/>
    <s v="Eixo-zero"/>
    <m/>
    <s v="Não"/>
    <s v="Não"/>
    <s v="Não"/>
    <s v="Não"/>
    <n v="811.86900000000003"/>
    <n v="811.86900000000003"/>
  </r>
  <r>
    <s v="VGSP-330_024,000_EN_CL2"/>
    <x v="0"/>
    <s v="24,000"/>
    <m/>
    <s v="24,500"/>
    <m/>
    <x v="0"/>
    <s v="N"/>
    <n v="-23.436481669770121"/>
    <n v="-46.785656345827839"/>
    <n v="780.31"/>
    <n v="5.33"/>
    <n v="0"/>
    <m/>
    <n v="0"/>
    <m/>
    <m/>
    <s v="Não"/>
    <s v="Não"/>
    <s v="Não"/>
    <s v="Não"/>
    <n v="0"/>
    <n v="0"/>
  </r>
  <r>
    <s v="VGSP-330_024,000_EN_CL3"/>
    <x v="0"/>
    <s v="24,000"/>
    <m/>
    <s v="24,500"/>
    <m/>
    <x v="0"/>
    <s v="N"/>
    <n v="-23.438200084405409"/>
    <n v="-46.785654388160523"/>
    <n v="47.7"/>
    <n v="10.79"/>
    <n v="0"/>
    <m/>
    <n v="0"/>
    <m/>
    <m/>
    <s v="Não"/>
    <s v="Não"/>
    <s v="Não"/>
    <s v="Não"/>
    <n v="0"/>
    <n v="0"/>
  </r>
  <r>
    <s v="VGSP-348_024,000_EN_CL2"/>
    <x v="0"/>
    <s v="24,000"/>
    <m/>
    <s v="24,500"/>
    <m/>
    <x v="0"/>
    <s v="N"/>
    <n v="-23.42919411060268"/>
    <n v="-46.759782894842651"/>
    <n v="1531.43"/>
    <n v="12.15"/>
    <n v="60"/>
    <m/>
    <n v="0"/>
    <s v="Trator 1.7m"/>
    <m/>
    <s v="Não"/>
    <s v="Não"/>
    <s v="Não"/>
    <s v="Não"/>
    <n v="918.85800000000006"/>
    <n v="918.85800000000006"/>
  </r>
  <r>
    <s v="VGSP-330_025,000_ES_CL10"/>
    <x v="0"/>
    <s v="25,000"/>
    <m/>
    <s v="25,500"/>
    <m/>
    <x v="0"/>
    <s v="S"/>
    <n v="-23.423839555105442"/>
    <n v="-46.790806611685042"/>
    <n v="92.1"/>
    <n v="7.68"/>
    <n v="0"/>
    <m/>
    <n v="0"/>
    <m/>
    <m/>
    <s v="Não"/>
    <s v="Não"/>
    <s v="Não"/>
    <s v="Não"/>
    <n v="0"/>
    <n v="0"/>
  </r>
  <r>
    <s v="VGSP-330_025,000_EN_CL7"/>
    <x v="0"/>
    <s v="25,000"/>
    <m/>
    <s v="25,500"/>
    <m/>
    <x v="0"/>
    <s v="N"/>
    <n v="-23.42307275801463"/>
    <n v="-46.788548701681762"/>
    <n v="5321.23"/>
    <n v="3.94"/>
    <n v="0"/>
    <m/>
    <n v="0"/>
    <m/>
    <m/>
    <s v="Não"/>
    <s v="Não"/>
    <s v="Não"/>
    <s v="Não"/>
    <n v="0"/>
    <n v="0"/>
  </r>
  <r>
    <s v="VGSP-330_025,000_EN_CL2"/>
    <x v="0"/>
    <s v="25,000"/>
    <m/>
    <s v="25,500"/>
    <m/>
    <x v="0"/>
    <s v="N"/>
    <n v="-23.430083703250361"/>
    <n v="-46.786857682903843"/>
    <n v="170.13"/>
    <n v="3.17"/>
    <n v="20"/>
    <m/>
    <n v="0"/>
    <s v="Eixo-zero"/>
    <m/>
    <s v="Não"/>
    <s v="Não"/>
    <s v="Não"/>
    <s v="Não"/>
    <n v="34.026000000000003"/>
    <n v="34.026000000000003"/>
  </r>
  <r>
    <s v="VGSP-330_025,000_EN_CL1"/>
    <x v="0"/>
    <s v="25,000"/>
    <m/>
    <s v="25,500"/>
    <m/>
    <x v="0"/>
    <s v="N"/>
    <n v="-23.429103335905801"/>
    <n v="-46.786999152939963"/>
    <n v="1765.51"/>
    <n v="3.35"/>
    <n v="20"/>
    <m/>
    <n v="0"/>
    <s v="Eixo-zero"/>
    <m/>
    <s v="Não"/>
    <s v="Não"/>
    <s v="Não"/>
    <s v="Não"/>
    <n v="353.10200000000003"/>
    <n v="353.10200000000003"/>
  </r>
  <r>
    <s v="VGSP-348_025,000_CC3"/>
    <x v="26"/>
    <s v="25,000"/>
    <m/>
    <s v="25,500"/>
    <n v="0.5"/>
    <x v="1"/>
    <s v="C"/>
    <n v="-23.420690969749291"/>
    <n v="-46.762243905426892"/>
    <n v="8070.07"/>
    <n v="11.06"/>
    <n v="30"/>
    <m/>
    <n v="0"/>
    <s v="Eixo-zero"/>
    <m/>
    <s v="Não"/>
    <s v="Não"/>
    <s v="Não"/>
    <s v="Não"/>
    <n v="2421.0209999999997"/>
    <n v="2421.0209999999997"/>
  </r>
  <r>
    <s v="VGSP-330_025,000_CC1"/>
    <x v="27"/>
    <s v="25,000"/>
    <m/>
    <s v="25,500"/>
    <m/>
    <x v="1"/>
    <s v="C"/>
    <n v="-23.42439858413411"/>
    <n v="-46.788448463716527"/>
    <n v="5378.99"/>
    <n v="4.17"/>
    <n v="80"/>
    <m/>
    <n v="0"/>
    <s v="Trator 1.7m"/>
    <m/>
    <s v="Não"/>
    <s v="Não"/>
    <s v="Não"/>
    <s v="Não"/>
    <n v="4303.192"/>
    <n v="4303.192"/>
  </r>
  <r>
    <s v="VGSP-348_025,000_ES_CL2"/>
    <x v="0"/>
    <s v="25,000"/>
    <m/>
    <s v="25,500"/>
    <m/>
    <x v="0"/>
    <s v="S"/>
    <n v="-23.425372160836449"/>
    <n v="-46.761184362576579"/>
    <n v="1950.07"/>
    <n v="4.59"/>
    <n v="0"/>
    <m/>
    <n v="0"/>
    <m/>
    <m/>
    <s v="Não"/>
    <s v="Não"/>
    <s v="Não"/>
    <s v="Não"/>
    <n v="0"/>
    <n v="0"/>
  </r>
  <r>
    <s v="VGSP-330_025,000_CC2"/>
    <x v="27"/>
    <s v="25,000"/>
    <m/>
    <s v="25,500"/>
    <m/>
    <x v="1"/>
    <s v="C"/>
    <n v="-23.423123543740392"/>
    <n v="-46.79034638092056"/>
    <n v="280.04000000000002"/>
    <n v="4.71"/>
    <n v="50"/>
    <m/>
    <n v="0"/>
    <s v="Trator 1.7m"/>
    <m/>
    <s v="Não"/>
    <s v="Não"/>
    <s v="Não"/>
    <s v="Não"/>
    <n v="140.02000000000001"/>
    <n v="140.02000000000001"/>
  </r>
  <r>
    <s v="VGSP-348_025,000_CC2"/>
    <x v="26"/>
    <s v="25,000"/>
    <m/>
    <s v="25,500"/>
    <n v="0.5"/>
    <x v="1"/>
    <s v="C"/>
    <n v="-23.425292532344059"/>
    <n v="-46.760839894457483"/>
    <n v="7600.66"/>
    <n v="6.61"/>
    <n v="30"/>
    <m/>
    <n v="0"/>
    <s v="Eixo-zero"/>
    <m/>
    <s v="Não"/>
    <s v="Não"/>
    <s v="Não"/>
    <s v="Não"/>
    <n v="2280.1979999999999"/>
    <n v="2280.1979999999999"/>
  </r>
  <r>
    <s v="VGSP-330_025,000_ES_CL1"/>
    <x v="0"/>
    <s v="25,000"/>
    <m/>
    <s v="25,500"/>
    <m/>
    <x v="0"/>
    <s v="S"/>
    <n v="-23.430115636163631"/>
    <n v="-46.787256446263321"/>
    <n v="56.37"/>
    <n v="1.18"/>
    <n v="30"/>
    <m/>
    <n v="0"/>
    <s v="Eixo-zero"/>
    <m/>
    <s v="Não"/>
    <s v="Não"/>
    <s v="Não"/>
    <s v="Não"/>
    <n v="16.910999999999998"/>
    <n v="16.910999999999998"/>
  </r>
  <r>
    <s v="VGSP-348_025,000_EN_CL2"/>
    <x v="0"/>
    <s v="25,000"/>
    <m/>
    <s v="25,500"/>
    <m/>
    <x v="0"/>
    <s v="N"/>
    <n v="-23.425145005150771"/>
    <n v="-46.760322569560692"/>
    <n v="2184.1799999999998"/>
    <n v="6.93"/>
    <n v="60"/>
    <m/>
    <n v="0"/>
    <s v="Trator 1.7m"/>
    <m/>
    <s v="Não"/>
    <s v="Não"/>
    <s v="Não"/>
    <s v="Não"/>
    <n v="1310.5079999999998"/>
    <n v="1310.5079999999998"/>
  </r>
  <r>
    <s v="VGSP-330_025,000_ES_CL7"/>
    <x v="0"/>
    <s v="25,000"/>
    <m/>
    <s v="25,500"/>
    <m/>
    <x v="0"/>
    <s v="S"/>
    <n v="-23.430141792587001"/>
    <n v="-46.787555177587933"/>
    <n v="71.83"/>
    <n v="1.23"/>
    <n v="30"/>
    <m/>
    <n v="0"/>
    <s v="Eixo-zero"/>
    <m/>
    <s v="Não"/>
    <s v="Não"/>
    <s v="Não"/>
    <s v="Não"/>
    <n v="21.548999999999999"/>
    <n v="21.548999999999999"/>
  </r>
  <r>
    <s v="VGSP-348_025,000_CC1"/>
    <x v="26"/>
    <s v="25,000"/>
    <m/>
    <s v="25,500"/>
    <n v="0.5"/>
    <x v="1"/>
    <s v="C"/>
    <n v="-23.420534192865439"/>
    <n v="-46.761972020673717"/>
    <n v="2175.4299999999998"/>
    <n v="10.37"/>
    <n v="80"/>
    <m/>
    <n v="0"/>
    <s v="Trator 1.7m"/>
    <m/>
    <s v="Não"/>
    <s v="Não"/>
    <s v="Não"/>
    <s v="Não"/>
    <n v="1740.3440000000001"/>
    <n v="1740.3440000000001"/>
  </r>
  <r>
    <s v="VGSP-348_025,000_EN_CL1"/>
    <x v="0"/>
    <s v="25,000"/>
    <m/>
    <s v="25,500"/>
    <m/>
    <x v="0"/>
    <s v="N"/>
    <n v="-23.427364894017689"/>
    <n v="-46.760370982060913"/>
    <n v="269.67"/>
    <n v="9.83"/>
    <n v="60"/>
    <m/>
    <n v="0"/>
    <s v="Trator 1.7m"/>
    <m/>
    <s v="Não"/>
    <s v="Não"/>
    <s v="Não"/>
    <s v="Não"/>
    <n v="161.80199999999999"/>
    <n v="161.80199999999999"/>
  </r>
  <r>
    <s v="VGSP-330_025,000_ES_CL8"/>
    <x v="0"/>
    <s v="25,000"/>
    <m/>
    <s v="25,500"/>
    <m/>
    <x v="0"/>
    <s v="S"/>
    <n v="-23.424710330335071"/>
    <n v="-46.789100592965973"/>
    <n v="1933.44"/>
    <n v="3.1"/>
    <n v="0"/>
    <m/>
    <n v="0"/>
    <m/>
    <m/>
    <s v="Não"/>
    <s v="Não"/>
    <s v="Não"/>
    <s v="Não"/>
    <n v="0"/>
    <n v="0"/>
  </r>
  <r>
    <s v="VGSP-330_025,000_ES_CL9"/>
    <x v="0"/>
    <s v="25,000"/>
    <m/>
    <s v="25,500"/>
    <m/>
    <x v="0"/>
    <s v="S"/>
    <n v="-23.423738455752972"/>
    <n v="-46.790222442339321"/>
    <n v="5362.64"/>
    <n v="4.88"/>
    <n v="20"/>
    <m/>
    <n v="0"/>
    <s v="Trator 1.7m"/>
    <m/>
    <s v="Não"/>
    <s v="Não"/>
    <s v="Não"/>
    <s v="Não"/>
    <n v="1072.528"/>
    <n v="1072.528"/>
  </r>
  <r>
    <s v="VGSP-330_025,000_EN_CL3"/>
    <x v="0"/>
    <s v="25,000"/>
    <m/>
    <s v="25,500"/>
    <m/>
    <x v="0"/>
    <s v="N"/>
    <n v="-23.42689812503831"/>
    <n v="-46.787362783282653"/>
    <n v="1403.68"/>
    <n v="8.2100000000000009"/>
    <n v="60"/>
    <m/>
    <n v="0"/>
    <s v="Eixo-zero"/>
    <m/>
    <s v="Não"/>
    <s v="Não"/>
    <s v="Não"/>
    <s v="Não"/>
    <n v="842.20799999999997"/>
    <n v="842.20799999999997"/>
  </r>
  <r>
    <s v="VGSP-330_025,000_EN_CL11"/>
    <x v="0"/>
    <s v="25,000"/>
    <m/>
    <s v="25,500"/>
    <m/>
    <x v="0"/>
    <s v="N"/>
    <n v="-23.42286883448925"/>
    <n v="-46.790078437328603"/>
    <n v="779.29"/>
    <n v="2.5299999999999998"/>
    <n v="85"/>
    <m/>
    <n v="0"/>
    <s v="Trator 1.7m"/>
    <m/>
    <s v="Não"/>
    <s v="Não"/>
    <s v="Não"/>
    <s v="Não"/>
    <n v="662.39649999999995"/>
    <n v="662.39649999999995"/>
  </r>
  <r>
    <s v="VGSP-330_025,000_EN_CL6"/>
    <x v="0"/>
    <s v="25,000"/>
    <m/>
    <s v="25,500"/>
    <m/>
    <x v="0"/>
    <s v="N"/>
    <n v="-23.429068428799368"/>
    <n v="-46.786840314724301"/>
    <n v="913.96"/>
    <n v="3.52"/>
    <n v="20"/>
    <m/>
    <n v="0"/>
    <s v="Eixo-zero"/>
    <m/>
    <s v="Não"/>
    <s v="Não"/>
    <s v="Não"/>
    <s v="Não"/>
    <n v="182.79200000000003"/>
    <n v="182.79200000000003"/>
  </r>
  <r>
    <s v="VGSP-330_025,000_EN_CL9"/>
    <x v="0"/>
    <s v="25,000"/>
    <m/>
    <s v="25,500"/>
    <m/>
    <x v="0"/>
    <s v="N"/>
    <n v="-23.42255063225339"/>
    <n v="-46.789730530185793"/>
    <n v="4187.21"/>
    <n v="6.22"/>
    <n v="0"/>
    <m/>
    <n v="0"/>
    <m/>
    <m/>
    <s v="Não"/>
    <s v="Não"/>
    <s v="Não"/>
    <s v="Não"/>
    <n v="0"/>
    <n v="0"/>
  </r>
  <r>
    <s v="VGSP-330_025,000_EN_CL10"/>
    <x v="0"/>
    <s v="25,000"/>
    <m/>
    <s v="25,500"/>
    <m/>
    <x v="0"/>
    <s v="N"/>
    <n v="-23.42231504010805"/>
    <n v="-46.78908602120417"/>
    <n v="3615.6"/>
    <n v="6.49"/>
    <n v="0"/>
    <m/>
    <n v="0"/>
    <m/>
    <m/>
    <s v="Não"/>
    <s v="Não"/>
    <s v="Não"/>
    <s v="Não"/>
    <n v="0"/>
    <n v="0"/>
  </r>
  <r>
    <s v="VGSP-330_025,000_EN_CL8"/>
    <x v="0"/>
    <s v="25,000"/>
    <m/>
    <s v="25,500"/>
    <m/>
    <x v="0"/>
    <s v="N"/>
    <n v="-23.422993287166261"/>
    <n v="-46.788986050046368"/>
    <n v="3989.56"/>
    <n v="2.56"/>
    <n v="0"/>
    <m/>
    <n v="0"/>
    <m/>
    <m/>
    <s v="Não"/>
    <s v="Não"/>
    <s v="Não"/>
    <s v="Não"/>
    <n v="0"/>
    <n v="0"/>
  </r>
  <r>
    <s v="VGSP-330_025,000_EN_CL4"/>
    <x v="0"/>
    <s v="25,000"/>
    <m/>
    <s v="25,500"/>
    <m/>
    <x v="0"/>
    <s v="N"/>
    <n v="-23.424123491112471"/>
    <n v="-46.787979070626619"/>
    <n v="1864.36"/>
    <n v="5.79"/>
    <n v="0"/>
    <m/>
    <n v="0"/>
    <m/>
    <m/>
    <s v="Não"/>
    <s v="Não"/>
    <s v="Não"/>
    <s v="Não"/>
    <n v="0"/>
    <n v="0"/>
  </r>
  <r>
    <s v="VGSP-330_025,000_EN_CL5"/>
    <x v="0"/>
    <s v="25,000"/>
    <m/>
    <s v="25,500"/>
    <m/>
    <x v="0"/>
    <s v="N"/>
    <n v="-23.427045634701031"/>
    <n v="-46.787148557518456"/>
    <n v="858.98"/>
    <n v="9.1999999999999993"/>
    <n v="20"/>
    <m/>
    <n v="0"/>
    <s v="Eixo-zero"/>
    <m/>
    <s v="Não"/>
    <s v="Não"/>
    <s v="Não"/>
    <s v="Não"/>
    <n v="171.79600000000002"/>
    <n v="171.79600000000002"/>
  </r>
  <r>
    <s v="VGSP-330_025,000_EN_CL12"/>
    <x v="0"/>
    <s v="25,000"/>
    <m/>
    <s v="25,500"/>
    <m/>
    <x v="0"/>
    <s v="N"/>
    <n v="-23.42208963253896"/>
    <n v="-46.789011790952763"/>
    <n v="727.41"/>
    <n v="8.5"/>
    <n v="0"/>
    <m/>
    <n v="0"/>
    <m/>
    <m/>
    <s v="Não"/>
    <s v="Não"/>
    <s v="Não"/>
    <s v="Não"/>
    <n v="0"/>
    <n v="0"/>
  </r>
  <r>
    <s v="VGSP-330_025,000_ES_CL3"/>
    <x v="0"/>
    <s v="25,000"/>
    <m/>
    <s v="25,500"/>
    <m/>
    <x v="0"/>
    <s v="S"/>
    <n v="-23.430246054923131"/>
    <n v="-46.787360731104457"/>
    <n v="705.37"/>
    <n v="1.76"/>
    <n v="30"/>
    <m/>
    <n v="0"/>
    <s v="Eixo-zero"/>
    <m/>
    <s v="Não"/>
    <s v="Não"/>
    <s v="Não"/>
    <s v="Não"/>
    <n v="211.61099999999999"/>
    <n v="211.61099999999999"/>
  </r>
  <r>
    <s v="VGSP-348_025,000_ES_CL1"/>
    <x v="0"/>
    <s v="25,000"/>
    <m/>
    <s v="25,500"/>
    <m/>
    <x v="0"/>
    <s v="S"/>
    <n v="-23.420748487286421"/>
    <n v="-46.762581343347392"/>
    <n v="2299.92"/>
    <n v="10.47"/>
    <n v="0"/>
    <m/>
    <n v="0"/>
    <m/>
    <m/>
    <s v="Não"/>
    <s v="Não"/>
    <s v="Não"/>
    <s v="Não"/>
    <n v="0"/>
    <n v="0"/>
  </r>
  <r>
    <s v="VGSP-330_025,000_ES_CL6"/>
    <x v="0"/>
    <s v="25,000"/>
    <m/>
    <s v="25,500"/>
    <m/>
    <x v="0"/>
    <s v="S"/>
    <n v="-23.428208581401041"/>
    <n v="-46.787684162012013"/>
    <n v="1636.17"/>
    <n v="4.12"/>
    <n v="30"/>
    <m/>
    <n v="0"/>
    <s v="Eixo-zero"/>
    <m/>
    <s v="Não"/>
    <s v="Não"/>
    <s v="Não"/>
    <s v="Não"/>
    <n v="490.851"/>
    <n v="490.851"/>
  </r>
  <r>
    <s v="VGSP-330_025,000_ES_CL2"/>
    <x v="0"/>
    <s v="25,000"/>
    <m/>
    <s v="25,500"/>
    <m/>
    <x v="0"/>
    <s v="S"/>
    <n v="-23.429509139162949"/>
    <n v="-46.787405203362177"/>
    <n v="1733.22"/>
    <n v="1.69"/>
    <n v="30"/>
    <m/>
    <n v="0"/>
    <s v="Eixo-zero"/>
    <m/>
    <s v="Não"/>
    <s v="Não"/>
    <s v="Não"/>
    <s v="Não"/>
    <n v="519.96600000000001"/>
    <n v="519.96600000000001"/>
  </r>
  <r>
    <s v="VGSP-330_025,000_ES_CL12"/>
    <x v="0"/>
    <s v="25,000"/>
    <m/>
    <s v="25,500"/>
    <m/>
    <x v="0"/>
    <s v="S"/>
    <n v="-23.423421546242089"/>
    <n v="-46.789823377576113"/>
    <n v="523.87"/>
    <n v="2.3199999999999998"/>
    <n v="50"/>
    <m/>
    <n v="0"/>
    <s v="Trator 1.7m"/>
    <m/>
    <s v="Não"/>
    <s v="Não"/>
    <s v="Não"/>
    <s v="Não"/>
    <n v="261.935"/>
    <n v="261.935"/>
  </r>
  <r>
    <s v="VGSP-330_025,000_ES_CL11"/>
    <x v="0"/>
    <s v="25,000"/>
    <m/>
    <s v="25,500"/>
    <m/>
    <x v="0"/>
    <s v="S"/>
    <n v="-23.42345827591511"/>
    <n v="-46.790602976893162"/>
    <n v="63.12"/>
    <n v="7.11"/>
    <n v="50"/>
    <m/>
    <n v="0"/>
    <s v="Trator 1.7m"/>
    <m/>
    <s v="Não"/>
    <s v="Não"/>
    <s v="Não"/>
    <s v="Não"/>
    <n v="31.56"/>
    <n v="31.56"/>
  </r>
  <r>
    <s v="VGSP-330_025,000_ES_CL13"/>
    <x v="0"/>
    <s v="25,000"/>
    <m/>
    <s v="25,500"/>
    <m/>
    <x v="0"/>
    <s v="S"/>
    <n v="-23.423280814522879"/>
    <n v="-46.790512984949721"/>
    <n v="109.41"/>
    <n v="6.53"/>
    <n v="50"/>
    <m/>
    <n v="0"/>
    <s v="Trator 1.7m"/>
    <m/>
    <s v="Não"/>
    <s v="Não"/>
    <s v="Não"/>
    <s v="Não"/>
    <n v="54.704999999999998"/>
    <n v="54.704999999999998"/>
  </r>
  <r>
    <s v="VGSP-330_025,000_ES_CL5"/>
    <x v="0"/>
    <s v="25,000"/>
    <m/>
    <s v="25,500"/>
    <m/>
    <x v="0"/>
    <s v="S"/>
    <n v="-23.424807014846859"/>
    <n v="-46.788622386509942"/>
    <n v="3094.33"/>
    <n v="2.44"/>
    <n v="50"/>
    <m/>
    <n v="0"/>
    <s v="Trator 1.7m"/>
    <m/>
    <s v="Não"/>
    <s v="Não"/>
    <s v="Não"/>
    <s v="Não"/>
    <n v="1547.165"/>
    <n v="1547.165"/>
  </r>
  <r>
    <s v="VGSP-330_025,000_ES_CL4"/>
    <x v="0"/>
    <s v="25,000"/>
    <m/>
    <s v="25,500"/>
    <m/>
    <x v="0"/>
    <s v="S"/>
    <n v="-23.42688924221223"/>
    <n v="-46.787753582458301"/>
    <n v="972.49"/>
    <n v="6.51"/>
    <n v="30"/>
    <m/>
    <n v="0"/>
    <s v="Eixo-zero"/>
    <m/>
    <s v="Não"/>
    <s v="Não"/>
    <s v="Não"/>
    <s v="Não"/>
    <n v="291.74700000000001"/>
    <n v="291.74700000000001"/>
  </r>
  <r>
    <s v="VGSP-330_026,000_ES_CL2"/>
    <x v="0"/>
    <s v="26,000"/>
    <m/>
    <s v="26,500"/>
    <m/>
    <x v="0"/>
    <s v="S"/>
    <n v="-23.421121808181301"/>
    <n v="-46.794631294606347"/>
    <n v="179.88"/>
    <n v="10.26"/>
    <n v="40"/>
    <m/>
    <n v="0"/>
    <s v="Trator 1.7m"/>
    <m/>
    <s v="Não"/>
    <s v="Não"/>
    <s v="Não"/>
    <s v="Não"/>
    <n v="71.951999999999998"/>
    <n v="71.951999999999998"/>
  </r>
  <r>
    <s v="VGSP-330_026,000_ES_CL7"/>
    <x v="0"/>
    <s v="26,000"/>
    <m/>
    <s v="26,500"/>
    <m/>
    <x v="0"/>
    <s v="S"/>
    <n v="-23.420075566552271"/>
    <n v="-46.797064867969333"/>
    <n v="1038.05"/>
    <n v="8.02"/>
    <n v="40"/>
    <m/>
    <n v="0"/>
    <s v="Trator 1.7m"/>
    <m/>
    <s v="Não"/>
    <s v="Não"/>
    <s v="Não"/>
    <s v="Não"/>
    <n v="415.22"/>
    <n v="415.22"/>
  </r>
  <r>
    <s v="VGSP-330_026,000_ES_CL8"/>
    <x v="0"/>
    <s v="26,000"/>
    <m/>
    <s v="26,500"/>
    <m/>
    <x v="0"/>
    <s v="S"/>
    <n v="-23.418973331851021"/>
    <n v="-46.798530678289602"/>
    <n v="564.54"/>
    <n v="4.17"/>
    <n v="40"/>
    <m/>
    <n v="0"/>
    <s v="Trator 1.7m"/>
    <m/>
    <s v="Não"/>
    <s v="Não"/>
    <s v="Não"/>
    <s v="Não"/>
    <n v="225.816"/>
    <n v="225.816"/>
  </r>
  <r>
    <s v="VGSP-330_026,000_ES_CL5"/>
    <x v="0"/>
    <s v="26,000"/>
    <m/>
    <s v="26,500"/>
    <m/>
    <x v="0"/>
    <s v="S"/>
    <n v="-23.422729806323741"/>
    <n v="-46.791390418225276"/>
    <n v="282.63"/>
    <n v="5.66"/>
    <n v="50"/>
    <m/>
    <n v="0"/>
    <s v="Trator 1.7m"/>
    <m/>
    <s v="Não"/>
    <s v="Não"/>
    <s v="Não"/>
    <s v="Não"/>
    <n v="141.315"/>
    <n v="141.315"/>
  </r>
  <r>
    <s v="VGSP-330_026,000_ES_CL3"/>
    <x v="0"/>
    <s v="26,000"/>
    <m/>
    <s v="26,500"/>
    <m/>
    <x v="0"/>
    <s v="S"/>
    <n v="-23.423639618229242"/>
    <n v="-46.79100261184869"/>
    <n v="1531.29"/>
    <n v="6.98"/>
    <n v="40"/>
    <m/>
    <n v="0"/>
    <s v="Trator 1.7m"/>
    <m/>
    <s v="Não"/>
    <s v="Não"/>
    <s v="Não"/>
    <s v="Não"/>
    <n v="612.51599999999996"/>
    <n v="612.51599999999996"/>
  </r>
  <r>
    <s v="VGSP-348_026,000_ES_CL3"/>
    <x v="0"/>
    <s v="26,000"/>
    <m/>
    <s v="26,500"/>
    <m/>
    <x v="0"/>
    <s v="S"/>
    <n v="-23.413099887022359"/>
    <n v="-46.766747009462136"/>
    <n v="1987.07"/>
    <n v="12.81"/>
    <n v="70"/>
    <m/>
    <n v="0"/>
    <s v="Trator 1.7m"/>
    <m/>
    <s v="Não"/>
    <s v="Não"/>
    <s v="Não"/>
    <s v="Não"/>
    <n v="1390.9489999999998"/>
    <n v="1390.9489999999998"/>
  </r>
  <r>
    <s v="VGSP-348_026,000_ES_CL2"/>
    <x v="0"/>
    <s v="26,000"/>
    <m/>
    <s v="26,500"/>
    <m/>
    <x v="0"/>
    <s v="S"/>
    <n v="-23.4168403569345"/>
    <n v="-46.764846307885712"/>
    <n v="1620.13"/>
    <n v="7.38"/>
    <n v="0"/>
    <m/>
    <n v="0"/>
    <m/>
    <m/>
    <s v="Não"/>
    <s v="Não"/>
    <s v="Não"/>
    <s v="Não"/>
    <n v="0"/>
    <n v="0"/>
  </r>
  <r>
    <s v="VGSP-330_026,000_EN_CL3"/>
    <x v="0"/>
    <s v="26,000"/>
    <m/>
    <s v="26,500"/>
    <m/>
    <x v="0"/>
    <s v="N"/>
    <n v="-23.422626784520119"/>
    <n v="-46.790205303940311"/>
    <n v="0.18"/>
    <n v="7.75"/>
    <m/>
    <m/>
    <n v="0"/>
    <m/>
    <m/>
    <s v="Não"/>
    <s v="Não"/>
    <s v="Não"/>
    <s v="Não"/>
    <n v="0"/>
    <n v="0"/>
  </r>
  <r>
    <s v="VGSP-330_026,000_EN_CL4"/>
    <x v="0"/>
    <s v="26,000"/>
    <m/>
    <s v="26,500"/>
    <m/>
    <x v="0"/>
    <s v="N"/>
    <n v="-23.422131167407841"/>
    <n v="-46.790287121430403"/>
    <n v="660.43"/>
    <n v="11.09"/>
    <n v="0"/>
    <m/>
    <n v="0"/>
    <m/>
    <m/>
    <s v="Não"/>
    <s v="Não"/>
    <s v="Não"/>
    <s v="Não"/>
    <n v="0"/>
    <n v="0"/>
  </r>
  <r>
    <s v="VGSP-330_026,000_EN_CL6"/>
    <x v="0"/>
    <s v="26,000"/>
    <m/>
    <s v="26,500"/>
    <m/>
    <x v="0"/>
    <s v="N"/>
    <n v="-23.42217790962183"/>
    <n v="-46.791410134509682"/>
    <n v="3620.53"/>
    <n v="3.73"/>
    <n v="65"/>
    <m/>
    <n v="0"/>
    <s v="Trator 1.7m"/>
    <m/>
    <s v="Não"/>
    <s v="Não"/>
    <s v="Não"/>
    <s v="Não"/>
    <n v="2353.3445000000002"/>
    <n v="2353.3445000000002"/>
  </r>
  <r>
    <s v="VGSP-330_026,000_EN_CL5"/>
    <x v="0"/>
    <s v="26,000"/>
    <m/>
    <s v="26,500"/>
    <m/>
    <x v="0"/>
    <s v="N"/>
    <n v="-23.422142866083561"/>
    <n v="-46.791030203881427"/>
    <n v="1585.11"/>
    <n v="7.1"/>
    <n v="0"/>
    <m/>
    <n v="0"/>
    <m/>
    <m/>
    <s v="Não"/>
    <s v="Não"/>
    <s v="Não"/>
    <s v="Não"/>
    <n v="0"/>
    <n v="0"/>
  </r>
  <r>
    <s v="VGSP-330_026,000_EN_CL2"/>
    <x v="0"/>
    <s v="26,000"/>
    <m/>
    <s v="26,500"/>
    <m/>
    <x v="0"/>
    <s v="N"/>
    <n v="-23.42235720374909"/>
    <n v="-46.79034643718694"/>
    <n v="1479.37"/>
    <n v="8.5399999999999991"/>
    <n v="0"/>
    <m/>
    <n v="0"/>
    <m/>
    <m/>
    <s v="Não"/>
    <s v="Não"/>
    <s v="Não"/>
    <s v="Não"/>
    <n v="0"/>
    <n v="0"/>
  </r>
  <r>
    <s v="VGSP-348_026,000_EN_CL2"/>
    <x v="0"/>
    <s v="26,000"/>
    <m/>
    <s v="26,500"/>
    <m/>
    <x v="0"/>
    <s v="N"/>
    <n v="-23.414230028233519"/>
    <n v="-46.765530949115153"/>
    <n v="442.14"/>
    <n v="5.36"/>
    <n v="80"/>
    <m/>
    <n v="0"/>
    <s v="Trator 1.7m"/>
    <m/>
    <s v="Não"/>
    <s v="Não"/>
    <s v="Não"/>
    <s v="Não"/>
    <n v="353.71199999999999"/>
    <n v="353.71199999999999"/>
  </r>
  <r>
    <s v="VGSP-330_026,000_EN_CL1"/>
    <x v="0"/>
    <s v="26,000"/>
    <m/>
    <s v="26,500"/>
    <m/>
    <x v="0"/>
    <s v="N"/>
    <n v="-23.422424615245401"/>
    <n v="-46.790116208279123"/>
    <n v="72.31"/>
    <n v="7.98"/>
    <n v="0"/>
    <m/>
    <n v="0"/>
    <m/>
    <m/>
    <s v="Não"/>
    <s v="Não"/>
    <s v="Não"/>
    <s v="Não"/>
    <n v="0"/>
    <n v="0"/>
  </r>
  <r>
    <s v="VGSP-330_026,000_ES_CL4"/>
    <x v="0"/>
    <s v="26,000"/>
    <m/>
    <s v="26,500"/>
    <m/>
    <x v="0"/>
    <s v="S"/>
    <n v="-23.423178585655009"/>
    <n v="-46.791147730779812"/>
    <n v="5916.6"/>
    <n v="7.49"/>
    <n v="20"/>
    <m/>
    <n v="0"/>
    <s v="Trator 1.7m"/>
    <m/>
    <s v="Não"/>
    <s v="Não"/>
    <s v="Não"/>
    <s v="Não"/>
    <n v="1183.3200000000002"/>
    <n v="1183.3200000000002"/>
  </r>
  <r>
    <s v="VGSP-330_026,000_ES_CL1"/>
    <x v="0"/>
    <s v="26,000"/>
    <m/>
    <s v="26,500"/>
    <m/>
    <x v="0"/>
    <s v="S"/>
    <n v="-23.422444993859401"/>
    <n v="-46.792443420976298"/>
    <n v="2048.5700000000002"/>
    <n v="7.07"/>
    <n v="0"/>
    <m/>
    <n v="0"/>
    <m/>
    <m/>
    <s v="Não"/>
    <s v="Não"/>
    <s v="Não"/>
    <s v="Não"/>
    <n v="0"/>
    <n v="0"/>
  </r>
  <r>
    <s v="VGSP-348_026,000_CC1"/>
    <x v="28"/>
    <s v="26,000"/>
    <m/>
    <s v="26,500"/>
    <n v="0.5"/>
    <x v="1"/>
    <s v="C"/>
    <n v="-23.41663988346254"/>
    <n v="-46.7642286642198"/>
    <n v="1737.98"/>
    <n v="8.25"/>
    <n v="80"/>
    <m/>
    <n v="0"/>
    <s v="Trator 1.7m"/>
    <m/>
    <s v="Não"/>
    <s v="Não"/>
    <s v="Não"/>
    <s v="Não"/>
    <n v="1390.384"/>
    <n v="1390.384"/>
  </r>
  <r>
    <s v="VGSP-348_026,000_ES_CL1"/>
    <x v="0"/>
    <s v="26,000"/>
    <m/>
    <s v="26,500"/>
    <m/>
    <x v="0"/>
    <s v="S"/>
    <n v="-23.41512813034505"/>
    <n v="-46.765824760287238"/>
    <n v="94.48"/>
    <n v="13.05"/>
    <n v="70"/>
    <m/>
    <n v="0"/>
    <s v="Trator 1.7m"/>
    <m/>
    <s v="Não"/>
    <s v="Não"/>
    <s v="Não"/>
    <s v="Não"/>
    <n v="66.135999999999996"/>
    <n v="66.135999999999996"/>
  </r>
  <r>
    <s v="VGSP-348_026,000_EN_CL3"/>
    <x v="0"/>
    <s v="26,000"/>
    <m/>
    <s v="26,500"/>
    <m/>
    <x v="0"/>
    <s v="N"/>
    <n v="-23.412300334417321"/>
    <n v="-46.766382284790168"/>
    <n v="1505.31"/>
    <n v="11.45"/>
    <n v="80"/>
    <m/>
    <n v="0"/>
    <s v="Trator 1.7m"/>
    <m/>
    <s v="Não"/>
    <s v="Não"/>
    <s v="Não"/>
    <s v="Não"/>
    <n v="1204.248"/>
    <n v="1204.248"/>
  </r>
  <r>
    <s v="VGSP-330_026,000_CC3"/>
    <x v="29"/>
    <s v="26,000"/>
    <m/>
    <s v="26,500"/>
    <m/>
    <x v="1"/>
    <s v="C"/>
    <n v="-23.419470329693279"/>
    <n v="-46.797544618235577"/>
    <n v="4822.7"/>
    <n v="4.41"/>
    <n v="40"/>
    <m/>
    <n v="0"/>
    <s v="Trator 1.7m"/>
    <m/>
    <s v="Não"/>
    <s v="Não"/>
    <s v="Não"/>
    <s v="Não"/>
    <n v="1929.08"/>
    <n v="1929.08"/>
  </r>
  <r>
    <s v="VGSP-330_026,000_CC1"/>
    <x v="29"/>
    <s v="26,000"/>
    <m/>
    <s v="26,500"/>
    <m/>
    <x v="1"/>
    <s v="C"/>
    <n v="-23.422847660099521"/>
    <n v="-46.790849753247137"/>
    <n v="1174.97"/>
    <n v="5.65"/>
    <n v="50"/>
    <m/>
    <n v="0"/>
    <s v="Trator 1.7m"/>
    <m/>
    <s v="Não"/>
    <s v="Não"/>
    <s v="Não"/>
    <s v="Não"/>
    <n v="587.48500000000001"/>
    <n v="587.48500000000001"/>
  </r>
  <r>
    <s v="VGSP-330_026,000_CC2"/>
    <x v="29"/>
    <s v="26,000"/>
    <m/>
    <s v="26,500"/>
    <m/>
    <x v="1"/>
    <s v="C"/>
    <n v="-23.42182381115688"/>
    <n v="-46.792782477952038"/>
    <n v="3901.11"/>
    <n v="5.12"/>
    <n v="50"/>
    <m/>
    <n v="0"/>
    <s v="Trator 1.7m"/>
    <m/>
    <s v="Não"/>
    <s v="Não"/>
    <s v="Não"/>
    <s v="Não"/>
    <n v="1950.5550000000001"/>
    <n v="1950.5550000000001"/>
  </r>
  <r>
    <s v="VGSP-330_026,000_EN_CL8"/>
    <x v="0"/>
    <s v="26,000"/>
    <m/>
    <s v="26,500"/>
    <m/>
    <x v="0"/>
    <s v="N"/>
    <n v="-23.421583586405941"/>
    <n v="-46.792013558460397"/>
    <n v="1800.05"/>
    <n v="5.2"/>
    <n v="0"/>
    <m/>
    <n v="0"/>
    <m/>
    <m/>
    <s v="Não"/>
    <s v="Não"/>
    <s v="Não"/>
    <s v="Não"/>
    <n v="0"/>
    <n v="0"/>
  </r>
  <r>
    <s v="VGSP-348_026,000_EN_CL1"/>
    <x v="0"/>
    <s v="26,000"/>
    <m/>
    <s v="26,500"/>
    <m/>
    <x v="0"/>
    <s v="N"/>
    <n v="-23.41460175026042"/>
    <n v="-46.765334425262253"/>
    <n v="290.67"/>
    <n v="6.76"/>
    <n v="80"/>
    <m/>
    <n v="0"/>
    <s v="Trator 1.7m"/>
    <m/>
    <s v="Não"/>
    <s v="Não"/>
    <s v="Não"/>
    <s v="Não"/>
    <n v="232.53600000000003"/>
    <n v="232.53600000000003"/>
  </r>
  <r>
    <s v="VGSP-330_026,000_EN_CL7"/>
    <x v="0"/>
    <s v="26,000"/>
    <m/>
    <s v="26,500"/>
    <m/>
    <x v="0"/>
    <s v="N"/>
    <n v="-23.4193399867039"/>
    <n v="-46.796504574126253"/>
    <n v="2401.35"/>
    <n v="5.38"/>
    <n v="70"/>
    <m/>
    <n v="1680.9449999999999"/>
    <s v="Eixo-zero,spider"/>
    <m/>
    <s v="Não"/>
    <s v="Sim"/>
    <s v="Não"/>
    <s v="Não"/>
    <n v="0"/>
    <m/>
  </r>
  <r>
    <s v="VGSP-348_026,000_CC2"/>
    <x v="28"/>
    <s v="26,000"/>
    <m/>
    <s v="26,500"/>
    <n v="0.5"/>
    <x v="1"/>
    <s v="C"/>
    <n v="-23.41672443278804"/>
    <n v="-46.764537654099058"/>
    <n v="5797.91"/>
    <n v="6.21"/>
    <n v="30"/>
    <m/>
    <n v="0"/>
    <s v="Eixo-zero"/>
    <m/>
    <s v="Não"/>
    <s v="Não"/>
    <s v="Não"/>
    <s v="Não"/>
    <n v="1739.3729999999998"/>
    <n v="1739.3729999999998"/>
  </r>
  <r>
    <s v="VGSP-348_026,000_CC3"/>
    <x v="28"/>
    <s v="26,000"/>
    <m/>
    <s v="26,500"/>
    <n v="0.5"/>
    <x v="1"/>
    <s v="C"/>
    <n v="-23.413131478973909"/>
    <n v="-46.766390302132741"/>
    <n v="6358.55"/>
    <n v="6.38"/>
    <n v="30"/>
    <m/>
    <n v="0"/>
    <s v="Eixo-zero"/>
    <m/>
    <s v="Não"/>
    <s v="Não"/>
    <s v="Não"/>
    <s v="Não"/>
    <n v="1907.5650000000001"/>
    <n v="1907.5650000000001"/>
  </r>
  <r>
    <s v="VGSP-330_026,000_ES_CL6"/>
    <x v="0"/>
    <s v="26,000"/>
    <m/>
    <s v="26,500"/>
    <m/>
    <x v="0"/>
    <s v="S"/>
    <n v="-23.42024586761092"/>
    <n v="-46.796145663507119"/>
    <n v="3511.98"/>
    <n v="6.11"/>
    <n v="40"/>
    <m/>
    <n v="0"/>
    <s v="Trator 1.7m"/>
    <m/>
    <s v="Não"/>
    <s v="Não"/>
    <s v="Não"/>
    <s v="Não"/>
    <n v="1404.7920000000001"/>
    <n v="1404.7920000000001"/>
  </r>
  <r>
    <s v="VGSP-348_027,000_ES_CL2"/>
    <x v="0"/>
    <s v="27,000"/>
    <m/>
    <s v="27,500"/>
    <m/>
    <x v="0"/>
    <s v="S"/>
    <n v="-23.40689660739849"/>
    <n v="-46.768058926900729"/>
    <n v="210.24"/>
    <n v="9.49"/>
    <n v="70"/>
    <m/>
    <n v="0"/>
    <s v="Trator 1.7m"/>
    <m/>
    <s v="Não"/>
    <s v="Não"/>
    <s v="Não"/>
    <s v="Não"/>
    <n v="147.16800000000001"/>
    <n v="147.16800000000001"/>
  </r>
  <r>
    <s v="VGSP-330_027,000_ES_CL4"/>
    <x v="0"/>
    <s v="27,000"/>
    <m/>
    <s v="27,500"/>
    <m/>
    <x v="0"/>
    <s v="S"/>
    <n v="-23.419199168997029"/>
    <n v="-46.799591258992137"/>
    <n v="300.7"/>
    <n v="2.88"/>
    <n v="40"/>
    <m/>
    <n v="0"/>
    <s v="Trator 1.7m"/>
    <m/>
    <s v="Não"/>
    <s v="Não"/>
    <s v="Não"/>
    <s v="Não"/>
    <n v="120.28"/>
    <n v="120.28"/>
  </r>
  <r>
    <s v="VGSP-330_027,000_EN_CL1"/>
    <x v="0"/>
    <s v="27,000"/>
    <m/>
    <s v="27,500"/>
    <m/>
    <x v="0"/>
    <s v="N"/>
    <n v="-23.416894225732339"/>
    <n v="-46.800997097585032"/>
    <n v="1803.62"/>
    <n v="5.16"/>
    <n v="0"/>
    <m/>
    <n v="0"/>
    <m/>
    <m/>
    <s v="Não"/>
    <s v="Não"/>
    <s v="Não"/>
    <s v="Não"/>
    <n v="0"/>
    <n v="0"/>
  </r>
  <r>
    <s v="VGSP-330_027,000_EN_CL2"/>
    <x v="0"/>
    <s v="27,000"/>
    <m/>
    <s v="27,500"/>
    <m/>
    <x v="0"/>
    <s v="N"/>
    <n v="-23.41471937313489"/>
    <n v="-46.805275344987358"/>
    <n v="2194.3200000000002"/>
    <n v="4.07"/>
    <n v="70"/>
    <m/>
    <n v="1536.0240000000001"/>
    <s v="Eixo-zero,spider"/>
    <m/>
    <s v="Não"/>
    <s v="Não"/>
    <s v="Sim"/>
    <s v="Não"/>
    <n v="0"/>
    <m/>
  </r>
  <r>
    <s v="VGSP-330_027,000_ES_CL3"/>
    <x v="0"/>
    <s v="27,000"/>
    <m/>
    <s v="27,500"/>
    <m/>
    <x v="0"/>
    <s v="S"/>
    <n v="-23.417318752881599"/>
    <n v="-46.801234212047063"/>
    <n v="376.26"/>
    <n v="3.38"/>
    <n v="0"/>
    <m/>
    <n v="0"/>
    <m/>
    <m/>
    <s v="Sim"/>
    <s v="Não"/>
    <s v="Não"/>
    <s v="Não"/>
    <n v="0"/>
    <m/>
  </r>
  <r>
    <s v="VGSP-348_027,000_EN_CL1"/>
    <x v="0"/>
    <s v="27,000"/>
    <m/>
    <s v="27,500"/>
    <m/>
    <x v="0"/>
    <s v="N"/>
    <n v="-23.408825542500129"/>
    <n v="-46.767225156809069"/>
    <n v="1661.85"/>
    <n v="9.25"/>
    <n v="80"/>
    <m/>
    <n v="0"/>
    <s v="Trator 1.7m"/>
    <m/>
    <s v="Não"/>
    <s v="Não"/>
    <s v="Não"/>
    <s v="Não"/>
    <n v="1329.48"/>
    <n v="1329.48"/>
  </r>
  <r>
    <s v="VGSP-348_027,000_EN_CL3"/>
    <x v="0"/>
    <s v="27,000"/>
    <m/>
    <s v="27,500"/>
    <m/>
    <x v="0"/>
    <s v="N"/>
    <n v="-23.404208964552222"/>
    <n v="-46.767443195795408"/>
    <n v="1721.6"/>
    <n v="5.66"/>
    <n v="60"/>
    <m/>
    <n v="0"/>
    <s v="Trator 1.7m"/>
    <m/>
    <s v="Não"/>
    <s v="Não"/>
    <s v="Não"/>
    <s v="Não"/>
    <n v="1032.9599999999998"/>
    <n v="1032.9599999999998"/>
  </r>
  <r>
    <s v="VGSP-348_027,000_ES_CL4"/>
    <x v="0"/>
    <s v="27,000"/>
    <m/>
    <s v="27,500"/>
    <m/>
    <x v="0"/>
    <s v="S"/>
    <n v="-23.41095276816058"/>
    <n v="-46.767210329217477"/>
    <n v="70.37"/>
    <n v="3.38"/>
    <n v="30"/>
    <m/>
    <n v="0"/>
    <s v="Eixo-zero"/>
    <m/>
    <s v="Não"/>
    <s v="Não"/>
    <s v="Não"/>
    <s v="Não"/>
    <n v="21.111000000000001"/>
    <n v="21.111000000000001"/>
  </r>
  <r>
    <s v="VGSP-348_027,000_ES_CL5"/>
    <x v="0"/>
    <s v="27,000"/>
    <m/>
    <s v="27,500"/>
    <m/>
    <x v="0"/>
    <s v="S"/>
    <n v="-23.40425980272455"/>
    <n v="-46.768086992270028"/>
    <n v="1657.52"/>
    <n v="5.57"/>
    <n v="70"/>
    <m/>
    <n v="0"/>
    <s v="Trator 1.7m"/>
    <m/>
    <s v="Não"/>
    <s v="Não"/>
    <s v="Não"/>
    <s v="Não"/>
    <n v="1160.2639999999999"/>
    <n v="1160.2639999999999"/>
  </r>
  <r>
    <s v="VGSP-348_027,000_EN_CL2"/>
    <x v="0"/>
    <s v="27,000"/>
    <m/>
    <s v="27,500"/>
    <m/>
    <x v="0"/>
    <s v="N"/>
    <n v="-23.406822302879519"/>
    <n v="-46.767394692634717"/>
    <n v="142.56"/>
    <n v="3.9"/>
    <n v="60"/>
    <m/>
    <n v="0"/>
    <s v="Trator 1.7m"/>
    <m/>
    <s v="Não"/>
    <s v="Não"/>
    <s v="Não"/>
    <s v="Não"/>
    <n v="85.536000000000001"/>
    <n v="85.536000000000001"/>
  </r>
  <r>
    <s v="VGSP-348_027,000_ES_CL3"/>
    <x v="0"/>
    <s v="27,000"/>
    <m/>
    <s v="27,500"/>
    <m/>
    <x v="0"/>
    <s v="S"/>
    <n v="-23.410607545529651"/>
    <n v="-46.767281110355952"/>
    <n v="283.95"/>
    <n v="6.29"/>
    <n v="30"/>
    <m/>
    <n v="0"/>
    <s v="Eixo-zero"/>
    <m/>
    <s v="Não"/>
    <s v="Não"/>
    <s v="Não"/>
    <s v="Não"/>
    <n v="85.184999999999988"/>
    <n v="85.184999999999988"/>
  </r>
  <r>
    <s v="VGSP-348_027,000_CC1"/>
    <x v="30"/>
    <s v="27,000"/>
    <m/>
    <s v="27,500"/>
    <n v="0.5"/>
    <x v="1"/>
    <s v="C"/>
    <n v="-23.40860424995677"/>
    <n v="-46.767582017626097"/>
    <n v="5001.8500000000004"/>
    <n v="5.71"/>
    <n v="30"/>
    <m/>
    <n v="0"/>
    <s v="Eixo-zero"/>
    <m/>
    <s v="Não"/>
    <s v="Não"/>
    <s v="Não"/>
    <s v="Não"/>
    <n v="1500.5550000000001"/>
    <n v="1500.5550000000001"/>
  </r>
  <r>
    <s v="VGSP-348_027,000_CC3"/>
    <x v="30"/>
    <s v="27,000"/>
    <m/>
    <s v="27,500"/>
    <n v="0.5"/>
    <x v="1"/>
    <s v="C"/>
    <n v="-23.404176073248941"/>
    <n v="-46.76775820256686"/>
    <n v="6326.36"/>
    <n v="2.96"/>
    <n v="70"/>
    <m/>
    <n v="0"/>
    <s v="Eixo-zero"/>
    <m/>
    <s v="Não"/>
    <s v="Não"/>
    <s v="Não"/>
    <s v="Não"/>
    <n v="4428.4519999999993"/>
    <n v="4428.4519999999993"/>
  </r>
  <r>
    <s v="VGSP-348_027,000_ES_CL1"/>
    <x v="0"/>
    <s v="27,000"/>
    <m/>
    <s v="27,500"/>
    <m/>
    <x v="0"/>
    <s v="S"/>
    <n v="-23.40902033587578"/>
    <n v="-46.767836282940593"/>
    <n v="1832.23"/>
    <n v="7.19"/>
    <n v="70"/>
    <m/>
    <n v="0"/>
    <s v="Trator 1.7m"/>
    <m/>
    <s v="Não"/>
    <s v="Não"/>
    <s v="Não"/>
    <s v="Não"/>
    <n v="1282.5609999999999"/>
    <n v="1282.5609999999999"/>
  </r>
  <r>
    <s v="VGSP-330_027,000_ES_CL2"/>
    <x v="0"/>
    <s v="27,000"/>
    <m/>
    <s v="27,500"/>
    <m/>
    <x v="0"/>
    <s v="S"/>
    <n v="-23.41818171623909"/>
    <n v="-46.800180626101969"/>
    <n v="5073.67"/>
    <n v="3.63"/>
    <n v="40"/>
    <m/>
    <n v="0"/>
    <s v="Trator 1.7m"/>
    <m/>
    <s v="Não"/>
    <s v="Não"/>
    <s v="Não"/>
    <s v="Não"/>
    <n v="2029.4680000000001"/>
    <n v="2029.4680000000001"/>
  </r>
  <r>
    <s v="VGSP-330_027,000_ES_CL1"/>
    <x v="0"/>
    <s v="27,000"/>
    <m/>
    <s v="27,500"/>
    <m/>
    <x v="0"/>
    <s v="S"/>
    <n v="-23.418656990289019"/>
    <n v="-46.799450860044999"/>
    <n v="1183.26"/>
    <n v="4.33"/>
    <n v="40"/>
    <m/>
    <n v="0"/>
    <s v="Trator 1.7m"/>
    <m/>
    <s v="Não"/>
    <s v="Não"/>
    <s v="Não"/>
    <s v="Não"/>
    <n v="473.30400000000003"/>
    <n v="473.30400000000003"/>
  </r>
  <r>
    <s v="VGSP-330_027,000_ES_CL10"/>
    <x v="0"/>
    <s v="27,000"/>
    <m/>
    <s v="27,500"/>
    <m/>
    <x v="0"/>
    <s v="S"/>
    <n v="-23.41396980378779"/>
    <n v="-46.807270705269516"/>
    <n v="1793.42"/>
    <n v="4.53"/>
    <n v="0"/>
    <m/>
    <n v="0"/>
    <m/>
    <m/>
    <s v="Não"/>
    <s v="Não"/>
    <s v="Não"/>
    <s v="Não"/>
    <n v="0"/>
    <n v="0"/>
  </r>
  <r>
    <s v="VGSP-348_027,000_CC2"/>
    <x v="30"/>
    <s v="27,000"/>
    <m/>
    <s v="27,500"/>
    <n v="0.5"/>
    <x v="1"/>
    <s v="C"/>
    <n v="-23.40686838676136"/>
    <n v="-46.767716973835583"/>
    <n v="478.98"/>
    <n v="3.8"/>
    <n v="30"/>
    <m/>
    <n v="0"/>
    <s v="Eixo-zero"/>
    <m/>
    <s v="Não"/>
    <s v="Não"/>
    <s v="Não"/>
    <s v="Não"/>
    <n v="143.69399999999999"/>
    <n v="143.69399999999999"/>
  </r>
  <r>
    <s v="VGSP-330_027,000_ES_CL5"/>
    <x v="0"/>
    <s v="27,000"/>
    <m/>
    <s v="27,500"/>
    <m/>
    <x v="0"/>
    <s v="S"/>
    <n v="-23.41762837410861"/>
    <n v="-46.801381878075553"/>
    <n v="1730.53"/>
    <n v="3.07"/>
    <n v="40"/>
    <m/>
    <n v="0"/>
    <s v="Trator 1.7m"/>
    <m/>
    <s v="Não"/>
    <s v="Não"/>
    <s v="Não"/>
    <s v="Não"/>
    <n v="692.21199999999999"/>
    <n v="692.21199999999999"/>
  </r>
  <r>
    <s v="VGSP-330_027,000_ES_CL7"/>
    <x v="0"/>
    <s v="27,000"/>
    <m/>
    <s v="27,500"/>
    <m/>
    <x v="0"/>
    <s v="S"/>
    <n v="-23.416261935911219"/>
    <n v="-46.803548221582297"/>
    <n v="232.98"/>
    <n v="4.18"/>
    <n v="0"/>
    <m/>
    <n v="0"/>
    <m/>
    <m/>
    <s v="Não"/>
    <s v="Não"/>
    <s v="Não"/>
    <s v="Não"/>
    <n v="0"/>
    <n v="0"/>
  </r>
  <r>
    <s v="VGSP-330_027,000_ES_CL8"/>
    <x v="0"/>
    <s v="27,000"/>
    <m/>
    <s v="27,500"/>
    <m/>
    <x v="0"/>
    <s v="S"/>
    <n v="-23.416097442182441"/>
    <n v="-46.803890185539508"/>
    <n v="90.67"/>
    <n v="7.53"/>
    <n v="0"/>
    <m/>
    <n v="0"/>
    <m/>
    <m/>
    <s v="Não"/>
    <s v="Não"/>
    <s v="Não"/>
    <s v="Não"/>
    <n v="0"/>
    <n v="0"/>
  </r>
  <r>
    <s v="VGSP-330_027,000_ES_CL6"/>
    <x v="0"/>
    <s v="27,000"/>
    <m/>
    <s v="27,500"/>
    <m/>
    <x v="0"/>
    <s v="S"/>
    <n v="-23.4151682001518"/>
    <n v="-46.805097572855388"/>
    <n v="5183.95"/>
    <n v="8.58"/>
    <n v="0"/>
    <m/>
    <n v="0"/>
    <m/>
    <m/>
    <s v="Não"/>
    <s v="Não"/>
    <s v="Não"/>
    <s v="Não"/>
    <n v="0"/>
    <n v="0"/>
  </r>
  <r>
    <s v="VGSP-330_027,000_ES_CL9"/>
    <x v="0"/>
    <s v="27,000"/>
    <m/>
    <s v="27,500"/>
    <m/>
    <x v="0"/>
    <s v="S"/>
    <n v="-23.415055622015821"/>
    <n v="-46.805646705276111"/>
    <n v="1906.37"/>
    <n v="10.97"/>
    <n v="0"/>
    <m/>
    <n v="0"/>
    <m/>
    <m/>
    <s v="Não"/>
    <s v="Não"/>
    <s v="Não"/>
    <s v="Não"/>
    <n v="0"/>
    <n v="0"/>
  </r>
  <r>
    <s v="VGSP-330_028,000_ES_CL3"/>
    <x v="0"/>
    <s v="28,000"/>
    <m/>
    <s v="28,500"/>
    <m/>
    <x v="0"/>
    <s v="S"/>
    <n v="-23.41375151438962"/>
    <n v="-46.808033872382097"/>
    <n v="174.76"/>
    <n v="4.8899999999999997"/>
    <n v="0"/>
    <m/>
    <n v="0"/>
    <m/>
    <m/>
    <s v="Não"/>
    <s v="Não"/>
    <s v="Não"/>
    <s v="Não"/>
    <n v="0"/>
    <n v="0"/>
  </r>
  <r>
    <s v="VGSP-348_028,000_ES_CL1"/>
    <x v="0"/>
    <s v="28,000"/>
    <m/>
    <s v="28,500"/>
    <m/>
    <x v="0"/>
    <s v="S"/>
    <n v="-23.40030557995787"/>
    <n v="-46.76822483974118"/>
    <n v="1830.44"/>
    <n v="12.27"/>
    <n v="70"/>
    <m/>
    <n v="0"/>
    <s v="Trator 1.7m"/>
    <m/>
    <s v="Não"/>
    <s v="Não"/>
    <s v="Não"/>
    <s v="Não"/>
    <n v="1281.308"/>
    <n v="1281.308"/>
  </r>
  <r>
    <s v="VGSP-348_028,000_ES_CL4"/>
    <x v="0"/>
    <s v="28,000"/>
    <m/>
    <s v="28,500"/>
    <m/>
    <x v="0"/>
    <s v="S"/>
    <n v="-23.394602166971971"/>
    <n v="-46.768863550248689"/>
    <n v="1936.17"/>
    <n v="4.51"/>
    <n v="80"/>
    <m/>
    <n v="0"/>
    <s v="Trator 1.7m"/>
    <m/>
    <s v="Não"/>
    <s v="Não"/>
    <s v="Não"/>
    <s v="Não"/>
    <n v="1548.9360000000001"/>
    <n v="1548.9360000000001"/>
  </r>
  <r>
    <s v="VGSP-348_028,000_ES_CL3"/>
    <x v="0"/>
    <s v="28,000"/>
    <m/>
    <s v="28,500"/>
    <m/>
    <x v="0"/>
    <s v="S"/>
    <n v="-23.39463437206841"/>
    <n v="-46.768535967652177"/>
    <n v="7705.8"/>
    <n v="4.01"/>
    <n v="60"/>
    <m/>
    <n v="0"/>
    <s v="Eixo-zero"/>
    <m/>
    <s v="Não"/>
    <s v="Não"/>
    <s v="Não"/>
    <s v="Não"/>
    <n v="4623.4799999999996"/>
    <n v="4623.4799999999996"/>
  </r>
  <r>
    <s v="VGSP-348_028,000_CC1"/>
    <x v="31"/>
    <s v="28,000"/>
    <m/>
    <s v="28,500"/>
    <n v="0.5"/>
    <x v="1"/>
    <s v="C"/>
    <n v="-23.400268041816592"/>
    <n v="-46.767902682767946"/>
    <n v="7131.5"/>
    <n v="8.3800000000000008"/>
    <n v="70"/>
    <m/>
    <n v="0"/>
    <s v="Eixo-zero"/>
    <m/>
    <s v="Não"/>
    <s v="Não"/>
    <s v="Não"/>
    <s v="Não"/>
    <n v="4992.0499999999993"/>
    <n v="4992.0499999999993"/>
  </r>
  <r>
    <s v="VGSP-330_028,000_EN_CL1"/>
    <x v="0"/>
    <s v="28,000"/>
    <m/>
    <s v="28,500"/>
    <m/>
    <x v="0"/>
    <s v="N"/>
    <n v="-23.41211498789059"/>
    <n v="-46.809295283040527"/>
    <n v="1836.26"/>
    <n v="7.57"/>
    <n v="70"/>
    <m/>
    <n v="1285.3819999999998"/>
    <s v="Trator com braço articulado"/>
    <s v="Dá para adicionar implemento de poda e realizar a poda das árvores próximas a rodovia, neste seguimento"/>
    <s v="Não"/>
    <s v="Não"/>
    <s v="Sim"/>
    <s v="Não"/>
    <n v="0"/>
    <m/>
  </r>
  <r>
    <s v="VGSP-348_028,000_CC3"/>
    <x v="31"/>
    <s v="28,000"/>
    <m/>
    <s v="28,500"/>
    <n v="0.5"/>
    <x v="1"/>
    <s v="C"/>
    <n v="-23.394053132958799"/>
    <n v="-46.768266660039792"/>
    <n v="3950.02"/>
    <n v="2.97"/>
    <n v="30"/>
    <m/>
    <n v="0"/>
    <s v="Trator 1.7m"/>
    <m/>
    <s v="Não"/>
    <s v="Não"/>
    <s v="Não"/>
    <s v="Não"/>
    <n v="1185.0059999999999"/>
    <n v="1185.0059999999999"/>
  </r>
  <r>
    <s v="VGSP-330_028,000_ES_CL4"/>
    <x v="0"/>
    <s v="28,000"/>
    <m/>
    <s v="28,500"/>
    <m/>
    <x v="0"/>
    <s v="S"/>
    <n v="-23.41228816117226"/>
    <n v="-46.809488348566312"/>
    <n v="1717.67"/>
    <n v="7.06"/>
    <n v="60"/>
    <m/>
    <n v="1030.6020000000001"/>
    <s v="Trator com braço articulado"/>
    <m/>
    <s v="Não"/>
    <s v="Não"/>
    <s v="Não"/>
    <s v="Sim"/>
    <n v="0"/>
    <m/>
  </r>
  <r>
    <s v="VGSP-348_028,000_CC2"/>
    <x v="31"/>
    <s v="28,000"/>
    <m/>
    <s v="28,500"/>
    <n v="0.5"/>
    <x v="1"/>
    <s v="C"/>
    <n v="-23.396229074559091"/>
    <n v="-46.767954967347748"/>
    <n v="403.99"/>
    <n v="2.93"/>
    <n v="30"/>
    <m/>
    <n v="0"/>
    <s v="Trator 1.7m"/>
    <m/>
    <s v="Não"/>
    <s v="Não"/>
    <s v="Não"/>
    <s v="Não"/>
    <n v="121.197"/>
    <n v="121.197"/>
  </r>
  <r>
    <s v="VGSP-348_028,000_ES_CL2"/>
    <x v="0"/>
    <s v="28,000"/>
    <m/>
    <s v="28,500"/>
    <m/>
    <x v="0"/>
    <s v="S"/>
    <n v="-23.398090001342169"/>
    <n v="-46.768169901425587"/>
    <n v="1.2"/>
    <n v="13.85"/>
    <m/>
    <m/>
    <n v="0"/>
    <m/>
    <m/>
    <s v="Não"/>
    <s v="Não"/>
    <s v="Não"/>
    <s v="Não"/>
    <n v="0"/>
    <n v="0"/>
  </r>
  <r>
    <s v="VGSP-330_028,000_ES_CL1"/>
    <x v="0"/>
    <s v="28,000"/>
    <m/>
    <s v="28,500"/>
    <m/>
    <x v="0"/>
    <s v="S"/>
    <n v="-23.413641274770939"/>
    <n v="-46.80784216282855"/>
    <n v="441.24"/>
    <n v="3.72"/>
    <n v="80"/>
    <m/>
    <n v="352.99200000000002"/>
    <s v="Trator 1.7m, Spider"/>
    <m/>
    <s v="Não"/>
    <s v="Não"/>
    <s v="Sim"/>
    <s v="Não"/>
    <n v="0"/>
    <m/>
  </r>
  <r>
    <s v="VGSP-330_028,000_EN_CL2"/>
    <x v="0"/>
    <s v="28,000"/>
    <m/>
    <s v="28,500"/>
    <m/>
    <x v="0"/>
    <s v="N"/>
    <n v="-23.410532600583441"/>
    <n v="-46.8136916272259"/>
    <n v="2124.7199999999998"/>
    <n v="6.65"/>
    <n v="80"/>
    <m/>
    <n v="1699.7759999999998"/>
    <s v="Trator com braço articulado"/>
    <m/>
    <s v="Não"/>
    <s v="Não"/>
    <s v="Sim"/>
    <s v="Sim"/>
    <n v="0"/>
    <m/>
  </r>
  <r>
    <s v="VGSP-348_028,000_EN_CL"/>
    <x v="0"/>
    <s v="28,000"/>
    <m/>
    <s v="28,500"/>
    <m/>
    <x v="0"/>
    <s v="N"/>
    <n v="-23.400208386513299"/>
    <n v="-46.767578693932712"/>
    <n v="1827.41"/>
    <n v="6.52"/>
    <n v="60"/>
    <m/>
    <n v="0"/>
    <s v="Trator 1.7m"/>
    <m/>
    <s v="Não"/>
    <s v="Não"/>
    <s v="Não"/>
    <s v="Não"/>
    <n v="1096.4459999999999"/>
    <n v="1096.4459999999999"/>
  </r>
  <r>
    <s v="VGSP-330_028,000_ES_CL5"/>
    <x v="0"/>
    <s v="28,000"/>
    <m/>
    <s v="28,500"/>
    <m/>
    <x v="0"/>
    <s v="S"/>
    <n v="-23.410764348778329"/>
    <n v="-46.813734525964428"/>
    <n v="2124.67"/>
    <n v="6.36"/>
    <n v="70"/>
    <m/>
    <n v="1487.269"/>
    <s v="Trator com braço articulado"/>
    <m/>
    <s v="Não"/>
    <s v="Não"/>
    <s v="Não"/>
    <s v="Sim"/>
    <n v="0"/>
    <m/>
  </r>
  <r>
    <s v="VGSP-330_028,000_ES_CL2"/>
    <x v="0"/>
    <s v="28,000"/>
    <m/>
    <s v="28,500"/>
    <m/>
    <x v="0"/>
    <s v="S"/>
    <n v="-23.413924768185321"/>
    <n v="-46.807752128248048"/>
    <n v="104.91"/>
    <n v="5.34"/>
    <n v="0"/>
    <m/>
    <n v="0"/>
    <m/>
    <m/>
    <s v="Não"/>
    <s v="Não"/>
    <s v="Não"/>
    <s v="Não"/>
    <n v="0"/>
    <n v="0"/>
  </r>
  <r>
    <s v="VGSP-330_029,000_ES_CL2"/>
    <x v="0"/>
    <s v="29,000"/>
    <m/>
    <s v="29,500"/>
    <m/>
    <x v="0"/>
    <s v="S"/>
    <n v="-23.409375518265271"/>
    <n v="-46.821188144543598"/>
    <n v="434"/>
    <n v="9.8699999999999992"/>
    <n v="0"/>
    <m/>
    <n v="0"/>
    <m/>
    <m/>
    <s v="Não"/>
    <s v="Não"/>
    <s v="Não"/>
    <s v="Não"/>
    <n v="0"/>
    <n v="0"/>
  </r>
  <r>
    <s v="VGSP-330_029,000_ES_CL1"/>
    <x v="0"/>
    <s v="29,000"/>
    <m/>
    <s v="29,500"/>
    <m/>
    <x v="0"/>
    <s v="S"/>
    <n v="-23.410348724865141"/>
    <n v="-46.818590990781438"/>
    <n v="1893.71"/>
    <n v="5.32"/>
    <n v="0"/>
    <m/>
    <n v="0"/>
    <m/>
    <m/>
    <s v="Não"/>
    <s v="Não"/>
    <s v="Não"/>
    <s v="Não"/>
    <n v="0"/>
    <n v="0"/>
  </r>
  <r>
    <s v="VGSP-330_029,000_ES_CL7"/>
    <x v="0"/>
    <s v="29,000"/>
    <m/>
    <s v="29,500"/>
    <m/>
    <x v="0"/>
    <s v="S"/>
    <n v="-23.407771690791989"/>
    <n v="-46.82304730637513"/>
    <n v="1393.23"/>
    <n v="7.87"/>
    <n v="0"/>
    <m/>
    <n v="0"/>
    <m/>
    <m/>
    <s v="Não"/>
    <s v="Não"/>
    <s v="Não"/>
    <s v="Não"/>
    <n v="0"/>
    <n v="0"/>
  </r>
  <r>
    <s v="VGSP-330_029,000_EN_CL1"/>
    <x v="0"/>
    <s v="29,000"/>
    <m/>
    <s v="29,500"/>
    <m/>
    <x v="0"/>
    <s v="N"/>
    <n v="-23.410021386275911"/>
    <n v="-46.818321554203578"/>
    <n v="1724.04"/>
    <n v="7.54"/>
    <n v="0"/>
    <m/>
    <n v="0"/>
    <m/>
    <m/>
    <s v="Não"/>
    <s v="Não"/>
    <s v="Não"/>
    <s v="Não"/>
    <n v="0"/>
    <n v="0"/>
  </r>
  <r>
    <s v="VGSP-330_029,000_ES_CL5"/>
    <x v="0"/>
    <s v="29,000"/>
    <m/>
    <s v="29,500"/>
    <m/>
    <x v="0"/>
    <s v="S"/>
    <n v="-23.408984769937291"/>
    <n v="-46.821809117225442"/>
    <n v="81.400000000000006"/>
    <n v="7.72"/>
    <n v="0"/>
    <m/>
    <n v="0"/>
    <m/>
    <m/>
    <s v="Não"/>
    <s v="Não"/>
    <s v="Não"/>
    <s v="Não"/>
    <n v="0"/>
    <n v="0"/>
  </r>
  <r>
    <s v="VGSP-330_029,000_ES_CL4"/>
    <x v="0"/>
    <s v="29,000"/>
    <m/>
    <s v="29,500"/>
    <m/>
    <x v="0"/>
    <s v="S"/>
    <n v="-23.409237177910349"/>
    <n v="-46.821118547755653"/>
    <n v="1599.84"/>
    <n v="8.3699999999999992"/>
    <n v="0"/>
    <m/>
    <n v="0"/>
    <m/>
    <m/>
    <s v="Não"/>
    <s v="Não"/>
    <s v="Não"/>
    <s v="Não"/>
    <n v="0"/>
    <n v="0"/>
  </r>
  <r>
    <s v="VGSP-330_029,000_EN_CL7"/>
    <x v="0"/>
    <s v="29,000"/>
    <m/>
    <s v="29,500"/>
    <m/>
    <x v="0"/>
    <s v="N"/>
    <n v="-23.40748816622153"/>
    <n v="-46.822619340824581"/>
    <n v="1509.63"/>
    <n v="11.28"/>
    <n v="0"/>
    <m/>
    <n v="0"/>
    <m/>
    <m/>
    <s v="Não"/>
    <s v="Não"/>
    <s v="Não"/>
    <s v="Não"/>
    <n v="0"/>
    <n v="0"/>
  </r>
  <r>
    <s v="VGSP-330_029,000_ES_CL6"/>
    <x v="0"/>
    <s v="29,000"/>
    <m/>
    <s v="29,500"/>
    <m/>
    <x v="0"/>
    <s v="S"/>
    <n v="-23.408662307911271"/>
    <n v="-46.821884957296028"/>
    <n v="1633.91"/>
    <n v="5.59"/>
    <n v="0"/>
    <m/>
    <n v="0"/>
    <m/>
    <m/>
    <s v="Não"/>
    <s v="Não"/>
    <s v="Não"/>
    <s v="Não"/>
    <n v="0"/>
    <n v="0"/>
  </r>
  <r>
    <s v="VGSP-330_029,000_EN_CL5"/>
    <x v="0"/>
    <s v="29,000"/>
    <m/>
    <s v="29,500"/>
    <m/>
    <x v="0"/>
    <s v="N"/>
    <n v="-23.40844250807277"/>
    <n v="-46.821136383873053"/>
    <n v="91.17"/>
    <n v="7.96"/>
    <n v="0"/>
    <m/>
    <n v="0"/>
    <m/>
    <m/>
    <s v="Não"/>
    <s v="Não"/>
    <s v="Não"/>
    <s v="Não"/>
    <n v="0"/>
    <n v="0"/>
  </r>
  <r>
    <s v="VGSP-348_029,000_EN_CL4"/>
    <x v="0"/>
    <s v="29,000"/>
    <m/>
    <s v="29,500"/>
    <m/>
    <x v="0"/>
    <s v="N"/>
    <n v="-23.387619148536611"/>
    <n v="-46.769207639332564"/>
    <n v="467.95"/>
    <n v="9.84"/>
    <n v="30"/>
    <m/>
    <n v="0"/>
    <s v="Eixo-zero"/>
    <m/>
    <s v="Não"/>
    <s v="Não"/>
    <s v="Não"/>
    <s v="Não"/>
    <n v="140.38499999999999"/>
    <n v="140.38499999999999"/>
  </r>
  <r>
    <s v="VGSP-348_029,000_CC3"/>
    <x v="32"/>
    <s v="29,000"/>
    <m/>
    <s v="29,500"/>
    <n v="0.5"/>
    <x v="1"/>
    <s v="C"/>
    <n v="-23.385360456592519"/>
    <n v="-46.769300764563582"/>
    <n v="6416.36"/>
    <n v="5.79"/>
    <n v="30"/>
    <m/>
    <n v="0"/>
    <s v="Eixo-zero"/>
    <m/>
    <s v="Não"/>
    <s v="Não"/>
    <s v="Não"/>
    <s v="Não"/>
    <n v="1924.9079999999999"/>
    <n v="1924.9079999999999"/>
  </r>
  <r>
    <s v="VGSP-348_029,000_EN_CL1"/>
    <x v="0"/>
    <s v="29,000"/>
    <m/>
    <s v="29,500"/>
    <m/>
    <x v="0"/>
    <s v="N"/>
    <n v="-23.392607478573488"/>
    <n v="-46.768236565127587"/>
    <n v="134.47999999999999"/>
    <n v="1.77"/>
    <n v="30"/>
    <m/>
    <n v="0"/>
    <s v="Trator 1.7m"/>
    <m/>
    <s v="Não"/>
    <s v="Não"/>
    <s v="Não"/>
    <s v="Não"/>
    <n v="40.343999999999994"/>
    <n v="40.343999999999994"/>
  </r>
  <r>
    <s v="VGSP-348_029,000_ES_CL4"/>
    <x v="0"/>
    <s v="29,000"/>
    <m/>
    <s v="29,500"/>
    <m/>
    <x v="0"/>
    <s v="S"/>
    <n v="-23.38766078631193"/>
    <n v="-46.769538375441677"/>
    <n v="171.78"/>
    <n v="10.89"/>
    <n v="50"/>
    <m/>
    <n v="0"/>
    <s v="Trator 1.7m"/>
    <m/>
    <s v="Não"/>
    <s v="Não"/>
    <s v="Não"/>
    <s v="Não"/>
    <n v="85.89"/>
    <n v="85.89"/>
  </r>
  <r>
    <s v="VGSP-348_029,000_ES_CL3"/>
    <x v="0"/>
    <s v="29,000"/>
    <m/>
    <s v="29,500"/>
    <m/>
    <x v="0"/>
    <s v="S"/>
    <n v="-23.385353972765898"/>
    <n v="-46.769629397896509"/>
    <n v="1896.51"/>
    <n v="8.89"/>
    <n v="50"/>
    <m/>
    <n v="0"/>
    <s v="Trator 1.7m"/>
    <m/>
    <s v="Não"/>
    <s v="Não"/>
    <s v="Não"/>
    <s v="Não"/>
    <n v="948.255"/>
    <n v="948.255"/>
  </r>
  <r>
    <s v="VGSP-348_029,000_ES_CL2"/>
    <x v="0"/>
    <s v="29,000"/>
    <m/>
    <s v="29,500"/>
    <m/>
    <x v="0"/>
    <s v="S"/>
    <n v="-23.390945993515331"/>
    <n v="-46.769292746991738"/>
    <n v="1446.08"/>
    <n v="2.39"/>
    <n v="80"/>
    <m/>
    <n v="0"/>
    <s v="Trator 1.7m"/>
    <m/>
    <s v="Não"/>
    <s v="Não"/>
    <s v="Não"/>
    <s v="Não"/>
    <n v="1156.864"/>
    <n v="1156.864"/>
  </r>
  <r>
    <s v="VGSP-330_029,000_EN_CL6"/>
    <x v="0"/>
    <s v="29,000"/>
    <m/>
    <s v="29,500"/>
    <m/>
    <x v="0"/>
    <s v="N"/>
    <n v="-23.408389420701759"/>
    <n v="-46.821569414695787"/>
    <n v="1197.97"/>
    <n v="5.49"/>
    <n v="60"/>
    <m/>
    <n v="718.78200000000004"/>
    <s v="Trator com braço articulado"/>
    <m/>
    <s v="Não"/>
    <s v="Não"/>
    <s v="Sim"/>
    <s v="Não"/>
    <n v="0"/>
    <m/>
  </r>
  <r>
    <s v="VGSP-348_029,000_EN_CL3"/>
    <x v="0"/>
    <s v="29,000"/>
    <m/>
    <s v="29,500"/>
    <m/>
    <x v="0"/>
    <s v="N"/>
    <n v="-23.387704300637271"/>
    <n v="-46.768863858691951"/>
    <n v="203.82"/>
    <n v="9.19"/>
    <n v="0"/>
    <m/>
    <n v="0"/>
    <m/>
    <m/>
    <s v="Não"/>
    <s v="Não"/>
    <s v="Não"/>
    <s v="Não"/>
    <n v="0"/>
    <n v="0"/>
  </r>
  <r>
    <s v="VGSP-348_029,000_ES_CL1"/>
    <x v="0"/>
    <s v="29,000"/>
    <m/>
    <s v="29,500"/>
    <m/>
    <x v="0"/>
    <s v="S"/>
    <n v="-23.392351735656781"/>
    <n v="-46.768496359499927"/>
    <n v="94.33"/>
    <n v="2.2000000000000002"/>
    <n v="30"/>
    <m/>
    <n v="0"/>
    <s v="Trator 1.7m"/>
    <m/>
    <s v="Não"/>
    <s v="Não"/>
    <s v="Não"/>
    <s v="Não"/>
    <n v="28.298999999999999"/>
    <n v="28.298999999999999"/>
  </r>
  <r>
    <s v="VGSP-330_029,000_CC"/>
    <x v="33"/>
    <s v="29,000"/>
    <m/>
    <s v="29,500"/>
    <m/>
    <x v="1"/>
    <s v="C"/>
    <n v="-23.407719539608738"/>
    <n v="-46.822703661621311"/>
    <n v="841.86"/>
    <n v="11.51"/>
    <n v="0"/>
    <m/>
    <n v="0"/>
    <m/>
    <m/>
    <s v="Não"/>
    <s v="Não"/>
    <s v="Não"/>
    <s v="Não"/>
    <n v="0"/>
    <n v="0"/>
  </r>
  <r>
    <s v="VGSP-330_029,000_ES_CL3"/>
    <x v="0"/>
    <s v="29,000"/>
    <m/>
    <s v="29,500"/>
    <m/>
    <x v="0"/>
    <s v="S"/>
    <n v="-23.40981207883685"/>
    <n v="-46.82014111978112"/>
    <n v="659.23"/>
    <n v="6.48"/>
    <n v="0"/>
    <m/>
    <n v="0"/>
    <m/>
    <m/>
    <s v="Não"/>
    <s v="Não"/>
    <s v="Não"/>
    <s v="Não"/>
    <n v="0"/>
    <n v="0"/>
  </r>
  <r>
    <s v="VGSP-330_029,000_EN_CL2"/>
    <x v="0"/>
    <s v="29,000"/>
    <m/>
    <s v="29,500"/>
    <m/>
    <x v="0"/>
    <s v="N"/>
    <n v="-23.408835352909762"/>
    <n v="-46.82067639659347"/>
    <n v="528.29999999999995"/>
    <n v="9.3800000000000008"/>
    <n v="0"/>
    <m/>
    <n v="0"/>
    <m/>
    <m/>
    <s v="Não"/>
    <s v="Não"/>
    <s v="Não"/>
    <s v="Não"/>
    <n v="0"/>
    <n v="0"/>
  </r>
  <r>
    <s v="VGSP-348_029,000_EN_CL2"/>
    <x v="0"/>
    <s v="29,000"/>
    <m/>
    <s v="29,500"/>
    <m/>
    <x v="0"/>
    <s v="N"/>
    <n v="-23.385342926287532"/>
    <n v="-46.768971881775983"/>
    <n v="1890.56"/>
    <n v="5.6"/>
    <n v="30"/>
    <m/>
    <n v="0"/>
    <s v="Trator 1.7m"/>
    <m/>
    <s v="Não"/>
    <s v="Não"/>
    <s v="Não"/>
    <s v="Não"/>
    <n v="567.16800000000001"/>
    <n v="567.16800000000001"/>
  </r>
  <r>
    <s v="VGSP-348_029,000_CC2"/>
    <x v="32"/>
    <s v="29,000"/>
    <m/>
    <s v="29,500"/>
    <n v="0.5"/>
    <x v="1"/>
    <s v="C"/>
    <n v="-23.390894313276871"/>
    <n v="-46.768585098498221"/>
    <n v="1396.45"/>
    <n v="5.08"/>
    <n v="30"/>
    <m/>
    <n v="0"/>
    <s v="Trator 1.7m"/>
    <m/>
    <s v="Não"/>
    <s v="Não"/>
    <s v="Não"/>
    <s v="Não"/>
    <n v="418.935"/>
    <n v="418.935"/>
  </r>
  <r>
    <s v="VGSP-330_029,000_EN_CL4"/>
    <x v="0"/>
    <s v="29,000"/>
    <m/>
    <s v="29,500"/>
    <m/>
    <x v="0"/>
    <s v="N"/>
    <n v="-23.40967645581528"/>
    <n v="-46.819711751459209"/>
    <n v="1452.19"/>
    <n v="7.05"/>
    <n v="0"/>
    <m/>
    <n v="0"/>
    <m/>
    <m/>
    <s v="Não"/>
    <s v="Não"/>
    <s v="Não"/>
    <s v="Não"/>
    <n v="0"/>
    <n v="0"/>
  </r>
  <r>
    <s v="VGSP-330_029,000_EN_CL3"/>
    <x v="0"/>
    <s v="29,000"/>
    <m/>
    <s v="29,500"/>
    <m/>
    <x v="0"/>
    <s v="N"/>
    <n v="-23.408978550232369"/>
    <n v="-46.820780306237502"/>
    <n v="1963.18"/>
    <n v="7.89"/>
    <n v="0"/>
    <m/>
    <n v="0"/>
    <m/>
    <m/>
    <s v="Não"/>
    <s v="Não"/>
    <s v="Não"/>
    <s v="Não"/>
    <n v="0"/>
    <n v="0"/>
  </r>
  <r>
    <s v="VGSP-348_029,000_CC1"/>
    <x v="32"/>
    <s v="29,000"/>
    <m/>
    <s v="29,500"/>
    <n v="0.5"/>
    <x v="1"/>
    <s v="C"/>
    <n v="-23.39079059557443"/>
    <n v="-46.768989910610173"/>
    <n v="5746.32"/>
    <n v="2.99"/>
    <n v="60"/>
    <m/>
    <n v="0"/>
    <s v="Eixo-zero"/>
    <m/>
    <s v="Não"/>
    <s v="Não"/>
    <s v="Não"/>
    <s v="Não"/>
    <n v="3447.7919999999999"/>
    <n v="3447.7919999999999"/>
  </r>
  <r>
    <s v="VGSP-330_030,000_ES_CL3"/>
    <x v="0"/>
    <s v="30,000"/>
    <m/>
    <s v="30,500"/>
    <m/>
    <x v="0"/>
    <s v="S"/>
    <n v="-23.405529660539489"/>
    <n v="-46.82897351168986"/>
    <n v="295.79000000000002"/>
    <n v="7.27"/>
    <n v="20"/>
    <m/>
    <n v="0"/>
    <s v="Trator 1.7m"/>
    <m/>
    <s v="Não"/>
    <s v="Não"/>
    <s v="Não"/>
    <s v="Não"/>
    <n v="59.158000000000008"/>
    <n v="59.158000000000008"/>
  </r>
  <r>
    <s v="VGSP-330_030,000_EN_CL3"/>
    <x v="0"/>
    <s v="30,000"/>
    <m/>
    <s v="30,500"/>
    <m/>
    <x v="0"/>
    <s v="N"/>
    <n v="-23.40481511042309"/>
    <n v="-46.831609023382157"/>
    <n v="6430.22"/>
    <n v="7.29"/>
    <n v="70"/>
    <m/>
    <n v="0"/>
    <s v="Trator 1.7m"/>
    <m/>
    <s v="Não"/>
    <s v="Não"/>
    <s v="Não"/>
    <s v="Não"/>
    <n v="4501.1539999999995"/>
    <n v="4501.1539999999995"/>
  </r>
  <r>
    <s v="VGSP-348_030,000_EN_CL1"/>
    <x v="0"/>
    <s v="30,000"/>
    <m/>
    <s v="30,500"/>
    <m/>
    <x v="0"/>
    <s v="N"/>
    <n v="-23.37789899755354"/>
    <n v="-46.772321281491067"/>
    <n v="2107.77"/>
    <n v="12.94"/>
    <n v="70"/>
    <m/>
    <n v="0"/>
    <s v="Trator 1.7m"/>
    <m/>
    <s v="Não"/>
    <s v="Não"/>
    <s v="Não"/>
    <s v="Não"/>
    <n v="1475.4389999999999"/>
    <n v="1475.4389999999999"/>
  </r>
  <r>
    <s v="VGSP-330_030,000_EN_CL5"/>
    <x v="0"/>
    <s v="30,000"/>
    <m/>
    <s v="30,500"/>
    <m/>
    <x v="0"/>
    <s v="N"/>
    <n v="-23.404730439611409"/>
    <n v="-46.830192912684197"/>
    <n v="216.32"/>
    <n v="2.02"/>
    <n v="20"/>
    <m/>
    <n v="0"/>
    <s v="Trator 1.7m"/>
    <m/>
    <s v="Não"/>
    <s v="Não"/>
    <s v="Não"/>
    <s v="Não"/>
    <n v="43.264000000000003"/>
    <n v="43.264000000000003"/>
  </r>
  <r>
    <s v="VGSP-330_030,000_EN_CL2"/>
    <x v="0"/>
    <s v="30,000"/>
    <m/>
    <s v="30,500"/>
    <m/>
    <x v="0"/>
    <s v="N"/>
    <n v="-23.40484526224602"/>
    <n v="-46.828933086234997"/>
    <n v="215.09"/>
    <n v="7.01"/>
    <n v="20"/>
    <m/>
    <n v="0"/>
    <s v="Trator 1.7m"/>
    <m/>
    <s v="Não"/>
    <s v="Não"/>
    <s v="Não"/>
    <s v="Não"/>
    <n v="43.018000000000001"/>
    <n v="43.018000000000001"/>
  </r>
  <r>
    <s v="VGSP-330_030,000_EN_CL4"/>
    <x v="0"/>
    <s v="30,000"/>
    <m/>
    <s v="30,500"/>
    <m/>
    <x v="0"/>
    <s v="N"/>
    <n v="-23.40472060536986"/>
    <n v="-46.829586018270767"/>
    <n v="167.69"/>
    <n v="6.19"/>
    <n v="20"/>
    <m/>
    <n v="0"/>
    <s v="Trator 1.7m"/>
    <m/>
    <s v="Não"/>
    <s v="Não"/>
    <s v="Não"/>
    <s v="Não"/>
    <n v="33.538000000000004"/>
    <n v="33.538000000000004"/>
  </r>
  <r>
    <s v="VGSP-330_030,000_EN_CL1"/>
    <x v="0"/>
    <s v="30,000"/>
    <m/>
    <s v="30,500"/>
    <m/>
    <x v="0"/>
    <s v="N"/>
    <n v="-23.405477821145698"/>
    <n v="-46.82629633799354"/>
    <n v="2042.01"/>
    <n v="7.5"/>
    <n v="0"/>
    <m/>
    <n v="0"/>
    <m/>
    <m/>
    <s v="Não"/>
    <s v="Não"/>
    <s v="Não"/>
    <s v="Não"/>
    <n v="0"/>
    <n v="0"/>
  </r>
  <r>
    <s v="VGSP-348_030,000_EN_CL3"/>
    <x v="0"/>
    <s v="30,000"/>
    <m/>
    <s v="30,500"/>
    <m/>
    <x v="0"/>
    <s v="N"/>
    <n v="-23.38143752379446"/>
    <n v="-46.769973080747981"/>
    <n v="5934.48"/>
    <n v="4.76"/>
    <n v="30"/>
    <m/>
    <n v="0"/>
    <s v="Eixo-zero"/>
    <m/>
    <s v="Não"/>
    <s v="Não"/>
    <s v="Não"/>
    <s v="Não"/>
    <n v="1780.3439999999998"/>
    <n v="1780.3439999999998"/>
  </r>
  <r>
    <s v="VGSP-330_030,000_ES_CL6"/>
    <x v="0"/>
    <s v="30,000"/>
    <m/>
    <s v="30,500"/>
    <m/>
    <x v="0"/>
    <s v="S"/>
    <n v="-23.405292461764191"/>
    <n v="-46.831292857949997"/>
    <n v="5620.53"/>
    <n v="12.47"/>
    <n v="20"/>
    <m/>
    <n v="0"/>
    <s v="Trator 1.7m"/>
    <m/>
    <s v="Não"/>
    <s v="Não"/>
    <s v="Não"/>
    <s v="Não"/>
    <n v="1124.106"/>
    <n v="1124.106"/>
  </r>
  <r>
    <s v="VGSP-348_030,000_CC"/>
    <x v="34"/>
    <s v="30,000"/>
    <m/>
    <s v="30,500"/>
    <n v="0.5"/>
    <x v="1"/>
    <s v="C"/>
    <n v="-23.378036722460578"/>
    <n v="-46.772663485420587"/>
    <n v="7733.15"/>
    <n v="6.28"/>
    <n v="30"/>
    <m/>
    <n v="0"/>
    <s v="Eixo-zero"/>
    <m/>
    <s v="Não"/>
    <s v="Não"/>
    <s v="Não"/>
    <s v="Não"/>
    <n v="2319.9449999999997"/>
    <n v="2319.9449999999997"/>
  </r>
  <r>
    <s v="VGSP-348_030,000_EN_CL2"/>
    <x v="0"/>
    <s v="30,000"/>
    <m/>
    <s v="30,500"/>
    <m/>
    <x v="0"/>
    <s v="N"/>
    <n v="-23.38132736087157"/>
    <n v="-46.769683923904509"/>
    <n v="1754.25"/>
    <n v="3.31"/>
    <n v="30"/>
    <m/>
    <n v="0"/>
    <s v="Trator 1.7m"/>
    <m/>
    <s v="Não"/>
    <s v="Não"/>
    <s v="Não"/>
    <s v="Não"/>
    <n v="526.27499999999998"/>
    <n v="526.27499999999998"/>
  </r>
  <r>
    <s v="VGSP-330_030,000_EN_CL6"/>
    <x v="0"/>
    <s v="30,000"/>
    <m/>
    <s v="30,500"/>
    <m/>
    <x v="0"/>
    <s v="N"/>
    <n v="-23.404638918540261"/>
    <n v="-46.83215457008545"/>
    <n v="1395.07"/>
    <n v="7.12"/>
    <n v="20"/>
    <m/>
    <n v="0"/>
    <s v="Trator 1.7m"/>
    <m/>
    <s v="Não"/>
    <s v="Não"/>
    <s v="Não"/>
    <s v="Não"/>
    <n v="279.01400000000001"/>
    <n v="279.01400000000001"/>
  </r>
  <r>
    <s v="VGSP-348_030,000_ES_CL1"/>
    <x v="0"/>
    <s v="30,000"/>
    <m/>
    <s v="30,500"/>
    <m/>
    <x v="0"/>
    <s v="S"/>
    <n v="-23.381598526098959"/>
    <n v="-46.770266878937072"/>
    <n v="1598.12"/>
    <n v="12.91"/>
    <n v="50"/>
    <m/>
    <n v="0"/>
    <s v="Trator 1.7m"/>
    <m/>
    <s v="Não"/>
    <s v="Não"/>
    <s v="Não"/>
    <s v="Não"/>
    <n v="799.06"/>
    <n v="799.06"/>
  </r>
  <r>
    <s v="VGSP-330_030,000_ES_CL1"/>
    <x v="0"/>
    <s v="30,000"/>
    <m/>
    <s v="30,500"/>
    <m/>
    <x v="0"/>
    <s v="S"/>
    <n v="-23.405820325308561"/>
    <n v="-46.826255653608833"/>
    <n v="1832.98"/>
    <n v="16.78"/>
    <n v="0"/>
    <m/>
    <n v="0"/>
    <m/>
    <m/>
    <s v="Não"/>
    <s v="Não"/>
    <s v="Não"/>
    <s v="Não"/>
    <n v="0"/>
    <n v="0"/>
  </r>
  <r>
    <s v="VGSP-330_030,000_ES_CL5"/>
    <x v="0"/>
    <s v="30,000"/>
    <m/>
    <s v="30,500"/>
    <m/>
    <x v="0"/>
    <s v="S"/>
    <n v="-23.405433708179451"/>
    <n v="-46.828408826022631"/>
    <n v="386.2"/>
    <n v="9.14"/>
    <n v="0"/>
    <m/>
    <n v="0"/>
    <m/>
    <m/>
    <s v="Não"/>
    <s v="Não"/>
    <s v="Não"/>
    <s v="Não"/>
    <n v="0"/>
    <n v="0"/>
  </r>
  <r>
    <s v="VGSP-330_030,000_ES_CL7"/>
    <x v="0"/>
    <s v="30,000"/>
    <m/>
    <s v="30,500"/>
    <m/>
    <x v="0"/>
    <s v="S"/>
    <n v="-23.405324796764191"/>
    <n v="-46.832036677988597"/>
    <n v="1644.26"/>
    <n v="16.64"/>
    <n v="20"/>
    <m/>
    <n v="0"/>
    <s v="Trator 1.7m"/>
    <m/>
    <s v="Não"/>
    <s v="Não"/>
    <s v="Não"/>
    <s v="Não"/>
    <n v="328.85200000000003"/>
    <n v="328.85200000000003"/>
  </r>
  <r>
    <s v="VGSP-330_030,000_ES_CL2"/>
    <x v="0"/>
    <s v="30,000"/>
    <m/>
    <s v="30,500"/>
    <m/>
    <x v="0"/>
    <s v="S"/>
    <n v="-23.40557977617674"/>
    <n v="-46.828454592332477"/>
    <n v="135.79"/>
    <n v="13.58"/>
    <n v="0"/>
    <m/>
    <n v="0"/>
    <m/>
    <m/>
    <s v="Não"/>
    <s v="Não"/>
    <s v="Não"/>
    <s v="Não"/>
    <n v="0"/>
    <n v="0"/>
  </r>
  <r>
    <s v="VGSP-330_030,000_ES_CL4"/>
    <x v="0"/>
    <s v="30,000"/>
    <m/>
    <s v="30,500"/>
    <m/>
    <x v="0"/>
    <s v="S"/>
    <n v="-23.405388574624929"/>
    <n v="-46.829059069337511"/>
    <n v="591.99"/>
    <n v="5.52"/>
    <n v="20"/>
    <m/>
    <n v="0"/>
    <s v="Trator 1.7m"/>
    <m/>
    <s v="Não"/>
    <s v="Não"/>
    <s v="Não"/>
    <s v="Não"/>
    <n v="118.39800000000001"/>
    <n v="118.39800000000001"/>
  </r>
  <r>
    <s v="VGSP-348_030,000_ES_CL2"/>
    <x v="0"/>
    <s v="30,000"/>
    <m/>
    <s v="30,500"/>
    <m/>
    <x v="0"/>
    <s v="S"/>
    <n v="-23.378305999160929"/>
    <n v="-46.772853061830212"/>
    <n v="2059.11"/>
    <n v="9.85"/>
    <n v="60"/>
    <m/>
    <n v="0"/>
    <s v="Trator 1.7m"/>
    <m/>
    <s v="Não"/>
    <s v="Não"/>
    <s v="Não"/>
    <s v="Não"/>
    <n v="1235.4660000000001"/>
    <n v="1235.4660000000001"/>
  </r>
  <r>
    <s v="VGSP-348_031,000_EN_CL1"/>
    <x v="0"/>
    <s v="31,000"/>
    <m/>
    <s v="31,500"/>
    <m/>
    <x v="0"/>
    <s v="N"/>
    <n v="-23.371955633516119"/>
    <n v="-46.778559699597679"/>
    <n v="1126.6300000000001"/>
    <n v="3.29"/>
    <n v="30"/>
    <m/>
    <n v="0"/>
    <s v="Trator 1.7m"/>
    <m/>
    <s v="Não"/>
    <s v="Não"/>
    <s v="Não"/>
    <s v="Não"/>
    <n v="337.98900000000003"/>
    <n v="337.98900000000003"/>
  </r>
  <r>
    <s v="VGSP-330_031,000_ES_CL3"/>
    <x v="0"/>
    <s v="31,000"/>
    <m/>
    <s v="31,500"/>
    <m/>
    <x v="0"/>
    <s v="S"/>
    <n v="-23.40203430383599"/>
    <n v="-46.83676781051922"/>
    <n v="851.34"/>
    <n v="9.39"/>
    <n v="20"/>
    <m/>
    <n v="0"/>
    <s v="Trator 1.7m"/>
    <m/>
    <s v="Não"/>
    <s v="Não"/>
    <s v="Não"/>
    <s v="Não"/>
    <n v="170.26800000000003"/>
    <n v="170.26800000000003"/>
  </r>
  <r>
    <s v="VGSP-330_031,000_EN_CL2"/>
    <x v="0"/>
    <s v="31,000"/>
    <m/>
    <s v="31,500"/>
    <m/>
    <x v="0"/>
    <s v="N"/>
    <n v="-23.398864138161819"/>
    <n v="-46.836249000946452"/>
    <n v="2024.53"/>
    <n v="6.37"/>
    <n v="50"/>
    <m/>
    <n v="1012.265"/>
    <s v="Trator com braço articulado"/>
    <m/>
    <s v="Não"/>
    <s v="Não"/>
    <s v="Não"/>
    <s v="Sim"/>
    <n v="0"/>
    <m/>
  </r>
  <r>
    <s v="VGSP-330_031,000_ES_CL2"/>
    <x v="0"/>
    <s v="31,000"/>
    <m/>
    <s v="31,500"/>
    <m/>
    <x v="0"/>
    <s v="S"/>
    <n v="-23.398891442256051"/>
    <n v="-46.836573240737152"/>
    <n v="2118.36"/>
    <n v="9.44"/>
    <n v="0"/>
    <m/>
    <n v="0"/>
    <m/>
    <m/>
    <s v="Não"/>
    <s v="Não"/>
    <s v="Não"/>
    <s v="Não"/>
    <n v="0"/>
    <n v="0"/>
  </r>
  <r>
    <s v="VGSP-348_031,000_CC5"/>
    <x v="35"/>
    <s v="31,000"/>
    <m/>
    <s v="31,500"/>
    <n v="0.5"/>
    <x v="1"/>
    <s v="C"/>
    <n v="-23.36997767832986"/>
    <n v="-46.780125273562341"/>
    <n v="3234.58"/>
    <n v="4.78"/>
    <n v="60"/>
    <m/>
    <n v="0"/>
    <s v="Eixo-zero"/>
    <m/>
    <s v="Não"/>
    <s v="Não"/>
    <s v="Não"/>
    <s v="Não"/>
    <n v="1940.7479999999998"/>
    <n v="1940.7479999999998"/>
  </r>
  <r>
    <s v="VGSP-348_031,000_ES_CL2"/>
    <x v="0"/>
    <s v="31,000"/>
    <m/>
    <s v="31,500"/>
    <m/>
    <x v="0"/>
    <s v="S"/>
    <n v="-23.370099366109489"/>
    <n v="-46.780419583212357"/>
    <n v="839.8"/>
    <n v="5.36"/>
    <n v="0"/>
    <m/>
    <n v="0"/>
    <m/>
    <m/>
    <s v="Não"/>
    <s v="Não"/>
    <s v="Não"/>
    <s v="Não"/>
    <n v="0"/>
    <n v="0"/>
  </r>
  <r>
    <s v="VGSP-348_031,000_EN_CL2"/>
    <x v="0"/>
    <s v="31,000"/>
    <m/>
    <s v="31,500"/>
    <m/>
    <x v="0"/>
    <s v="N"/>
    <n v="-23.36982885436597"/>
    <n v="-46.779848556939001"/>
    <n v="753.53"/>
    <n v="8.5"/>
    <n v="30"/>
    <m/>
    <n v="0"/>
    <s v="Trator 1.7m"/>
    <m/>
    <s v="Não"/>
    <s v="Não"/>
    <s v="Não"/>
    <s v="Não"/>
    <n v="226.059"/>
    <n v="226.059"/>
  </r>
  <r>
    <s v="VGSP-348_031,000_CC1"/>
    <x v="35"/>
    <s v="31,000"/>
    <m/>
    <s v="31,500"/>
    <n v="0.5"/>
    <x v="1"/>
    <s v="C"/>
    <n v="-23.372381147250671"/>
    <n v="-46.77904504488292"/>
    <n v="1224.51"/>
    <n v="13.38"/>
    <n v="0"/>
    <m/>
    <n v="0"/>
    <m/>
    <m/>
    <s v="Não"/>
    <s v="Não"/>
    <s v="Não"/>
    <s v="Não"/>
    <n v="0"/>
    <n v="0"/>
  </r>
  <r>
    <s v="VGSP-330_031,000_ES_CL1"/>
    <x v="0"/>
    <s v="31,000"/>
    <m/>
    <s v="31,500"/>
    <m/>
    <x v="0"/>
    <s v="S"/>
    <n v="-23.40395522215055"/>
    <n v="-46.835173978008541"/>
    <n v="1381.58"/>
    <n v="7.02"/>
    <n v="20"/>
    <m/>
    <n v="0"/>
    <s v="Trator 1.7m"/>
    <m/>
    <s v="Não"/>
    <s v="Não"/>
    <s v="Não"/>
    <s v="Não"/>
    <n v="276.31599999999997"/>
    <n v="276.31599999999997"/>
  </r>
  <r>
    <s v="VGSP-330_031,000_EN_CL3"/>
    <x v="0"/>
    <s v="31,000"/>
    <m/>
    <s v="31,500"/>
    <m/>
    <x v="0"/>
    <s v="N"/>
    <n v="-23.401876674731589"/>
    <n v="-46.836548002367962"/>
    <n v="827.62"/>
    <n v="6.93"/>
    <n v="20"/>
    <m/>
    <n v="0"/>
    <s v="Trator 1.7m"/>
    <m/>
    <s v="Não"/>
    <s v="Não"/>
    <s v="Não"/>
    <s v="Não"/>
    <n v="165.524"/>
    <n v="165.524"/>
  </r>
  <r>
    <s v="VGSP-330_031,000_EN_CL1"/>
    <x v="0"/>
    <s v="31,000"/>
    <m/>
    <s v="31,500"/>
    <m/>
    <x v="0"/>
    <s v="N"/>
    <n v="-23.403785906609311"/>
    <n v="-46.834977981034953"/>
    <n v="1242.44"/>
    <n v="5.54"/>
    <n v="20"/>
    <m/>
    <n v="0"/>
    <s v="Trator 1.7m"/>
    <m/>
    <s v="Não"/>
    <s v="Não"/>
    <s v="Não"/>
    <s v="Não"/>
    <n v="248.48800000000003"/>
    <n v="248.48800000000003"/>
  </r>
  <r>
    <s v="VGSP-348_031,000_CC4"/>
    <x v="35"/>
    <s v="31,000"/>
    <m/>
    <s v="31,500"/>
    <n v="0.5"/>
    <x v="1"/>
    <s v="C"/>
    <n v="-23.372105133402808"/>
    <n v="-46.778850503551787"/>
    <n v="4373.8"/>
    <n v="5.77"/>
    <n v="60"/>
    <m/>
    <n v="0"/>
    <s v="Eixo-zero"/>
    <m/>
    <s v="Não"/>
    <s v="Não"/>
    <s v="Não"/>
    <s v="Não"/>
    <n v="2624.28"/>
    <n v="2624.28"/>
  </r>
  <r>
    <s v="VGSP-348_031,000_CC3"/>
    <x v="35"/>
    <s v="31,000"/>
    <m/>
    <s v="31,500"/>
    <n v="0.5"/>
    <x v="1"/>
    <s v="C"/>
    <n v="-23.375012531261881"/>
    <n v="-46.776310720051008"/>
    <n v="7808.08"/>
    <n v="6.04"/>
    <n v="30"/>
    <m/>
    <n v="0"/>
    <s v="Eixo-zero"/>
    <m/>
    <s v="Não"/>
    <s v="Não"/>
    <s v="Não"/>
    <s v="Não"/>
    <n v="2342.424"/>
    <n v="2342.424"/>
  </r>
  <r>
    <s v="VGSP-348_031,000_ES_CL1"/>
    <x v="0"/>
    <s v="31,000"/>
    <m/>
    <s v="31,500"/>
    <m/>
    <x v="0"/>
    <s v="S"/>
    <n v="-23.375196118167661"/>
    <n v="-46.77657748824393"/>
    <n v="2004.61"/>
    <n v="7.22"/>
    <n v="60"/>
    <m/>
    <n v="0"/>
    <s v="Trator 1.7m"/>
    <m/>
    <s v="Não"/>
    <s v="Não"/>
    <s v="Não"/>
    <s v="Não"/>
    <n v="1202.7659999999998"/>
    <n v="1202.7659999999998"/>
  </r>
  <r>
    <s v="VGSP-348_031,000_CC2"/>
    <x v="35"/>
    <s v="31,000"/>
    <m/>
    <s v="31,500"/>
    <n v="0.5"/>
    <x v="1"/>
    <s v="C"/>
    <n v="-23.37475805713191"/>
    <n v="-46.776126443407023"/>
    <n v="2083.48"/>
    <n v="8.76"/>
    <n v="70"/>
    <m/>
    <n v="0"/>
    <s v="Trator 1.7m"/>
    <m/>
    <s v="Não"/>
    <s v="Não"/>
    <s v="Não"/>
    <s v="Não"/>
    <n v="1458.4359999999999"/>
    <n v="1458.4359999999999"/>
  </r>
  <r>
    <s v="VGSP-348_032,000_EN_CL2"/>
    <x v="0"/>
    <s v="32,000"/>
    <m/>
    <s v="32,500"/>
    <m/>
    <x v="0"/>
    <s v="N"/>
    <n v="-23.363264142643349"/>
    <n v="-46.783395635842822"/>
    <n v="2115.37"/>
    <n v="12.09"/>
    <n v="30"/>
    <m/>
    <n v="0"/>
    <s v="Trator 1.7m"/>
    <m/>
    <s v="Não"/>
    <s v="Não"/>
    <s v="Não"/>
    <s v="Não"/>
    <n v="634.61099999999999"/>
    <n v="634.61099999999999"/>
  </r>
  <r>
    <s v="VGSP-330_032,000_EN_CL5"/>
    <x v="0"/>
    <s v="32,000"/>
    <m/>
    <s v="32,500"/>
    <m/>
    <x v="0"/>
    <s v="N"/>
    <n v="-23.389951159545131"/>
    <n v="-46.835785086797223"/>
    <n v="948.6"/>
    <n v="7.14"/>
    <n v="80"/>
    <m/>
    <n v="758.88000000000011"/>
    <s v="Spider"/>
    <m/>
    <s v="Não"/>
    <s v="Não"/>
    <s v="Não"/>
    <s v="Sim"/>
    <n v="0"/>
    <m/>
  </r>
  <r>
    <s v="VGSP-330_032,000_EN_CL1"/>
    <x v="0"/>
    <s v="32,000"/>
    <m/>
    <s v="32,500"/>
    <m/>
    <x v="0"/>
    <s v="N"/>
    <n v="-23.395672372294221"/>
    <n v="-46.835381032563042"/>
    <n v="942.61"/>
    <n v="9.85"/>
    <n v="20"/>
    <m/>
    <n v="0"/>
    <s v="Spider"/>
    <m/>
    <s v="Não"/>
    <s v="Não"/>
    <s v="Não"/>
    <s v="Não"/>
    <n v="188.52200000000002"/>
    <n v="188.52200000000002"/>
  </r>
  <r>
    <s v="VGSP-330_032,000_ES_CL2"/>
    <x v="0"/>
    <s v="32,000"/>
    <m/>
    <s v="32,500"/>
    <m/>
    <x v="0"/>
    <s v="S"/>
    <n v="-23.39039565070517"/>
    <n v="-46.836108347237598"/>
    <n v="1639.6"/>
    <n v="18.5"/>
    <n v="0"/>
    <m/>
    <n v="0"/>
    <m/>
    <m/>
    <s v="Não"/>
    <s v="Não"/>
    <s v="Não"/>
    <s v="Não"/>
    <n v="0"/>
    <n v="0"/>
  </r>
  <r>
    <s v="VGSP-330_032,000_ES_CL1"/>
    <x v="0"/>
    <s v="32,000"/>
    <m/>
    <s v="32,500"/>
    <m/>
    <x v="0"/>
    <s v="S"/>
    <n v="-23.394391208121"/>
    <n v="-46.835675715146138"/>
    <n v="2000.63"/>
    <n v="14.32"/>
    <n v="0"/>
    <m/>
    <n v="0"/>
    <m/>
    <m/>
    <s v="Não"/>
    <s v="Não"/>
    <s v="Não"/>
    <s v="Não"/>
    <n v="0"/>
    <n v="0"/>
  </r>
  <r>
    <s v="VGSP-330_032,000_EN_CL6"/>
    <x v="0"/>
    <s v="32,000"/>
    <m/>
    <s v="32,500"/>
    <m/>
    <x v="0"/>
    <s v="N"/>
    <n v="-23.38925096893767"/>
    <n v="-46.836273057673139"/>
    <n v="691.34"/>
    <n v="7.4"/>
    <n v="0"/>
    <m/>
    <n v="0"/>
    <m/>
    <m/>
    <s v="Não"/>
    <s v="Não"/>
    <s v="Não"/>
    <s v="Não"/>
    <n v="0"/>
    <n v="0"/>
  </r>
  <r>
    <s v="VGSP-330_032,000_EN_CL4"/>
    <x v="0"/>
    <s v="32,000"/>
    <m/>
    <s v="32,500"/>
    <m/>
    <x v="0"/>
    <s v="N"/>
    <n v="-23.393507762418739"/>
    <n v="-46.83531734156773"/>
    <n v="1258.68"/>
    <n v="7.06"/>
    <n v="0"/>
    <m/>
    <n v="0"/>
    <m/>
    <m/>
    <s v="Não"/>
    <s v="Não"/>
    <s v="Não"/>
    <s v="Não"/>
    <n v="0"/>
    <n v="0"/>
  </r>
  <r>
    <s v="VGSP-330_032,000_EN_CL2"/>
    <x v="0"/>
    <s v="32,000"/>
    <m/>
    <s v="32,500"/>
    <m/>
    <x v="0"/>
    <s v="N"/>
    <n v="-23.394760169157461"/>
    <n v="-46.835363808429207"/>
    <n v="55.83"/>
    <n v="1.35"/>
    <n v="0"/>
    <m/>
    <n v="0"/>
    <m/>
    <m/>
    <s v="Não"/>
    <s v="Não"/>
    <s v="Não"/>
    <s v="Não"/>
    <n v="0"/>
    <n v="0"/>
  </r>
  <r>
    <s v="VGSP-348_032,000_CC1"/>
    <x v="36"/>
    <s v="32,000"/>
    <m/>
    <s v="32,500"/>
    <n v="0.5"/>
    <x v="1"/>
    <s v="C"/>
    <n v="-23.363345961597059"/>
    <n v="-46.783726738734387"/>
    <n v="7838.79"/>
    <n v="12.01"/>
    <n v="60"/>
    <m/>
    <n v="0"/>
    <s v="Eixo-zero"/>
    <m/>
    <s v="Não"/>
    <s v="Não"/>
    <s v="Não"/>
    <s v="Não"/>
    <n v="4703.2739999999994"/>
    <n v="4703.2739999999994"/>
  </r>
  <r>
    <s v="VGSP-348_032,000_EN_CL1"/>
    <x v="0"/>
    <s v="32,000"/>
    <m/>
    <s v="32,500"/>
    <m/>
    <x v="0"/>
    <s v="N"/>
    <n v="-23.36726639019502"/>
    <n v="-46.78135319570363"/>
    <n v="1829.53"/>
    <n v="9.15"/>
    <n v="30"/>
    <m/>
    <n v="0"/>
    <s v="Trator 1.7m"/>
    <m/>
    <s v="Não"/>
    <s v="Não"/>
    <s v="Não"/>
    <s v="Não"/>
    <n v="548.85899999999992"/>
    <n v="548.85899999999992"/>
  </r>
  <r>
    <s v="VGSP-330_032,000_EN_CL3"/>
    <x v="0"/>
    <s v="32,000"/>
    <m/>
    <s v="32,500"/>
    <m/>
    <x v="0"/>
    <s v="N"/>
    <n v="-23.390977168346769"/>
    <n v="-46.835451081395583"/>
    <n v="1000.86"/>
    <n v="10.79"/>
    <n v="0"/>
    <m/>
    <n v="0"/>
    <m/>
    <m/>
    <s v="Não"/>
    <s v="Não"/>
    <s v="Não"/>
    <s v="Não"/>
    <n v="0"/>
    <n v="0"/>
  </r>
  <r>
    <s v="VGSP-348_032,000_CC2"/>
    <x v="36"/>
    <s v="32,000"/>
    <m/>
    <s v="32,500"/>
    <n v="0.5"/>
    <x v="1"/>
    <s v="C"/>
    <n v="-23.367421102268509"/>
    <n v="-46.7816457157071"/>
    <n v="7186.34"/>
    <n v="6.74"/>
    <n v="60"/>
    <m/>
    <n v="0"/>
    <s v="Eixo-zero"/>
    <m/>
    <s v="Não"/>
    <s v="Não"/>
    <s v="Não"/>
    <s v="Não"/>
    <n v="4311.8040000000001"/>
    <n v="4311.8040000000001"/>
  </r>
  <r>
    <s v="VGSP-348_032,000_ES_CL2"/>
    <x v="0"/>
    <s v="32,000"/>
    <m/>
    <s v="32,500"/>
    <m/>
    <x v="0"/>
    <s v="S"/>
    <n v="-23.363465653988872"/>
    <n v="-46.783998771181381"/>
    <n v="2157.66"/>
    <n v="16.61"/>
    <n v="50"/>
    <m/>
    <n v="0"/>
    <s v="Trator 1.7m"/>
    <m/>
    <s v="Não"/>
    <s v="Não"/>
    <s v="Não"/>
    <s v="Não"/>
    <n v="1078.83"/>
    <n v="1078.83"/>
  </r>
  <r>
    <s v="VGSP-348_032,000_ES_CL1"/>
    <x v="0"/>
    <s v="32,000"/>
    <m/>
    <s v="32,500"/>
    <m/>
    <x v="0"/>
    <s v="S"/>
    <n v="-23.367474468821019"/>
    <n v="-46.781960015709608"/>
    <n v="1804.42"/>
    <n v="8.26"/>
    <n v="0"/>
    <m/>
    <n v="0"/>
    <m/>
    <m/>
    <s v="Não"/>
    <s v="Não"/>
    <s v="Não"/>
    <s v="Não"/>
    <n v="0"/>
    <n v="0"/>
  </r>
  <r>
    <s v="VGSP-330_033,000_EN_CL6"/>
    <x v="0"/>
    <s v="33,000"/>
    <m/>
    <s v="33,500"/>
    <m/>
    <x v="0"/>
    <s v="N"/>
    <n v="-23.381957198841949"/>
    <n v="-46.838283026832357"/>
    <n v="2078.1799999999998"/>
    <n v="7.26"/>
    <n v="40"/>
    <m/>
    <n v="831.27199999999993"/>
    <s v="Trator com braço articulado"/>
    <s v="trecho com um seguimento com talude com rocha"/>
    <s v="Não"/>
    <s v="Não"/>
    <s v="Não"/>
    <s v="Sim"/>
    <n v="0"/>
    <m/>
  </r>
  <r>
    <s v="VGSP-330_033,000_EN_CL4"/>
    <x v="0"/>
    <s v="33,000"/>
    <m/>
    <s v="33,500"/>
    <m/>
    <x v="0"/>
    <s v="N"/>
    <n v="-23.38418582381291"/>
    <n v="-46.838353541916938"/>
    <n v="36.51"/>
    <n v="2.93"/>
    <n v="0"/>
    <m/>
    <n v="0"/>
    <m/>
    <m/>
    <s v="Não"/>
    <s v="Não"/>
    <s v="Não"/>
    <s v="Não"/>
    <n v="0"/>
    <n v="0"/>
  </r>
  <r>
    <s v="VGSP-348_033,000_EN_CL2"/>
    <x v="0"/>
    <s v="33,000"/>
    <m/>
    <s v="33,500"/>
    <m/>
    <x v="0"/>
    <s v="N"/>
    <n v="-23.356761280779509"/>
    <n v="-46.78869709988497"/>
    <n v="6313.98"/>
    <n v="8.19"/>
    <n v="70"/>
    <m/>
    <n v="0"/>
    <s v="Eixo-zero"/>
    <m/>
    <s v="Não"/>
    <s v="Não"/>
    <s v="Não"/>
    <s v="Não"/>
    <n v="4419.7859999999991"/>
    <n v="4419.7859999999991"/>
  </r>
  <r>
    <s v="VGSP-330_033,000_ES_CL3"/>
    <x v="0"/>
    <s v="33,000"/>
    <m/>
    <s v="33,500"/>
    <m/>
    <x v="0"/>
    <s v="S"/>
    <n v="-23.38296206520064"/>
    <n v="-46.838928282769693"/>
    <n v="55.42"/>
    <n v="18.97"/>
    <n v="20"/>
    <m/>
    <n v="0"/>
    <s v="Trator 1.7m"/>
    <m/>
    <s v="Não"/>
    <s v="Não"/>
    <s v="Não"/>
    <s v="Não"/>
    <n v="11.084000000000001"/>
    <n v="11.084000000000001"/>
  </r>
  <r>
    <s v="VGSP-330_033,000_EN_CL1"/>
    <x v="0"/>
    <s v="33,000"/>
    <m/>
    <s v="33,500"/>
    <m/>
    <x v="0"/>
    <s v="N"/>
    <n v="-23.387557409628389"/>
    <n v="-46.837496384641071"/>
    <n v="1129.6099999999999"/>
    <n v="10.58"/>
    <n v="0"/>
    <m/>
    <n v="0"/>
    <m/>
    <m/>
    <s v="Não"/>
    <s v="Não"/>
    <s v="Não"/>
    <s v="Não"/>
    <n v="0"/>
    <n v="0"/>
  </r>
  <r>
    <s v="VGSP-348_033,000_ES_CL"/>
    <x v="0"/>
    <s v="33,000"/>
    <m/>
    <s v="33,500"/>
    <m/>
    <x v="0"/>
    <s v="S"/>
    <n v="-23.35931492429809"/>
    <n v="-46.785535300926213"/>
    <n v="1789.45"/>
    <n v="14.89"/>
    <n v="50"/>
    <m/>
    <n v="0"/>
    <s v="Trator 1.7m"/>
    <m/>
    <s v="Não"/>
    <s v="Não"/>
    <s v="Não"/>
    <s v="Não"/>
    <n v="894.72500000000002"/>
    <n v="894.72500000000002"/>
  </r>
  <r>
    <s v="VGSP-348_033,000_EN_CL1"/>
    <x v="0"/>
    <s v="33,000"/>
    <m/>
    <s v="33,500"/>
    <m/>
    <x v="0"/>
    <s v="N"/>
    <n v="-23.35901937536271"/>
    <n v="-46.784995330760673"/>
    <n v="1924.27"/>
    <n v="9.06"/>
    <n v="30"/>
    <m/>
    <n v="0"/>
    <s v="Trator 1.7m"/>
    <m/>
    <s v="Não"/>
    <s v="Não"/>
    <s v="Não"/>
    <s v="Não"/>
    <n v="577.28099999999995"/>
    <n v="577.28099999999995"/>
  </r>
  <r>
    <s v="VGSP-348_033,000_EN_CL3"/>
    <x v="0"/>
    <s v="33,000"/>
    <m/>
    <s v="33,500"/>
    <m/>
    <x v="0"/>
    <s v="N"/>
    <n v="-23.35701413401209"/>
    <n v="-46.786788942937051"/>
    <n v="800.94"/>
    <n v="3.69"/>
    <n v="90"/>
    <m/>
    <n v="0"/>
    <s v="Trator 1.7m"/>
    <m/>
    <s v="Não"/>
    <s v="Não"/>
    <s v="Não"/>
    <s v="Não"/>
    <n v="720.84600000000012"/>
    <n v="720.84600000000012"/>
  </r>
  <r>
    <s v="VGSP-330_033,000_ES_CL4"/>
    <x v="0"/>
    <s v="33,000"/>
    <m/>
    <s v="33,500"/>
    <m/>
    <x v="0"/>
    <s v="S"/>
    <n v="-23.38146148071548"/>
    <n v="-46.838679951070759"/>
    <n v="7390.83"/>
    <n v="14.39"/>
    <n v="80"/>
    <m/>
    <n v="5912.6640000000007"/>
    <s v="Trator com braço articulado"/>
    <m/>
    <s v="Não"/>
    <s v="Não"/>
    <s v="Não"/>
    <s v="Sim"/>
    <n v="0"/>
    <m/>
  </r>
  <r>
    <s v="VGSP-330_033,000_EN_CL5"/>
    <x v="0"/>
    <s v="33,000"/>
    <m/>
    <s v="33,500"/>
    <m/>
    <x v="0"/>
    <s v="N"/>
    <n v="-23.38410699069189"/>
    <n v="-46.838345251630287"/>
    <n v="135.85"/>
    <n v="3.49"/>
    <n v="0"/>
    <m/>
    <n v="0"/>
    <m/>
    <m/>
    <s v="Não"/>
    <s v="Não"/>
    <s v="Não"/>
    <s v="Não"/>
    <n v="0"/>
    <n v="0"/>
  </r>
  <r>
    <s v="VGSP-330_033,000_EN_CL3"/>
    <x v="0"/>
    <s v="33,000"/>
    <m/>
    <s v="33,500"/>
    <m/>
    <x v="0"/>
    <s v="N"/>
    <n v="-23.38530503644132"/>
    <n v="-46.838295279292673"/>
    <n v="1179.95"/>
    <n v="8.1999999999999993"/>
    <n v="0"/>
    <m/>
    <n v="0"/>
    <m/>
    <m/>
    <s v="Não"/>
    <s v="Não"/>
    <s v="Não"/>
    <s v="Não"/>
    <n v="0"/>
    <n v="0"/>
  </r>
  <r>
    <s v="VGSP-330_033,000_ES_CL6"/>
    <x v="0"/>
    <s v="33,000"/>
    <m/>
    <s v="33,500"/>
    <m/>
    <x v="0"/>
    <s v="S"/>
    <n v="-23.379834178221369"/>
    <n v="-46.838968753785537"/>
    <n v="110.98"/>
    <n v="11.5"/>
    <n v="20"/>
    <m/>
    <n v="0"/>
    <s v="Trator 1.7m"/>
    <m/>
    <s v="Não"/>
    <s v="Não"/>
    <s v="Não"/>
    <s v="Não"/>
    <n v="22.196000000000002"/>
    <n v="22.196000000000002"/>
  </r>
  <r>
    <s v="VGSP-330_033,000_ES_CL2"/>
    <x v="0"/>
    <s v="33,000"/>
    <m/>
    <s v="33,500"/>
    <m/>
    <x v="0"/>
    <s v="S"/>
    <n v="-23.383646312480138"/>
    <n v="-46.838784545179493"/>
    <n v="511.17"/>
    <n v="12.69"/>
    <n v="20"/>
    <m/>
    <n v="0"/>
    <s v="Trator 1.7m"/>
    <m/>
    <s v="Não"/>
    <s v="Não"/>
    <s v="Não"/>
    <s v="Não"/>
    <n v="102.23400000000001"/>
    <n v="102.23400000000001"/>
  </r>
  <r>
    <s v="VGSP-348_033,000_EN_CL4"/>
    <x v="0"/>
    <s v="33,000"/>
    <m/>
    <s v="33,500"/>
    <m/>
    <x v="0"/>
    <s v="N"/>
    <n v="-23.356390638889138"/>
    <n v="-46.788502816355773"/>
    <n v="1830.25"/>
    <n v="11.4"/>
    <n v="20"/>
    <m/>
    <n v="0"/>
    <s v="Trator 1.7m"/>
    <m/>
    <s v="Não"/>
    <s v="Não"/>
    <s v="Não"/>
    <s v="Não"/>
    <n v="366.05"/>
    <n v="366.05"/>
  </r>
  <r>
    <s v="VGSP-348_033,000_CC1"/>
    <x v="37"/>
    <s v="33,000"/>
    <m/>
    <s v="33,500"/>
    <n v="0.5"/>
    <x v="1"/>
    <s v="C"/>
    <n v="-23.359253042480798"/>
    <n v="-46.785222780461822"/>
    <n v="6919.55"/>
    <n v="11.15"/>
    <n v="60"/>
    <m/>
    <n v="0"/>
    <s v="Eixo-zero"/>
    <m/>
    <s v="Não"/>
    <s v="Não"/>
    <s v="Não"/>
    <s v="Não"/>
    <n v="4151.7299999999996"/>
    <n v="4151.7299999999996"/>
  </r>
  <r>
    <s v="VGSP-330_033,000_ES_CL1"/>
    <x v="0"/>
    <s v="33,000"/>
    <m/>
    <s v="33,500"/>
    <m/>
    <x v="0"/>
    <s v="S"/>
    <n v="-23.386593088677721"/>
    <n v="-46.838233706581711"/>
    <n v="2202.48"/>
    <n v="18.100000000000001"/>
    <n v="0"/>
    <m/>
    <n v="0"/>
    <m/>
    <m/>
    <s v="Não"/>
    <s v="Não"/>
    <s v="Não"/>
    <s v="Não"/>
    <n v="0"/>
    <n v="0"/>
  </r>
  <r>
    <s v="VGSP-348_033,000_CC2"/>
    <x v="37"/>
    <s v="33,000"/>
    <m/>
    <s v="33,500"/>
    <n v="0.5"/>
    <x v="1"/>
    <s v="C"/>
    <n v="-23.356998303593159"/>
    <n v="-46.788891811291357"/>
    <n v="1767.81"/>
    <n v="13.57"/>
    <n v="50"/>
    <m/>
    <n v="0"/>
    <s v="Trator 1.7m"/>
    <m/>
    <s v="Não"/>
    <s v="Não"/>
    <s v="Não"/>
    <s v="Não"/>
    <n v="883.90499999999997"/>
    <n v="883.90499999999997"/>
  </r>
  <r>
    <s v="VGSP-330_033,000_ES_CL5"/>
    <x v="0"/>
    <s v="33,000"/>
    <m/>
    <s v="33,500"/>
    <m/>
    <x v="0"/>
    <s v="S"/>
    <n v="-23.380347862491419"/>
    <n v="-46.838884788304547"/>
    <n v="197.65"/>
    <n v="14.19"/>
    <n v="20"/>
    <m/>
    <n v="0"/>
    <s v="Trator 1.7m"/>
    <m/>
    <s v="Não"/>
    <s v="Não"/>
    <s v="Não"/>
    <s v="Não"/>
    <n v="39.53"/>
    <n v="39.53"/>
  </r>
  <r>
    <s v="VGSP-330_033,000_EN_CL2"/>
    <x v="0"/>
    <s v="33,000"/>
    <m/>
    <s v="33,500"/>
    <m/>
    <x v="0"/>
    <s v="N"/>
    <n v="-23.38652112280802"/>
    <n v="-46.838082343534182"/>
    <n v="463.17"/>
    <n v="12.56"/>
    <n v="90"/>
    <m/>
    <n v="416.85300000000001"/>
    <s v="Spider"/>
    <m/>
    <s v="Não"/>
    <s v="Não"/>
    <s v="Sim"/>
    <s v="aim"/>
    <n v="0"/>
    <m/>
  </r>
  <r>
    <s v="VGSP-348_034,000_EN_CL3"/>
    <x v="0"/>
    <s v="34,000"/>
    <m/>
    <s v="34,500"/>
    <m/>
    <x v="0"/>
    <s v="N"/>
    <n v="-23.352916238069671"/>
    <n v="-46.795112004500233"/>
    <n v="587.01"/>
    <n v="7.14"/>
    <n v="70"/>
    <m/>
    <n v="0"/>
    <s v="Trator 1.7m"/>
    <m/>
    <s v="Não"/>
    <s v="Não"/>
    <s v="Não"/>
    <s v="Não"/>
    <n v="410.90699999999998"/>
    <n v="410.90699999999998"/>
  </r>
  <r>
    <s v="VGSP-348_034,000_EN_CL2"/>
    <x v="0"/>
    <s v="34,000"/>
    <m/>
    <s v="34,500"/>
    <m/>
    <x v="0"/>
    <s v="N"/>
    <n v="-23.354727815032831"/>
    <n v="-46.792727970415868"/>
    <n v="1946.41"/>
    <n v="13.3"/>
    <n v="20"/>
    <m/>
    <n v="0"/>
    <s v="Trator 1.7m"/>
    <m/>
    <s v="Não"/>
    <s v="Não"/>
    <s v="Não"/>
    <s v="Não"/>
    <n v="389.28200000000004"/>
    <n v="389.28200000000004"/>
  </r>
  <r>
    <s v="VGSP-348_034,000_CC1"/>
    <x v="38"/>
    <s v="34,000"/>
    <m/>
    <s v="34,500"/>
    <n v="0.5"/>
    <x v="1"/>
    <s v="C"/>
    <n v="-23.355239134529089"/>
    <n v="-46.793056215008548"/>
    <n v="2018.39"/>
    <n v="13.07"/>
    <n v="50"/>
    <m/>
    <n v="0"/>
    <s v="Trator 1.7m"/>
    <m/>
    <s v="Não"/>
    <s v="Não"/>
    <s v="Não"/>
    <s v="Não"/>
    <n v="1009.1950000000001"/>
    <n v="1009.1950000000001"/>
  </r>
  <r>
    <s v="VGSP-348_034,000_EN_CL4"/>
    <x v="0"/>
    <s v="34,000"/>
    <m/>
    <s v="34,500"/>
    <m/>
    <x v="0"/>
    <s v="N"/>
    <n v="-23.354918972856559"/>
    <n v="-46.79309873745941"/>
    <n v="6658.1"/>
    <n v="7.79"/>
    <n v="70"/>
    <m/>
    <n v="0"/>
    <s v="Eixo-zero"/>
    <m/>
    <s v="Não"/>
    <s v="Não"/>
    <s v="Não"/>
    <s v="Não"/>
    <n v="4660.67"/>
    <n v="4660.67"/>
  </r>
  <r>
    <s v="VGSP-348_034,000_CC2"/>
    <x v="38"/>
    <s v="34,000"/>
    <m/>
    <s v="34,500"/>
    <n v="0.5"/>
    <x v="1"/>
    <s v="C"/>
    <n v="-23.35254487767439"/>
    <n v="-46.797070832721523"/>
    <n v="1979.93"/>
    <n v="5.73"/>
    <n v="50"/>
    <m/>
    <n v="0"/>
    <s v="Trator 1.7m"/>
    <m/>
    <s v="Não"/>
    <s v="Não"/>
    <s v="Não"/>
    <s v="Não"/>
    <n v="989.96500000000003"/>
    <n v="989.96500000000003"/>
  </r>
  <r>
    <s v="VGSP-330_034,000_ES_CL2"/>
    <x v="0"/>
    <s v="34,000"/>
    <m/>
    <s v="34,500"/>
    <m/>
    <x v="0"/>
    <s v="S"/>
    <n v="-23.377583807271471"/>
    <n v="-46.839569377048029"/>
    <n v="1970.17"/>
    <n v="7.71"/>
    <n v="60"/>
    <m/>
    <n v="1182.1020000000001"/>
    <s v="Trator com braço articulado"/>
    <m/>
    <s v="Não"/>
    <s v="Não"/>
    <s v="Não"/>
    <s v="Sim"/>
    <n v="0"/>
    <m/>
  </r>
  <r>
    <s v="VGSP-348_034,000_CC3"/>
    <x v="38"/>
    <s v="34,000"/>
    <m/>
    <s v="34,500"/>
    <n v="0.5"/>
    <x v="1"/>
    <s v="C"/>
    <n v="-23.352356636900218"/>
    <n v="-46.796838346231347"/>
    <n v="7852.08"/>
    <n v="4.72"/>
    <n v="60"/>
    <m/>
    <n v="0"/>
    <s v="Eixo-zero"/>
    <m/>
    <s v="Não"/>
    <s v="Não"/>
    <s v="Não"/>
    <s v="Não"/>
    <n v="4711.2479999999996"/>
    <n v="4711.2479999999996"/>
  </r>
  <r>
    <s v="VGSP-330_034,000_EN_CL1"/>
    <x v="0"/>
    <s v="34,000"/>
    <m/>
    <s v="34,500"/>
    <m/>
    <x v="0"/>
    <s v="N"/>
    <n v="-23.377492410750989"/>
    <n v="-46.839264059438101"/>
    <n v="2023.59"/>
    <n v="13.28"/>
    <n v="60"/>
    <m/>
    <n v="1214.154"/>
    <s v="Trator com braço articulado"/>
    <s v="trecho com seguimento com talude com rochas"/>
    <s v="Não"/>
    <s v="Não"/>
    <s v="Não"/>
    <s v="Sim"/>
    <n v="0"/>
    <m/>
  </r>
  <r>
    <s v="VGSP-330_034,000_ES_CL3"/>
    <x v="0"/>
    <s v="34,000"/>
    <m/>
    <s v="34,500"/>
    <m/>
    <x v="0"/>
    <s v="S"/>
    <n v="-23.374427710384971"/>
    <n v="-46.842250889972348"/>
    <n v="1707.6"/>
    <n v="8.1199999999999992"/>
    <n v="60"/>
    <m/>
    <n v="1024.56"/>
    <s v="Trator com braço articulado"/>
    <m/>
    <s v="Não"/>
    <s v="Não"/>
    <s v="Não"/>
    <s v="Sim"/>
    <n v="0"/>
    <m/>
  </r>
  <r>
    <s v="VGSP-348_034,000_EN_CL1"/>
    <x v="0"/>
    <s v="34,000"/>
    <m/>
    <s v="34,500"/>
    <m/>
    <x v="0"/>
    <s v="N"/>
    <n v="-23.35611306426005"/>
    <n v="-46.791056772836697"/>
    <n v="612.55999999999995"/>
    <n v="5.03"/>
    <n v="70"/>
    <m/>
    <n v="0"/>
    <s v="Eixo-zero"/>
    <m/>
    <s v="Não"/>
    <s v="Não"/>
    <s v="Não"/>
    <s v="Não"/>
    <n v="428.79199999999992"/>
    <n v="428.79199999999992"/>
  </r>
  <r>
    <s v="VGSP-348_034,000_EN_CL6"/>
    <x v="0"/>
    <s v="34,000"/>
    <m/>
    <s v="34,500"/>
    <m/>
    <x v="0"/>
    <s v="N"/>
    <n v="-23.35123529133298"/>
    <n v="-46.798126266414613"/>
    <n v="726.52"/>
    <n v="5.99"/>
    <n v="70"/>
    <m/>
    <n v="0"/>
    <s v="Trator 1.7m"/>
    <m/>
    <s v="Não"/>
    <s v="Não"/>
    <s v="Não"/>
    <s v="Não"/>
    <n v="508.56399999999996"/>
    <n v="508.56399999999996"/>
  </r>
  <r>
    <s v="VGSP-348_034,000_EN_CL5"/>
    <x v="0"/>
    <s v="34,000"/>
    <m/>
    <s v="34,500"/>
    <m/>
    <x v="0"/>
    <s v="N"/>
    <n v="-23.351824942435929"/>
    <n v="-46.79674393123824"/>
    <n v="8229.82"/>
    <n v="5.48"/>
    <n v="70"/>
    <m/>
    <n v="0"/>
    <s v="Trator 1.7m"/>
    <m/>
    <s v="Não"/>
    <s v="Não"/>
    <s v="Não"/>
    <s v="Não"/>
    <n v="5760.8739999999998"/>
    <n v="5760.8739999999998"/>
  </r>
  <r>
    <s v="VGSP-330_034,000_ES_CL1"/>
    <x v="0"/>
    <s v="34,000"/>
    <m/>
    <s v="34,500"/>
    <m/>
    <x v="0"/>
    <s v="S"/>
    <n v="-23.379524772586489"/>
    <n v="-46.838815651358523"/>
    <n v="436.05"/>
    <n v="9"/>
    <n v="80"/>
    <m/>
    <n v="0"/>
    <s v="Trator 1.7m"/>
    <m/>
    <s v="Não"/>
    <s v="Não"/>
    <s v="Não"/>
    <s v="Não"/>
    <n v="348.84000000000003"/>
    <n v="348.84000000000003"/>
  </r>
  <r>
    <s v="VGSP-330_034,000_EN_CL2"/>
    <x v="0"/>
    <s v="34,000"/>
    <m/>
    <s v="34,500"/>
    <m/>
    <x v="0"/>
    <s v="N"/>
    <n v="-23.37428969461644"/>
    <n v="-46.841995087625953"/>
    <n v="1713.79"/>
    <n v="11.44"/>
    <n v="60"/>
    <m/>
    <n v="1028.2739999999999"/>
    <s v="Trator com braço articulado"/>
    <m/>
    <s v="Não"/>
    <s v="Não"/>
    <s v="Não"/>
    <s v="Sim"/>
    <n v="0"/>
    <m/>
  </r>
  <r>
    <s v="VGSP-348_035,000_ES_CL1"/>
    <x v="0"/>
    <s v="35,000"/>
    <m/>
    <s v="35,500"/>
    <m/>
    <x v="0"/>
    <s v="S"/>
    <n v="-23.35135557386235"/>
    <n v="-46.801826911606383"/>
    <n v="1920.64"/>
    <n v="6.89"/>
    <n v="50"/>
    <m/>
    <n v="0"/>
    <s v="Trator 1.7m"/>
    <m/>
    <s v="Não"/>
    <s v="Não"/>
    <s v="Não"/>
    <s v="Não"/>
    <n v="960.32"/>
    <n v="960.32"/>
  </r>
  <r>
    <s v="VGSP-330_035,000_ES_CL2"/>
    <x v="0"/>
    <s v="35,000"/>
    <m/>
    <s v="35,500"/>
    <m/>
    <x v="0"/>
    <s v="S"/>
    <n v="-23.369838953442908"/>
    <n v="-46.845026642450691"/>
    <n v="360.53"/>
    <n v="14.44"/>
    <n v="0"/>
    <m/>
    <n v="0"/>
    <m/>
    <m/>
    <s v="Não"/>
    <s v="Não"/>
    <s v="Não"/>
    <s v="Não"/>
    <n v="0"/>
    <n v="0"/>
  </r>
  <r>
    <s v="VGSP-348_035,000_ES_CL2"/>
    <x v="0"/>
    <s v="35,000"/>
    <m/>
    <s v="35,500"/>
    <m/>
    <x v="0"/>
    <s v="S"/>
    <n v="-23.350657111506731"/>
    <n v="-46.806971308622053"/>
    <n v="2317"/>
    <n v="7.06"/>
    <n v="50"/>
    <m/>
    <n v="0"/>
    <s v="Trator 1.7m"/>
    <m/>
    <s v="Não"/>
    <s v="Não"/>
    <s v="Não"/>
    <s v="Não"/>
    <n v="1158.5"/>
    <n v="1158.5"/>
  </r>
  <r>
    <s v="VGSP-330_035,000_ES_CL4"/>
    <x v="0"/>
    <s v="35,000"/>
    <m/>
    <s v="35,500"/>
    <m/>
    <x v="0"/>
    <s v="S"/>
    <n v="-23.366411562903341"/>
    <n v="-46.846111277980647"/>
    <n v="2280.39"/>
    <n v="10.6"/>
    <n v="0"/>
    <m/>
    <n v="0"/>
    <m/>
    <m/>
    <s v="Não"/>
    <s v="Não"/>
    <s v="Não"/>
    <s v="Não"/>
    <n v="0"/>
    <n v="0"/>
  </r>
  <r>
    <s v="VGSP-348_035,000_EN_CL2"/>
    <x v="0"/>
    <s v="35,000"/>
    <m/>
    <s v="35,500"/>
    <m/>
    <x v="0"/>
    <s v="N"/>
    <n v="-23.350790810275971"/>
    <n v="-46.801516285184768"/>
    <n v="2076.5100000000002"/>
    <n v="7.99"/>
    <n v="70"/>
    <m/>
    <n v="0"/>
    <s v="Trator 1.7m"/>
    <m/>
    <s v="Não"/>
    <s v="Não"/>
    <s v="Não"/>
    <s v="Não"/>
    <n v="1453.557"/>
    <n v="1453.557"/>
  </r>
  <r>
    <s v="VGSP-348_035,000_CC2"/>
    <x v="39"/>
    <s v="35,000"/>
    <m/>
    <s v="35,500"/>
    <n v="0.5"/>
    <x v="1"/>
    <s v="C"/>
    <n v="-23.350374303084021"/>
    <n v="-46.806805278417087"/>
    <n v="7837.38"/>
    <n v="5.18"/>
    <n v="70"/>
    <m/>
    <n v="0"/>
    <s v="Eixo-zero"/>
    <m/>
    <s v="Não"/>
    <s v="Não"/>
    <s v="Não"/>
    <s v="Não"/>
    <n v="5486.1660000000002"/>
    <n v="5486.1660000000002"/>
  </r>
  <r>
    <s v="VGSP-348_035,000_CC1"/>
    <x v="39"/>
    <s v="35,000"/>
    <m/>
    <s v="35,500"/>
    <n v="0.5"/>
    <x v="1"/>
    <s v="C"/>
    <n v="-23.351090374476559"/>
    <n v="-46.801604846558632"/>
    <n v="7587.16"/>
    <n v="4.8499999999999996"/>
    <n v="60"/>
    <m/>
    <n v="0"/>
    <s v="Eixo-zero"/>
    <m/>
    <s v="Não"/>
    <s v="Não"/>
    <s v="Não"/>
    <s v="Não"/>
    <n v="4552.2959999999994"/>
    <n v="4552.2959999999994"/>
  </r>
  <r>
    <s v="VGSP-330_035,000_EN_CL1"/>
    <x v="0"/>
    <s v="35,000"/>
    <m/>
    <s v="35,500"/>
    <m/>
    <x v="0"/>
    <s v="N"/>
    <n v="-23.370879721912509"/>
    <n v="-46.844330353891777"/>
    <n v="2028.73"/>
    <n v="9.5399999999999991"/>
    <n v="65"/>
    <m/>
    <n v="1318.6745000000001"/>
    <s v="Trator com braço articulado"/>
    <m/>
    <s v="Não"/>
    <s v="Não"/>
    <s v="Não"/>
    <s v="Sim"/>
    <n v="0"/>
    <m/>
  </r>
  <r>
    <s v="VGSP-330_035,000_ES_CL3"/>
    <x v="0"/>
    <s v="35,000"/>
    <m/>
    <s v="35,500"/>
    <m/>
    <x v="0"/>
    <s v="S"/>
    <n v="-23.3694219678036"/>
    <n v="-46.845308020622149"/>
    <n v="572.74"/>
    <n v="8.85"/>
    <n v="0"/>
    <m/>
    <n v="0"/>
    <m/>
    <m/>
    <s v="Não"/>
    <s v="Não"/>
    <s v="Não"/>
    <s v="Não"/>
    <n v="0"/>
    <n v="0"/>
  </r>
  <r>
    <s v="VGSP-348_035,000_EN_CL1"/>
    <x v="0"/>
    <s v="35,000"/>
    <m/>
    <s v="35,500"/>
    <m/>
    <x v="0"/>
    <s v="N"/>
    <n v="-23.350082842027948"/>
    <n v="-46.806732754902797"/>
    <n v="2244.3000000000002"/>
    <n v="5.38"/>
    <n v="60"/>
    <m/>
    <n v="0"/>
    <s v="Trator 1.7m"/>
    <m/>
    <s v="Não"/>
    <s v="Não"/>
    <s v="Não"/>
    <s v="Não"/>
    <n v="1346.5800000000002"/>
    <n v="1346.5800000000002"/>
  </r>
  <r>
    <s v="VGSP-330_035,000_EN_CL2"/>
    <x v="0"/>
    <s v="35,000"/>
    <m/>
    <s v="35,500"/>
    <m/>
    <x v="0"/>
    <s v="N"/>
    <n v="-23.366288878284841"/>
    <n v="-46.845884437494803"/>
    <n v="2277.1999999999998"/>
    <n v="15.03"/>
    <n v="0"/>
    <m/>
    <n v="0"/>
    <m/>
    <m/>
    <s v="Não"/>
    <s v="Não"/>
    <s v="Não"/>
    <s v="Não"/>
    <n v="0"/>
    <n v="0"/>
  </r>
  <r>
    <s v="VGSP-330_035,000_ES_CL1"/>
    <x v="0"/>
    <s v="35,000"/>
    <m/>
    <s v="35,500"/>
    <m/>
    <x v="0"/>
    <s v="S"/>
    <n v="-23.371351095562339"/>
    <n v="-46.844470515312118"/>
    <n v="1731.49"/>
    <n v="14.92"/>
    <n v="0"/>
    <m/>
    <n v="0"/>
    <m/>
    <m/>
    <s v="Não"/>
    <s v="Não"/>
    <s v="Não"/>
    <s v="Não"/>
    <n v="0"/>
    <n v="0"/>
  </r>
  <r>
    <s v="VGSP-348_036,000_ES_CL3"/>
    <x v="0"/>
    <s v="36,000"/>
    <m/>
    <s v="36,500"/>
    <m/>
    <x v="0"/>
    <s v="S"/>
    <n v="-23.34834472708803"/>
    <n v="-46.813558008005913"/>
    <n v="39.229999999999997"/>
    <n v="6.7"/>
    <m/>
    <m/>
    <n v="0"/>
    <m/>
    <m/>
    <s v="Não"/>
    <s v="Não"/>
    <s v="Não"/>
    <s v="Não"/>
    <n v="0"/>
    <n v="0"/>
  </r>
  <r>
    <s v="VGSP-330_036,000_ES_CL6"/>
    <x v="0"/>
    <s v="36,000"/>
    <m/>
    <s v="36,500"/>
    <m/>
    <x v="0"/>
    <s v="S"/>
    <n v="-23.3576487877034"/>
    <n v="-46.848288405469859"/>
    <n v="2096.2199999999998"/>
    <n v="2.5299999999999998"/>
    <n v="0"/>
    <m/>
    <n v="0"/>
    <m/>
    <m/>
    <s v="Não"/>
    <s v="Não"/>
    <s v="Não"/>
    <s v="Não"/>
    <n v="0"/>
    <n v="0"/>
  </r>
  <r>
    <s v="VGSP-330_036,000_EN_CL4"/>
    <x v="0"/>
    <s v="36,000"/>
    <m/>
    <s v="36,500"/>
    <m/>
    <x v="0"/>
    <s v="N"/>
    <n v="-23.362057373078979"/>
    <n v="-46.847935188262113"/>
    <n v="421.78"/>
    <n v="3.92"/>
    <n v="0"/>
    <m/>
    <n v="0"/>
    <m/>
    <m/>
    <s v="Não"/>
    <s v="Não"/>
    <s v="Não"/>
    <s v="Não"/>
    <n v="0"/>
    <n v="0"/>
  </r>
  <r>
    <s v="VGSP-330_036,000_EN_CL11"/>
    <x v="0"/>
    <s v="36,000"/>
    <m/>
    <s v="36,500"/>
    <m/>
    <x v="0"/>
    <s v="N"/>
    <n v="-23.357281116232031"/>
    <n v="-46.847950767198888"/>
    <n v="607.14"/>
    <n v="1.0900000000000001"/>
    <n v="0"/>
    <m/>
    <n v="0"/>
    <m/>
    <m/>
    <s v="Não"/>
    <s v="Não"/>
    <s v="Não"/>
    <s v="Não"/>
    <n v="0"/>
    <n v="0"/>
  </r>
  <r>
    <s v="VGSP-330_036,000_EN_CL3"/>
    <x v="0"/>
    <s v="36,000"/>
    <m/>
    <s v="36,500"/>
    <m/>
    <x v="0"/>
    <s v="N"/>
    <n v="-23.355877538317181"/>
    <n v="-46.847564421412798"/>
    <n v="751.9"/>
    <n v="2.94"/>
    <n v="0"/>
    <m/>
    <n v="0"/>
    <m/>
    <m/>
    <s v="Não"/>
    <s v="Não"/>
    <s v="Não"/>
    <s v="Não"/>
    <n v="0"/>
    <n v="0"/>
  </r>
  <r>
    <s v="VGSP-348_036,000_CC2"/>
    <x v="40"/>
    <s v="36,000"/>
    <m/>
    <s v="36,500"/>
    <n v="0.5"/>
    <x v="1"/>
    <s v="C"/>
    <n v="-23.344941694175581"/>
    <n v="-46.815119890895389"/>
    <n v="3314.47"/>
    <n v="7.53"/>
    <n v="0"/>
    <m/>
    <n v="0"/>
    <m/>
    <m/>
    <s v="Não"/>
    <s v="Não"/>
    <s v="Não"/>
    <s v="Não"/>
    <n v="0"/>
    <n v="0"/>
  </r>
  <r>
    <s v="VGSP-330_036,000_EN_CL5"/>
    <x v="0"/>
    <s v="36,000"/>
    <m/>
    <s v="36,500"/>
    <m/>
    <x v="0"/>
    <s v="N"/>
    <n v="-23.36182977264993"/>
    <n v="-46.848033865797788"/>
    <n v="7310.99"/>
    <n v="2.4500000000000002"/>
    <n v="85"/>
    <m/>
    <n v="0"/>
    <s v="Trator 1.7m"/>
    <m/>
    <s v="Não"/>
    <s v="Não"/>
    <s v="Não"/>
    <s v="Não"/>
    <n v="6214.3414999999995"/>
    <n v="6214.3414999999995"/>
  </r>
  <r>
    <s v="VGSP-348_036,000_EN_CL1"/>
    <x v="0"/>
    <s v="36,000"/>
    <m/>
    <s v="36,500"/>
    <m/>
    <x v="0"/>
    <s v="N"/>
    <n v="-23.34814912845933"/>
    <n v="-46.811136789628947"/>
    <n v="1819.04"/>
    <n v="12.77"/>
    <n v="60"/>
    <m/>
    <n v="0"/>
    <s v="Trator 1.7m"/>
    <m/>
    <s v="Não"/>
    <s v="Não"/>
    <s v="Não"/>
    <s v="Não"/>
    <n v="1091.424"/>
    <n v="1091.424"/>
  </r>
  <r>
    <s v="VGSP-348_036,000_ES_CL2"/>
    <x v="0"/>
    <s v="36,000"/>
    <m/>
    <s v="36,500"/>
    <m/>
    <x v="0"/>
    <s v="S"/>
    <n v="-23.3458456979609"/>
    <n v="-46.814972558905389"/>
    <n v="1832.97"/>
    <n v="8.9499999999999993"/>
    <n v="0"/>
    <m/>
    <n v="0"/>
    <m/>
    <m/>
    <s v="Não"/>
    <s v="Não"/>
    <s v="Não"/>
    <s v="Não"/>
    <n v="0"/>
    <n v="0"/>
  </r>
  <r>
    <s v="VGSP-330_036,000_EN_CL9"/>
    <x v="0"/>
    <s v="36,000"/>
    <m/>
    <s v="36,500"/>
    <m/>
    <x v="0"/>
    <s v="N"/>
    <n v="-23.359925534392239"/>
    <n v="-46.848291828036373"/>
    <n v="54.25"/>
    <n v="3.23"/>
    <n v="0"/>
    <m/>
    <n v="0"/>
    <m/>
    <m/>
    <s v="Não"/>
    <s v="Não"/>
    <s v="Não"/>
    <s v="Não"/>
    <n v="0"/>
    <n v="0"/>
  </r>
  <r>
    <s v="VGSP-348_036,000_EN_CL2"/>
    <x v="0"/>
    <s v="36,000"/>
    <m/>
    <s v="36,500"/>
    <m/>
    <x v="0"/>
    <s v="N"/>
    <n v="-23.34528968236808"/>
    <n v="-46.814312744259269"/>
    <n v="1784.33"/>
    <n v="8.7100000000000009"/>
    <n v="30"/>
    <m/>
    <n v="0"/>
    <s v="Trator 1.7m"/>
    <m/>
    <s v="Não"/>
    <s v="Não"/>
    <s v="Não"/>
    <s v="Não"/>
    <n v="535.29899999999998"/>
    <n v="535.29899999999998"/>
  </r>
  <r>
    <s v="VGSP-330_036,000_EN_CL12"/>
    <x v="0"/>
    <s v="36,000"/>
    <m/>
    <s v="36,500"/>
    <m/>
    <x v="0"/>
    <s v="N"/>
    <n v="-23.355318456327652"/>
    <n v="-46.84755829024737"/>
    <n v="22.68"/>
    <n v="2.62"/>
    <n v="0"/>
    <m/>
    <n v="0"/>
    <m/>
    <m/>
    <s v="Não"/>
    <s v="Não"/>
    <s v="Não"/>
    <s v="Não"/>
    <n v="0"/>
    <n v="0"/>
  </r>
  <r>
    <s v="VGSP-348_036,000_ES_CL1"/>
    <x v="0"/>
    <s v="36,000"/>
    <m/>
    <s v="36,500"/>
    <m/>
    <x v="0"/>
    <s v="S"/>
    <n v="-23.348789912927611"/>
    <n v="-46.811698461820733"/>
    <n v="1970.85"/>
    <n v="5.56"/>
    <n v="0"/>
    <m/>
    <n v="0"/>
    <m/>
    <m/>
    <s v="Não"/>
    <s v="Não"/>
    <s v="Não"/>
    <s v="Não"/>
    <n v="0"/>
    <n v="0"/>
  </r>
  <r>
    <s v="VGSP-348_036,000_CC1"/>
    <x v="40"/>
    <s v="36,000"/>
    <m/>
    <s v="36,500"/>
    <n v="0.5"/>
    <x v="1"/>
    <s v="C"/>
    <n v="-23.34930638462556"/>
    <n v="-46.810053870693721"/>
    <n v="1714"/>
    <n v="9.6999999999999993"/>
    <n v="0"/>
    <m/>
    <n v="0"/>
    <m/>
    <m/>
    <s v="Não"/>
    <s v="Não"/>
    <s v="Não"/>
    <s v="Não"/>
    <n v="0"/>
    <n v="0"/>
  </r>
  <r>
    <s v="VGSP-330_036,000_EN_CL7"/>
    <x v="0"/>
    <s v="36,000"/>
    <m/>
    <s v="36,500"/>
    <m/>
    <x v="0"/>
    <s v="N"/>
    <n v="-23.35917990805137"/>
    <n v="-46.847921183347047"/>
    <n v="670.95"/>
    <n v="2.58"/>
    <n v="0"/>
    <m/>
    <n v="0"/>
    <m/>
    <m/>
    <s v="Não"/>
    <s v="Não"/>
    <s v="Não"/>
    <s v="Não"/>
    <n v="0"/>
    <n v="0"/>
  </r>
  <r>
    <s v="VGSP-330_036,000_ES_CL1"/>
    <x v="0"/>
    <s v="36,000"/>
    <m/>
    <s v="36,500"/>
    <m/>
    <x v="0"/>
    <s v="S"/>
    <n v="-23.364161680485498"/>
    <n v="-46.84720917273458"/>
    <n v="161.26"/>
    <n v="9.57"/>
    <n v="0"/>
    <m/>
    <n v="0"/>
    <m/>
    <m/>
    <s v="Não"/>
    <s v="Não"/>
    <s v="Não"/>
    <s v="Não"/>
    <n v="0"/>
    <n v="0"/>
  </r>
  <r>
    <s v="VGSP-330_036,000_ES_CL3"/>
    <x v="0"/>
    <s v="36,000"/>
    <m/>
    <s v="36,500"/>
    <m/>
    <x v="0"/>
    <s v="S"/>
    <n v="-23.363906622893332"/>
    <n v="-46.847325914028723"/>
    <n v="1586.89"/>
    <n v="6.41"/>
    <n v="0"/>
    <m/>
    <n v="0"/>
    <m/>
    <m/>
    <s v="Não"/>
    <s v="Não"/>
    <s v="Não"/>
    <s v="Não"/>
    <n v="0"/>
    <n v="0"/>
  </r>
  <r>
    <s v="VGSP-330_036,000_CC"/>
    <x v="41"/>
    <s v="36,000"/>
    <m/>
    <s v="36,500"/>
    <m/>
    <x v="1"/>
    <s v="C"/>
    <n v="-23.355657521866259"/>
    <n v="-46.847682533361997"/>
    <n v="593.29999999999995"/>
    <n v="3.84"/>
    <n v="70"/>
    <m/>
    <n v="0"/>
    <s v="Eixo-zero"/>
    <m/>
    <s v="Não"/>
    <s v="Não"/>
    <s v="Não"/>
    <s v="Não"/>
    <n v="415.30999999999995"/>
    <n v="415.30999999999995"/>
  </r>
  <r>
    <s v="VGSP-330_036,000_EN_CL8"/>
    <x v="0"/>
    <s v="36,000"/>
    <m/>
    <s v="36,500"/>
    <m/>
    <x v="0"/>
    <s v="N"/>
    <n v="-23.359994035931091"/>
    <n v="-46.84827716269578"/>
    <n v="114.34"/>
    <n v="3.23"/>
    <n v="0"/>
    <m/>
    <n v="0"/>
    <m/>
    <m/>
    <s v="Não"/>
    <s v="Não"/>
    <s v="Não"/>
    <s v="Não"/>
    <n v="0"/>
    <n v="0"/>
  </r>
  <r>
    <s v="VGSP-330_036,000_EN_CL2"/>
    <x v="0"/>
    <s v="36,000"/>
    <m/>
    <s v="36,500"/>
    <m/>
    <x v="0"/>
    <s v="N"/>
    <n v="-23.363599412295532"/>
    <n v="-46.847075033572509"/>
    <n v="449.08"/>
    <n v="3.65"/>
    <n v="0"/>
    <m/>
    <n v="0"/>
    <m/>
    <m/>
    <s v="Não"/>
    <s v="Não"/>
    <s v="Não"/>
    <s v="Não"/>
    <n v="0"/>
    <n v="0"/>
  </r>
  <r>
    <s v="VGSP-330_036,000_EN_CL1"/>
    <x v="0"/>
    <s v="36,000"/>
    <m/>
    <s v="36,500"/>
    <m/>
    <x v="0"/>
    <s v="N"/>
    <n v="-23.363938653838701"/>
    <n v="-46.846726162863732"/>
    <n v="13.58"/>
    <n v="7.62"/>
    <n v="0"/>
    <m/>
    <n v="0"/>
    <m/>
    <m/>
    <s v="Não"/>
    <s v="Não"/>
    <s v="Não"/>
    <s v="Não"/>
    <n v="0"/>
    <n v="0"/>
  </r>
  <r>
    <s v="VGSP-330_036,000_ES_CL5"/>
    <x v="0"/>
    <s v="36,000"/>
    <m/>
    <s v="36,500"/>
    <m/>
    <x v="0"/>
    <s v="S"/>
    <n v="-23.362021598326361"/>
    <n v="-46.84845986399624"/>
    <n v="1854.64"/>
    <n v="1.86"/>
    <n v="0"/>
    <m/>
    <n v="0"/>
    <m/>
    <m/>
    <s v="Não"/>
    <s v="Não"/>
    <s v="Não"/>
    <s v="Não"/>
    <n v="0"/>
    <n v="0"/>
  </r>
  <r>
    <s v="VGSP-330_036,000_ES_CL4"/>
    <x v="0"/>
    <s v="36,000"/>
    <m/>
    <s v="36,500"/>
    <m/>
    <x v="0"/>
    <s v="S"/>
    <n v="-23.36296720266991"/>
    <n v="-46.848090473567673"/>
    <n v="4798.66"/>
    <n v="1.93"/>
    <n v="0"/>
    <m/>
    <n v="0"/>
    <m/>
    <m/>
    <s v="Não"/>
    <s v="Não"/>
    <s v="Não"/>
    <s v="Não"/>
    <n v="0"/>
    <n v="0"/>
  </r>
  <r>
    <s v="VGSP-330_036,000_ES_CL2"/>
    <x v="0"/>
    <s v="36,000"/>
    <m/>
    <s v="36,500"/>
    <m/>
    <x v="0"/>
    <s v="S"/>
    <n v="-23.364023394397819"/>
    <n v="-46.847548714168539"/>
    <n v="85.84"/>
    <n v="6.87"/>
    <n v="0"/>
    <m/>
    <n v="0"/>
    <m/>
    <m/>
    <s v="Não"/>
    <s v="Não"/>
    <s v="Não"/>
    <s v="Não"/>
    <n v="0"/>
    <n v="0"/>
  </r>
  <r>
    <s v="VGSP-330_036,000_EN_CL10"/>
    <x v="0"/>
    <s v="36,000"/>
    <m/>
    <s v="36,500"/>
    <m/>
    <x v="0"/>
    <s v="N"/>
    <n v="-23.35828980735371"/>
    <n v="-46.84796860561751"/>
    <n v="7174.45"/>
    <n v="2.17"/>
    <n v="80"/>
    <m/>
    <n v="0"/>
    <s v="Trator 1.7m"/>
    <m/>
    <s v="Não"/>
    <s v="Não"/>
    <s v="Não"/>
    <s v="Não"/>
    <n v="5739.56"/>
    <n v="5739.56"/>
  </r>
  <r>
    <s v="VGSP-330_036,000_EN_CL6"/>
    <x v="0"/>
    <s v="36,000"/>
    <m/>
    <s v="36,500"/>
    <m/>
    <x v="0"/>
    <s v="N"/>
    <n v="-23.36084533726299"/>
    <n v="-46.848116509703409"/>
    <n v="818.86"/>
    <n v="3.16"/>
    <n v="0"/>
    <m/>
    <n v="0"/>
    <m/>
    <m/>
    <s v="Não"/>
    <s v="Não"/>
    <s v="Não"/>
    <s v="Não"/>
    <n v="0"/>
    <n v="0"/>
  </r>
  <r>
    <s v="VGSP-330_037,000_CC1"/>
    <x v="42"/>
    <s v="37,000"/>
    <m/>
    <s v="37,500"/>
    <m/>
    <x v="1"/>
    <s v="C"/>
    <n v="-23.354011669430712"/>
    <n v="-46.84718703620873"/>
    <n v="697"/>
    <n v="3.75"/>
    <n v="0"/>
    <m/>
    <n v="0"/>
    <m/>
    <m/>
    <s v="Não"/>
    <s v="Não"/>
    <s v="Não"/>
    <s v="Não"/>
    <n v="0"/>
    <n v="0"/>
  </r>
  <r>
    <s v="VGSP-348_037,000_CC3"/>
    <x v="43"/>
    <s v="37,000"/>
    <m/>
    <s v="37,500"/>
    <n v="0.5"/>
    <x v="1"/>
    <s v="C"/>
    <n v="-23.338558998537181"/>
    <n v="-46.821132195083592"/>
    <n v="8717.69"/>
    <n v="6.72"/>
    <n v="70"/>
    <m/>
    <n v="0"/>
    <s v="Eixo-zero"/>
    <m/>
    <s v="Não"/>
    <s v="Não"/>
    <s v="Não"/>
    <s v="Não"/>
    <n v="6102.3829999999998"/>
    <n v="6102.3829999999998"/>
  </r>
  <r>
    <s v="VGSP-348_037,000_ES_CL3"/>
    <x v="0"/>
    <s v="37,000"/>
    <m/>
    <s v="37,500"/>
    <m/>
    <x v="0"/>
    <s v="S"/>
    <n v="-23.341494389509869"/>
    <n v="-46.819220793955147"/>
    <n v="518.89"/>
    <n v="5.57"/>
    <n v="0"/>
    <m/>
    <n v="0"/>
    <m/>
    <m/>
    <s v="Não"/>
    <s v="Não"/>
    <s v="Não"/>
    <s v="Não"/>
    <n v="0"/>
    <n v="0"/>
  </r>
  <r>
    <s v="VGSP-348_037,000_EN_CL5"/>
    <x v="0"/>
    <s v="37,000"/>
    <m/>
    <s v="37,500"/>
    <m/>
    <x v="0"/>
    <s v="N"/>
    <n v="-23.338279179562221"/>
    <n v="-46.820878818260788"/>
    <n v="2910.49"/>
    <n v="10.62"/>
    <n v="0"/>
    <m/>
    <n v="0"/>
    <m/>
    <m/>
    <s v="Não"/>
    <s v="Não"/>
    <s v="Não"/>
    <s v="Não"/>
    <n v="0"/>
    <n v="0"/>
  </r>
  <r>
    <s v="VGSP-348_037,000_EN_CL3"/>
    <x v="0"/>
    <s v="37,000"/>
    <m/>
    <s v="37,500"/>
    <m/>
    <x v="0"/>
    <s v="N"/>
    <n v="-23.342575744821669"/>
    <n v="-46.817094206062883"/>
    <n v="2881.61"/>
    <n v="2.2599999999999998"/>
    <n v="30"/>
    <m/>
    <n v="0"/>
    <s v="Trator 1.7m"/>
    <m/>
    <s v="Não"/>
    <s v="Não"/>
    <s v="Não"/>
    <s v="Não"/>
    <n v="864.48300000000006"/>
    <n v="864.48300000000006"/>
  </r>
  <r>
    <s v="VGSP-348_037,000_EN_CL1"/>
    <x v="0"/>
    <s v="37,000"/>
    <m/>
    <s v="37,500"/>
    <m/>
    <x v="0"/>
    <s v="N"/>
    <n v="-23.342876622432492"/>
    <n v="-46.816591070057129"/>
    <n v="1082.8900000000001"/>
    <n v="1.96"/>
    <n v="30"/>
    <m/>
    <n v="0"/>
    <s v="Trator 1.7m"/>
    <m/>
    <s v="Não"/>
    <s v="Não"/>
    <s v="Não"/>
    <s v="Não"/>
    <n v="324.86700000000002"/>
    <n v="324.86700000000002"/>
  </r>
  <r>
    <s v="VGSP-348_037,000_ES_CL1"/>
    <x v="0"/>
    <s v="37,000"/>
    <m/>
    <s v="37,500"/>
    <m/>
    <x v="0"/>
    <s v="S"/>
    <n v="-23.343632753190739"/>
    <n v="-46.816966408686163"/>
    <n v="751.59"/>
    <n v="18.34"/>
    <n v="0"/>
    <m/>
    <n v="0"/>
    <m/>
    <m/>
    <s v="Não"/>
    <s v="Não"/>
    <s v="Não"/>
    <s v="Não"/>
    <n v="0"/>
    <n v="0"/>
  </r>
  <r>
    <s v="VGSP-330_037,000_ES_CL3"/>
    <x v="0"/>
    <s v="37,000"/>
    <m/>
    <s v="37,500"/>
    <m/>
    <x v="0"/>
    <s v="S"/>
    <n v="-23.35503061287428"/>
    <n v="-46.847631971021478"/>
    <n v="325.83999999999997"/>
    <n v="3.76"/>
    <n v="85"/>
    <m/>
    <n v="0"/>
    <s v="Eixo-zero"/>
    <m/>
    <s v="Não"/>
    <s v="Não"/>
    <s v="Não"/>
    <s v="Não"/>
    <n v="276.964"/>
    <n v="276.964"/>
  </r>
  <r>
    <s v="VGSP-330_037,000_EN_CL2"/>
    <x v="0"/>
    <s v="37,000"/>
    <m/>
    <s v="37,500"/>
    <m/>
    <x v="0"/>
    <s v="N"/>
    <n v="-23.3536079836426"/>
    <n v="-46.847236083215527"/>
    <n v="266.47000000000003"/>
    <n v="4.29"/>
    <n v="0"/>
    <m/>
    <n v="0"/>
    <m/>
    <m/>
    <s v="Não"/>
    <s v="Não"/>
    <s v="Não"/>
    <s v="Não"/>
    <n v="0"/>
    <n v="0"/>
  </r>
  <r>
    <s v="VGSP-348_037,000_EN_CL2"/>
    <x v="0"/>
    <s v="37,000"/>
    <m/>
    <s v="37,500"/>
    <m/>
    <x v="0"/>
    <s v="N"/>
    <n v="-23.343280448386711"/>
    <n v="-46.816407952625227"/>
    <n v="228.69"/>
    <n v="1.03"/>
    <n v="30"/>
    <m/>
    <n v="0"/>
    <s v="Trator 1.7m"/>
    <m/>
    <s v="Não"/>
    <s v="Não"/>
    <s v="Não"/>
    <s v="Não"/>
    <n v="68.606999999999999"/>
    <n v="68.606999999999999"/>
  </r>
  <r>
    <s v="VGSP-348_037,000_CC4"/>
    <x v="43"/>
    <s v="37,000"/>
    <m/>
    <s v="37,500"/>
    <n v="0.5"/>
    <x v="1"/>
    <s v="C"/>
    <n v="-23.33676670524634"/>
    <n v="-46.822584829950443"/>
    <n v="1719.77"/>
    <n v="7.7"/>
    <n v="0"/>
    <m/>
    <n v="0"/>
    <m/>
    <m/>
    <s v="Não"/>
    <s v="Não"/>
    <s v="Não"/>
    <s v="Não"/>
    <n v="0"/>
    <n v="0"/>
  </r>
  <r>
    <s v="VGSP-330_037,000_CC2"/>
    <x v="42"/>
    <s v="37,000"/>
    <m/>
    <s v="37,500"/>
    <m/>
    <x v="1"/>
    <s v="C"/>
    <n v="-23.352988612737281"/>
    <n v="-46.846830729358928"/>
    <n v="2438.27"/>
    <n v="4.47"/>
    <n v="0"/>
    <m/>
    <n v="0"/>
    <m/>
    <m/>
    <s v="Não"/>
    <s v="Não"/>
    <s v="Não"/>
    <s v="Não"/>
    <n v="0"/>
    <n v="0"/>
  </r>
  <r>
    <s v="VGSP-348_037,000_CC1"/>
    <x v="43"/>
    <s v="37,000"/>
    <m/>
    <s v="37,500"/>
    <n v="0.5"/>
    <x v="1"/>
    <s v="C"/>
    <n v="-23.34305523502767"/>
    <n v="-46.81711212806362"/>
    <n v="4131.33"/>
    <n v="4.67"/>
    <n v="70"/>
    <m/>
    <n v="0"/>
    <s v="Eixo-zero"/>
    <m/>
    <s v="Não"/>
    <s v="Não"/>
    <s v="Não"/>
    <s v="Não"/>
    <n v="2891.9309999999996"/>
    <n v="2891.9309999999996"/>
  </r>
  <r>
    <s v="VGSP-330_037,000_ES_CL2"/>
    <x v="0"/>
    <s v="37,000"/>
    <m/>
    <s v="37,500"/>
    <m/>
    <x v="0"/>
    <s v="S"/>
    <n v="-23.353932592501181"/>
    <n v="-46.847760590100243"/>
    <n v="1253.3399999999999"/>
    <n v="3.64"/>
    <n v="0"/>
    <m/>
    <n v="0"/>
    <m/>
    <m/>
    <s v="Não"/>
    <s v="Não"/>
    <s v="Não"/>
    <s v="Não"/>
    <n v="0"/>
    <n v="0"/>
  </r>
  <r>
    <s v="VGSP-330_037,000_ES_CL1"/>
    <x v="0"/>
    <s v="37,000"/>
    <m/>
    <s v="37,500"/>
    <m/>
    <x v="0"/>
    <s v="S"/>
    <n v="-23.348399848090221"/>
    <n v="-46.845675784627453"/>
    <n v="2006.18"/>
    <n v="8.27"/>
    <n v="55"/>
    <m/>
    <n v="1103.3990000000001"/>
    <s v="Trator com braço articulado"/>
    <m/>
    <s v="Não"/>
    <s v="Não"/>
    <s v="Não"/>
    <s v="Sim"/>
    <n v="0"/>
    <m/>
  </r>
  <r>
    <s v="VGSP-348_037,000_CC2"/>
    <x v="43"/>
    <s v="37,000"/>
    <m/>
    <s v="37,500"/>
    <n v="0.5"/>
    <x v="1"/>
    <s v="C"/>
    <n v="-23.341331039853809"/>
    <n v="-46.818945650286842"/>
    <n v="1984.1"/>
    <n v="5.72"/>
    <n v="70"/>
    <m/>
    <n v="0"/>
    <s v="Eixo-zero"/>
    <m/>
    <s v="Não"/>
    <s v="Não"/>
    <s v="Não"/>
    <s v="Não"/>
    <n v="1388.87"/>
    <n v="1388.87"/>
  </r>
  <r>
    <s v="VGSP-348_037,000_ES_CL2"/>
    <x v="0"/>
    <s v="37,000"/>
    <m/>
    <s v="37,500"/>
    <m/>
    <x v="0"/>
    <s v="S"/>
    <n v="-23.342605646193821"/>
    <n v="-46.81811202683128"/>
    <n v="1673.13"/>
    <n v="10.26"/>
    <n v="0"/>
    <m/>
    <n v="0"/>
    <m/>
    <m/>
    <s v="Não"/>
    <s v="Não"/>
    <s v="Não"/>
    <s v="Não"/>
    <n v="0"/>
    <n v="0"/>
  </r>
  <r>
    <s v="VGSP-348_037,000_ES_CL4"/>
    <x v="0"/>
    <s v="37,000"/>
    <m/>
    <s v="37,500"/>
    <m/>
    <x v="0"/>
    <s v="S"/>
    <n v="-23.339177709934269"/>
    <n v="-46.821180719744987"/>
    <n v="2096.21"/>
    <n v="7.46"/>
    <n v="0"/>
    <m/>
    <n v="0"/>
    <m/>
    <m/>
    <s v="Não"/>
    <s v="Não"/>
    <s v="Não"/>
    <s v="Não"/>
    <n v="0"/>
    <n v="0"/>
  </r>
  <r>
    <s v="VGSP-330_037,000_CC6"/>
    <x v="42"/>
    <s v="37,000"/>
    <m/>
    <s v="37,500"/>
    <m/>
    <x v="1"/>
    <s v="C"/>
    <n v="-23.352766083308371"/>
    <n v="-46.847126537155923"/>
    <n v="840.19"/>
    <n v="3.53"/>
    <n v="85"/>
    <m/>
    <n v="714.16150000000005"/>
    <s v="Spider"/>
    <m/>
    <s v="Não"/>
    <s v="Não"/>
    <s v="Não"/>
    <s v="Sim"/>
    <n v="0"/>
    <m/>
  </r>
  <r>
    <s v="VGSP-330_037,000_CC5"/>
    <x v="42"/>
    <s v="37,000"/>
    <m/>
    <s v="37,500"/>
    <m/>
    <x v="1"/>
    <s v="C"/>
    <n v="-23.354116280312979"/>
    <n v="-46.847415256096298"/>
    <n v="2394.58"/>
    <n v="3.39"/>
    <n v="80"/>
    <m/>
    <n v="1915.664"/>
    <s v="Spider"/>
    <m/>
    <s v="Não"/>
    <s v="Não"/>
    <s v="Não"/>
    <s v="Sim"/>
    <n v="0"/>
    <m/>
  </r>
  <r>
    <s v="VGSP-330_037,000_CC4"/>
    <x v="42"/>
    <s v="37,000"/>
    <m/>
    <s v="37,500"/>
    <m/>
    <x v="1"/>
    <s v="C"/>
    <n v="-23.354217505609899"/>
    <n v="-46.847354232966502"/>
    <n v="460.83"/>
    <n v="4.1500000000000004"/>
    <n v="0"/>
    <m/>
    <n v="0"/>
    <m/>
    <m/>
    <s v="Não"/>
    <s v="Não"/>
    <s v="Não"/>
    <s v="Não"/>
    <n v="0"/>
    <n v="0"/>
  </r>
  <r>
    <s v="VGSP-348_037,000_EN_CL4"/>
    <x v="0"/>
    <s v="37,000"/>
    <m/>
    <s v="37,500"/>
    <m/>
    <x v="0"/>
    <s v="N"/>
    <n v="-23.341150629449292"/>
    <n v="-46.818653335990547"/>
    <n v="673.77"/>
    <n v="5.52"/>
    <n v="30"/>
    <m/>
    <n v="0"/>
    <s v="Trator 1.7m"/>
    <m/>
    <s v="Não"/>
    <s v="Não"/>
    <s v="Não"/>
    <s v="Não"/>
    <n v="202.131"/>
    <n v="202.131"/>
  </r>
  <r>
    <s v="VGSP-330_037,000_EN_CL1"/>
    <x v="0"/>
    <s v="37,000"/>
    <m/>
    <s v="37,500"/>
    <m/>
    <x v="0"/>
    <s v="N"/>
    <n v="-23.348490220567381"/>
    <n v="-46.845410333552827"/>
    <n v="1932.14"/>
    <n v="12.59"/>
    <n v="40"/>
    <m/>
    <n v="0"/>
    <s v="Trator 4.7m"/>
    <m/>
    <s v="Não"/>
    <s v="Não"/>
    <s v="Não"/>
    <s v="Não"/>
    <n v="772.85600000000011"/>
    <n v="772.85600000000011"/>
  </r>
  <r>
    <s v="VGSP-330_037,000_CC3"/>
    <x v="42"/>
    <s v="37,000"/>
    <m/>
    <s v="37,500"/>
    <m/>
    <x v="1"/>
    <s v="C"/>
    <n v="-23.351548894691611"/>
    <n v="-46.847027228180593"/>
    <n v="998.56"/>
    <n v="4.6399999999999997"/>
    <n v="0"/>
    <m/>
    <n v="0"/>
    <m/>
    <m/>
    <s v="Não"/>
    <s v="Não"/>
    <s v="Não"/>
    <s v="Não"/>
    <n v="0"/>
    <n v="0"/>
  </r>
  <r>
    <s v="VGSP-330_038,000_EN_CL5"/>
    <x v="0"/>
    <s v="38,000"/>
    <m/>
    <s v="38,500"/>
    <m/>
    <x v="0"/>
    <s v="N"/>
    <n v="-23.344294199555481"/>
    <n v="-46.839242944734274"/>
    <n v="2621.62"/>
    <n v="8.25"/>
    <n v="70"/>
    <m/>
    <n v="0"/>
    <s v="Trator 1.7m"/>
    <m/>
    <s v="Não"/>
    <s v="Não"/>
    <s v="Não"/>
    <s v="Não"/>
    <n v="1835.1339999999998"/>
    <n v="1835.1339999999998"/>
  </r>
  <r>
    <s v="VGSP-330_038,000_ES_CL7"/>
    <x v="0"/>
    <s v="38,000"/>
    <m/>
    <s v="38,500"/>
    <m/>
    <x v="0"/>
    <s v="S"/>
    <n v="-23.342950811406151"/>
    <n v="-46.838982597799522"/>
    <n v="8566.4699999999993"/>
    <n v="3.01"/>
    <n v="60"/>
    <m/>
    <n v="0"/>
    <s v="Trator 1.7m"/>
    <m/>
    <s v="Não"/>
    <s v="Não"/>
    <s v="Não"/>
    <s v="Não"/>
    <n v="5139.8819999999996"/>
    <n v="5139.8819999999996"/>
  </r>
  <r>
    <s v="VGSP-330_038,000_EN_CL8"/>
    <x v="0"/>
    <s v="38,000"/>
    <m/>
    <s v="38,500"/>
    <m/>
    <x v="0"/>
    <s v="N"/>
    <n v="-23.342471113205171"/>
    <n v="-46.837942659090118"/>
    <n v="1545.3"/>
    <n v="12"/>
    <n v="0"/>
    <m/>
    <n v="0"/>
    <m/>
    <m/>
    <s v="Não"/>
    <s v="Não"/>
    <s v="Não"/>
    <s v="Não"/>
    <n v="0"/>
    <n v="0"/>
  </r>
  <r>
    <s v="VGSP-330_038,000_EN_CL4"/>
    <x v="0"/>
    <s v="38,000"/>
    <m/>
    <s v="38,500"/>
    <m/>
    <x v="0"/>
    <s v="N"/>
    <n v="-23.344564981499889"/>
    <n v="-46.839858589513852"/>
    <n v="2457.2600000000002"/>
    <n v="6.21"/>
    <n v="30"/>
    <m/>
    <n v="0"/>
    <s v="Trator 1.7m"/>
    <m/>
    <s v="Não"/>
    <s v="Não"/>
    <s v="Não"/>
    <s v="Não"/>
    <n v="737.178"/>
    <n v="737.178"/>
  </r>
  <r>
    <s v="VGSP-330_038,000_EN_CL1"/>
    <x v="0"/>
    <s v="38,000"/>
    <m/>
    <s v="38,500"/>
    <m/>
    <x v="0"/>
    <s v="N"/>
    <n v="-23.34558400626398"/>
    <n v="-46.842354530025773"/>
    <n v="1911.44"/>
    <n v="11.25"/>
    <n v="40"/>
    <m/>
    <n v="0"/>
    <s v="Trator 4.7m"/>
    <m/>
    <s v="Não"/>
    <s v="Não"/>
    <s v="Não"/>
    <s v="Não"/>
    <n v="764.57600000000002"/>
    <n v="764.57600000000002"/>
  </r>
  <r>
    <s v="VGSP-330_038,000_ES_CL1"/>
    <x v="0"/>
    <s v="38,000"/>
    <m/>
    <s v="38,500"/>
    <m/>
    <x v="0"/>
    <s v="S"/>
    <n v="-23.34525825899339"/>
    <n v="-46.84261867527907"/>
    <n v="1926.58"/>
    <n v="6.9"/>
    <n v="0"/>
    <m/>
    <n v="0"/>
    <m/>
    <m/>
    <s v="Não"/>
    <s v="Não"/>
    <s v="Não"/>
    <s v="Não"/>
    <n v="0"/>
    <n v="0"/>
  </r>
  <r>
    <s v="VGSP-330_038,000_EN_CL2"/>
    <x v="0"/>
    <s v="38,000"/>
    <m/>
    <s v="38,500"/>
    <m/>
    <x v="0"/>
    <s v="N"/>
    <n v="-23.344710645387629"/>
    <n v="-46.839394756968062"/>
    <n v="651.26"/>
    <n v="11.47"/>
    <n v="0"/>
    <m/>
    <n v="0"/>
    <m/>
    <m/>
    <s v="Não"/>
    <s v="Não"/>
    <s v="Não"/>
    <s v="Não"/>
    <n v="0"/>
    <n v="0"/>
  </r>
  <r>
    <s v="VGSP-330_038,000_EN_CL6"/>
    <x v="0"/>
    <s v="38,000"/>
    <m/>
    <s v="38,500"/>
    <m/>
    <x v="0"/>
    <s v="N"/>
    <n v="-23.344237225240128"/>
    <n v="-46.838344368689889"/>
    <n v="1722.03"/>
    <n v="9.5"/>
    <n v="90"/>
    <m/>
    <n v="1549.827"/>
    <s v="Spider"/>
    <m/>
    <s v="Não"/>
    <s v="Não"/>
    <s v="Não"/>
    <s v="Sim"/>
    <n v="0"/>
    <m/>
  </r>
  <r>
    <s v="VGSP-348_038,000_EN_CL3"/>
    <x v="0"/>
    <s v="38,000"/>
    <m/>
    <s v="38,500"/>
    <m/>
    <x v="0"/>
    <s v="N"/>
    <n v="-23.332397416264911"/>
    <n v="-46.822810208494737"/>
    <n v="578.94000000000005"/>
    <n v="5.19"/>
    <n v="0"/>
    <m/>
    <n v="0"/>
    <m/>
    <m/>
    <s v="Não"/>
    <s v="Não"/>
    <s v="Não"/>
    <s v="Não"/>
    <n v="0"/>
    <n v="0"/>
  </r>
  <r>
    <s v="VGSP-330_038,000_EN_CL3"/>
    <x v="0"/>
    <s v="38,000"/>
    <m/>
    <s v="38,500"/>
    <m/>
    <x v="0"/>
    <s v="N"/>
    <n v="-23.344873811683009"/>
    <n v="-46.840560675125133"/>
    <n v="892.1"/>
    <n v="5.86"/>
    <n v="40"/>
    <m/>
    <n v="0"/>
    <s v="Trator 4.7m"/>
    <m/>
    <s v="Não"/>
    <s v="Não"/>
    <s v="Não"/>
    <s v="Não"/>
    <n v="356.84000000000003"/>
    <n v="356.84000000000003"/>
  </r>
  <r>
    <s v="VGSP-348_038,000_CC3"/>
    <x v="44"/>
    <s v="38,000"/>
    <m/>
    <s v="38,500"/>
    <n v="0.5"/>
    <x v="1"/>
    <s v="C"/>
    <n v="-23.329411845033832"/>
    <n v="-46.82323925079919"/>
    <n v="6253.53"/>
    <n v="3.42"/>
    <n v="70"/>
    <m/>
    <n v="0"/>
    <s v="Eixo-zero"/>
    <m/>
    <s v="Não"/>
    <s v="Não"/>
    <s v="Não"/>
    <s v="Não"/>
    <n v="4377.4709999999995"/>
    <n v="4377.4709999999995"/>
  </r>
  <r>
    <s v="VGSP-348_038,000_ES_CL2"/>
    <x v="0"/>
    <s v="38,000"/>
    <m/>
    <s v="38,500"/>
    <m/>
    <x v="0"/>
    <s v="S"/>
    <n v="-23.331594207353191"/>
    <n v="-46.823850805716873"/>
    <n v="0.62"/>
    <n v="2.64"/>
    <m/>
    <m/>
    <n v="0"/>
    <m/>
    <m/>
    <s v="Não"/>
    <s v="Não"/>
    <s v="Não"/>
    <s v="Não"/>
    <n v="0"/>
    <n v="0"/>
  </r>
  <r>
    <s v="VGSP-348_038,000_CC1"/>
    <x v="44"/>
    <s v="38,000"/>
    <m/>
    <s v="38,500"/>
    <n v="0.5"/>
    <x v="1"/>
    <s v="C"/>
    <n v="-23.334736376907252"/>
    <n v="-46.822819578602733"/>
    <n v="3675.63"/>
    <n v="3.8"/>
    <n v="70"/>
    <m/>
    <n v="0"/>
    <s v="Eixo-zero"/>
    <m/>
    <s v="Não"/>
    <s v="Não"/>
    <s v="Não"/>
    <s v="Não"/>
    <n v="2572.9409999999998"/>
    <n v="2572.9409999999998"/>
  </r>
  <r>
    <s v="VGSP-348_038,000_EN_CL2"/>
    <x v="0"/>
    <s v="38,000"/>
    <m/>
    <s v="38,500"/>
    <m/>
    <x v="0"/>
    <s v="N"/>
    <n v="-23.33078249000453"/>
    <n v="-46.822166885429809"/>
    <n v="5.58"/>
    <n v="1.77"/>
    <m/>
    <m/>
    <n v="0"/>
    <m/>
    <m/>
    <s v="Não"/>
    <s v="Não"/>
    <s v="Não"/>
    <s v="Não"/>
    <n v="0"/>
    <n v="0"/>
  </r>
  <r>
    <s v="VGSP-348_038,000_EN_CL1"/>
    <x v="0"/>
    <s v="38,000"/>
    <m/>
    <s v="38,500"/>
    <m/>
    <x v="0"/>
    <s v="N"/>
    <n v="-23.33460186947574"/>
    <n v="-46.822526808413812"/>
    <n v="1072.55"/>
    <n v="6.72"/>
    <n v="0"/>
    <m/>
    <n v="0"/>
    <m/>
    <m/>
    <s v="Não"/>
    <s v="Não"/>
    <s v="Não"/>
    <s v="Não"/>
    <n v="0"/>
    <n v="0"/>
  </r>
  <r>
    <s v="VGSP-348_038,000_EN_CL4"/>
    <x v="0"/>
    <s v="38,000"/>
    <m/>
    <s v="38,500"/>
    <m/>
    <x v="0"/>
    <s v="N"/>
    <n v="-23.32949351439628"/>
    <n v="-46.822906941758013"/>
    <n v="2000.55"/>
    <n v="4.6100000000000003"/>
    <n v="0"/>
    <m/>
    <n v="0"/>
    <m/>
    <m/>
    <s v="Não"/>
    <s v="Não"/>
    <s v="Não"/>
    <s v="Não"/>
    <n v="0"/>
    <n v="0"/>
  </r>
  <r>
    <s v="VGSP-348_038,000_ES_CL5"/>
    <x v="0"/>
    <s v="38,000"/>
    <m/>
    <s v="38,500"/>
    <m/>
    <x v="0"/>
    <s v="S"/>
    <n v="-23.32942207043827"/>
    <n v="-46.823570617543062"/>
    <n v="2014.25"/>
    <n v="3.63"/>
    <n v="0"/>
    <m/>
    <n v="0"/>
    <m/>
    <m/>
    <s v="Não"/>
    <s v="Não"/>
    <s v="Não"/>
    <s v="Não"/>
    <n v="0"/>
    <n v="0"/>
  </r>
  <r>
    <s v="VGSP-348_038,000_ES_CL4"/>
    <x v="0"/>
    <s v="38,000"/>
    <m/>
    <s v="38,500"/>
    <m/>
    <x v="0"/>
    <s v="S"/>
    <n v="-23.332395467075798"/>
    <n v="-46.823475957375777"/>
    <n v="620.64"/>
    <n v="4.9400000000000004"/>
    <n v="0"/>
    <m/>
    <n v="0"/>
    <m/>
    <m/>
    <s v="Não"/>
    <s v="Não"/>
    <s v="Não"/>
    <s v="Não"/>
    <n v="0"/>
    <n v="0"/>
  </r>
  <r>
    <s v="VGSP-348_038,000_ES_CL1"/>
    <x v="0"/>
    <s v="38,000"/>
    <m/>
    <s v="38,500"/>
    <m/>
    <x v="0"/>
    <s v="S"/>
    <n v="-23.33398306235798"/>
    <n v="-46.8234146037504"/>
    <n v="381.46"/>
    <n v="4.38"/>
    <n v="0"/>
    <m/>
    <n v="0"/>
    <m/>
    <m/>
    <s v="Não"/>
    <s v="Não"/>
    <s v="Não"/>
    <s v="Não"/>
    <n v="0"/>
    <n v="0"/>
  </r>
  <r>
    <s v="VGSP-330_038,000_EN_CL7"/>
    <x v="0"/>
    <s v="38,000"/>
    <m/>
    <s v="38,500"/>
    <m/>
    <x v="0"/>
    <s v="N"/>
    <n v="-23.343175949459962"/>
    <n v="-46.838436538023259"/>
    <n v="8797.02"/>
    <n v="5.83"/>
    <n v="70"/>
    <m/>
    <n v="0"/>
    <s v="Trator 1.7m"/>
    <m/>
    <s v="Não"/>
    <s v="Não"/>
    <s v="Não"/>
    <s v="Não"/>
    <n v="6157.9139999999998"/>
    <n v="6157.9139999999998"/>
  </r>
  <r>
    <s v="VGSP-330_038,000_ES_CL3"/>
    <x v="0"/>
    <s v="38,000"/>
    <m/>
    <s v="38,500"/>
    <m/>
    <x v="0"/>
    <s v="S"/>
    <n v="-23.34463292120736"/>
    <n v="-46.840894942007033"/>
    <n v="2121.65"/>
    <n v="3.04"/>
    <n v="0"/>
    <m/>
    <n v="0"/>
    <m/>
    <m/>
    <s v="Não"/>
    <s v="Não"/>
    <s v="Não"/>
    <s v="Não"/>
    <n v="0"/>
    <n v="0"/>
  </r>
  <r>
    <s v="VGSP-330_038,000_ES_CL4"/>
    <x v="0"/>
    <s v="38,000"/>
    <m/>
    <s v="38,500"/>
    <m/>
    <x v="0"/>
    <s v="S"/>
    <n v="-23.344201153927081"/>
    <n v="-46.840156092758633"/>
    <n v="2398.1"/>
    <n v="3.65"/>
    <n v="20"/>
    <m/>
    <n v="0"/>
    <s v="Trator 1.7m"/>
    <m/>
    <s v="Não"/>
    <s v="Não"/>
    <s v="Não"/>
    <s v="Não"/>
    <n v="479.62"/>
    <n v="479.62"/>
  </r>
  <r>
    <s v="VGSP-330_038,000_ES_CL6"/>
    <x v="0"/>
    <s v="38,000"/>
    <m/>
    <s v="38,500"/>
    <m/>
    <x v="0"/>
    <s v="S"/>
    <n v="-23.343652286801021"/>
    <n v="-46.839973210506571"/>
    <n v="284.2"/>
    <n v="4.1399999999999997"/>
    <n v="20"/>
    <m/>
    <n v="0"/>
    <s v="Trator 1.7m"/>
    <m/>
    <s v="Não"/>
    <s v="Não"/>
    <s v="Não"/>
    <s v="Não"/>
    <n v="56.84"/>
    <n v="56.84"/>
  </r>
  <r>
    <s v="VGSP-330_038,000_ES_CL5"/>
    <x v="0"/>
    <s v="38,000"/>
    <m/>
    <s v="38,500"/>
    <m/>
    <x v="0"/>
    <s v="S"/>
    <n v="-23.343905439755101"/>
    <n v="-46.840018750185237"/>
    <n v="644.5"/>
    <n v="3.73"/>
    <n v="20"/>
    <m/>
    <n v="0"/>
    <s v="Trator 1.7m"/>
    <m/>
    <s v="Não"/>
    <s v="Não"/>
    <s v="Não"/>
    <s v="Não"/>
    <n v="128.9"/>
    <n v="128.9"/>
  </r>
  <r>
    <s v="VGSP-330_038,000_ES_CL2"/>
    <x v="0"/>
    <s v="38,000"/>
    <m/>
    <s v="38,500"/>
    <m/>
    <x v="0"/>
    <s v="S"/>
    <n v="-23.34390031453864"/>
    <n v="-46.840386781983767"/>
    <n v="311.77999999999997"/>
    <n v="2.58"/>
    <n v="20"/>
    <m/>
    <n v="0"/>
    <s v="Trator 1.7m"/>
    <m/>
    <s v="Não"/>
    <s v="Não"/>
    <s v="Não"/>
    <s v="Não"/>
    <n v="62.355999999999995"/>
    <n v="62.355999999999995"/>
  </r>
  <r>
    <s v="VGSP-330_038,000_ES_CL8"/>
    <x v="0"/>
    <s v="38,000"/>
    <m/>
    <s v="38,500"/>
    <m/>
    <x v="0"/>
    <s v="S"/>
    <n v="-23.34221766628303"/>
    <n v="-46.838768581879577"/>
    <n v="1577.07"/>
    <n v="3.58"/>
    <n v="20"/>
    <m/>
    <n v="0"/>
    <s v="Trator 1.7m"/>
    <m/>
    <s v="Não"/>
    <s v="Não"/>
    <s v="Não"/>
    <s v="Não"/>
    <n v="315.41399999999999"/>
    <n v="315.41399999999999"/>
  </r>
  <r>
    <s v="VGSP-348_038,000_ES_CL3"/>
    <x v="0"/>
    <s v="38,000"/>
    <m/>
    <s v="38,500"/>
    <m/>
    <x v="0"/>
    <s v="S"/>
    <n v="-23.332410802509639"/>
    <n v="-46.823134595902282"/>
    <n v="1964.05"/>
    <n v="4.49"/>
    <n v="70"/>
    <m/>
    <n v="0"/>
    <s v="Eixo-zero"/>
    <m/>
    <s v="Não"/>
    <s v="Não"/>
    <s v="Não"/>
    <s v="Não"/>
    <n v="1374.8349999999998"/>
    <n v="1374.8349999999998"/>
  </r>
  <r>
    <s v="VGSP-348_038,000_CC2"/>
    <x v="44"/>
    <s v="38,000"/>
    <m/>
    <s v="38,500"/>
    <n v="0.5"/>
    <x v="1"/>
    <s v="C"/>
    <n v="-23.33520521514254"/>
    <n v="-46.823112527645897"/>
    <n v="2935.83"/>
    <n v="5.29"/>
    <n v="0"/>
    <m/>
    <n v="0"/>
    <m/>
    <m/>
    <s v="Não"/>
    <s v="Não"/>
    <s v="Não"/>
    <s v="Não"/>
    <n v="0"/>
    <n v="0"/>
  </r>
  <r>
    <s v="VGSP-348_039,000_CC1"/>
    <x v="45"/>
    <s v="39,000"/>
    <m/>
    <s v="39,500"/>
    <n v="0.5"/>
    <x v="1"/>
    <s v="C"/>
    <n v="-23.326094768725749"/>
    <n v="-46.823380463543771"/>
    <n v="2849.06"/>
    <n v="7.5"/>
    <n v="0"/>
    <m/>
    <n v="0"/>
    <m/>
    <m/>
    <s v="Não"/>
    <s v="Não"/>
    <s v="Não"/>
    <s v="Não"/>
    <n v="0"/>
    <n v="0"/>
  </r>
  <r>
    <s v="VGSP-330_039,000_ES_CL6"/>
    <x v="0"/>
    <s v="39,000"/>
    <m/>
    <s v="39,500"/>
    <m/>
    <x v="0"/>
    <s v="S"/>
    <n v="-23.33369378508829"/>
    <n v="-46.837561943944969"/>
    <n v="2366.4299999999998"/>
    <n v="4.91"/>
    <n v="0"/>
    <m/>
    <n v="0"/>
    <m/>
    <m/>
    <s v="Não"/>
    <s v="Não"/>
    <s v="Não"/>
    <s v="Não"/>
    <n v="0"/>
    <n v="0"/>
  </r>
  <r>
    <s v="VGSP-330_039,000_EN_CL4"/>
    <x v="0"/>
    <s v="39,000"/>
    <m/>
    <s v="39,500"/>
    <m/>
    <x v="0"/>
    <s v="N"/>
    <n v="-23.334544664476141"/>
    <n v="-46.83683022158062"/>
    <n v="810.76"/>
    <n v="5.09"/>
    <n v="0"/>
    <m/>
    <n v="0"/>
    <m/>
    <m/>
    <s v="Não"/>
    <s v="Não"/>
    <s v="Não"/>
    <s v="Não"/>
    <n v="0"/>
    <n v="0"/>
  </r>
  <r>
    <s v="VGSP-330_039,000_ES_CL2"/>
    <x v="0"/>
    <s v="39,000"/>
    <m/>
    <s v="39,500"/>
    <m/>
    <x v="0"/>
    <s v="S"/>
    <n v="-23.336368524992"/>
    <n v="-46.836779679686707"/>
    <n v="555.29"/>
    <n v="4.49"/>
    <n v="0"/>
    <m/>
    <n v="0"/>
    <m/>
    <m/>
    <s v="Não"/>
    <s v="Não"/>
    <s v="Não"/>
    <s v="Não"/>
    <n v="0"/>
    <n v="0"/>
  </r>
  <r>
    <s v="VGSP-330_039,000_EN_CL2"/>
    <x v="0"/>
    <s v="39,000"/>
    <m/>
    <s v="39,500"/>
    <m/>
    <x v="0"/>
    <s v="N"/>
    <n v="-23.33682172447136"/>
    <n v="-46.836234326658797"/>
    <n v="230.93"/>
    <n v="4.13"/>
    <n v="0"/>
    <m/>
    <n v="0"/>
    <m/>
    <m/>
    <s v="Não"/>
    <s v="Não"/>
    <s v="Não"/>
    <s v="Não"/>
    <n v="0"/>
    <n v="0"/>
  </r>
  <r>
    <s v="VGSP-348_039,000_ES_CL2"/>
    <x v="0"/>
    <s v="39,000"/>
    <m/>
    <s v="39,500"/>
    <m/>
    <x v="0"/>
    <s v="S"/>
    <n v="-23.32136629304761"/>
    <n v="-46.823956622550888"/>
    <n v="1321.76"/>
    <n v="6.74"/>
    <n v="0"/>
    <m/>
    <n v="0"/>
    <m/>
    <m/>
    <s v="Não"/>
    <s v="Não"/>
    <s v="Não"/>
    <s v="Não"/>
    <n v="0"/>
    <n v="0"/>
  </r>
  <r>
    <s v="VGSP-330_039,000_ES_CL4"/>
    <x v="0"/>
    <s v="39,000"/>
    <m/>
    <s v="39,500"/>
    <m/>
    <x v="0"/>
    <s v="S"/>
    <n v="-23.334677310651021"/>
    <n v="-46.837196398040817"/>
    <n v="764.23"/>
    <n v="2.85"/>
    <n v="0"/>
    <m/>
    <n v="0"/>
    <m/>
    <m/>
    <s v="Não"/>
    <s v="Não"/>
    <s v="Não"/>
    <s v="Não"/>
    <n v="0"/>
    <n v="0"/>
  </r>
  <r>
    <s v="VGSP-348_039,000_EN_CL3"/>
    <x v="0"/>
    <s v="39,000"/>
    <m/>
    <s v="39,500"/>
    <m/>
    <x v="0"/>
    <s v="N"/>
    <n v="-23.32055904819309"/>
    <n v="-46.823092176214153"/>
    <n v="1433.74"/>
    <n v="7.08"/>
    <n v="0"/>
    <m/>
    <n v="0"/>
    <m/>
    <m/>
    <s v="Não"/>
    <s v="Não"/>
    <s v="Não"/>
    <s v="Não"/>
    <n v="0"/>
    <n v="0"/>
  </r>
  <r>
    <s v="VGSP-348_039,000_EN_CL4"/>
    <x v="0"/>
    <s v="39,000"/>
    <m/>
    <s v="39,500"/>
    <m/>
    <x v="0"/>
    <s v="N"/>
    <n v="-23.318889206476062"/>
    <n v="-46.823241133848313"/>
    <n v="52.15"/>
    <n v="7.45"/>
    <n v="0"/>
    <m/>
    <n v="0"/>
    <m/>
    <m/>
    <s v="Não"/>
    <s v="Não"/>
    <s v="Não"/>
    <s v="Não"/>
    <n v="0"/>
    <n v="0"/>
  </r>
  <r>
    <s v="VGSP-330_039,000_ES_CL5"/>
    <x v="0"/>
    <s v="39,000"/>
    <m/>
    <s v="39,500"/>
    <m/>
    <x v="0"/>
    <s v="S"/>
    <n v="-23.33402331065491"/>
    <n v="-46.837325495086773"/>
    <n v="50.55"/>
    <n v="2.81"/>
    <n v="0"/>
    <m/>
    <n v="0"/>
    <m/>
    <m/>
    <s v="Não"/>
    <s v="Não"/>
    <s v="Não"/>
    <s v="Não"/>
    <n v="0"/>
    <n v="0"/>
  </r>
  <r>
    <s v="VGSP-330_039,000_ES_CL3"/>
    <x v="0"/>
    <s v="39,000"/>
    <m/>
    <s v="39,500"/>
    <m/>
    <x v="0"/>
    <s v="S"/>
    <n v="-23.335706660977358"/>
    <n v="-46.836966837383812"/>
    <n v="1667.8"/>
    <n v="5.42"/>
    <n v="0"/>
    <m/>
    <n v="0"/>
    <m/>
    <m/>
    <s v="Não"/>
    <s v="Não"/>
    <s v="Não"/>
    <s v="Não"/>
    <n v="0"/>
    <n v="0"/>
  </r>
  <r>
    <s v="VGSP-330_039,000_EN_CL6"/>
    <x v="0"/>
    <s v="39,000"/>
    <m/>
    <s v="39,500"/>
    <m/>
    <x v="0"/>
    <s v="N"/>
    <n v="-23.33277118748612"/>
    <n v="-46.837372626055107"/>
    <n v="793.55"/>
    <n v="3.92"/>
    <n v="0"/>
    <m/>
    <n v="0"/>
    <m/>
    <m/>
    <s v="Não"/>
    <s v="Não"/>
    <s v="Não"/>
    <s v="Não"/>
    <n v="0"/>
    <n v="0"/>
  </r>
  <r>
    <s v="VGSP-330_039,000_EN_CL3"/>
    <x v="0"/>
    <s v="39,000"/>
    <m/>
    <s v="39,500"/>
    <m/>
    <x v="0"/>
    <s v="N"/>
    <n v="-23.33610735382155"/>
    <n v="-46.836447959371917"/>
    <n v="850.68"/>
    <n v="6.28"/>
    <n v="0"/>
    <m/>
    <n v="0"/>
    <m/>
    <m/>
    <s v="Não"/>
    <s v="Não"/>
    <s v="Não"/>
    <s v="Não"/>
    <n v="0"/>
    <n v="0"/>
  </r>
  <r>
    <s v="VGSP-348_039,000_EN_CL5"/>
    <x v="0"/>
    <s v="39,000"/>
    <m/>
    <s v="39,500"/>
    <m/>
    <x v="0"/>
    <s v="N"/>
    <n v="-23.318904230431212"/>
    <n v="-46.823543248536687"/>
    <n v="38.700000000000003"/>
    <n v="4.87"/>
    <n v="70"/>
    <m/>
    <n v="0"/>
    <s v="Eixo-zero"/>
    <m/>
    <s v="Não"/>
    <s v="Não"/>
    <s v="Não"/>
    <s v="Não"/>
    <n v="27.09"/>
    <n v="27.09"/>
  </r>
  <r>
    <s v="VGSP-330_039,000_EN_CL1"/>
    <x v="0"/>
    <s v="39,000"/>
    <m/>
    <s v="39,500"/>
    <m/>
    <x v="0"/>
    <s v="N"/>
    <n v="-23.338945287192931"/>
    <n v="-46.836828384360551"/>
    <n v="1732.19"/>
    <n v="8.07"/>
    <n v="0"/>
    <m/>
    <n v="0"/>
    <m/>
    <m/>
    <s v="Não"/>
    <s v="Não"/>
    <s v="Não"/>
    <s v="Não"/>
    <n v="0"/>
    <n v="0"/>
  </r>
  <r>
    <s v="VGSP-348_039,000_CC2"/>
    <x v="45"/>
    <s v="39,000"/>
    <m/>
    <s v="39,500"/>
    <n v="0.5"/>
    <x v="1"/>
    <s v="C"/>
    <n v="-23.319930221691472"/>
    <n v="-46.823591121047578"/>
    <n v="4172.49"/>
    <n v="8.17"/>
    <n v="70"/>
    <m/>
    <n v="0"/>
    <s v="Eixo-zero"/>
    <m/>
    <s v="Não"/>
    <s v="Não"/>
    <s v="Não"/>
    <s v="Não"/>
    <n v="2920.7429999999995"/>
    <n v="2920.7429999999995"/>
  </r>
  <r>
    <s v="VGSP-330_039,000_ES_CL7"/>
    <x v="0"/>
    <s v="39,000"/>
    <m/>
    <s v="39,500"/>
    <m/>
    <x v="0"/>
    <s v="S"/>
    <n v="-23.332599109536179"/>
    <n v="-46.837707220843768"/>
    <n v="608.54"/>
    <n v="4.33"/>
    <n v="75"/>
    <m/>
    <n v="0"/>
    <s v="Trator 1.7m"/>
    <m/>
    <s v="Não"/>
    <s v="Não"/>
    <s v="Não"/>
    <s v="Não"/>
    <n v="456.40499999999997"/>
    <n v="456.40499999999997"/>
  </r>
  <r>
    <s v="VGSP-348_039,000_EN_CL2"/>
    <x v="0"/>
    <s v="39,000"/>
    <m/>
    <s v="39,500"/>
    <m/>
    <x v="0"/>
    <s v="N"/>
    <n v="-23.322831627256711"/>
    <n v="-46.822776030402864"/>
    <n v="52.21"/>
    <n v="9.7799999999999994"/>
    <n v="0"/>
    <m/>
    <n v="0"/>
    <m/>
    <m/>
    <s v="Não"/>
    <s v="Não"/>
    <s v="Não"/>
    <s v="Não"/>
    <n v="0"/>
    <n v="0"/>
  </r>
  <r>
    <s v="VGSP-348_039,000_ES_CL3"/>
    <x v="0"/>
    <s v="39,000"/>
    <m/>
    <s v="39,500"/>
    <m/>
    <x v="0"/>
    <s v="S"/>
    <n v="-23.324130103683739"/>
    <n v="-46.824513332938707"/>
    <n v="0.96"/>
    <n v="8.94"/>
    <m/>
    <m/>
    <n v="0"/>
    <m/>
    <m/>
    <s v="Não"/>
    <s v="Não"/>
    <s v="Não"/>
    <s v="Não"/>
    <n v="0"/>
    <n v="0"/>
  </r>
  <r>
    <s v="VGSP-348_039,000_ES_CL1"/>
    <x v="0"/>
    <s v="39,000"/>
    <m/>
    <s v="39,500"/>
    <m/>
    <x v="0"/>
    <s v="S"/>
    <n v="-23.325002770243628"/>
    <n v="-46.823790466069362"/>
    <n v="1905.74"/>
    <n v="7.46"/>
    <n v="0"/>
    <m/>
    <n v="0"/>
    <m/>
    <m/>
    <s v="Não"/>
    <s v="Não"/>
    <s v="Não"/>
    <s v="Não"/>
    <n v="0"/>
    <n v="0"/>
  </r>
  <r>
    <s v="VGSP-330_039,000_EN_CL5"/>
    <x v="0"/>
    <s v="39,000"/>
    <m/>
    <s v="39,500"/>
    <m/>
    <x v="0"/>
    <s v="N"/>
    <n v="-23.333899338372909"/>
    <n v="-46.836914059398879"/>
    <n v="263.18"/>
    <n v="3.89"/>
    <n v="0"/>
    <m/>
    <n v="0"/>
    <m/>
    <m/>
    <s v="Não"/>
    <s v="Não"/>
    <s v="Não"/>
    <s v="Não"/>
    <n v="0"/>
    <n v="0"/>
  </r>
  <r>
    <s v="VGSP-330_039,000_ES_CL1"/>
    <x v="0"/>
    <s v="39,000"/>
    <m/>
    <s v="39,500"/>
    <m/>
    <x v="0"/>
    <s v="S"/>
    <n v="-23.33886326199675"/>
    <n v="-46.837089987334373"/>
    <n v="1733.19"/>
    <n v="6.99"/>
    <n v="55"/>
    <m/>
    <n v="0"/>
    <s v="Trator 1.7m"/>
    <m/>
    <s v="Não"/>
    <s v="Não"/>
    <s v="Não"/>
    <s v="Não"/>
    <n v="953.25450000000012"/>
    <n v="953.25450000000012"/>
  </r>
  <r>
    <s v="VGSP-348_039,000_EN_CL1"/>
    <x v="0"/>
    <s v="39,000"/>
    <m/>
    <s v="39,500"/>
    <m/>
    <x v="0"/>
    <s v="N"/>
    <n v="-23.325062160383531"/>
    <n v="-46.822923494606123"/>
    <n v="1930.52"/>
    <n v="10.87"/>
    <n v="0"/>
    <m/>
    <n v="0"/>
    <m/>
    <m/>
    <s v="Não"/>
    <s v="Não"/>
    <s v="Não"/>
    <s v="Não"/>
    <n v="0"/>
    <n v="0"/>
  </r>
  <r>
    <s v="VGSP-348_040,000_ES_CL2"/>
    <x v="0"/>
    <s v="40,000"/>
    <m/>
    <s v="40,500"/>
    <m/>
    <x v="0"/>
    <s v="S"/>
    <n v="-23.312754812169491"/>
    <n v="-46.826768339048201"/>
    <n v="2222.09"/>
    <n v="11.34"/>
    <n v="50"/>
    <m/>
    <n v="0"/>
    <s v="Trator 1.7m"/>
    <m/>
    <s v="Não"/>
    <s v="Não"/>
    <s v="Não"/>
    <s v="Não"/>
    <n v="1111.0450000000001"/>
    <n v="1111.0450000000001"/>
  </r>
  <r>
    <s v="VGSP-348_040,000_CC1"/>
    <x v="46"/>
    <s v="40,000"/>
    <m/>
    <s v="40,500"/>
    <n v="0.5"/>
    <x v="1"/>
    <s v="C"/>
    <n v="-23.316299478309929"/>
    <n v="-46.823854078496197"/>
    <n v="9557.51"/>
    <n v="4.32"/>
    <n v="70"/>
    <m/>
    <n v="0"/>
    <s v="Eixo-zero"/>
    <m/>
    <s v="Não"/>
    <s v="Não"/>
    <s v="Não"/>
    <s v="Não"/>
    <n v="6690.2569999999996"/>
    <n v="6690.2569999999996"/>
  </r>
  <r>
    <s v="VGSP-348_040,000_EN_CL4"/>
    <x v="0"/>
    <s v="40,000"/>
    <m/>
    <s v="40,500"/>
    <m/>
    <x v="0"/>
    <s v="N"/>
    <n v="-23.311369434327329"/>
    <n v="-46.827933302997401"/>
    <n v="622.58000000000004"/>
    <n v="2.79"/>
    <n v="0"/>
    <m/>
    <n v="0"/>
    <m/>
    <m/>
    <s v="Não"/>
    <s v="Não"/>
    <s v="Não"/>
    <s v="Não"/>
    <n v="0"/>
    <n v="0"/>
  </r>
  <r>
    <s v="VGSP-330_040,000_EN_CL1"/>
    <x v="0"/>
    <s v="40,000"/>
    <m/>
    <s v="40,500"/>
    <m/>
    <x v="0"/>
    <s v="N"/>
    <n v="-23.32996275028616"/>
    <n v="-46.838224380457483"/>
    <n v="1793.13"/>
    <n v="8.0299999999999994"/>
    <n v="55"/>
    <m/>
    <n v="986.22150000000011"/>
    <s v="Trator com braço articulado"/>
    <m/>
    <s v="Não"/>
    <s v="Não"/>
    <s v="Não"/>
    <s v="Sim"/>
    <n v="0"/>
    <m/>
  </r>
  <r>
    <s v="VGSP-348_040,000_EN_CL3"/>
    <x v="0"/>
    <s v="40,000"/>
    <m/>
    <s v="40,500"/>
    <m/>
    <x v="0"/>
    <s v="N"/>
    <n v="-23.312039054991541"/>
    <n v="-46.826519196482899"/>
    <n v="2489.8000000000002"/>
    <n v="3.48"/>
    <n v="0"/>
    <m/>
    <n v="0"/>
    <m/>
    <m/>
    <s v="Não"/>
    <s v="Não"/>
    <s v="Não"/>
    <s v="Não"/>
    <n v="0"/>
    <n v="0"/>
  </r>
  <r>
    <s v="VGSP-330_040,000_ES_CL2"/>
    <x v="0"/>
    <s v="40,000"/>
    <m/>
    <s v="40,500"/>
    <m/>
    <x v="0"/>
    <s v="S"/>
    <n v="-23.32998961622561"/>
    <n v="-46.83848913238046"/>
    <n v="1794.23"/>
    <n v="13.7"/>
    <n v="55"/>
    <m/>
    <n v="986.82650000000012"/>
    <s v="Trator com braço articulado"/>
    <m/>
    <s v="Não"/>
    <s v="Não"/>
    <s v="Não"/>
    <s v="Sim"/>
    <n v="0"/>
    <m/>
  </r>
  <r>
    <s v="VGSP-330_040,000_ES_CL1"/>
    <x v="0"/>
    <s v="40,000"/>
    <m/>
    <s v="40,500"/>
    <m/>
    <x v="0"/>
    <s v="S"/>
    <n v="-23.326871050923"/>
    <n v="-46.840939377930589"/>
    <n v="1763.17"/>
    <n v="8.69"/>
    <n v="75"/>
    <m/>
    <n v="1322.3775000000001"/>
    <s v="Trator com braço articulado"/>
    <m/>
    <s v="Não"/>
    <s v="Não"/>
    <s v="Não"/>
    <s v="Sim"/>
    <n v="0"/>
    <m/>
  </r>
  <r>
    <s v="VGSP-348_040,000_EN_CL2"/>
    <x v="0"/>
    <s v="40,000"/>
    <m/>
    <s v="40,500"/>
    <m/>
    <x v="0"/>
    <s v="N"/>
    <n v="-23.31268668940923"/>
    <n v="-46.825452220365449"/>
    <n v="1463.71"/>
    <n v="4.12"/>
    <n v="0"/>
    <m/>
    <n v="0"/>
    <m/>
    <m/>
    <s v="Não"/>
    <s v="Não"/>
    <s v="Não"/>
    <s v="Não"/>
    <n v="0"/>
    <n v="0"/>
  </r>
  <r>
    <s v="VGSP-348_040,000_EN_CL1"/>
    <x v="0"/>
    <s v="40,000"/>
    <m/>
    <s v="40,500"/>
    <m/>
    <x v="0"/>
    <s v="N"/>
    <n v="-23.315908288738459"/>
    <n v="-46.823564235279342"/>
    <n v="1873.53"/>
    <n v="3.3"/>
    <n v="0"/>
    <m/>
    <n v="0"/>
    <m/>
    <m/>
    <s v="Não"/>
    <s v="Não"/>
    <s v="Não"/>
    <s v="Não"/>
    <n v="0"/>
    <n v="0"/>
  </r>
  <r>
    <s v="VGSP-330_040,000_EN_CL2"/>
    <x v="0"/>
    <s v="40,000"/>
    <m/>
    <s v="40,500"/>
    <m/>
    <x v="0"/>
    <s v="N"/>
    <n v="-23.326727062041861"/>
    <n v="-46.840753987396397"/>
    <n v="1888.22"/>
    <n v="9.3699999999999992"/>
    <n v="40"/>
    <m/>
    <n v="755.28800000000001"/>
    <s v="Trator com braço articulado"/>
    <m/>
    <s v="Não"/>
    <s v="Não"/>
    <s v="Não"/>
    <s v="Sim"/>
    <n v="0"/>
    <m/>
  </r>
  <r>
    <s v="VGSP-348_040,000_ES_CL1"/>
    <x v="0"/>
    <s v="40,000"/>
    <m/>
    <s v="40,500"/>
    <m/>
    <x v="0"/>
    <s v="S"/>
    <n v="-23.316327580504911"/>
    <n v="-46.824223252117463"/>
    <n v="2068.88"/>
    <n v="6.6"/>
    <n v="0"/>
    <m/>
    <n v="0"/>
    <m/>
    <m/>
    <s v="Não"/>
    <s v="Não"/>
    <s v="Não"/>
    <s v="Não"/>
    <n v="0"/>
    <n v="0"/>
  </r>
  <r>
    <s v="VGSP-348_040,000_CC2"/>
    <x v="46"/>
    <s v="40,000"/>
    <m/>
    <s v="40,500"/>
    <n v="0.5"/>
    <x v="1"/>
    <s v="C"/>
    <n v="-23.31256738214293"/>
    <n v="-46.8265174214254"/>
    <n v="7852.42"/>
    <n v="6.22"/>
    <n v="60"/>
    <m/>
    <n v="0"/>
    <s v="Eixo-zero"/>
    <m/>
    <s v="Não"/>
    <s v="Não"/>
    <s v="Não"/>
    <s v="Não"/>
    <n v="4711.4520000000002"/>
    <n v="4711.4520000000002"/>
  </r>
  <r>
    <s v="VGSP-348_041,000_CC5"/>
    <x v="47"/>
    <s v="41,000"/>
    <m/>
    <s v="41,500"/>
    <n v="0.5"/>
    <x v="1"/>
    <s v="C"/>
    <n v="-23.30832038177623"/>
    <n v="-46.834490838507122"/>
    <n v="1916.82"/>
    <n v="15.9"/>
    <n v="0"/>
    <m/>
    <n v="0"/>
    <m/>
    <m/>
    <s v="Não"/>
    <s v="Não"/>
    <s v="Não"/>
    <s v="Não"/>
    <n v="0"/>
    <n v="0"/>
  </r>
  <r>
    <s v="VGSP-348_041,000_EN_CL2"/>
    <x v="0"/>
    <s v="41,000"/>
    <m/>
    <s v="41,500"/>
    <m/>
    <x v="0"/>
    <s v="N"/>
    <n v="-23.308560066606791"/>
    <n v="-46.832925317449877"/>
    <n v="12.21"/>
    <n v="25.23"/>
    <m/>
    <m/>
    <n v="0"/>
    <m/>
    <m/>
    <s v="Não"/>
    <s v="Não"/>
    <s v="Não"/>
    <s v="Não"/>
    <n v="0"/>
    <n v="0"/>
  </r>
  <r>
    <s v="VGSP-348_041,000_CC1"/>
    <x v="47"/>
    <s v="41,000"/>
    <m/>
    <s v="41,500"/>
    <n v="0.5"/>
    <x v="1"/>
    <s v="C"/>
    <n v="-23.3109461287527"/>
    <n v="-46.83107220977179"/>
    <n v="1841.08"/>
    <n v="11.51"/>
    <n v="50"/>
    <m/>
    <n v="0"/>
    <s v="Trator 1.7m"/>
    <m/>
    <s v="Não"/>
    <s v="Não"/>
    <s v="Não"/>
    <s v="Não"/>
    <n v="920.54"/>
    <n v="920.54"/>
  </r>
  <r>
    <s v="VGSP-348_041,000_CC4"/>
    <x v="47"/>
    <s v="41,000"/>
    <m/>
    <s v="41,500"/>
    <n v="0.5"/>
    <x v="1"/>
    <s v="C"/>
    <n v="-23.308532272702539"/>
    <n v="-46.834751769074153"/>
    <n v="6686.05"/>
    <n v="9.58"/>
    <n v="40"/>
    <m/>
    <n v="0"/>
    <s v="Eixo-zero"/>
    <m/>
    <s v="Não"/>
    <s v="Não"/>
    <s v="Não"/>
    <s v="Não"/>
    <n v="2674.42"/>
    <n v="2674.42"/>
  </r>
  <r>
    <s v="VGSP-348_041,000_CC3"/>
    <x v="47"/>
    <s v="41,000"/>
    <m/>
    <s v="41,500"/>
    <n v="0.5"/>
    <x v="1"/>
    <s v="C"/>
    <n v="-23.310716631768489"/>
    <n v="-46.830865265440089"/>
    <n v="6270.51"/>
    <n v="6.46"/>
    <n v="60"/>
    <m/>
    <n v="0"/>
    <s v="Eixo-zero"/>
    <m/>
    <s v="Não"/>
    <s v="Não"/>
    <s v="Não"/>
    <s v="Não"/>
    <n v="3762.306"/>
    <n v="3762.306"/>
  </r>
  <r>
    <s v="VGSP-330_041,000_EN_CL1"/>
    <x v="0"/>
    <s v="41,000"/>
    <m/>
    <s v="41,500"/>
    <m/>
    <x v="0"/>
    <s v="N"/>
    <n v="-23.325368283799989"/>
    <n v="-46.842976781676803"/>
    <n v="345.21"/>
    <n v="6.67"/>
    <n v="0"/>
    <m/>
    <n v="0"/>
    <m/>
    <m/>
    <s v="Não"/>
    <s v="Não"/>
    <s v="Não"/>
    <s v="Não"/>
    <n v="0"/>
    <n v="0"/>
  </r>
  <r>
    <s v="VGSP-330_041,000_EN_CL2"/>
    <x v="0"/>
    <s v="41,000"/>
    <m/>
    <s v="41,500"/>
    <m/>
    <x v="0"/>
    <s v="N"/>
    <n v="-23.32446738462583"/>
    <n v="-46.844806604643047"/>
    <n v="1710.02"/>
    <n v="10.8"/>
    <n v="55"/>
    <m/>
    <n v="940.51100000000008"/>
    <s v="Trator com braço articulado"/>
    <m/>
    <s v="Não"/>
    <s v="Não"/>
    <s v="Não"/>
    <s v="Sim"/>
    <n v="0"/>
    <m/>
  </r>
  <r>
    <s v="VGSP-330_041,000_EN_CL3"/>
    <x v="0"/>
    <s v="41,000"/>
    <m/>
    <s v="41,500"/>
    <m/>
    <x v="0"/>
    <s v="N"/>
    <n v="-23.322075535821881"/>
    <n v="-46.847885658689613"/>
    <n v="1752.58"/>
    <n v="9.5399999999999991"/>
    <n v="0"/>
    <m/>
    <n v="0"/>
    <m/>
    <m/>
    <s v="Não"/>
    <s v="Não"/>
    <s v="Não"/>
    <s v="Não"/>
    <n v="0"/>
    <n v="0"/>
  </r>
  <r>
    <s v="VGSP-330_041,000_ES_CL2"/>
    <x v="0"/>
    <s v="41,000"/>
    <m/>
    <s v="41,500"/>
    <m/>
    <x v="0"/>
    <s v="S"/>
    <n v="-23.324795039359941"/>
    <n v="-46.844781724546799"/>
    <n v="1885.53"/>
    <n v="19.940000000000001"/>
    <n v="70"/>
    <m/>
    <n v="1319.8709999999999"/>
    <s v="Trator com braço articulado"/>
    <m/>
    <s v="Não"/>
    <s v="Não"/>
    <s v="Não"/>
    <s v="Sim"/>
    <n v="0"/>
    <m/>
  </r>
  <r>
    <s v="VGSP-348_041,000_CC2"/>
    <x v="47"/>
    <s v="41,000"/>
    <m/>
    <s v="41,500"/>
    <n v="0.5"/>
    <x v="1"/>
    <s v="C"/>
    <n v="-23.30874469037246"/>
    <n v="-46.834989485207387"/>
    <n v="1955.12"/>
    <n v="6.97"/>
    <n v="50"/>
    <m/>
    <n v="0"/>
    <s v="Trator 1.7m"/>
    <m/>
    <s v="Não"/>
    <s v="Não"/>
    <s v="Não"/>
    <s v="Não"/>
    <n v="977.56"/>
    <n v="977.56"/>
  </r>
  <r>
    <s v="VGSP-330_041,000_EN_CL4"/>
    <x v="0"/>
    <s v="41,000"/>
    <m/>
    <s v="41,500"/>
    <m/>
    <x v="0"/>
    <s v="N"/>
    <n v="-23.32354089320696"/>
    <n v="-46.846397436416268"/>
    <n v="232.18"/>
    <n v="4.67"/>
    <n v="0"/>
    <m/>
    <n v="0"/>
    <m/>
    <m/>
    <s v="Não"/>
    <s v="Não"/>
    <s v="Não"/>
    <s v="Não"/>
    <n v="0"/>
    <n v="0"/>
  </r>
  <r>
    <s v="VGSP-348_041,000_EN_CL3"/>
    <x v="0"/>
    <s v="41,000"/>
    <m/>
    <s v="41,500"/>
    <m/>
    <x v="0"/>
    <s v="N"/>
    <n v="-23.310196877368259"/>
    <n v="-46.831395451296878"/>
    <n v="1126.3499999999999"/>
    <n v="6.05"/>
    <n v="0"/>
    <m/>
    <n v="0"/>
    <m/>
    <m/>
    <s v="Não"/>
    <s v="Não"/>
    <s v="Não"/>
    <s v="Não"/>
    <n v="0"/>
    <n v="0"/>
  </r>
  <r>
    <s v="VGSP-330_041,000_EN_CL5"/>
    <x v="0"/>
    <s v="41,000"/>
    <m/>
    <s v="41,500"/>
    <m/>
    <x v="0"/>
    <s v="N"/>
    <n v="-23.320264953959551"/>
    <n v="-46.848564347419988"/>
    <n v="395.15"/>
    <n v="10.36"/>
    <n v="0"/>
    <m/>
    <n v="0"/>
    <m/>
    <m/>
    <s v="Não"/>
    <s v="Não"/>
    <s v="Não"/>
    <s v="Não"/>
    <n v="0"/>
    <n v="0"/>
  </r>
  <r>
    <s v="VGSP-348_041,000_EN_CL1"/>
    <x v="0"/>
    <s v="41,000"/>
    <m/>
    <s v="41,500"/>
    <m/>
    <x v="0"/>
    <s v="N"/>
    <n v="-23.31101764973852"/>
    <n v="-46.829130364375906"/>
    <n v="243.47"/>
    <n v="4.1100000000000003"/>
    <n v="0"/>
    <m/>
    <n v="0"/>
    <m/>
    <m/>
    <s v="Não"/>
    <s v="Não"/>
    <s v="Não"/>
    <s v="Não"/>
    <n v="0"/>
    <n v="0"/>
  </r>
  <r>
    <s v="VGSP-330_041,000_ES_CL1"/>
    <x v="0"/>
    <s v="41,000"/>
    <m/>
    <s v="41,500"/>
    <m/>
    <x v="0"/>
    <s v="S"/>
    <n v="-23.322021716837039"/>
    <n v="-46.84819521391988"/>
    <n v="1999.29"/>
    <n v="14.05"/>
    <n v="60"/>
    <m/>
    <n v="1199.5739999999998"/>
    <s v="Trator com braço articulado"/>
    <m/>
    <s v="Não"/>
    <s v="Não"/>
    <s v="Não"/>
    <s v="Sim"/>
    <n v="0"/>
    <m/>
  </r>
  <r>
    <s v="VGSP-348_042,000_EN_CL1"/>
    <x v="0"/>
    <s v="42,000"/>
    <m/>
    <s v="42,500"/>
    <m/>
    <x v="0"/>
    <s v="N"/>
    <n v="-23.305036950470889"/>
    <n v="-46.837856427130163"/>
    <n v="2092.37"/>
    <n v="4.3899999999999997"/>
    <n v="0"/>
    <m/>
    <n v="0"/>
    <m/>
    <m/>
    <s v="Não"/>
    <s v="Não"/>
    <s v="Não"/>
    <s v="Não"/>
    <n v="0"/>
    <n v="0"/>
  </r>
  <r>
    <s v="VGSP-348_042,000_CC1"/>
    <x v="48"/>
    <s v="42,000"/>
    <m/>
    <s v="42,500"/>
    <n v="0.5"/>
    <x v="1"/>
    <s v="C"/>
    <n v="-23.30521869712133"/>
    <n v="-46.838123539797067"/>
    <n v="7506.72"/>
    <n v="6.61"/>
    <n v="40"/>
    <m/>
    <n v="0"/>
    <s v="Eixo-zero"/>
    <m/>
    <s v="Não"/>
    <s v="Não"/>
    <s v="Não"/>
    <s v="Não"/>
    <n v="3002.6880000000001"/>
    <n v="3002.6880000000001"/>
  </r>
  <r>
    <s v="VGSP-348_042,000_CC3"/>
    <x v="48"/>
    <s v="42,000"/>
    <m/>
    <s v="42,500"/>
    <n v="0.5"/>
    <x v="1"/>
    <s v="C"/>
    <n v="-23.299117464729878"/>
    <n v="-46.841047135583722"/>
    <n v="455.82"/>
    <n v="4.88"/>
    <n v="60"/>
    <m/>
    <n v="0"/>
    <s v="Eixo-zero"/>
    <m/>
    <s v="Não"/>
    <s v="Não"/>
    <s v="Não"/>
    <s v="Não"/>
    <n v="273.49199999999996"/>
    <n v="273.49199999999996"/>
  </r>
  <r>
    <s v="VGSP-330_042,000_EN_CL1"/>
    <x v="0"/>
    <s v="42,000"/>
    <m/>
    <s v="42,500"/>
    <m/>
    <x v="0"/>
    <s v="N"/>
    <n v="-23.318342977653121"/>
    <n v="-46.850879109577207"/>
    <n v="2261.5300000000002"/>
    <n v="10.23"/>
    <n v="30"/>
    <m/>
    <n v="678.45900000000006"/>
    <s v="Trator com braço articulado"/>
    <m/>
    <s v="Não"/>
    <s v="Não"/>
    <s v="Não"/>
    <s v="Sim"/>
    <n v="0"/>
    <m/>
  </r>
  <r>
    <s v="VGSP-330_042,000_ES_CL1"/>
    <x v="0"/>
    <s v="42,000"/>
    <m/>
    <s v="42,500"/>
    <m/>
    <x v="0"/>
    <s v="S"/>
    <n v="-23.318517970587848"/>
    <n v="-46.851066596188581"/>
    <n v="2126.63"/>
    <n v="20.13"/>
    <n v="60"/>
    <m/>
    <n v="0"/>
    <s v="Trator com braço articulado"/>
    <m/>
    <s v="Não"/>
    <s v="Não"/>
    <s v="Não"/>
    <s v="Não"/>
    <n v="1275.9780000000001"/>
    <n v="1275.9780000000001"/>
  </r>
  <r>
    <s v="VGSP-348_042,000_EN_CL4"/>
    <x v="0"/>
    <s v="42,000"/>
    <m/>
    <s v="42,500"/>
    <m/>
    <x v="0"/>
    <s v="N"/>
    <n v="-23.299104117770959"/>
    <n v="-46.840724948865223"/>
    <n v="121.56"/>
    <n v="5.57"/>
    <n v="70"/>
    <m/>
    <n v="0"/>
    <s v="Trator 1.7m"/>
    <m/>
    <s v="Não"/>
    <s v="Não"/>
    <s v="Não"/>
    <s v="Não"/>
    <n v="85.091999999999999"/>
    <n v="85.091999999999999"/>
  </r>
  <r>
    <s v="VGSP-348_042,000_CC2"/>
    <x v="48"/>
    <s v="42,000"/>
    <m/>
    <s v="42,500"/>
    <n v="0.5"/>
    <x v="1"/>
    <s v="C"/>
    <n v="-23.301528401475991"/>
    <n v="-46.840601927548917"/>
    <n v="6485.69"/>
    <n v="8.91"/>
    <n v="60"/>
    <m/>
    <n v="0"/>
    <s v="Eixo-zero"/>
    <m/>
    <s v="Não"/>
    <s v="Não"/>
    <s v="Não"/>
    <s v="Não"/>
    <n v="3891.4139999999998"/>
    <n v="3891.4139999999998"/>
  </r>
  <r>
    <s v="VGSP-330_042,000_EN_CL2"/>
    <x v="0"/>
    <s v="42,000"/>
    <m/>
    <s v="42,500"/>
    <m/>
    <x v="0"/>
    <s v="N"/>
    <n v="-23.31614441709155"/>
    <n v="-46.854682252641339"/>
    <n v="1441.82"/>
    <n v="12.69"/>
    <n v="0"/>
    <m/>
    <n v="0"/>
    <m/>
    <m/>
    <s v="Não"/>
    <s v="Não"/>
    <s v="Não"/>
    <s v="Não"/>
    <n v="0"/>
    <n v="0"/>
  </r>
  <r>
    <s v="VGSP-348_042,000_ES_CL2"/>
    <x v="0"/>
    <s v="42,000"/>
    <m/>
    <s v="42,500"/>
    <m/>
    <x v="0"/>
    <s v="S"/>
    <n v="-23.301648691059079"/>
    <n v="-46.84091088610905"/>
    <n v="1900.99"/>
    <n v="5.62"/>
    <n v="0"/>
    <m/>
    <n v="0"/>
    <m/>
    <m/>
    <s v="Não"/>
    <s v="Não"/>
    <s v="Não"/>
    <s v="Não"/>
    <n v="0"/>
    <n v="0"/>
  </r>
  <r>
    <s v="VGSP-348_042,000_ES_CL1"/>
    <x v="0"/>
    <s v="42,000"/>
    <m/>
    <s v="42,500"/>
    <m/>
    <x v="0"/>
    <s v="S"/>
    <n v="-23.3053946687528"/>
    <n v="-46.838370830946531"/>
    <n v="2104.5300000000002"/>
    <n v="14.89"/>
    <n v="50"/>
    <m/>
    <n v="0"/>
    <s v="Trator 1.7m"/>
    <m/>
    <s v="Não"/>
    <s v="Não"/>
    <s v="Não"/>
    <s v="Não"/>
    <n v="1052.2650000000001"/>
    <n v="1052.2650000000001"/>
  </r>
  <r>
    <s v="VGSP-330_042,000_EN_CL3"/>
    <x v="0"/>
    <s v="42,000"/>
    <m/>
    <s v="42,500"/>
    <m/>
    <x v="0"/>
    <s v="N"/>
    <n v="-23.315166620487759"/>
    <n v="-46.856291577173216"/>
    <n v="591.26"/>
    <n v="10.99"/>
    <n v="0"/>
    <m/>
    <n v="0"/>
    <m/>
    <m/>
    <s v="Não"/>
    <s v="Não"/>
    <s v="Não"/>
    <s v="Não"/>
    <n v="0"/>
    <n v="0"/>
  </r>
  <r>
    <s v="VGSP-348_042,000_EN_CL3"/>
    <x v="0"/>
    <s v="42,000"/>
    <m/>
    <s v="42,500"/>
    <m/>
    <x v="0"/>
    <s v="N"/>
    <n v="-23.299104117770959"/>
    <n v="-46.840724948865223"/>
    <n v="121.56"/>
    <n v="5.57"/>
    <m/>
    <m/>
    <n v="0"/>
    <m/>
    <m/>
    <s v="Não"/>
    <s v="Não"/>
    <s v="Não"/>
    <s v="Não"/>
    <n v="0"/>
    <n v="0"/>
  </r>
  <r>
    <s v="VGSP-348_042,000_EN_CL2"/>
    <x v="0"/>
    <s v="42,000"/>
    <m/>
    <s v="42,500"/>
    <m/>
    <x v="0"/>
    <s v="N"/>
    <n v="-23.301411752939579"/>
    <n v="-46.840288197603407"/>
    <n v="1844.76"/>
    <n v="15.15"/>
    <n v="70"/>
    <m/>
    <n v="0"/>
    <s v="Trator 1.7m"/>
    <m/>
    <s v="Não"/>
    <s v="Não"/>
    <s v="Não"/>
    <s v="Não"/>
    <n v="1291.3319999999999"/>
    <n v="1291.3319999999999"/>
  </r>
  <r>
    <s v="VGSP-330_042,000_ES_CL2"/>
    <x v="0"/>
    <s v="42,000"/>
    <m/>
    <s v="42,500"/>
    <m/>
    <x v="0"/>
    <s v="S"/>
    <n v="-23.316196127028771"/>
    <n v="-46.855176052102678"/>
    <n v="1833.69"/>
    <n v="25.15"/>
    <n v="60"/>
    <m/>
    <n v="1100.2139999999999"/>
    <s v="Trator com braço articulado"/>
    <m/>
    <s v="Não"/>
    <s v="Não"/>
    <s v="Não"/>
    <s v="Sim"/>
    <n v="0"/>
    <m/>
  </r>
  <r>
    <s v="VGSP-348_043,000_ES_CL2"/>
    <x v="0"/>
    <s v="43,000"/>
    <m/>
    <s v="43,500"/>
    <m/>
    <x v="0"/>
    <s v="S"/>
    <n v="-23.296932963147441"/>
    <n v="-46.841686784650477"/>
    <n v="1831.67"/>
    <n v="5.96"/>
    <n v="50"/>
    <m/>
    <n v="0"/>
    <s v="Trator 1.7m"/>
    <m/>
    <s v="Não"/>
    <s v="Não"/>
    <s v="Não"/>
    <s v="Não"/>
    <n v="915.83500000000004"/>
    <n v="915.83500000000004"/>
  </r>
  <r>
    <s v="VGSP-348_043,000_CC1"/>
    <x v="49"/>
    <s v="43,000"/>
    <m/>
    <s v="43,500"/>
    <n v="0.5"/>
    <x v="1"/>
    <s v="C"/>
    <n v="-23.296672869591319"/>
    <n v="-46.841418787994733"/>
    <n v="6952.08"/>
    <n v="10.17"/>
    <n v="60"/>
    <m/>
    <n v="0"/>
    <s v="Eixo-zero"/>
    <m/>
    <s v="Não"/>
    <s v="Não"/>
    <s v="Não"/>
    <s v="Não"/>
    <n v="4171.2479999999996"/>
    <n v="4171.2479999999996"/>
  </r>
  <r>
    <s v="VGSP-348_043,000_EN_CL2"/>
    <x v="0"/>
    <s v="43,000"/>
    <m/>
    <s v="43,500"/>
    <m/>
    <x v="0"/>
    <s v="N"/>
    <n v="-23.292763923620701"/>
    <n v="-46.843432721695287"/>
    <n v="2044.27"/>
    <n v="15.52"/>
    <n v="70"/>
    <m/>
    <n v="0"/>
    <s v="Trator 1.7m"/>
    <m/>
    <s v="Não"/>
    <s v="Não"/>
    <s v="Não"/>
    <s v="Não"/>
    <n v="1430.9889999999998"/>
    <n v="1430.9889999999998"/>
  </r>
  <r>
    <s v="VGSP-348_043,000_ES_CL5"/>
    <x v="0"/>
    <s v="43,000"/>
    <m/>
    <s v="43,500"/>
    <m/>
    <x v="0"/>
    <s v="S"/>
    <n v="-23.299131268365731"/>
    <n v="-46.841373886859401"/>
    <n v="139.07"/>
    <n v="4.37"/>
    <m/>
    <m/>
    <n v="0"/>
    <m/>
    <m/>
    <s v="Não"/>
    <s v="Não"/>
    <s v="Não"/>
    <s v="Não"/>
    <n v="0"/>
    <n v="0"/>
  </r>
  <r>
    <s v="VGSP-348_043,000_ES_CL3"/>
    <x v="0"/>
    <s v="43,000"/>
    <m/>
    <s v="43,500"/>
    <m/>
    <x v="0"/>
    <s v="S"/>
    <n v="-23.293029343664049"/>
    <n v="-46.844045767349371"/>
    <n v="1980.65"/>
    <n v="10.96"/>
    <n v="50"/>
    <m/>
    <n v="0"/>
    <s v="Trator 1.7m"/>
    <m/>
    <s v="Não"/>
    <s v="Não"/>
    <s v="Não"/>
    <s v="Não"/>
    <n v="990.32500000000005"/>
    <n v="990.32500000000005"/>
  </r>
  <r>
    <s v="VGSP-330_043,000_EN_CL2"/>
    <x v="0"/>
    <s v="43,000"/>
    <m/>
    <s v="43,500"/>
    <m/>
    <x v="0"/>
    <s v="N"/>
    <n v="-23.309907265771368"/>
    <n v="-46.856682467176149"/>
    <n v="490.49"/>
    <n v="12.44"/>
    <n v="0"/>
    <m/>
    <n v="0"/>
    <m/>
    <m/>
    <s v="Não"/>
    <s v="Não"/>
    <s v="Não"/>
    <s v="Não"/>
    <n v="0"/>
    <n v="0"/>
  </r>
  <r>
    <s v="VGSP-330_043,000_CC"/>
    <x v="0"/>
    <s v="43,000"/>
    <m/>
    <s v="43,500"/>
    <m/>
    <x v="0"/>
    <s v="S"/>
    <n v="-23.30806482194637"/>
    <n v="-46.856274713709972"/>
    <n v="2098.25"/>
    <n v="10.07"/>
    <n v="60"/>
    <m/>
    <n v="1258.95"/>
    <s v="Trator com braço articulado"/>
    <m/>
    <s v="Não"/>
    <s v="Não"/>
    <s v="Não"/>
    <s v="Sim"/>
    <n v="0"/>
    <m/>
  </r>
  <r>
    <s v="VGSP-330_043,000_ES_CL2"/>
    <x v="0"/>
    <s v="43,000"/>
    <m/>
    <s v="43,500"/>
    <m/>
    <x v="0"/>
    <s v="S"/>
    <n v="-23.31082475091813"/>
    <n v="-46.857759794737653"/>
    <n v="683.79"/>
    <n v="6.24"/>
    <n v="0"/>
    <m/>
    <n v="0"/>
    <m/>
    <m/>
    <s v="Não"/>
    <s v="Não"/>
    <s v="Não"/>
    <s v="Não"/>
    <n v="0"/>
    <n v="0"/>
  </r>
  <r>
    <s v="VGSP-330_043,000_EN_CL5"/>
    <x v="0"/>
    <s v="43,000"/>
    <m/>
    <s v="43,500"/>
    <m/>
    <x v="0"/>
    <s v="N"/>
    <n v="-23.30642125996933"/>
    <n v="-46.85552685323551"/>
    <n v="566.25"/>
    <n v="4.91"/>
    <n v="0"/>
    <m/>
    <n v="0"/>
    <m/>
    <m/>
    <s v="Não"/>
    <s v="Não"/>
    <s v="Não"/>
    <s v="Não"/>
    <n v="0"/>
    <n v="0"/>
  </r>
  <r>
    <s v="VGSP-330_043,000_EN_CL4"/>
    <x v="0"/>
    <s v="43,000"/>
    <m/>
    <s v="43,500"/>
    <m/>
    <x v="0"/>
    <s v="N"/>
    <n v="-23.307113303390441"/>
    <n v="-46.855673234913233"/>
    <n v="73.650000000000006"/>
    <n v="11.22"/>
    <n v="0"/>
    <m/>
    <n v="0"/>
    <m/>
    <m/>
    <s v="Não"/>
    <s v="Não"/>
    <s v="Não"/>
    <s v="Não"/>
    <n v="0"/>
    <n v="0"/>
  </r>
  <r>
    <s v="VGSP-330_043,000_EN_CL1"/>
    <x v="0"/>
    <s v="43,000"/>
    <m/>
    <s v="43,500"/>
    <m/>
    <x v="0"/>
    <s v="N"/>
    <n v="-23.312573583074009"/>
    <n v="-46.857614545449117"/>
    <n v="2248.66"/>
    <n v="8.43"/>
    <n v="30"/>
    <m/>
    <n v="674.59799999999996"/>
    <s v="Trator com braço articulado"/>
    <m/>
    <s v="Não"/>
    <s v="Não"/>
    <s v="Não"/>
    <s v="Sim"/>
    <n v="0"/>
    <m/>
  </r>
  <r>
    <s v="VGSP-348_043,000_ES_CL1"/>
    <x v="0"/>
    <s v="43,000"/>
    <m/>
    <s v="43,500"/>
    <m/>
    <x v="0"/>
    <s v="S"/>
    <n v="-23.299131268365731"/>
    <n v="-46.841373886859401"/>
    <n v="139.07"/>
    <n v="4.37"/>
    <n v="0"/>
    <m/>
    <n v="0"/>
    <m/>
    <m/>
    <s v="Não"/>
    <s v="Não"/>
    <s v="Não"/>
    <s v="Não"/>
    <n v="0"/>
    <n v="0"/>
  </r>
  <r>
    <s v="VGSP-348_043,000_EN_CL1"/>
    <x v="0"/>
    <s v="43,000"/>
    <m/>
    <s v="43,500"/>
    <m/>
    <x v="0"/>
    <s v="N"/>
    <n v="-23.29697610852698"/>
    <n v="-46.841007020912947"/>
    <n v="1780.71"/>
    <n v="15.11"/>
    <n v="70"/>
    <m/>
    <n v="0"/>
    <s v="Trator 1.7m"/>
    <m/>
    <s v="Não"/>
    <s v="Não"/>
    <s v="Não"/>
    <s v="Não"/>
    <n v="1246.4969999999998"/>
    <n v="1246.4969999999998"/>
  </r>
  <r>
    <s v="VGSP-348_043,000_EN_CL3"/>
    <x v="0"/>
    <s v="43,000"/>
    <m/>
    <s v="43,500"/>
    <m/>
    <x v="0"/>
    <s v="N"/>
    <n v="-23.296701083237739"/>
    <n v="-46.841083131886073"/>
    <n v="2032.57"/>
    <n v="16.170000000000002"/>
    <n v="70"/>
    <m/>
    <n v="0"/>
    <s v="Trator 1.7m"/>
    <m/>
    <s v="Não"/>
    <s v="Não"/>
    <s v="Não"/>
    <s v="Não"/>
    <n v="1422.799"/>
    <n v="1422.799"/>
  </r>
  <r>
    <s v="VGSP-330_043,000_EN_CL3"/>
    <x v="0"/>
    <s v="43,000"/>
    <m/>
    <s v="43,500"/>
    <m/>
    <x v="0"/>
    <s v="N"/>
    <n v="-23.308250859188998"/>
    <n v="-46.855948439909"/>
    <n v="981.01"/>
    <n v="7.26"/>
    <n v="0"/>
    <m/>
    <n v="0"/>
    <m/>
    <m/>
    <s v="Não"/>
    <s v="Não"/>
    <s v="Não"/>
    <s v="Não"/>
    <n v="0"/>
    <n v="0"/>
  </r>
  <r>
    <s v="VGSP-348_043,000_CC2"/>
    <x v="49"/>
    <s v="43,000"/>
    <m/>
    <s v="43,500"/>
    <n v="0.5"/>
    <x v="1"/>
    <s v="C"/>
    <n v="-23.292883537671571"/>
    <n v="-46.843743564490033"/>
    <n v="7499.15"/>
    <n v="7.62"/>
    <n v="40"/>
    <m/>
    <n v="0"/>
    <s v="Eixo-zero"/>
    <m/>
    <s v="Não"/>
    <s v="Não"/>
    <s v="Não"/>
    <s v="Não"/>
    <n v="2999.66"/>
    <n v="2999.66"/>
  </r>
  <r>
    <s v="VGSP-330_043,000_ES_CL1"/>
    <x v="0"/>
    <s v="43,000"/>
    <m/>
    <s v="43,500"/>
    <m/>
    <x v="0"/>
    <s v="S"/>
    <n v="-23.313291976811119"/>
    <n v="-46.857920269507908"/>
    <n v="1765.86"/>
    <n v="14.9"/>
    <n v="65"/>
    <m/>
    <n v="1147.809"/>
    <s v="Trator com braço articulado"/>
    <m/>
    <s v="Não"/>
    <s v="Não"/>
    <s v="Não"/>
    <s v="Sim"/>
    <n v="0"/>
    <m/>
  </r>
  <r>
    <s v="VGSP-348_043,000_ES_CL4"/>
    <x v="0"/>
    <s v="43,000"/>
    <m/>
    <s v="43,500"/>
    <m/>
    <x v="0"/>
    <s v="S"/>
    <n v="-23.296776312227109"/>
    <n v="-46.841732297136218"/>
    <n v="1976.69"/>
    <n v="6.13"/>
    <n v="0"/>
    <m/>
    <n v="0"/>
    <m/>
    <m/>
    <s v="Não"/>
    <s v="Não"/>
    <s v="Não"/>
    <s v="Não"/>
    <n v="0"/>
    <n v="0"/>
  </r>
  <r>
    <s v="VGSP-348_044,000_EN_CL2"/>
    <x v="0"/>
    <s v="44,000"/>
    <m/>
    <s v="44,500"/>
    <m/>
    <x v="0"/>
    <s v="N"/>
    <n v="-23.289679849786971"/>
    <n v="-46.846416120020343"/>
    <n v="1645.86"/>
    <n v="11.84"/>
    <n v="70"/>
    <m/>
    <n v="0"/>
    <s v="Trator 1.7m"/>
    <m/>
    <s v="Não"/>
    <s v="Não"/>
    <s v="Não"/>
    <s v="Não"/>
    <n v="1152.1019999999999"/>
    <n v="1152.1019999999999"/>
  </r>
  <r>
    <s v="VGSP-348_044,000_ES_CL1"/>
    <x v="0"/>
    <s v="44,000"/>
    <m/>
    <s v="44,500"/>
    <m/>
    <x v="0"/>
    <s v="S"/>
    <n v="-23.290973508057789"/>
    <n v="-46.84653032813759"/>
    <n v="768.62"/>
    <n v="6.18"/>
    <n v="50"/>
    <m/>
    <n v="0"/>
    <s v="Trator 1.7m"/>
    <m/>
    <s v="Não"/>
    <s v="Não"/>
    <s v="Não"/>
    <s v="Não"/>
    <n v="384.31"/>
    <n v="384.31"/>
  </r>
  <r>
    <s v="VGSP-348_044,000_ES_CL2"/>
    <x v="0"/>
    <s v="44,000"/>
    <m/>
    <s v="44,500"/>
    <m/>
    <x v="0"/>
    <s v="S"/>
    <n v="-23.29006756726821"/>
    <n v="-46.847329391000692"/>
    <n v="8818.8799999999992"/>
    <n v="6.63"/>
    <n v="50"/>
    <m/>
    <n v="0"/>
    <s v="Trator 1.7m"/>
    <m/>
    <s v="Não"/>
    <s v="Não"/>
    <s v="Não"/>
    <s v="Não"/>
    <n v="4409.4399999999996"/>
    <n v="4409.4399999999996"/>
  </r>
  <r>
    <s v="VGSP-330_044,000_CC2"/>
    <x v="0"/>
    <s v="44,000"/>
    <m/>
    <s v="44,500"/>
    <m/>
    <x v="0"/>
    <s v="S"/>
    <n v="-23.303966845353429"/>
    <n v="-46.855946581980099"/>
    <n v="1690.76"/>
    <n v="14.58"/>
    <n v="60"/>
    <m/>
    <n v="1014.4559999999999"/>
    <s v="Trator com braço articulado"/>
    <m/>
    <s v="Não"/>
    <s v="Não"/>
    <s v="Não"/>
    <s v="Sim"/>
    <n v="0"/>
    <m/>
  </r>
  <r>
    <s v="VGSP-348_044,000_ES_CL3"/>
    <x v="0"/>
    <s v="44,000"/>
    <m/>
    <s v="44,500"/>
    <m/>
    <x v="0"/>
    <s v="S"/>
    <n v="-23.28554838530739"/>
    <n v="-46.848182082190952"/>
    <n v="2317.37"/>
    <n v="12"/>
    <n v="0"/>
    <m/>
    <n v="0"/>
    <m/>
    <m/>
    <s v="Não"/>
    <s v="Não"/>
    <s v="Não"/>
    <s v="Não"/>
    <n v="0"/>
    <n v="0"/>
  </r>
  <r>
    <s v="VGSP-330_044,000_EN_CL1"/>
    <x v="0"/>
    <s v="44,000"/>
    <m/>
    <s v="44,500"/>
    <m/>
    <x v="0"/>
    <s v="N"/>
    <n v="-23.300909149078912"/>
    <n v="-46.858554679757987"/>
    <n v="1943.66"/>
    <n v="10.52"/>
    <n v="65"/>
    <m/>
    <n v="1263.3790000000001"/>
    <s v="Trator com braço articulado"/>
    <m/>
    <s v="Não"/>
    <s v="Não"/>
    <s v="Não"/>
    <s v="Sim"/>
    <n v="0"/>
    <m/>
  </r>
  <r>
    <s v="VGSP-348_044,000_ES_CL4"/>
    <x v="0"/>
    <s v="44,000"/>
    <m/>
    <s v="44,500"/>
    <m/>
    <x v="0"/>
    <s v="S"/>
    <n v="-23.28903802396783"/>
    <n v="-46.847775287362069"/>
    <n v="810.29"/>
    <n v="13.65"/>
    <n v="50"/>
    <m/>
    <n v="0"/>
    <s v="Trator 1.7m"/>
    <m/>
    <s v="Não"/>
    <s v="Não"/>
    <s v="Não"/>
    <s v="Não"/>
    <n v="405.14499999999998"/>
    <n v="405.14499999999998"/>
  </r>
  <r>
    <s v="VGSP-348_044,000_EN_CL1"/>
    <x v="0"/>
    <s v="44,000"/>
    <m/>
    <s v="44,500"/>
    <m/>
    <x v="0"/>
    <s v="N"/>
    <n v="-23.285549281050091"/>
    <n v="-46.847501550205493"/>
    <n v="2182.08"/>
    <n v="10.41"/>
    <n v="50"/>
    <m/>
    <n v="0"/>
    <s v="Trator 1.7m"/>
    <m/>
    <s v="Não"/>
    <s v="Não"/>
    <s v="Não"/>
    <s v="Não"/>
    <n v="1091.04"/>
    <n v="1091.04"/>
  </r>
  <r>
    <s v="VGSP-330_044,000_EN_CL2"/>
    <x v="0"/>
    <s v="44,000"/>
    <m/>
    <s v="44,500"/>
    <m/>
    <x v="0"/>
    <s v="N"/>
    <n v="-23.303919539081321"/>
    <n v="-46.855685191576548"/>
    <n v="1745.13"/>
    <n v="9.49"/>
    <n v="0"/>
    <m/>
    <n v="0"/>
    <m/>
    <m/>
    <s v="Não"/>
    <s v="Não"/>
    <s v="Não"/>
    <s v="Não"/>
    <n v="0"/>
    <n v="0"/>
  </r>
  <r>
    <s v="VGSP-330_044,000_CC3"/>
    <x v="0"/>
    <s v="44,000"/>
    <m/>
    <s v="44,500"/>
    <m/>
    <x v="0"/>
    <s v="S"/>
    <n v="-23.300965133144071"/>
    <n v="-46.858909345916167"/>
    <n v="1911.16"/>
    <n v="16.78"/>
    <n v="40"/>
    <m/>
    <n v="764.46400000000006"/>
    <s v="Trator com braço articulado"/>
    <m/>
    <s v="Não"/>
    <s v="Não"/>
    <s v="Não"/>
    <s v="Sim"/>
    <n v="0"/>
    <m/>
  </r>
  <r>
    <s v="VGSP-330_044,000_CC1"/>
    <x v="50"/>
    <s v="44,000"/>
    <m/>
    <s v="44,500"/>
    <m/>
    <x v="1"/>
    <s v="C"/>
    <n v="-23.3024016461287"/>
    <n v="-46.857160506859913"/>
    <n v="142.01"/>
    <n v="5.97"/>
    <n v="0"/>
    <m/>
    <n v="0"/>
    <m/>
    <m/>
    <s v="Não"/>
    <s v="Não"/>
    <s v="Não"/>
    <s v="Não"/>
    <n v="0"/>
    <n v="0"/>
  </r>
  <r>
    <s v="VGSP-348_044,000_CC1"/>
    <x v="51"/>
    <s v="44,000"/>
    <m/>
    <s v="44,500"/>
    <n v="0.5"/>
    <x v="1"/>
    <s v="C"/>
    <n v="-23.289784415865959"/>
    <n v="-46.84673621741176"/>
    <n v="6440.3"/>
    <n v="7.54"/>
    <m/>
    <m/>
    <n v="0"/>
    <m/>
    <m/>
    <s v="Não"/>
    <s v="Não"/>
    <s v="Não"/>
    <s v="Não"/>
    <n v="0"/>
    <n v="0"/>
  </r>
  <r>
    <s v="VGSP-348_044,000_CC2"/>
    <x v="51"/>
    <s v="44,000"/>
    <m/>
    <s v="44,500"/>
    <n v="0.5"/>
    <x v="1"/>
    <s v="C"/>
    <n v="-23.285601120926081"/>
    <n v="-46.847814150548189"/>
    <n v="8729.0499999999993"/>
    <n v="6.58"/>
    <n v="40"/>
    <m/>
    <n v="0"/>
    <s v="Eixo-zero"/>
    <m/>
    <s v="Não"/>
    <s v="Não"/>
    <s v="Não"/>
    <s v="Não"/>
    <n v="3491.62"/>
    <n v="3491.62"/>
  </r>
  <r>
    <s v="VGSP-348_045,000_CC"/>
    <x v="52"/>
    <s v="45,000"/>
    <m/>
    <s v="45,500"/>
    <n v="0.5"/>
    <x v="1"/>
    <s v="C"/>
    <n v="-23.277093201541469"/>
    <n v="-46.849258889800453"/>
    <n v="2239.1"/>
    <n v="14.35"/>
    <n v="50"/>
    <m/>
    <n v="0"/>
    <s v="Trator 1.7m"/>
    <m/>
    <s v="Não"/>
    <s v="Não"/>
    <s v="Não"/>
    <s v="Não"/>
    <n v="1119.55"/>
    <n v="1119.55"/>
  </r>
  <r>
    <s v="VGSP-348_045,000_ES_CL3"/>
    <x v="0"/>
    <s v="45,000"/>
    <m/>
    <s v="45,500"/>
    <m/>
    <x v="0"/>
    <s v="S"/>
    <n v="-23.277390021623269"/>
    <n v="-46.849815666997443"/>
    <n v="2041.96"/>
    <n v="9.1999999999999993"/>
    <n v="0"/>
    <m/>
    <n v="0"/>
    <m/>
    <m/>
    <s v="Não"/>
    <s v="Não"/>
    <s v="Não"/>
    <s v="Não"/>
    <n v="0"/>
    <n v="0"/>
  </r>
  <r>
    <s v="VGSP-330_045,000_ES_CL1"/>
    <x v="0"/>
    <s v="45,000"/>
    <m/>
    <s v="45,500"/>
    <m/>
    <x v="0"/>
    <s v="S"/>
    <n v="-23.295876205644749"/>
    <n v="-46.865020561023243"/>
    <n v="1293.68"/>
    <n v="13.51"/>
    <n v="50"/>
    <m/>
    <n v="646.84"/>
    <s v="Trator com braço articulado"/>
    <m/>
    <s v="Não"/>
    <s v="Não"/>
    <s v="Não"/>
    <s v="Sim"/>
    <n v="0"/>
    <m/>
  </r>
  <r>
    <s v="VGSP-330_045,000_ES_CL3"/>
    <x v="0"/>
    <s v="45,000"/>
    <m/>
    <s v="45,500"/>
    <m/>
    <x v="0"/>
    <s v="S"/>
    <n v="-23.294751203422361"/>
    <n v="-46.865950785235313"/>
    <n v="84.53"/>
    <n v="6.74"/>
    <n v="0"/>
    <m/>
    <n v="0"/>
    <m/>
    <m/>
    <s v="Não"/>
    <s v="Não"/>
    <s v="Não"/>
    <s v="Não"/>
    <n v="0"/>
    <n v="0"/>
  </r>
  <r>
    <s v="VGSP-330_045,000_ES_CL2"/>
    <x v="0"/>
    <s v="45,000"/>
    <m/>
    <s v="45,500"/>
    <m/>
    <x v="0"/>
    <s v="S"/>
    <n v="-23.298049811125338"/>
    <n v="-46.862107698936804"/>
    <n v="1823.19"/>
    <n v="11.77"/>
    <n v="0"/>
    <m/>
    <n v="0"/>
    <m/>
    <m/>
    <s v="Não"/>
    <s v="Não"/>
    <s v="Não"/>
    <s v="Não"/>
    <n v="0"/>
    <n v="0"/>
  </r>
  <r>
    <s v="VGSP-330_045,000_EN_CL1"/>
    <x v="0"/>
    <s v="45,000"/>
    <m/>
    <s v="45,500"/>
    <m/>
    <x v="0"/>
    <s v="N"/>
    <n v="-23.294705130628259"/>
    <n v="-46.865464535300859"/>
    <n v="2290.5500000000002"/>
    <n v="9.64"/>
    <n v="80"/>
    <m/>
    <n v="0"/>
    <s v="Trator 1.7m"/>
    <m/>
    <s v="Não"/>
    <s v="Não"/>
    <s v="Não"/>
    <s v="Não"/>
    <n v="1832.4400000000003"/>
    <n v="1832.4400000000003"/>
  </r>
  <r>
    <s v="VGSP-348_045,000_ES_CL2"/>
    <x v="0"/>
    <s v="45,000"/>
    <m/>
    <s v="45,500"/>
    <m/>
    <x v="0"/>
    <s v="S"/>
    <n v="-23.277245408237551"/>
    <n v="-46.849533631419447"/>
    <n v="8192.2800000000007"/>
    <n v="12.91"/>
    <n v="40"/>
    <m/>
    <n v="0"/>
    <s v="Eixo-zero"/>
    <m/>
    <s v="Não"/>
    <s v="Não"/>
    <s v="Não"/>
    <s v="Não"/>
    <n v="3276.9120000000003"/>
    <n v="3276.9120000000003"/>
  </r>
  <r>
    <s v="VGSP-348_045,000_ES_CL1"/>
    <x v="0"/>
    <s v="45,000"/>
    <m/>
    <s v="45,500"/>
    <m/>
    <x v="0"/>
    <s v="S"/>
    <n v="-23.281259733989231"/>
    <n v="-46.848294697741807"/>
    <n v="5929.33"/>
    <n v="12.26"/>
    <n v="40"/>
    <m/>
    <n v="0"/>
    <s v="Eixo-zero"/>
    <m/>
    <s v="Não"/>
    <s v="Não"/>
    <s v="Não"/>
    <s v="Não"/>
    <n v="2371.732"/>
    <n v="2371.732"/>
  </r>
  <r>
    <s v="VGSP-330_045,000_ES_CL4"/>
    <x v="0"/>
    <s v="45,000"/>
    <m/>
    <s v="45,500"/>
    <m/>
    <x v="0"/>
    <s v="S"/>
    <n v="-23.293603649925888"/>
    <n v="-46.866478316036897"/>
    <n v="1116.3"/>
    <n v="7.3"/>
    <n v="0"/>
    <m/>
    <n v="0"/>
    <m/>
    <m/>
    <s v="Não"/>
    <s v="Não"/>
    <s v="Não"/>
    <s v="Não"/>
    <n v="0"/>
    <n v="0"/>
  </r>
  <r>
    <s v="VGSP-330_045,000_EN_CL2"/>
    <x v="0"/>
    <s v="45,000"/>
    <m/>
    <s v="45,500"/>
    <m/>
    <x v="0"/>
    <s v="N"/>
    <n v="-23.297900714087032"/>
    <n v="-46.861864628527229"/>
    <n v="1914.08"/>
    <n v="9.23"/>
    <n v="55"/>
    <m/>
    <n v="1052.7440000000001"/>
    <s v="Trator com braço articulado"/>
    <m/>
    <s v="Não"/>
    <s v="Não"/>
    <s v="Não"/>
    <s v="Sim"/>
    <n v="0"/>
    <m/>
  </r>
  <r>
    <s v="VGSP-348_045,000_EN_CL"/>
    <x v="0"/>
    <s v="45,000"/>
    <m/>
    <s v="45,500"/>
    <m/>
    <x v="0"/>
    <s v="N"/>
    <n v="-23.281231843485688"/>
    <n v="-46.847972649311657"/>
    <n v="1658.76"/>
    <n v="18.28"/>
    <n v="50"/>
    <m/>
    <n v="0"/>
    <s v="Trator 1.7m"/>
    <m/>
    <s v="Não"/>
    <s v="Não"/>
    <s v="Não"/>
    <s v="Não"/>
    <n v="829.38"/>
    <n v="829.38"/>
  </r>
  <r>
    <s v="VGSP-348_045,000_ES_CL4"/>
    <x v="0"/>
    <s v="45,000"/>
    <m/>
    <s v="45,500"/>
    <m/>
    <x v="0"/>
    <s v="S"/>
    <n v="-23.281202659015062"/>
    <n v="-46.848649720285898"/>
    <n v="1552.13"/>
    <n v="11.68"/>
    <n v="0"/>
    <m/>
    <n v="0"/>
    <m/>
    <m/>
    <s v="Não"/>
    <s v="Não"/>
    <s v="Não"/>
    <s v="Não"/>
    <n v="0"/>
    <n v="0"/>
  </r>
  <r>
    <s v="VGSP-348_046,000_EN_CL2"/>
    <x v="0"/>
    <s v="46,000"/>
    <m/>
    <s v="46,500"/>
    <m/>
    <x v="0"/>
    <s v="N"/>
    <n v="-23.272157982163581"/>
    <n v="-46.85453350711574"/>
    <n v="132.30000000000001"/>
    <n v="20.62"/>
    <n v="0"/>
    <m/>
    <n v="0"/>
    <m/>
    <m/>
    <s v="Não"/>
    <s v="Não"/>
    <s v="Não"/>
    <s v="Não"/>
    <n v="0"/>
    <n v="0"/>
  </r>
  <r>
    <s v="VGSP-348_046,000_CC1"/>
    <x v="53"/>
    <s v="46,000"/>
    <m/>
    <s v="46,500"/>
    <n v="0.5"/>
    <x v="1"/>
    <s v="C"/>
    <n v="-23.274267316566991"/>
    <n v="-46.852588089670569"/>
    <n v="5625.46"/>
    <n v="9.18"/>
    <n v="40"/>
    <m/>
    <n v="0"/>
    <s v="Eixo-zero"/>
    <m/>
    <s v="Não"/>
    <s v="Não"/>
    <s v="Não"/>
    <s v="Não"/>
    <n v="2250.1840000000002"/>
    <n v="2250.1840000000002"/>
  </r>
  <r>
    <s v="VGSP-348_046,000_ES_CL7"/>
    <x v="0"/>
    <s v="46,000"/>
    <m/>
    <s v="46,500"/>
    <m/>
    <x v="0"/>
    <s v="S"/>
    <n v="-23.270697241752458"/>
    <n v="-46.856634465364323"/>
    <n v="2088.81"/>
    <n v="4.21"/>
    <n v="30"/>
    <m/>
    <n v="0"/>
    <s v="Trator 1.7m"/>
    <m/>
    <s v="Não"/>
    <s v="Não"/>
    <s v="Não"/>
    <s v="Não"/>
    <n v="626.64299999999992"/>
    <n v="626.64299999999992"/>
  </r>
  <r>
    <s v="VGSP-330_046,000_ES_CL1"/>
    <x v="0"/>
    <s v="46,000"/>
    <m/>
    <s v="46,500"/>
    <m/>
    <x v="0"/>
    <s v="S"/>
    <n v="-23.290303508420479"/>
    <n v="-46.866358619151448"/>
    <n v="1867.14"/>
    <n v="11.05"/>
    <n v="0"/>
    <m/>
    <n v="0"/>
    <m/>
    <m/>
    <s v="Não"/>
    <s v="Não"/>
    <s v="Não"/>
    <s v="Não"/>
    <n v="0"/>
    <n v="0"/>
  </r>
  <r>
    <s v="VGSP-330_046,000_ES_CL3"/>
    <x v="0"/>
    <s v="46,000"/>
    <m/>
    <s v="46,500"/>
    <m/>
    <x v="0"/>
    <s v="S"/>
    <n v="-23.285343253001599"/>
    <n v="-46.86947063451494"/>
    <n v="768.62"/>
    <n v="6.79"/>
    <n v="10"/>
    <m/>
    <n v="0"/>
    <s v="Trator 1.7m"/>
    <m/>
    <s v="Não"/>
    <s v="Não"/>
    <s v="Não"/>
    <s v="Não"/>
    <n v="76.862000000000009"/>
    <n v="76.862000000000009"/>
  </r>
  <r>
    <s v="VGSP-330_046,000_ES_CL2"/>
    <x v="0"/>
    <s v="46,000"/>
    <m/>
    <s v="46,500"/>
    <m/>
    <x v="0"/>
    <s v="S"/>
    <n v="-23.286466768413121"/>
    <n v="-46.867567051275223"/>
    <n v="2032.81"/>
    <n v="10.29"/>
    <n v="80"/>
    <m/>
    <n v="1626.248"/>
    <s v="Trator com braço articulado"/>
    <m/>
    <s v="Não"/>
    <s v="Não"/>
    <s v="Não"/>
    <s v="Sim"/>
    <n v="0"/>
    <m/>
  </r>
  <r>
    <s v="VGSP-348_046,000_ES_CL6"/>
    <x v="0"/>
    <s v="46,000"/>
    <m/>
    <s v="46,500"/>
    <m/>
    <x v="0"/>
    <s v="S"/>
    <n v="-23.272953956410479"/>
    <n v="-46.854717291205681"/>
    <n v="1192.68"/>
    <n v="8.6300000000000008"/>
    <n v="0"/>
    <m/>
    <n v="0"/>
    <m/>
    <m/>
    <s v="Não"/>
    <s v="Não"/>
    <s v="Não"/>
    <s v="Não"/>
    <n v="0"/>
    <n v="0"/>
  </r>
  <r>
    <s v="VGSP-330_046,000_EN_CL1"/>
    <x v="0"/>
    <s v="46,000"/>
    <m/>
    <s v="46,500"/>
    <m/>
    <x v="0"/>
    <s v="N"/>
    <n v="-23.286335698761501"/>
    <n v="-46.867291817678591"/>
    <n v="2091.37"/>
    <n v="7.57"/>
    <n v="0"/>
    <m/>
    <n v="0"/>
    <m/>
    <m/>
    <s v="Não"/>
    <s v="Não"/>
    <s v="Não"/>
    <s v="Não"/>
    <n v="0"/>
    <n v="0"/>
  </r>
  <r>
    <s v="VGSP-330_046,000_EN_CL2"/>
    <x v="0"/>
    <s v="46,000"/>
    <m/>
    <s v="46,500"/>
    <m/>
    <x v="0"/>
    <s v="N"/>
    <n v="-23.290291644051731"/>
    <n v="-46.86609287743245"/>
    <n v="1865.28"/>
    <n v="6.09"/>
    <n v="80"/>
    <m/>
    <n v="0"/>
    <s v="Trator 1.7m"/>
    <m/>
    <s v="Não"/>
    <s v="Não"/>
    <s v="Não"/>
    <s v="Não"/>
    <n v="1492.2240000000002"/>
    <n v="1492.2240000000002"/>
  </r>
  <r>
    <s v="VGSP-348_046,000_EN_CL4"/>
    <x v="0"/>
    <s v="46,000"/>
    <m/>
    <s v="46,500"/>
    <m/>
    <x v="0"/>
    <s v="N"/>
    <n v="-23.27021397696339"/>
    <n v="-46.85608031752593"/>
    <n v="1957.49"/>
    <n v="11.23"/>
    <n v="10"/>
    <m/>
    <n v="0"/>
    <s v="Trator 1.7m"/>
    <m/>
    <s v="Não"/>
    <s v="Não"/>
    <s v="Não"/>
    <s v="Não"/>
    <n v="195.74900000000002"/>
    <n v="195.74900000000002"/>
  </r>
  <r>
    <s v="VGSP-348_046,000_CC3"/>
    <x v="53"/>
    <s v="46,000"/>
    <m/>
    <s v="46,500"/>
    <n v="0.5"/>
    <x v="1"/>
    <s v="C"/>
    <n v="-23.27050275468951"/>
    <n v="-46.856286934548137"/>
    <n v="7989.71"/>
    <n v="6.8"/>
    <n v="60"/>
    <m/>
    <n v="0"/>
    <s v="Eixo-zero"/>
    <m/>
    <s v="Não"/>
    <s v="Não"/>
    <s v="Não"/>
    <s v="Não"/>
    <n v="4793.826"/>
    <n v="4793.826"/>
  </r>
  <r>
    <s v="VGSP-348_046,000_CC2"/>
    <x v="53"/>
    <s v="46,000"/>
    <m/>
    <s v="46,500"/>
    <n v="0.5"/>
    <x v="1"/>
    <s v="C"/>
    <n v="-23.272670371793339"/>
    <n v="-46.854477750151332"/>
    <n v="1098.25"/>
    <n v="9.9700000000000006"/>
    <n v="40"/>
    <m/>
    <n v="0"/>
    <s v="Eixo-zero"/>
    <m/>
    <s v="Não"/>
    <s v="Não"/>
    <s v="Não"/>
    <s v="Não"/>
    <n v="439.3"/>
    <n v="439.3"/>
  </r>
  <r>
    <s v="VGSP-348_046,000_EN_CL1"/>
    <x v="0"/>
    <s v="46,000"/>
    <m/>
    <s v="46,500"/>
    <m/>
    <x v="0"/>
    <s v="N"/>
    <n v="-23.27401661338132"/>
    <n v="-46.852366141681017"/>
    <n v="1548.25"/>
    <n v="10.89"/>
    <n v="50"/>
    <m/>
    <n v="0"/>
    <s v="Trator 1.7m"/>
    <m/>
    <s v="Não"/>
    <s v="Não"/>
    <s v="Não"/>
    <s v="Não"/>
    <n v="774.125"/>
    <n v="774.125"/>
  </r>
  <r>
    <s v="VGSP-348_046,000_EN_CL3"/>
    <x v="0"/>
    <s v="46,000"/>
    <m/>
    <s v="46,500"/>
    <m/>
    <x v="0"/>
    <s v="N"/>
    <n v="-23.27239840526472"/>
    <n v="-46.854219846788141"/>
    <n v="1495.46"/>
    <n v="16.13"/>
    <n v="0"/>
    <m/>
    <n v="0"/>
    <m/>
    <m/>
    <s v="Não"/>
    <s v="Não"/>
    <s v="Não"/>
    <s v="Não"/>
    <n v="0"/>
    <n v="0"/>
  </r>
  <r>
    <s v="VGSP-348_046,000_ES_CL1"/>
    <x v="0"/>
    <s v="46,000"/>
    <m/>
    <s v="46,500"/>
    <m/>
    <x v="0"/>
    <s v="S"/>
    <n v="-23.274474971302261"/>
    <n v="-46.852822815190798"/>
    <n v="1574.67"/>
    <n v="7.94"/>
    <n v="0"/>
    <m/>
    <n v="0"/>
    <m/>
    <m/>
    <s v="Não"/>
    <s v="Não"/>
    <s v="Não"/>
    <s v="Não"/>
    <n v="0"/>
    <n v="0"/>
  </r>
  <r>
    <s v="VGSP-348_046,000_ES_CL2"/>
    <x v="0"/>
    <s v="46,000"/>
    <m/>
    <s v="46,500"/>
    <m/>
    <x v="0"/>
    <s v="S"/>
    <n v="-23.273232123769681"/>
    <n v="-46.854828283055177"/>
    <n v="1063.07"/>
    <n v="9.08"/>
    <n v="0"/>
    <m/>
    <n v="0"/>
    <m/>
    <m/>
    <s v="Não"/>
    <s v="Não"/>
    <s v="Não"/>
    <s v="Não"/>
    <n v="0"/>
    <n v="0"/>
  </r>
  <r>
    <s v="VGSP-348_046,000_ES_CL4"/>
    <x v="0"/>
    <s v="46,000"/>
    <m/>
    <s v="46,500"/>
    <m/>
    <x v="0"/>
    <s v="S"/>
    <n v="-23.27294769640714"/>
    <n v="-46.855123166168887"/>
    <n v="357.87"/>
    <n v="5.35"/>
    <n v="0"/>
    <m/>
    <n v="0"/>
    <m/>
    <m/>
    <s v="Não"/>
    <s v="Não"/>
    <s v="Não"/>
    <s v="Não"/>
    <n v="0"/>
    <n v="0"/>
  </r>
  <r>
    <s v="VGSP-348_046,000_ES_CL5"/>
    <x v="0"/>
    <s v="46,000"/>
    <m/>
    <s v="46,500"/>
    <m/>
    <x v="0"/>
    <s v="S"/>
    <n v="-23.272488787213529"/>
    <n v="-46.855207486063193"/>
    <n v="1036.0999999999999"/>
    <n v="7.04"/>
    <n v="0"/>
    <m/>
    <n v="0"/>
    <m/>
    <m/>
    <s v="Não"/>
    <s v="Não"/>
    <s v="Não"/>
    <s v="Não"/>
    <n v="0"/>
    <n v="0"/>
  </r>
  <r>
    <s v="VGSP-348_046,000_ES_CL3"/>
    <x v="0"/>
    <s v="46,000"/>
    <m/>
    <s v="46,500"/>
    <m/>
    <x v="0"/>
    <s v="S"/>
    <n v="-23.2727432324142"/>
    <n v="-46.855289451119013"/>
    <n v="617.89"/>
    <n v="5.21"/>
    <n v="0"/>
    <m/>
    <n v="0"/>
    <m/>
    <m/>
    <s v="Não"/>
    <s v="Não"/>
    <s v="Não"/>
    <s v="Não"/>
    <n v="0"/>
    <n v="0"/>
  </r>
  <r>
    <s v="VGSP-330_047,000_EN_CL2"/>
    <x v="0"/>
    <s v="47,000"/>
    <m/>
    <s v="47,500"/>
    <m/>
    <x v="0"/>
    <s v="N"/>
    <n v="-23.28388579696977"/>
    <n v="-46.871202231920059"/>
    <n v="1864.29"/>
    <n v="8.92"/>
    <n v="70"/>
    <m/>
    <n v="1305.0029999999999"/>
    <s v="Trator com braço articulado"/>
    <m/>
    <s v="Não"/>
    <s v="Não"/>
    <s v="Não"/>
    <s v="Sim"/>
    <n v="0"/>
    <m/>
  </r>
  <r>
    <s v="VGSP-330_047,000_EN_CL1"/>
    <x v="0"/>
    <s v="47,000"/>
    <m/>
    <s v="47,500"/>
    <m/>
    <x v="0"/>
    <s v="N"/>
    <n v="-23.279783975019289"/>
    <n v="-46.87251279535699"/>
    <n v="2321.9299999999998"/>
    <n v="9.3699999999999992"/>
    <n v="80"/>
    <m/>
    <n v="0"/>
    <s v="Trator 1.7m"/>
    <m/>
    <s v="Não"/>
    <s v="Não"/>
    <s v="Não"/>
    <s v="Não"/>
    <n v="1857.5439999999999"/>
    <n v="1857.5439999999999"/>
  </r>
  <r>
    <s v="VGSP-348_047,000_ES_CL2"/>
    <x v="0"/>
    <s v="47,000"/>
    <m/>
    <s v="47,500"/>
    <m/>
    <x v="0"/>
    <s v="S"/>
    <n v="-23.267360268374262"/>
    <n v="-46.859569954617569"/>
    <n v="1826.24"/>
    <n v="9.98"/>
    <n v="30"/>
    <m/>
    <n v="0"/>
    <s v="Trator 1.7m"/>
    <m/>
    <s v="Não"/>
    <s v="Não"/>
    <s v="Não"/>
    <s v="Não"/>
    <n v="547.87199999999996"/>
    <n v="547.87199999999996"/>
  </r>
  <r>
    <s v="VGSP-348_047,000_EN_CL2"/>
    <x v="0"/>
    <s v="47,000"/>
    <m/>
    <s v="47,500"/>
    <m/>
    <x v="0"/>
    <s v="N"/>
    <n v="-23.266898185470328"/>
    <n v="-46.859035221866648"/>
    <n v="1878.73"/>
    <n v="3.46"/>
    <n v="10"/>
    <m/>
    <n v="0"/>
    <s v="Trator 1.7m"/>
    <m/>
    <s v="Não"/>
    <s v="Não"/>
    <s v="Não"/>
    <s v="Não"/>
    <n v="187.87300000000002"/>
    <n v="187.87300000000002"/>
  </r>
  <r>
    <s v="VGSP-348_047,000_ES_CL4"/>
    <x v="0"/>
    <s v="47,000"/>
    <m/>
    <s v="47,500"/>
    <m/>
    <x v="0"/>
    <s v="S"/>
    <n v="-23.264828536347821"/>
    <n v="-46.865663363443389"/>
    <n v="1298.53"/>
    <n v="16.850000000000001"/>
    <n v="30"/>
    <m/>
    <n v="0"/>
    <s v="Trator 1.7m"/>
    <m/>
    <s v="Não"/>
    <s v="Não"/>
    <s v="Não"/>
    <s v="Não"/>
    <n v="389.55899999999997"/>
    <n v="389.55899999999997"/>
  </r>
  <r>
    <s v="VGSP-348_047,000_EN_CL1"/>
    <x v="0"/>
    <s v="47,000"/>
    <m/>
    <s v="47,500"/>
    <m/>
    <x v="0"/>
    <s v="N"/>
    <n v="-23.263941752765142"/>
    <n v="-46.863080753367939"/>
    <n v="2352.15"/>
    <n v="5.85"/>
    <n v="0"/>
    <m/>
    <n v="0"/>
    <m/>
    <m/>
    <s v="Não"/>
    <s v="Não"/>
    <s v="Não"/>
    <s v="Não"/>
    <n v="0"/>
    <n v="0"/>
  </r>
  <r>
    <s v="VGSP-348_047,000_ES_CL3"/>
    <x v="0"/>
    <s v="47,000"/>
    <m/>
    <s v="47,500"/>
    <m/>
    <x v="0"/>
    <s v="S"/>
    <n v="-23.2654041888979"/>
    <n v="-46.866996857579153"/>
    <n v="0.04"/>
    <n v="17.32"/>
    <m/>
    <m/>
    <n v="0"/>
    <m/>
    <m/>
    <s v="Não"/>
    <s v="Não"/>
    <s v="Não"/>
    <s v="Não"/>
    <n v="0"/>
    <n v="0"/>
  </r>
  <r>
    <s v="VGSP-330_047,000_ES_CL2"/>
    <x v="0"/>
    <s v="47,000"/>
    <m/>
    <s v="47,500"/>
    <m/>
    <x v="0"/>
    <s v="S"/>
    <n v="-23.284066226833531"/>
    <n v="-46.871494882275023"/>
    <n v="1790.25"/>
    <n v="5.89"/>
    <n v="10"/>
    <m/>
    <n v="0"/>
    <s v="Trator 1.7m"/>
    <m/>
    <s v="Não"/>
    <s v="Não"/>
    <s v="Não"/>
    <s v="Não"/>
    <n v="179.02500000000001"/>
    <n v="179.02500000000001"/>
  </r>
  <r>
    <s v="VGSP-348_047,000_CC1"/>
    <x v="54"/>
    <s v="47,000"/>
    <m/>
    <s v="47,500"/>
    <n v="0.5"/>
    <x v="1"/>
    <s v="C"/>
    <n v="-23.26709060928961"/>
    <n v="-46.8593759352433"/>
    <n v="8488.77"/>
    <n v="4.93"/>
    <n v="60"/>
    <m/>
    <n v="0"/>
    <s v="Eixo-zero"/>
    <m/>
    <s v="Não"/>
    <s v="Não"/>
    <s v="Não"/>
    <s v="Não"/>
    <n v="5093.2619999999997"/>
    <n v="5093.2619999999997"/>
  </r>
  <r>
    <s v="VGSP-348_047,000_ES_CL1"/>
    <x v="0"/>
    <s v="47,000"/>
    <m/>
    <s v="47,500"/>
    <m/>
    <x v="0"/>
    <s v="S"/>
    <n v="-23.264416917507749"/>
    <n v="-46.86528021922409"/>
    <n v="30232.18"/>
    <n v="8.44"/>
    <n v="30"/>
    <m/>
    <n v="0"/>
    <s v="Trator 1.7m"/>
    <m/>
    <s v="Não"/>
    <s v="Não"/>
    <s v="Não"/>
    <s v="Não"/>
    <n v="9069.6540000000005"/>
    <n v="9069.6540000000005"/>
  </r>
  <r>
    <s v="VGSP-348_047,000_CC2"/>
    <x v="54"/>
    <s v="47,000"/>
    <m/>
    <s v="47,500"/>
    <n v="0.5"/>
    <x v="1"/>
    <s v="C"/>
    <n v="-23.26423743182027"/>
    <n v="-46.863633753645907"/>
    <n v="14402.04"/>
    <n v="5.21"/>
    <n v="70"/>
    <m/>
    <n v="0"/>
    <s v="Eixo-zero"/>
    <m/>
    <s v="Não"/>
    <s v="Não"/>
    <s v="Não"/>
    <s v="Não"/>
    <n v="10081.428"/>
    <n v="10081.428"/>
  </r>
  <r>
    <s v="VGSP-330_047,000_ES_CL1"/>
    <x v="0"/>
    <s v="47,000"/>
    <m/>
    <s v="47,500"/>
    <m/>
    <x v="0"/>
    <s v="S"/>
    <n v="-23.285253435655111"/>
    <n v="-46.86965822445017"/>
    <n v="299.64"/>
    <n v="6.32"/>
    <n v="10"/>
    <m/>
    <n v="0"/>
    <s v="Trator 1.7m"/>
    <m/>
    <s v="Não"/>
    <s v="Não"/>
    <s v="Não"/>
    <s v="Não"/>
    <n v="29.963999999999999"/>
    <n v="29.963999999999999"/>
  </r>
  <r>
    <s v="VGSP-348_047,000_EN_CL3"/>
    <x v="0"/>
    <s v="47,000"/>
    <m/>
    <s v="47,500"/>
    <m/>
    <x v="0"/>
    <s v="N"/>
    <n v="-23.26290458719664"/>
    <n v="-46.864832944438298"/>
    <n v="7437.43"/>
    <n v="5.03"/>
    <n v="0"/>
    <m/>
    <n v="0"/>
    <m/>
    <m/>
    <s v="Não"/>
    <s v="Não"/>
    <s v="Não"/>
    <s v="Não"/>
    <n v="0"/>
    <n v="0"/>
  </r>
  <r>
    <s v="VGSP-330_047,000_ES_CL3"/>
    <x v="0"/>
    <s v="47,000"/>
    <m/>
    <s v="47,500"/>
    <m/>
    <x v="0"/>
    <s v="S"/>
    <n v="-23.279855690163561"/>
    <n v="-46.872805806641203"/>
    <n v="2471.69"/>
    <n v="6.92"/>
    <n v="70"/>
    <m/>
    <n v="1730.183"/>
    <s v="Trator com braço articulado"/>
    <m/>
    <s v="Não"/>
    <s v="Não"/>
    <s v="Não"/>
    <s v="Sim"/>
    <n v="0"/>
    <m/>
  </r>
  <r>
    <s v="VGSP-348_047,000_ES_CL5"/>
    <x v="0"/>
    <s v="47,000"/>
    <m/>
    <s v="47,500"/>
    <m/>
    <x v="0"/>
    <s v="S"/>
    <n v="-23.26347662938424"/>
    <n v="-46.865442990308601"/>
    <n v="3802.22"/>
    <n v="5.84"/>
    <n v="30"/>
    <m/>
    <n v="0"/>
    <s v="Trator 1.7m"/>
    <m/>
    <s v="Não"/>
    <s v="Não"/>
    <s v="Não"/>
    <s v="Não"/>
    <n v="1140.6659999999999"/>
    <n v="1140.6659999999999"/>
  </r>
  <r>
    <s v="VGSP-348_048,000_EN_CL6"/>
    <x v="0"/>
    <s v="48,000"/>
    <m/>
    <s v="48,500"/>
    <m/>
    <x v="0"/>
    <s v="N"/>
    <n v="-23.258226094585439"/>
    <n v="-46.867425813147968"/>
    <n v="1084.75"/>
    <n v="4.28"/>
    <n v="0"/>
    <m/>
    <n v="0"/>
    <m/>
    <m/>
    <s v="Não"/>
    <s v="Não"/>
    <s v="Não"/>
    <s v="Não"/>
    <n v="0"/>
    <n v="0"/>
  </r>
  <r>
    <s v="VGSP-348_048,000_CC1"/>
    <x v="55"/>
    <s v="48,000"/>
    <m/>
    <s v="48,500"/>
    <n v="0.5"/>
    <x v="1"/>
    <s v="C"/>
    <n v="-23.262536527866128"/>
    <n v="-46.866076579301087"/>
    <n v="696.03"/>
    <n v="4.07"/>
    <n v="70"/>
    <m/>
    <n v="0"/>
    <s v="Eixo-zero"/>
    <m/>
    <s v="Não"/>
    <s v="Não"/>
    <s v="Não"/>
    <s v="Não"/>
    <n v="487.22099999999995"/>
    <n v="487.22099999999995"/>
  </r>
  <r>
    <s v="VGSP-348_048,000_ES_CL9"/>
    <x v="0"/>
    <s v="48,000"/>
    <m/>
    <s v="48,500"/>
    <m/>
    <x v="0"/>
    <s v="S"/>
    <n v="-23.26144576278573"/>
    <n v="-46.867118110150642"/>
    <n v="6133.83"/>
    <n v="4"/>
    <n v="70"/>
    <m/>
    <n v="0"/>
    <s v="Eixo-zero"/>
    <m/>
    <s v="Não"/>
    <s v="Não"/>
    <s v="Não"/>
    <s v="Não"/>
    <n v="4293.6809999999996"/>
    <n v="4293.6809999999996"/>
  </r>
  <r>
    <s v="VGSP-348_048,000_EN_CL7"/>
    <x v="0"/>
    <s v="48,000"/>
    <m/>
    <s v="48,500"/>
    <m/>
    <x v="0"/>
    <s v="N"/>
    <n v="-23.259287869551581"/>
    <n v="-46.86607616504579"/>
    <n v="2653.93"/>
    <n v="3.26"/>
    <n v="0"/>
    <m/>
    <n v="0"/>
    <m/>
    <m/>
    <s v="Não"/>
    <s v="Não"/>
    <s v="Não"/>
    <s v="Não"/>
    <n v="0"/>
    <n v="0"/>
  </r>
  <r>
    <s v="VGSP-348_048,000_CC4"/>
    <x v="55"/>
    <s v="48,000"/>
    <m/>
    <s v="48,500"/>
    <n v="0.5"/>
    <x v="1"/>
    <s v="C"/>
    <n v="-23.25776330105348"/>
    <n v="-46.868255001155909"/>
    <n v="14703.86"/>
    <n v="8.06"/>
    <n v="80"/>
    <m/>
    <n v="0"/>
    <s v="Trator 1.7m"/>
    <m/>
    <s v="Não"/>
    <s v="Não"/>
    <s v="Não"/>
    <s v="Não"/>
    <n v="11763.088000000002"/>
    <n v="11763.088000000002"/>
  </r>
  <r>
    <s v="VGSP-348_048,000_ES_CL11"/>
    <x v="0"/>
    <s v="48,000"/>
    <m/>
    <s v="48,500"/>
    <m/>
    <x v="0"/>
    <s v="S"/>
    <n v="-23.259807467046709"/>
    <n v="-46.868699711864402"/>
    <n v="542.04999999999995"/>
    <n v="9.1999999999999993"/>
    <n v="30"/>
    <m/>
    <n v="0"/>
    <s v="Trator 1.7m"/>
    <m/>
    <s v="Não"/>
    <s v="Não"/>
    <s v="Não"/>
    <s v="Não"/>
    <n v="162.61499999999998"/>
    <n v="162.61499999999998"/>
  </r>
  <r>
    <s v="VGSP-348_048,000_ES_CL6"/>
    <x v="0"/>
    <s v="48,000"/>
    <m/>
    <s v="48,500"/>
    <m/>
    <x v="0"/>
    <s v="S"/>
    <n v="-23.261842876332569"/>
    <n v="-46.867697327414128"/>
    <n v="12348.86"/>
    <n v="5.75"/>
    <n v="30"/>
    <m/>
    <n v="0"/>
    <s v="Trator 1.7m"/>
    <m/>
    <s v="Não"/>
    <s v="Não"/>
    <s v="Não"/>
    <s v="Não"/>
    <n v="3704.6579999999999"/>
    <n v="3704.6579999999999"/>
  </r>
  <r>
    <s v="VGSP-330_048,000_ES_CL1"/>
    <x v="0"/>
    <s v="48,000"/>
    <m/>
    <s v="48,500"/>
    <m/>
    <x v="0"/>
    <s v="S"/>
    <n v="-23.276639084193739"/>
    <n v="-46.871966620122564"/>
    <n v="536.75"/>
    <n v="4.33"/>
    <n v="0"/>
    <m/>
    <n v="0"/>
    <m/>
    <m/>
    <s v="Não"/>
    <s v="Não"/>
    <s v="Não"/>
    <s v="Não"/>
    <n v="0"/>
    <n v="0"/>
  </r>
  <r>
    <s v="VGSP-348_048,000_CC2"/>
    <x v="55"/>
    <s v="48,000"/>
    <m/>
    <s v="48,500"/>
    <n v="0.5"/>
    <x v="1"/>
    <s v="C"/>
    <n v="-23.262700914987729"/>
    <n v="-46.866035296217653"/>
    <n v="48.43"/>
    <n v="2.82"/>
    <n v="30"/>
    <m/>
    <n v="0"/>
    <s v="Trator 1.7m"/>
    <m/>
    <s v="Não"/>
    <s v="Não"/>
    <s v="Não"/>
    <s v="Não"/>
    <n v="14.529"/>
    <n v="14.529"/>
  </r>
  <r>
    <s v="VGSP-348_048,000_ES_CL1"/>
    <x v="0"/>
    <s v="48,000"/>
    <m/>
    <s v="48,500"/>
    <m/>
    <x v="0"/>
    <s v="S"/>
    <n v="-23.262996910051719"/>
    <n v="-46.866229176293807"/>
    <n v="369.53"/>
    <n v="3.04"/>
    <n v="30"/>
    <m/>
    <n v="0"/>
    <s v="Trator 1.7m"/>
    <m/>
    <s v="Não"/>
    <s v="Não"/>
    <s v="Não"/>
    <s v="Não"/>
    <n v="110.85899999999999"/>
    <n v="110.85899999999999"/>
  </r>
  <r>
    <s v="VGSP-348_048,000_EN_CL10"/>
    <x v="0"/>
    <s v="48,000"/>
    <m/>
    <s v="48,500"/>
    <m/>
    <x v="0"/>
    <s v="N"/>
    <n v="-23.257676409272261"/>
    <n v="-46.867469639417507"/>
    <n v="52.48"/>
    <n v="8.33"/>
    <n v="0"/>
    <m/>
    <n v="0"/>
    <m/>
    <m/>
    <s v="Não"/>
    <s v="Não"/>
    <s v="Não"/>
    <s v="Não"/>
    <n v="0"/>
    <n v="0"/>
  </r>
  <r>
    <s v="VGSP-348_048,000_ES_CL3"/>
    <x v="0"/>
    <s v="48,000"/>
    <m/>
    <s v="48,500"/>
    <m/>
    <x v="0"/>
    <s v="S"/>
    <n v="-23.262004498742691"/>
    <n v="-46.86800348423008"/>
    <n v="1481.66"/>
    <n v="11.11"/>
    <n v="30"/>
    <m/>
    <n v="0"/>
    <s v="Trator 1.7m"/>
    <m/>
    <s v="Não"/>
    <s v="Não"/>
    <s v="Não"/>
    <s v="Não"/>
    <n v="444.49799999999999"/>
    <n v="444.49799999999999"/>
  </r>
  <r>
    <s v="VGSP-348_048,000_ES_CL7"/>
    <x v="0"/>
    <s v="48,000"/>
    <m/>
    <s v="48,500"/>
    <m/>
    <x v="0"/>
    <s v="S"/>
    <n v="-23.258764600746769"/>
    <n v="-46.868815434460878"/>
    <n v="512.25"/>
    <n v="4.6500000000000004"/>
    <n v="30"/>
    <m/>
    <n v="0"/>
    <s v="Trator 1.7m"/>
    <m/>
    <s v="Não"/>
    <s v="Não"/>
    <s v="Não"/>
    <s v="Não"/>
    <n v="153.67499999999998"/>
    <n v="153.67499999999998"/>
  </r>
  <r>
    <s v="VGSP-348_048,000_ES_CL12"/>
    <x v="0"/>
    <s v="48,000"/>
    <m/>
    <s v="48,500"/>
    <m/>
    <x v="0"/>
    <s v="S"/>
    <n v="-23.25971664978605"/>
    <n v="-46.868148576749363"/>
    <n v="4903.8900000000003"/>
    <n v="5.21"/>
    <n v="70"/>
    <m/>
    <n v="0"/>
    <s v="Eixo-zero"/>
    <m/>
    <s v="Não"/>
    <s v="Não"/>
    <s v="Não"/>
    <s v="Não"/>
    <n v="3432.723"/>
    <n v="3432.723"/>
  </r>
  <r>
    <s v="VGSP-348_048,000_ES_CL4"/>
    <x v="0"/>
    <s v="48,000"/>
    <m/>
    <s v="48,500"/>
    <m/>
    <x v="0"/>
    <s v="S"/>
    <n v="-23.263046158397959"/>
    <n v="-46.86656997175497"/>
    <n v="48.31"/>
    <n v="3.09"/>
    <n v="30"/>
    <m/>
    <n v="0"/>
    <s v="Trator 1.7m"/>
    <m/>
    <s v="Não"/>
    <s v="Não"/>
    <s v="Não"/>
    <s v="Não"/>
    <n v="14.493"/>
    <n v="14.493"/>
  </r>
  <r>
    <s v="VGSP-348_048,000_EN_CL5"/>
    <x v="0"/>
    <s v="48,000"/>
    <m/>
    <s v="48,500"/>
    <m/>
    <x v="0"/>
    <s v="N"/>
    <n v="-23.26019645031954"/>
    <n v="-46.865987992892947"/>
    <n v="11154.95"/>
    <n v="2.56"/>
    <n v="0"/>
    <m/>
    <n v="0"/>
    <m/>
    <m/>
    <s v="Não"/>
    <s v="Não"/>
    <s v="Não"/>
    <s v="Não"/>
    <n v="0"/>
    <n v="0"/>
  </r>
  <r>
    <s v="VGSP-348_048,000_EN_CL11"/>
    <x v="0"/>
    <s v="48,000"/>
    <m/>
    <s v="48,500"/>
    <m/>
    <x v="0"/>
    <s v="N"/>
    <n v="-23.25647266515449"/>
    <n v="-46.868668951790148"/>
    <n v="1480"/>
    <n v="6.9"/>
    <n v="80"/>
    <m/>
    <n v="0"/>
    <s v="Trator 1.7m"/>
    <m/>
    <s v="Não"/>
    <s v="Não"/>
    <s v="Não"/>
    <s v="Não"/>
    <n v="1184"/>
    <n v="1184"/>
  </r>
  <r>
    <s v="VGSP-330_048,000_EN_CL2"/>
    <x v="0"/>
    <s v="48,000"/>
    <m/>
    <s v="48,500"/>
    <m/>
    <x v="0"/>
    <s v="N"/>
    <n v="-23.27539008295717"/>
    <n v="-46.87066233685038"/>
    <n v="1937.52"/>
    <n v="10.72"/>
    <n v="80"/>
    <m/>
    <n v="0"/>
    <s v="Trator 1.7m"/>
    <m/>
    <s v="Não"/>
    <s v="Não"/>
    <s v="Não"/>
    <s v="Não"/>
    <n v="1550.0160000000001"/>
    <n v="1550.0160000000001"/>
  </r>
  <r>
    <s v="VGSP-330_048,000_ES_CL5"/>
    <x v="0"/>
    <s v="48,000"/>
    <m/>
    <s v="48,500"/>
    <m/>
    <x v="0"/>
    <s v="S"/>
    <n v="-23.269916213880311"/>
    <n v="-46.868534555986507"/>
    <n v="1627.7"/>
    <n v="4.51"/>
    <n v="40"/>
    <m/>
    <n v="0"/>
    <s v="Trator 1.7m"/>
    <m/>
    <s v="Não"/>
    <s v="Não"/>
    <s v="Não"/>
    <s v="Não"/>
    <n v="651.08000000000004"/>
    <n v="651.08000000000004"/>
  </r>
  <r>
    <s v="VGSP-330_048,000_ES_CL3"/>
    <x v="0"/>
    <s v="48,000"/>
    <m/>
    <s v="48,500"/>
    <m/>
    <x v="0"/>
    <s v="S"/>
    <n v="-23.272542874415912"/>
    <n v="-46.868972120042407"/>
    <n v="1023.46"/>
    <n v="4.93"/>
    <n v="40"/>
    <m/>
    <n v="0"/>
    <s v="Trator 1.7m"/>
    <m/>
    <s v="Não"/>
    <s v="Não"/>
    <s v="Não"/>
    <s v="Não"/>
    <n v="409.38400000000001"/>
    <n v="409.38400000000001"/>
  </r>
  <r>
    <s v="VGSP-330_048,000_ES_CL4"/>
    <x v="0"/>
    <s v="48,000"/>
    <m/>
    <s v="48,500"/>
    <m/>
    <x v="0"/>
    <s v="S"/>
    <n v="-23.271582093229789"/>
    <n v="-46.868592492449338"/>
    <n v="100.81"/>
    <n v="1.65"/>
    <n v="40"/>
    <m/>
    <n v="0"/>
    <s v="Trator 1.7m"/>
    <m/>
    <s v="Não"/>
    <s v="Não"/>
    <s v="Não"/>
    <s v="Não"/>
    <n v="40.324000000000005"/>
    <n v="40.324000000000005"/>
  </r>
  <r>
    <s v="VGSP-330_048,000_EN_CL1"/>
    <x v="0"/>
    <s v="48,000"/>
    <m/>
    <s v="48,500"/>
    <m/>
    <x v="0"/>
    <s v="N"/>
    <n v="-23.271023142270291"/>
    <n v="-46.868368785572898"/>
    <n v="2501.2199999999998"/>
    <n v="8.44"/>
    <n v="35"/>
    <m/>
    <n v="875.42699999999991"/>
    <s v="Trator com braço articulado"/>
    <m/>
    <s v="Não"/>
    <s v="Não"/>
    <s v="Não"/>
    <s v="Sim"/>
    <n v="0"/>
    <m/>
  </r>
  <r>
    <s v="VGSP-348_048,000_ES_CL10"/>
    <x v="0"/>
    <s v="48,000"/>
    <m/>
    <s v="48,500"/>
    <m/>
    <x v="0"/>
    <s v="S"/>
    <n v="-23.25727474517533"/>
    <n v="-46.86952598593799"/>
    <n v="1807.54"/>
    <n v="7.82"/>
    <n v="60"/>
    <m/>
    <n v="0"/>
    <s v="Trator 1.7m"/>
    <m/>
    <s v="Não"/>
    <s v="Não"/>
    <s v="Não"/>
    <s v="Não"/>
    <n v="1084.5239999999999"/>
    <n v="1084.5239999999999"/>
  </r>
  <r>
    <s v="VGSP-348_048,000_ES_CL5"/>
    <x v="0"/>
    <s v="48,000"/>
    <m/>
    <s v="48,500"/>
    <m/>
    <x v="0"/>
    <s v="S"/>
    <n v="-23.26225362021971"/>
    <n v="-46.867092809413357"/>
    <n v="8175.38"/>
    <n v="3.09"/>
    <n v="30"/>
    <m/>
    <n v="0"/>
    <s v="Trator 1.7m"/>
    <m/>
    <s v="Não"/>
    <s v="Não"/>
    <s v="Não"/>
    <s v="Não"/>
    <n v="2452.614"/>
    <n v="2452.614"/>
  </r>
  <r>
    <s v="VGSP-348_048,000_CC6"/>
    <x v="55"/>
    <s v="48,000"/>
    <m/>
    <s v="48,500"/>
    <n v="0.5"/>
    <x v="1"/>
    <s v="C"/>
    <n v="-23.257086817647881"/>
    <n v="-46.869167889166107"/>
    <n v="13318.95"/>
    <n v="5.64"/>
    <n v="80"/>
    <m/>
    <n v="0"/>
    <s v="Eixo-zero"/>
    <m/>
    <s v="Não"/>
    <s v="Não"/>
    <s v="Não"/>
    <s v="Não"/>
    <n v="10655.160000000002"/>
    <n v="10655.160000000002"/>
  </r>
  <r>
    <s v="VGSP-348_048,000_EN_CL3"/>
    <x v="0"/>
    <s v="48,000"/>
    <m/>
    <s v="48,500"/>
    <m/>
    <x v="0"/>
    <s v="N"/>
    <n v="-23.262203487623029"/>
    <n v="-46.865512130499312"/>
    <n v="1294.44"/>
    <n v="4.66"/>
    <n v="0"/>
    <m/>
    <n v="0"/>
    <m/>
    <m/>
    <s v="Não"/>
    <s v="Não"/>
    <s v="Não"/>
    <s v="Não"/>
    <n v="0"/>
    <n v="0"/>
  </r>
  <r>
    <s v="VGSP-348_048,000_EN_CL8"/>
    <x v="0"/>
    <s v="48,000"/>
    <m/>
    <s v="48,500"/>
    <m/>
    <x v="0"/>
    <s v="N"/>
    <n v="-23.258938827637952"/>
    <n v="-46.866728750176968"/>
    <n v="948.69"/>
    <n v="2.44"/>
    <n v="0"/>
    <m/>
    <n v="0"/>
    <m/>
    <m/>
    <s v="Não"/>
    <s v="Não"/>
    <s v="Não"/>
    <s v="Não"/>
    <n v="0"/>
    <n v="0"/>
  </r>
  <r>
    <s v="VGSP-348_048,000_CC3"/>
    <x v="55"/>
    <s v="48,000"/>
    <m/>
    <s v="48,500"/>
    <n v="0.5"/>
    <x v="1"/>
    <s v="C"/>
    <n v="-23.26008061168508"/>
    <n v="-46.86709859313094"/>
    <n v="22136.57"/>
    <n v="5.34"/>
    <n v="0"/>
    <m/>
    <n v="0"/>
    <m/>
    <m/>
    <s v="Não"/>
    <s v="Não"/>
    <s v="Não"/>
    <s v="Não"/>
    <n v="0"/>
    <n v="0"/>
  </r>
  <r>
    <s v="VGSP-348_048,000_EN_CL1"/>
    <x v="0"/>
    <s v="48,000"/>
    <m/>
    <s v="48,500"/>
    <m/>
    <x v="0"/>
    <s v="N"/>
    <n v="-23.257971219990122"/>
    <n v="-46.866844635612821"/>
    <n v="139.6"/>
    <n v="2.81"/>
    <n v="0"/>
    <m/>
    <n v="0"/>
    <m/>
    <m/>
    <s v="Não"/>
    <s v="Não"/>
    <s v="Não"/>
    <s v="Não"/>
    <n v="0"/>
    <n v="0"/>
  </r>
  <r>
    <s v="VGSP-330_048,000_ES_CL2"/>
    <x v="0"/>
    <s v="48,000"/>
    <m/>
    <s v="48,500"/>
    <m/>
    <x v="0"/>
    <s v="S"/>
    <n v="-23.275042060345189"/>
    <n v="-46.870773271060997"/>
    <n v="1674.61"/>
    <n v="6.18"/>
    <n v="65"/>
    <m/>
    <n v="1088.4965"/>
    <s v="Trator com braço articulado"/>
    <m/>
    <s v="Não"/>
    <s v="Não"/>
    <s v="Não"/>
    <s v="Sim"/>
    <n v="0"/>
    <m/>
  </r>
  <r>
    <s v="VGSP-348_048,000_ES_CL8"/>
    <x v="0"/>
    <s v="48,000"/>
    <m/>
    <s v="48,500"/>
    <m/>
    <x v="0"/>
    <s v="S"/>
    <n v="-23.263775302568959"/>
    <n v="-46.867014616438667"/>
    <n v="6447.86"/>
    <n v="3.86"/>
    <n v="30"/>
    <m/>
    <n v="0"/>
    <s v="Trator 1.7m"/>
    <m/>
    <s v="Não"/>
    <s v="Não"/>
    <s v="Não"/>
    <s v="Não"/>
    <n v="1934.3579999999997"/>
    <n v="1934.3579999999997"/>
  </r>
  <r>
    <s v="VGSP-348_048,000_EN_CL2"/>
    <x v="0"/>
    <s v="48,000"/>
    <m/>
    <s v="48,500"/>
    <m/>
    <x v="0"/>
    <s v="N"/>
    <n v="-23.260020039684662"/>
    <n v="-46.865694300014027"/>
    <n v="1994.68"/>
    <n v="5.63"/>
    <n v="0"/>
    <m/>
    <n v="0"/>
    <m/>
    <m/>
    <s v="Não"/>
    <s v="Não"/>
    <s v="Não"/>
    <s v="Não"/>
    <n v="0"/>
    <n v="0"/>
  </r>
  <r>
    <s v="VGSP-348_048,000_ES_CL2"/>
    <x v="0"/>
    <s v="48,000"/>
    <m/>
    <s v="48,500"/>
    <m/>
    <x v="0"/>
    <s v="S"/>
    <n v="-23.264373311320892"/>
    <n v="-46.867474286822713"/>
    <n v="685.74"/>
    <n v="8.16"/>
    <n v="30"/>
    <m/>
    <n v="0"/>
    <s v="Trator 1.7m"/>
    <m/>
    <s v="Não"/>
    <s v="Não"/>
    <s v="Não"/>
    <s v="Não"/>
    <n v="205.72200000000001"/>
    <n v="205.72200000000001"/>
  </r>
  <r>
    <s v="VGSP-348_048,000_EN_CL4"/>
    <x v="0"/>
    <s v="48,000"/>
    <m/>
    <s v="48,500"/>
    <m/>
    <x v="0"/>
    <s v="N"/>
    <n v="-23.261555196134079"/>
    <n v="-46.865989300677327"/>
    <n v="6752.69"/>
    <n v="4.05"/>
    <n v="0"/>
    <m/>
    <n v="0"/>
    <m/>
    <m/>
    <s v="Não"/>
    <s v="Não"/>
    <s v="Não"/>
    <s v="Não"/>
    <n v="0"/>
    <n v="0"/>
  </r>
  <r>
    <s v="VGSP-348_048,000_CC5"/>
    <x v="55"/>
    <s v="48,000"/>
    <m/>
    <s v="48,500"/>
    <n v="0.5"/>
    <x v="1"/>
    <s v="C"/>
    <n v="-23.259089127552851"/>
    <n v="-46.867857079672717"/>
    <n v="3661.03"/>
    <n v="10.85"/>
    <n v="0"/>
    <m/>
    <n v="0"/>
    <m/>
    <m/>
    <s v="Não"/>
    <s v="Não"/>
    <s v="Não"/>
    <s v="Não"/>
    <n v="0"/>
    <n v="0"/>
  </r>
  <r>
    <s v="VGSP-348_048,000_EN_CL9"/>
    <x v="0"/>
    <s v="48,000"/>
    <m/>
    <s v="48,500"/>
    <m/>
    <x v="0"/>
    <s v="N"/>
    <n v="-23.257948099744219"/>
    <n v="-46.866990527633597"/>
    <n v="285.07"/>
    <n v="2.57"/>
    <n v="0"/>
    <m/>
    <n v="0"/>
    <m/>
    <m/>
    <s v="Não"/>
    <s v="Não"/>
    <s v="Não"/>
    <s v="Não"/>
    <n v="0"/>
    <n v="0"/>
  </r>
  <r>
    <s v="VGSP-348_049,000_EN_CL1"/>
    <x v="0"/>
    <s v="49,000"/>
    <m/>
    <s v="49,500"/>
    <m/>
    <x v="0"/>
    <s v="N"/>
    <n v="-23.253727461823271"/>
    <n v="-46.870809731982433"/>
    <n v="1543.66"/>
    <n v="5.7"/>
    <n v="80"/>
    <m/>
    <n v="0"/>
    <s v="Trator 1.7m"/>
    <m/>
    <s v="Não"/>
    <s v="Não"/>
    <s v="Não"/>
    <s v="Não"/>
    <n v="1234.9280000000001"/>
    <n v="1234.9280000000001"/>
  </r>
  <r>
    <s v="VGSP-348_049,000_EN_CL2"/>
    <x v="0"/>
    <s v="49,000"/>
    <m/>
    <s v="49,500"/>
    <m/>
    <x v="0"/>
    <s v="N"/>
    <n v="-23.250699921579219"/>
    <n v="-46.874416383768548"/>
    <n v="2451.69"/>
    <n v="13.76"/>
    <n v="0"/>
    <m/>
    <n v="0"/>
    <m/>
    <m/>
    <s v="Não"/>
    <s v="Não"/>
    <s v="Não"/>
    <s v="Não"/>
    <n v="0"/>
    <n v="0"/>
  </r>
  <r>
    <s v="VGSP-330_049,000_EN_CL3"/>
    <x v="0"/>
    <s v="49,000"/>
    <m/>
    <s v="49,500"/>
    <m/>
    <x v="0"/>
    <s v="N"/>
    <n v="-23.268240861131002"/>
    <n v="-46.868209782308917"/>
    <n v="43.55"/>
    <n v="5.63"/>
    <n v="90"/>
    <m/>
    <n v="0"/>
    <s v="Trator 1.7m"/>
    <m/>
    <s v="Não"/>
    <s v="Não"/>
    <s v="Não"/>
    <s v="Não"/>
    <n v="39.195"/>
    <n v="39.195"/>
  </r>
  <r>
    <s v="VGSP-348_049,000_CC1"/>
    <x v="56"/>
    <s v="49,000"/>
    <m/>
    <s v="49,500"/>
    <n v="0.5"/>
    <x v="1"/>
    <s v="C"/>
    <n v="-23.251004022181782"/>
    <n v="-46.874642543508642"/>
    <n v="18326.189999999999"/>
    <n v="8.0299999999999994"/>
    <n v="80"/>
    <m/>
    <n v="0"/>
    <s v="Eixo-zero"/>
    <m/>
    <s v="Não"/>
    <s v="Não"/>
    <s v="Não"/>
    <s v="Não"/>
    <n v="14660.951999999999"/>
    <n v="14660.951999999999"/>
  </r>
  <r>
    <s v="VGSP-348_049,000_ES_CL3"/>
    <x v="0"/>
    <s v="49,000"/>
    <m/>
    <s v="49,500"/>
    <m/>
    <x v="0"/>
    <s v="S"/>
    <n v="-23.25319970610796"/>
    <n v="-46.872431105138773"/>
    <n v="289.47000000000003"/>
    <n v="4.28"/>
    <n v="60"/>
    <m/>
    <n v="0"/>
    <s v="Trator 1.7m"/>
    <m/>
    <s v="Não"/>
    <s v="Não"/>
    <s v="Não"/>
    <s v="Não"/>
    <n v="173.68200000000002"/>
    <n v="173.68200000000002"/>
  </r>
  <r>
    <s v="VGSP-348_049,000_CC2"/>
    <x v="56"/>
    <s v="49,000"/>
    <m/>
    <s v="49,500"/>
    <n v="0.5"/>
    <x v="1"/>
    <s v="C"/>
    <n v="-23.253957769008959"/>
    <n v="-46.871134605099087"/>
    <n v="11113.11"/>
    <n v="4.82"/>
    <n v="80"/>
    <m/>
    <n v="0"/>
    <s v="Eixo-zero"/>
    <m/>
    <s v="Não"/>
    <s v="Não"/>
    <s v="Não"/>
    <s v="Não"/>
    <n v="8890.4880000000012"/>
    <n v="8890.4880000000012"/>
  </r>
  <r>
    <s v="VGSP-330_049,000_ES_CL"/>
    <x v="0"/>
    <s v="49,000"/>
    <m/>
    <s v="49,500"/>
    <m/>
    <x v="0"/>
    <s v="S"/>
    <n v="-23.266578215842699"/>
    <n v="-46.868215830630177"/>
    <n v="1381.75"/>
    <n v="5.85"/>
    <n v="40"/>
    <m/>
    <n v="0"/>
    <s v="Trator 1.7m"/>
    <m/>
    <s v="Não"/>
    <s v="Não"/>
    <s v="Não"/>
    <s v="Não"/>
    <n v="552.70000000000005"/>
    <n v="552.70000000000005"/>
  </r>
  <r>
    <s v="VGSP-330_049,000_EN_CL1"/>
    <x v="0"/>
    <s v="49,000"/>
    <m/>
    <s v="49,500"/>
    <m/>
    <x v="0"/>
    <s v="N"/>
    <n v="-23.266808209645571"/>
    <n v="-46.867634272651152"/>
    <n v="1363.29"/>
    <n v="16.059999999999999"/>
    <n v="0"/>
    <m/>
    <n v="0"/>
    <m/>
    <m/>
    <s v="Não"/>
    <s v="Não"/>
    <s v="Não"/>
    <s v="Não"/>
    <n v="0"/>
    <n v="0"/>
  </r>
  <r>
    <s v="VGSP-330_049,000_EN_CL4"/>
    <x v="0"/>
    <s v="49,000"/>
    <m/>
    <s v="49,500"/>
    <m/>
    <x v="0"/>
    <s v="N"/>
    <n v="-23.266478258460751"/>
    <n v="-46.867726192531443"/>
    <n v="4847.83"/>
    <n v="16.48"/>
    <n v="0"/>
    <m/>
    <n v="0"/>
    <m/>
    <m/>
    <s v="Não"/>
    <s v="Não"/>
    <s v="Não"/>
    <s v="Não"/>
    <n v="0"/>
    <n v="0"/>
  </r>
  <r>
    <s v="VGSP-348_049,000_ES_CL1"/>
    <x v="0"/>
    <s v="49,000"/>
    <m/>
    <s v="49,500"/>
    <m/>
    <x v="0"/>
    <s v="S"/>
    <n v="-23.254266977912391"/>
    <n v="-46.871283544998242"/>
    <n v="1354.41"/>
    <n v="7.66"/>
    <n v="60"/>
    <m/>
    <n v="0"/>
    <s v="Trator 1.7m"/>
    <m/>
    <s v="Não"/>
    <s v="Não"/>
    <s v="Não"/>
    <s v="Não"/>
    <n v="812.64600000000007"/>
    <n v="812.64600000000007"/>
  </r>
  <r>
    <s v="VGSP-348_049,000_ES_CL2"/>
    <x v="0"/>
    <s v="49,000"/>
    <m/>
    <s v="49,500"/>
    <m/>
    <x v="0"/>
    <s v="S"/>
    <n v="-23.251293069408351"/>
    <n v="-46.874769573228988"/>
    <n v="2528.16"/>
    <n v="5.51"/>
    <n v="30"/>
    <m/>
    <n v="0"/>
    <s v="Trator 1.7m"/>
    <m/>
    <s v="Não"/>
    <s v="Não"/>
    <s v="Não"/>
    <s v="Não"/>
    <n v="758.44799999999998"/>
    <n v="758.44799999999998"/>
  </r>
  <r>
    <s v="VGSP-330_049,000_EN_CL2"/>
    <x v="0"/>
    <s v="49,000"/>
    <m/>
    <s v="49,500"/>
    <m/>
    <x v="0"/>
    <s v="N"/>
    <n v="-23.26796778912048"/>
    <n v="-46.86813768375562"/>
    <n v="945.55"/>
    <n v="8.17"/>
    <n v="90"/>
    <m/>
    <n v="0"/>
    <s v="Trator 1.7m"/>
    <m/>
    <s v="Não"/>
    <s v="Não"/>
    <s v="Não"/>
    <s v="Não"/>
    <n v="850.995"/>
    <n v="850.995"/>
  </r>
  <r>
    <s v="VGSP-330_050,000_EN_CL1"/>
    <x v="0"/>
    <s v="50,000"/>
    <m/>
    <s v="50,500"/>
    <m/>
    <x v="0"/>
    <s v="N"/>
    <n v="-23.25588261505612"/>
    <n v="-46.866998633916722"/>
    <n v="384.77"/>
    <n v="3.41"/>
    <n v="80"/>
    <m/>
    <n v="0"/>
    <s v="Eixo-zero"/>
    <m/>
    <s v="Não"/>
    <s v="Não"/>
    <s v="Não"/>
    <s v="Não"/>
    <n v="307.81600000000003"/>
    <n v="307.81600000000003"/>
  </r>
  <r>
    <s v="VGSP-330_050,000_EN_CL2"/>
    <x v="0"/>
    <s v="50,000"/>
    <m/>
    <s v="50,500"/>
    <m/>
    <x v="0"/>
    <s v="N"/>
    <n v="-23.25396177756571"/>
    <n v="-46.866497324518789"/>
    <n v="1544.16"/>
    <n v="4.55"/>
    <n v="80"/>
    <m/>
    <n v="0"/>
    <s v="Eixo-zero"/>
    <m/>
    <s v="Não"/>
    <s v="Não"/>
    <s v="Não"/>
    <s v="Não"/>
    <n v="1235.3280000000002"/>
    <n v="1235.3280000000002"/>
  </r>
  <r>
    <s v="VGSP-330_050,000_ES_CL4"/>
    <x v="0"/>
    <s v="50,000"/>
    <m/>
    <s v="50,500"/>
    <m/>
    <x v="0"/>
    <s v="S"/>
    <n v="-23.252637679540371"/>
    <n v="-46.866836926500703"/>
    <n v="411.73"/>
    <n v="9.59"/>
    <n v="40"/>
    <m/>
    <n v="0"/>
    <s v="Trator 1.7m"/>
    <m/>
    <s v="Não"/>
    <s v="Não"/>
    <s v="Não"/>
    <s v="Não"/>
    <n v="164.69200000000001"/>
    <n v="164.69200000000001"/>
  </r>
  <r>
    <s v="VGSP-348_050,000_EN_CL4"/>
    <x v="0"/>
    <s v="50,000"/>
    <m/>
    <s v="50,500"/>
    <m/>
    <x v="0"/>
    <s v="N"/>
    <n v="-23.247278400754411"/>
    <n v="-46.878613834584669"/>
    <n v="985.82"/>
    <n v="5.12"/>
    <n v="0"/>
    <m/>
    <n v="0"/>
    <m/>
    <m/>
    <s v="Não"/>
    <s v="Não"/>
    <s v="Não"/>
    <s v="Não"/>
    <n v="0"/>
    <n v="0"/>
  </r>
  <r>
    <s v="VGSP-348_050,000_EN_CL2"/>
    <x v="0"/>
    <s v="50,000"/>
    <m/>
    <s v="50,500"/>
    <m/>
    <x v="0"/>
    <s v="N"/>
    <n v="-23.248483289929322"/>
    <n v="-46.877158244188713"/>
    <n v="1741.89"/>
    <n v="6.1"/>
    <n v="0"/>
    <m/>
    <n v="0"/>
    <m/>
    <m/>
    <s v="Não"/>
    <s v="Não"/>
    <s v="Não"/>
    <s v="Não"/>
    <n v="0"/>
    <n v="0"/>
  </r>
  <r>
    <s v="VGSP-348_050,000_ES_CL4"/>
    <x v="0"/>
    <s v="50,000"/>
    <m/>
    <s v="50,500"/>
    <m/>
    <x v="0"/>
    <s v="S"/>
    <n v="-23.247705401472121"/>
    <n v="-46.879066413939803"/>
    <n v="967.9"/>
    <n v="6.13"/>
    <n v="30"/>
    <m/>
    <n v="0"/>
    <s v="Trator 1.7m"/>
    <m/>
    <s v="Não"/>
    <s v="Não"/>
    <s v="Não"/>
    <s v="Não"/>
    <n v="290.37"/>
    <n v="290.37"/>
  </r>
  <r>
    <s v="VGSP-348_050,000_EN_CL1"/>
    <x v="0"/>
    <s v="50,000"/>
    <m/>
    <s v="50,500"/>
    <m/>
    <x v="0"/>
    <s v="N"/>
    <n v="-23.248480295576261"/>
    <n v="-46.876929538689772"/>
    <n v="479.15"/>
    <n v="5.81"/>
    <n v="0"/>
    <m/>
    <n v="0"/>
    <m/>
    <m/>
    <s v="Não"/>
    <s v="Não"/>
    <s v="Não"/>
    <s v="Não"/>
    <n v="0"/>
    <n v="0"/>
  </r>
  <r>
    <s v="VGSP-330_050,000_CC2"/>
    <x v="57"/>
    <s v="50,000"/>
    <m/>
    <s v="50,500"/>
    <m/>
    <x v="1"/>
    <s v="C"/>
    <n v="-23.25709084321883"/>
    <n v="-46.86715264920236"/>
    <n v="1011.6"/>
    <n v="3.94"/>
    <n v="20"/>
    <m/>
    <n v="0"/>
    <s v="Trator 1.7m"/>
    <m/>
    <s v="Não"/>
    <s v="Não"/>
    <s v="Não"/>
    <s v="Não"/>
    <n v="202.32000000000002"/>
    <n v="202.32000000000002"/>
  </r>
  <r>
    <s v="VGSP-330_050,000_ES_CL3"/>
    <x v="0"/>
    <s v="50,000"/>
    <m/>
    <s v="50,500"/>
    <m/>
    <x v="0"/>
    <s v="S"/>
    <n v="-23.252924768524689"/>
    <n v="-46.866743800397373"/>
    <n v="1748.21"/>
    <n v="7.08"/>
    <n v="40"/>
    <m/>
    <n v="0"/>
    <s v="Trator 1.7m"/>
    <m/>
    <s v="Não"/>
    <s v="Não"/>
    <s v="Não"/>
    <s v="Não"/>
    <n v="699.28400000000011"/>
    <n v="699.28400000000011"/>
  </r>
  <r>
    <s v="VGSP-330_050,000_EN_CL3"/>
    <x v="0"/>
    <s v="50,000"/>
    <m/>
    <s v="50,500"/>
    <m/>
    <x v="0"/>
    <s v="N"/>
    <n v="-23.2540583154858"/>
    <n v="-46.866679813652063"/>
    <n v="2867.65"/>
    <n v="4.67"/>
    <n v="80"/>
    <m/>
    <n v="0"/>
    <s v="Eixo-zero"/>
    <m/>
    <s v="Não"/>
    <s v="Não"/>
    <s v="Não"/>
    <s v="Não"/>
    <n v="2294.1200000000003"/>
    <n v="2294.1200000000003"/>
  </r>
  <r>
    <s v="VGSP-330_050,000_ES_CL2"/>
    <x v="0"/>
    <s v="50,000"/>
    <m/>
    <s v="50,500"/>
    <m/>
    <x v="0"/>
    <s v="S"/>
    <n v="-23.255090887332429"/>
    <n v="-46.867368997886793"/>
    <n v="970.79"/>
    <n v="6.98"/>
    <n v="40"/>
    <m/>
    <n v="0"/>
    <s v="Trator 1.7m"/>
    <m/>
    <s v="Não"/>
    <s v="Não"/>
    <s v="Não"/>
    <s v="Não"/>
    <n v="388.31600000000003"/>
    <n v="388.31600000000003"/>
  </r>
  <r>
    <s v="VGSP-348_050,000_CC1"/>
    <x v="58"/>
    <s v="50,000"/>
    <m/>
    <s v="50,500"/>
    <n v="0.5"/>
    <x v="1"/>
    <s v="C"/>
    <n v="-23.248847120778709"/>
    <n v="-46.877345020264791"/>
    <n v="3637.42"/>
    <n v="6.32"/>
    <n v="80"/>
    <m/>
    <n v="0"/>
    <s v="Eixo-zero"/>
    <m/>
    <s v="Não"/>
    <s v="Não"/>
    <s v="Não"/>
    <s v="Não"/>
    <n v="2909.9360000000001"/>
    <n v="2909.9360000000001"/>
  </r>
  <r>
    <s v="VGSP-348_050,000_ES_CL1"/>
    <x v="0"/>
    <s v="50,000"/>
    <m/>
    <s v="50,500"/>
    <m/>
    <x v="0"/>
    <s v="S"/>
    <n v="-23.249272809876171"/>
    <n v="-46.877675874714583"/>
    <n v="589.20000000000005"/>
    <n v="7.8"/>
    <n v="30"/>
    <m/>
    <n v="0"/>
    <s v="Trator 1.7m"/>
    <m/>
    <s v="Não"/>
    <s v="Não"/>
    <s v="Não"/>
    <s v="Não"/>
    <n v="176.76000000000002"/>
    <n v="176.76000000000002"/>
  </r>
  <r>
    <s v="VGSP-348_050,000_EN_CL3"/>
    <x v="0"/>
    <s v="50,000"/>
    <m/>
    <s v="50,500"/>
    <m/>
    <x v="0"/>
    <s v="N"/>
    <n v="-23.244446618088791"/>
    <n v="-46.881029073571867"/>
    <n v="2213.06"/>
    <n v="7.85"/>
    <n v="50"/>
    <m/>
    <n v="0"/>
    <s v="Trator 1.7m"/>
    <m/>
    <s v="Não"/>
    <s v="Não"/>
    <s v="Não"/>
    <s v="Não"/>
    <n v="1106.53"/>
    <n v="1106.53"/>
  </r>
  <r>
    <s v="VGSP-348_050,000_CC2"/>
    <x v="58"/>
    <s v="50,000"/>
    <m/>
    <s v="50,500"/>
    <n v="0.5"/>
    <x v="1"/>
    <s v="C"/>
    <n v="-23.247517475267269"/>
    <n v="-46.878819446324812"/>
    <n v="7599.86"/>
    <n v="4.82"/>
    <n v="80"/>
    <m/>
    <n v="0"/>
    <s v="Eixo-zero"/>
    <m/>
    <s v="Não"/>
    <s v="Não"/>
    <s v="Não"/>
    <s v="Não"/>
    <n v="6079.8879999999999"/>
    <n v="6079.8879999999999"/>
  </r>
  <r>
    <s v="VGSP-330_050,000_CC1"/>
    <x v="57"/>
    <s v="50,000"/>
    <m/>
    <s v="50,500"/>
    <m/>
    <x v="1"/>
    <s v="C"/>
    <n v="-23.257144819048211"/>
    <n v="-46.86701637067457"/>
    <n v="801.17"/>
    <n v="4.0599999999999996"/>
    <n v="20"/>
    <m/>
    <n v="0"/>
    <s v="Trator 1.7m"/>
    <m/>
    <s v="Não"/>
    <s v="Não"/>
    <s v="Não"/>
    <s v="Não"/>
    <n v="160.23400000000001"/>
    <n v="160.23400000000001"/>
  </r>
  <r>
    <s v="VGSP-348_050,000_ES_CL3"/>
    <x v="0"/>
    <s v="50,000"/>
    <m/>
    <s v="50,500"/>
    <m/>
    <x v="0"/>
    <s v="S"/>
    <n v="-23.244828385121568"/>
    <n v="-46.881513163360466"/>
    <n v="2277.9699999999998"/>
    <n v="7.37"/>
    <n v="50"/>
    <m/>
    <n v="0"/>
    <s v="Trator 1.7m"/>
    <m/>
    <s v="Não"/>
    <s v="Não"/>
    <s v="Não"/>
    <s v="Não"/>
    <n v="1138.9849999999999"/>
    <n v="1138.9849999999999"/>
  </r>
  <r>
    <s v="VGSP-348_050,000_ES_CL2"/>
    <x v="0"/>
    <s v="50,000"/>
    <m/>
    <s v="50,500"/>
    <m/>
    <x v="0"/>
    <s v="S"/>
    <n v="-23.24907738393199"/>
    <n v="-46.877648643353567"/>
    <n v="2195.52"/>
    <n v="6.83"/>
    <n v="30"/>
    <m/>
    <n v="0"/>
    <s v="Trator 1.7m"/>
    <m/>
    <s v="Não"/>
    <s v="Não"/>
    <s v="Não"/>
    <s v="Não"/>
    <n v="658.65599999999995"/>
    <n v="658.65599999999995"/>
  </r>
  <r>
    <s v="VGSP-348_050,000_CC3"/>
    <x v="58"/>
    <s v="50,000"/>
    <m/>
    <s v="50,500"/>
    <n v="0.5"/>
    <x v="1"/>
    <s v="C"/>
    <n v="-23.244648563747461"/>
    <n v="-46.881276589820537"/>
    <n v="17063.060000000001"/>
    <n v="5.45"/>
    <n v="80"/>
    <m/>
    <n v="0"/>
    <s v="Eixo-zero"/>
    <m/>
    <s v="Não"/>
    <s v="Não"/>
    <s v="Não"/>
    <s v="Não"/>
    <n v="13650.448000000002"/>
    <n v="13650.448000000002"/>
  </r>
  <r>
    <s v="VGSP-330_050,000_ES_CL1"/>
    <x v="0"/>
    <s v="50,000"/>
    <m/>
    <s v="50,500"/>
    <m/>
    <x v="0"/>
    <s v="S"/>
    <n v="-23.256810741732931"/>
    <n v="-46.867606548233383"/>
    <n v="571.62"/>
    <n v="9.84"/>
    <n v="50"/>
    <m/>
    <n v="0"/>
    <s v="Trator 1.7m"/>
    <m/>
    <s v="Não"/>
    <s v="Não"/>
    <s v="Não"/>
    <s v="Não"/>
    <n v="285.81"/>
    <n v="285.81"/>
  </r>
  <r>
    <s v="VGSP-348_051,000_ES_CL1"/>
    <x v="0"/>
    <s v="51,000"/>
    <m/>
    <s v="51,500"/>
    <m/>
    <x v="0"/>
    <s v="S"/>
    <n v="-23.2392368175149"/>
    <n v="-46.887223230247088"/>
    <n v="433.2"/>
    <n v="5.82"/>
    <n v="40"/>
    <m/>
    <n v="0"/>
    <s v="Trator 1.7m"/>
    <m/>
    <s v="Não"/>
    <s v="Não"/>
    <s v="Não"/>
    <s v="Não"/>
    <n v="173.28"/>
    <n v="173.28"/>
  </r>
  <r>
    <s v="VGSP-348_051,000_EN_CL2"/>
    <x v="0"/>
    <s v="51,000"/>
    <m/>
    <s v="51,500"/>
    <m/>
    <x v="0"/>
    <s v="N"/>
    <n v="-23.240756119905331"/>
    <n v="-46.884526345038132"/>
    <n v="2148.75"/>
    <n v="7.75"/>
    <n v="50"/>
    <m/>
    <n v="0"/>
    <s v="Trator 1.7m"/>
    <m/>
    <s v="Não"/>
    <s v="Não"/>
    <s v="Não"/>
    <s v="Não"/>
    <n v="1074.375"/>
    <n v="1074.375"/>
  </r>
  <r>
    <s v="VGSP-330_051,000_EN_CL2"/>
    <x v="0"/>
    <s v="51,000"/>
    <m/>
    <s v="51,500"/>
    <m/>
    <x v="0"/>
    <s v="N"/>
    <n v="-23.2500609506627"/>
    <n v="-46.865516703107822"/>
    <n v="76.150000000000006"/>
    <n v="5.85"/>
    <n v="80"/>
    <m/>
    <n v="0"/>
    <s v="Eixo-zero"/>
    <m/>
    <s v="Não"/>
    <s v="Não"/>
    <s v="Não"/>
    <s v="Não"/>
    <n v="60.920000000000009"/>
    <n v="60.920000000000009"/>
  </r>
  <r>
    <s v="VGSP-348_051,000_EN_CL1"/>
    <x v="0"/>
    <s v="51,000"/>
    <m/>
    <s v="51,500"/>
    <m/>
    <x v="0"/>
    <s v="N"/>
    <n v="-23.238755295631179"/>
    <n v="-46.886858794566749"/>
    <n v="457.18"/>
    <n v="7.21"/>
    <n v="0"/>
    <m/>
    <n v="0"/>
    <m/>
    <m/>
    <s v="Não"/>
    <s v="Não"/>
    <s v="Não"/>
    <s v="Não"/>
    <n v="0"/>
    <n v="0"/>
  </r>
  <r>
    <s v="VGSP-330_051,000_EN_CL4"/>
    <x v="0"/>
    <s v="51,000"/>
    <m/>
    <s v="51,500"/>
    <m/>
    <x v="0"/>
    <s v="N"/>
    <n v="-23.246273211812468"/>
    <n v="-46.866634638263328"/>
    <n v="1590.37"/>
    <n v="3.79"/>
    <n v="80"/>
    <m/>
    <n v="0"/>
    <s v="Eixo-zero"/>
    <m/>
    <s v="Não"/>
    <s v="Não"/>
    <s v="Não"/>
    <s v="Não"/>
    <n v="1272.296"/>
    <n v="1272.296"/>
  </r>
  <r>
    <s v="VGSP-330_051,000_CC1"/>
    <x v="59"/>
    <s v="51,000"/>
    <m/>
    <s v="51,500"/>
    <m/>
    <x v="1"/>
    <s v="C"/>
    <n v="-23.250169592154791"/>
    <n v="-46.865827586782991"/>
    <n v="3296.94"/>
    <n v="5.63"/>
    <n v="80"/>
    <m/>
    <n v="0"/>
    <s v="Eixo-zero"/>
    <m/>
    <s v="Não"/>
    <s v="Não"/>
    <s v="Não"/>
    <s v="Não"/>
    <n v="2637.5520000000001"/>
    <n v="2637.5520000000001"/>
  </r>
  <r>
    <s v="VGSP-330_051,000_ES_CL3"/>
    <x v="0"/>
    <s v="51,000"/>
    <m/>
    <s v="51,500"/>
    <m/>
    <x v="0"/>
    <s v="S"/>
    <n v="-23.249064478489871"/>
    <n v="-46.866190720009207"/>
    <n v="75.36"/>
    <n v="5.12"/>
    <n v="70"/>
    <m/>
    <n v="0"/>
    <s v="Trator 1.7m"/>
    <m/>
    <s v="Não"/>
    <s v="Não"/>
    <s v="Não"/>
    <s v="Não"/>
    <n v="52.751999999999995"/>
    <n v="52.751999999999995"/>
  </r>
  <r>
    <s v="VGSP-330_051,000_ES_CL4"/>
    <x v="0"/>
    <s v="51,000"/>
    <m/>
    <s v="51,500"/>
    <m/>
    <x v="0"/>
    <s v="S"/>
    <n v="-23.250101442451211"/>
    <n v="-46.866375501029133"/>
    <n v="1906.07"/>
    <n v="6.66"/>
    <n v="40"/>
    <m/>
    <n v="0"/>
    <s v="Trator 1.7m"/>
    <m/>
    <s v="Não"/>
    <s v="Não"/>
    <s v="Não"/>
    <s v="Não"/>
    <n v="762.428"/>
    <n v="762.428"/>
  </r>
  <r>
    <s v="VGSP-330_051,000_EN_CL1"/>
    <x v="0"/>
    <s v="51,000"/>
    <m/>
    <s v="51,500"/>
    <m/>
    <x v="0"/>
    <s v="N"/>
    <n v="-23.251216589759959"/>
    <n v="-46.865688367394078"/>
    <n v="983.86"/>
    <n v="5.78"/>
    <n v="80"/>
    <m/>
    <n v="0"/>
    <s v="Eixo-zero"/>
    <m/>
    <s v="Não"/>
    <s v="Não"/>
    <s v="Não"/>
    <s v="Não"/>
    <n v="787.08800000000008"/>
    <n v="787.08800000000008"/>
  </r>
  <r>
    <s v="VGSP-348_051,000_ES_CL2"/>
    <x v="0"/>
    <s v="51,000"/>
    <m/>
    <s v="51,500"/>
    <m/>
    <x v="0"/>
    <s v="S"/>
    <n v="-23.241161642327889"/>
    <n v="-46.88499986112317"/>
    <n v="2061.54"/>
    <n v="5.81"/>
    <n v="50"/>
    <m/>
    <n v="0"/>
    <s v="Trator 1.7m"/>
    <m/>
    <s v="Não"/>
    <s v="Não"/>
    <s v="Não"/>
    <s v="Não"/>
    <n v="1030.77"/>
    <n v="1030.77"/>
  </r>
  <r>
    <s v="VGSP-330_051,000_EN_CL5"/>
    <x v="0"/>
    <s v="51,000"/>
    <m/>
    <s v="51,500"/>
    <m/>
    <x v="0"/>
    <s v="N"/>
    <n v="-23.244006543656312"/>
    <n v="-46.867726841286917"/>
    <n v="521.95000000000005"/>
    <n v="5.37"/>
    <n v="80"/>
    <m/>
    <n v="0"/>
    <s v="Eixo-zero"/>
    <m/>
    <s v="Não"/>
    <s v="Não"/>
    <s v="Não"/>
    <s v="Não"/>
    <n v="417.56000000000006"/>
    <n v="417.56000000000006"/>
  </r>
  <r>
    <s v="VGSP-330_051,000_ES_CL1"/>
    <x v="0"/>
    <s v="51,000"/>
    <m/>
    <s v="51,500"/>
    <m/>
    <x v="0"/>
    <s v="S"/>
    <n v="-23.250674393543608"/>
    <n v="-46.866229439886389"/>
    <n v="4739.96"/>
    <n v="8.33"/>
    <n v="40"/>
    <m/>
    <n v="0"/>
    <s v="Trator 1.7m"/>
    <m/>
    <s v="Não"/>
    <s v="Não"/>
    <s v="Não"/>
    <s v="Não"/>
    <n v="1895.9840000000002"/>
    <n v="1895.9840000000002"/>
  </r>
  <r>
    <s v="VGSP-330_051,000_ES_CL2"/>
    <x v="0"/>
    <s v="51,000"/>
    <m/>
    <s v="51,500"/>
    <m/>
    <x v="0"/>
    <s v="S"/>
    <n v="-23.249105354651292"/>
    <n v="-46.866064059059781"/>
    <n v="567.59"/>
    <n v="3.89"/>
    <n v="40"/>
    <m/>
    <n v="0"/>
    <s v="Trator 1.7m"/>
    <m/>
    <s v="Não"/>
    <s v="Não"/>
    <s v="Não"/>
    <s v="Não"/>
    <n v="227.03600000000003"/>
    <n v="227.03600000000003"/>
  </r>
  <r>
    <s v="VGSP-330_051,000_CC2"/>
    <x v="59"/>
    <s v="51,000"/>
    <m/>
    <s v="51,500"/>
    <m/>
    <x v="1"/>
    <s v="C"/>
    <n v="-23.245798285543572"/>
    <n v="-46.86703969803672"/>
    <n v="3407.29"/>
    <n v="4.8899999999999997"/>
    <n v="80"/>
    <m/>
    <n v="0"/>
    <s v="Eixo-zero"/>
    <m/>
    <s v="Não"/>
    <s v="Não"/>
    <s v="Não"/>
    <s v="Não"/>
    <n v="2725.8320000000003"/>
    <n v="2725.8320000000003"/>
  </r>
  <r>
    <s v="VGSP-330_051,000_EN_CL3"/>
    <x v="0"/>
    <s v="51,000"/>
    <m/>
    <s v="51,500"/>
    <m/>
    <x v="0"/>
    <s v="N"/>
    <n v="-23.248979486656861"/>
    <n v="-46.86563251964369"/>
    <n v="1002.14"/>
    <n v="3.58"/>
    <n v="80"/>
    <m/>
    <n v="0"/>
    <s v="Eixo-zero"/>
    <m/>
    <s v="Não"/>
    <s v="Não"/>
    <s v="Não"/>
    <s v="Não"/>
    <n v="801.71199999999999"/>
    <n v="801.71199999999999"/>
  </r>
  <r>
    <s v="VGSP-330_051,000_ES_CL5"/>
    <x v="0"/>
    <s v="51,000"/>
    <m/>
    <s v="51,500"/>
    <m/>
    <x v="0"/>
    <s v="S"/>
    <n v="-23.245788989308679"/>
    <n v="-46.86740867400988"/>
    <n v="2151.59"/>
    <n v="5.99"/>
    <n v="70"/>
    <m/>
    <n v="0"/>
    <s v="Trator 1.7m"/>
    <m/>
    <s v="Não"/>
    <s v="Não"/>
    <s v="Não"/>
    <s v="Não"/>
    <n v="1506.1130000000001"/>
    <n v="1506.1130000000001"/>
  </r>
  <r>
    <s v="VGSP-348_051,000_ES_CL3"/>
    <x v="0"/>
    <s v="51,000"/>
    <m/>
    <s v="51,500"/>
    <m/>
    <x v="0"/>
    <s v="S"/>
    <n v="-23.237104279477592"/>
    <n v="-46.889643435944372"/>
    <n v="1297.54"/>
    <n v="6.39"/>
    <n v="40"/>
    <m/>
    <n v="0"/>
    <s v="Trator 1.7m"/>
    <m/>
    <s v="Não"/>
    <s v="Não"/>
    <s v="Não"/>
    <s v="Não"/>
    <n v="519.01599999999996"/>
    <n v="519.01599999999996"/>
  </r>
  <r>
    <s v="VGSP-348_051,000_CC3"/>
    <x v="60"/>
    <s v="51,000"/>
    <m/>
    <s v="51,500"/>
    <n v="0.5"/>
    <x v="1"/>
    <s v="C"/>
    <n v="-23.236888022428111"/>
    <n v="-46.889464490386388"/>
    <n v="8752.92"/>
    <n v="5.83"/>
    <n v="60"/>
    <m/>
    <n v="0"/>
    <s v="Eixo-zero"/>
    <m/>
    <s v="Não"/>
    <s v="Não"/>
    <s v="Não"/>
    <s v="Não"/>
    <n v="5251.7519999999995"/>
    <n v="5251.7519999999995"/>
  </r>
  <r>
    <s v="VGSP-348_051,000_CC2"/>
    <x v="60"/>
    <s v="51,000"/>
    <m/>
    <s v="51,500"/>
    <n v="0.5"/>
    <x v="1"/>
    <s v="C"/>
    <n v="-23.239007846998099"/>
    <n v="-46.887052768247742"/>
    <n v="3022.84"/>
    <n v="4.2300000000000004"/>
    <n v="60"/>
    <m/>
    <n v="0"/>
    <s v="Eixo-zero"/>
    <m/>
    <s v="Não"/>
    <s v="Não"/>
    <s v="Não"/>
    <s v="Não"/>
    <n v="1813.704"/>
    <n v="1813.704"/>
  </r>
  <r>
    <s v="VGSP-348_051,000_CC1"/>
    <x v="60"/>
    <s v="51,000"/>
    <m/>
    <s v="51,500"/>
    <n v="0.5"/>
    <x v="1"/>
    <s v="C"/>
    <n v="-23.240986449600271"/>
    <n v="-46.884769092166387"/>
    <n v="14318.95"/>
    <n v="5"/>
    <n v="80"/>
    <m/>
    <n v="0"/>
    <s v="Eixo-zero"/>
    <m/>
    <s v="Não"/>
    <s v="Não"/>
    <s v="Não"/>
    <s v="Não"/>
    <n v="11455.160000000002"/>
    <n v="11455.160000000002"/>
  </r>
  <r>
    <s v="VGSP-348_051,000_EN_CL3"/>
    <x v="0"/>
    <s v="51,000"/>
    <m/>
    <s v="51,500"/>
    <m/>
    <x v="0"/>
    <s v="N"/>
    <n v="-23.236629578998901"/>
    <n v="-46.889270137193698"/>
    <n v="1289.26"/>
    <n v="5.61"/>
    <n v="0"/>
    <m/>
    <n v="0"/>
    <m/>
    <m/>
    <s v="Não"/>
    <s v="Não"/>
    <s v="Não"/>
    <s v="Não"/>
    <n v="0"/>
    <n v="0"/>
  </r>
  <r>
    <s v="VGSP-330_052,000_CC3"/>
    <x v="61"/>
    <s v="52,000"/>
    <m/>
    <s v="52,500"/>
    <m/>
    <x v="1"/>
    <s v="C"/>
    <n v="-23.236358691241339"/>
    <n v="-46.870089905218023"/>
    <n v="1761.69"/>
    <n v="5.61"/>
    <n v="50"/>
    <m/>
    <n v="0"/>
    <s v="Trator 1.7m"/>
    <m/>
    <s v="Não"/>
    <s v="Não"/>
    <s v="Não"/>
    <s v="Não"/>
    <n v="880.84500000000003"/>
    <n v="880.84500000000003"/>
  </r>
  <r>
    <s v="VGSP-330_052,000_EN_CL4"/>
    <x v="0"/>
    <s v="52,000"/>
    <m/>
    <s v="52,500"/>
    <m/>
    <x v="0"/>
    <s v="N"/>
    <n v="-23.23614741382184"/>
    <n v="-46.869984087684742"/>
    <n v="1577.49"/>
    <n v="5.93"/>
    <n v="50"/>
    <m/>
    <n v="0"/>
    <s v="Eixo-zero"/>
    <m/>
    <s v="Não"/>
    <s v="Não"/>
    <s v="Não"/>
    <s v="Não"/>
    <n v="788.745"/>
    <n v="788.745"/>
  </r>
  <r>
    <s v="VGSP-348_052,000_CC3"/>
    <x v="62"/>
    <s v="52,000"/>
    <m/>
    <s v="52,500"/>
    <n v="0.5"/>
    <x v="1"/>
    <s v="C"/>
    <n v="-23.230993448816399"/>
    <n v="-46.896914266799399"/>
    <n v="11197.67"/>
    <n v="7.43"/>
    <n v="60"/>
    <m/>
    <n v="0"/>
    <s v="Eixo-zero"/>
    <m/>
    <s v="Não"/>
    <s v="Não"/>
    <s v="Não"/>
    <s v="Não"/>
    <n v="6718.6019999999999"/>
    <n v="6718.6019999999999"/>
  </r>
  <r>
    <s v="VGSP-330_052,000_ES_CL2"/>
    <x v="0"/>
    <s v="52,000"/>
    <m/>
    <s v="52,500"/>
    <m/>
    <x v="0"/>
    <s v="S"/>
    <n v="-23.238442479553441"/>
    <n v="-46.869617949127438"/>
    <n v="752.03"/>
    <n v="6"/>
    <n v="20"/>
    <m/>
    <n v="0"/>
    <s v="Trator 1.7m"/>
    <m/>
    <s v="Não"/>
    <s v="Não"/>
    <s v="Não"/>
    <s v="Não"/>
    <n v="150.40600000000001"/>
    <n v="150.40600000000001"/>
  </r>
  <r>
    <s v="VGSP-330_052,000_EN_CL3"/>
    <x v="0"/>
    <s v="52,000"/>
    <m/>
    <s v="52,500"/>
    <m/>
    <x v="0"/>
    <s v="N"/>
    <n v="-23.239328912213502"/>
    <n v="-46.868868866028713"/>
    <n v="383.25"/>
    <n v="3.15"/>
    <n v="80"/>
    <m/>
    <n v="0"/>
    <s v="Eixo-zero"/>
    <m/>
    <s v="Não"/>
    <s v="Não"/>
    <s v="Não"/>
    <s v="Não"/>
    <n v="306.60000000000002"/>
    <n v="306.60000000000002"/>
  </r>
  <r>
    <s v="VGSP-348_052,000_EN_CL3"/>
    <x v="0"/>
    <s v="52,000"/>
    <m/>
    <s v="52,500"/>
    <m/>
    <x v="0"/>
    <s v="N"/>
    <n v="-23.23077898255298"/>
    <n v="-46.896676485063757"/>
    <n v="1645.79"/>
    <n v="8.02"/>
    <n v="0"/>
    <m/>
    <n v="0"/>
    <m/>
    <m/>
    <s v="Não"/>
    <s v="Não"/>
    <s v="Não"/>
    <s v="Não"/>
    <n v="0"/>
    <n v="0"/>
  </r>
  <r>
    <s v="VGSP-330_052,000_ES_CL7"/>
    <x v="0"/>
    <s v="52,000"/>
    <m/>
    <s v="52,500"/>
    <m/>
    <x v="0"/>
    <s v="S"/>
    <n v="-23.236104015298039"/>
    <n v="-46.870837213675578"/>
    <n v="1312.15"/>
    <n v="10.4"/>
    <n v="20"/>
    <m/>
    <n v="0"/>
    <s v="Trator 1.7m"/>
    <m/>
    <s v="Não"/>
    <s v="Não"/>
    <s v="Não"/>
    <s v="Não"/>
    <n v="262.43"/>
    <n v="262.43"/>
  </r>
  <r>
    <s v="VGSP-330_052,000_ES_CL5"/>
    <x v="0"/>
    <s v="52,000"/>
    <m/>
    <s v="52,500"/>
    <m/>
    <x v="0"/>
    <s v="S"/>
    <n v="-23.23588305323586"/>
    <n v="-46.870695741587532"/>
    <n v="275.82"/>
    <n v="9.9600000000000009"/>
    <n v="20"/>
    <m/>
    <n v="0"/>
    <s v="Trator 1.7m"/>
    <m/>
    <s v="Não"/>
    <s v="Não"/>
    <s v="Não"/>
    <s v="Não"/>
    <n v="55.164000000000001"/>
    <n v="55.164000000000001"/>
  </r>
  <r>
    <s v="VGSP-330_052,000_ES_CL6"/>
    <x v="0"/>
    <s v="52,000"/>
    <m/>
    <s v="52,500"/>
    <m/>
    <x v="0"/>
    <s v="S"/>
    <n v="-23.23529889753123"/>
    <n v="-46.871104447321898"/>
    <n v="77.39"/>
    <n v="12.12"/>
    <n v="20"/>
    <m/>
    <n v="0"/>
    <s v="Trator 1.7m"/>
    <m/>
    <s v="Não"/>
    <s v="Não"/>
    <s v="Não"/>
    <s v="Não"/>
    <n v="15.478000000000002"/>
    <n v="15.478000000000002"/>
  </r>
  <r>
    <s v="VGSP-330_052,000_ES_CL1"/>
    <x v="0"/>
    <s v="52,000"/>
    <m/>
    <s v="52,500"/>
    <m/>
    <x v="0"/>
    <s v="S"/>
    <n v="-23.241451270861969"/>
    <n v="-46.869076404588938"/>
    <n v="1957.43"/>
    <n v="6.49"/>
    <n v="70"/>
    <m/>
    <n v="0"/>
    <s v="Trator 1.7m"/>
    <m/>
    <s v="Não"/>
    <s v="Não"/>
    <s v="Não"/>
    <s v="Não"/>
    <n v="1370.201"/>
    <n v="1370.201"/>
  </r>
  <r>
    <s v="VGSP-330_052,000_EN_CL1"/>
    <x v="0"/>
    <s v="52,000"/>
    <m/>
    <s v="52,500"/>
    <m/>
    <x v="0"/>
    <s v="N"/>
    <n v="-23.241593161584611"/>
    <n v="-46.868556899093619"/>
    <n v="1751.07"/>
    <n v="4.87"/>
    <n v="80"/>
    <m/>
    <n v="0"/>
    <s v="Eixo-zero"/>
    <m/>
    <s v="Não"/>
    <s v="Não"/>
    <s v="Não"/>
    <s v="Não"/>
    <n v="1400.856"/>
    <n v="1400.856"/>
  </r>
  <r>
    <s v="VGSP-348_052,000_EN_CL2"/>
    <x v="0"/>
    <s v="52,000"/>
    <m/>
    <s v="52,500"/>
    <m/>
    <x v="0"/>
    <s v="N"/>
    <n v="-23.23258707216219"/>
    <n v="-46.894263635035777"/>
    <n v="897.84"/>
    <n v="8.0399999999999991"/>
    <n v="0"/>
    <m/>
    <n v="0"/>
    <m/>
    <m/>
    <s v="Não"/>
    <s v="Não"/>
    <s v="Não"/>
    <s v="Não"/>
    <n v="0"/>
    <n v="0"/>
  </r>
  <r>
    <s v="VGSP-348_052,000_EN_CL1"/>
    <x v="0"/>
    <s v="52,000"/>
    <m/>
    <s v="52,500"/>
    <m/>
    <x v="0"/>
    <s v="N"/>
    <n v="-23.234474329303382"/>
    <n v="-46.891806866334029"/>
    <n v="1536.38"/>
    <n v="7.27"/>
    <n v="0"/>
    <m/>
    <n v="0"/>
    <m/>
    <m/>
    <s v="Não"/>
    <s v="Não"/>
    <s v="Não"/>
    <s v="Não"/>
    <n v="0"/>
    <n v="0"/>
  </r>
  <r>
    <s v="VGSP-348_052,000_ES_CL3"/>
    <x v="0"/>
    <s v="52,000"/>
    <m/>
    <s v="52,500"/>
    <m/>
    <x v="0"/>
    <s v="S"/>
    <n v="-23.232908425416571"/>
    <n v="-46.894834484596792"/>
    <n v="794.99"/>
    <n v="3.38"/>
    <n v="40"/>
    <m/>
    <n v="0"/>
    <s v="Trator 1.7m"/>
    <m/>
    <s v="Não"/>
    <s v="Não"/>
    <s v="Não"/>
    <s v="Não"/>
    <n v="317.99600000000004"/>
    <n v="317.99600000000004"/>
  </r>
  <r>
    <s v="VGSP-348_052,000_ES_CL2"/>
    <x v="0"/>
    <s v="52,000"/>
    <m/>
    <s v="52,500"/>
    <m/>
    <x v="0"/>
    <s v="S"/>
    <n v="-23.23366606741412"/>
    <n v="-46.894120324358248"/>
    <n v="329.74"/>
    <n v="9.49"/>
    <n v="40"/>
    <m/>
    <n v="0"/>
    <s v="Trator 1.7m"/>
    <m/>
    <s v="Não"/>
    <s v="Não"/>
    <s v="Não"/>
    <s v="Não"/>
    <n v="131.89600000000002"/>
    <n v="131.89600000000002"/>
  </r>
  <r>
    <s v="VGSP-348_052,000_ES_CL1"/>
    <x v="0"/>
    <s v="52,000"/>
    <m/>
    <s v="52,500"/>
    <m/>
    <x v="0"/>
    <s v="S"/>
    <n v="-23.234891828790261"/>
    <n v="-46.892249404875123"/>
    <n v="1600.54"/>
    <n v="9.19"/>
    <n v="40"/>
    <m/>
    <n v="0"/>
    <s v="Trator 1.7m"/>
    <m/>
    <s v="Não"/>
    <s v="Não"/>
    <s v="Não"/>
    <s v="Não"/>
    <n v="640.21600000000001"/>
    <n v="640.21600000000001"/>
  </r>
  <r>
    <s v="VGSP-330_052,000_CC1"/>
    <x v="61"/>
    <s v="52,000"/>
    <m/>
    <s v="52,500"/>
    <m/>
    <x v="1"/>
    <s v="C"/>
    <n v="-23.241042252522622"/>
    <n v="-46.868803026746498"/>
    <n v="3893.52"/>
    <n v="5.18"/>
    <n v="80"/>
    <m/>
    <n v="0"/>
    <s v="Eixo-zero"/>
    <m/>
    <s v="Não"/>
    <s v="Não"/>
    <s v="Não"/>
    <s v="Não"/>
    <n v="3114.8160000000003"/>
    <n v="3114.8160000000003"/>
  </r>
  <r>
    <s v="VGSP-330_052,000_ES_CL3"/>
    <x v="0"/>
    <s v="52,000"/>
    <m/>
    <s v="52,500"/>
    <m/>
    <x v="0"/>
    <s v="S"/>
    <n v="-23.236850806747452"/>
    <n v="-46.870184301634232"/>
    <n v="354.95"/>
    <n v="6.84"/>
    <n v="20"/>
    <m/>
    <n v="0"/>
    <s v="Trator 1.7m"/>
    <m/>
    <s v="Não"/>
    <s v="Não"/>
    <s v="Não"/>
    <s v="Não"/>
    <n v="70.989999999999995"/>
    <n v="70.989999999999995"/>
  </r>
  <r>
    <s v="VGSP-330_052,000_ES_CL4"/>
    <x v="0"/>
    <s v="52,000"/>
    <m/>
    <s v="52,500"/>
    <m/>
    <x v="0"/>
    <s v="S"/>
    <n v="-23.236352450629141"/>
    <n v="-46.870459772868578"/>
    <n v="152.56"/>
    <n v="7.61"/>
    <n v="20"/>
    <m/>
    <n v="0"/>
    <s v="Trator 1.7m"/>
    <m/>
    <s v="Não"/>
    <s v="Não"/>
    <s v="Não"/>
    <s v="Não"/>
    <n v="30.512"/>
    <n v="30.512"/>
  </r>
  <r>
    <s v="VGSP-348_052,000_CC2"/>
    <x v="62"/>
    <s v="52,000"/>
    <m/>
    <s v="52,500"/>
    <n v="0.5"/>
    <x v="1"/>
    <s v="C"/>
    <n v="-23.232763631434409"/>
    <n v="-46.894543325280253"/>
    <n v="5592.83"/>
    <n v="5.77"/>
    <n v="60"/>
    <m/>
    <n v="0"/>
    <s v="Eixo-zero"/>
    <m/>
    <s v="Não"/>
    <s v="Não"/>
    <s v="Não"/>
    <s v="Não"/>
    <n v="3355.6979999999999"/>
    <n v="3355.6979999999999"/>
  </r>
  <r>
    <s v="VGSP-330_052,000_CC2"/>
    <x v="61"/>
    <s v="52,000"/>
    <m/>
    <s v="52,500"/>
    <m/>
    <x v="1"/>
    <s v="C"/>
    <n v="-23.238830624646361"/>
    <n v="-46.869168408948802"/>
    <n v="363.85"/>
    <n v="5.4"/>
    <n v="50"/>
    <m/>
    <n v="0"/>
    <s v="Eixo-zero"/>
    <m/>
    <s v="Não"/>
    <s v="Não"/>
    <s v="Não"/>
    <s v="Não"/>
    <n v="181.92500000000001"/>
    <n v="181.92500000000001"/>
  </r>
  <r>
    <s v="VGSP-348_052,000_CC1"/>
    <x v="62"/>
    <s v="52,000"/>
    <m/>
    <s v="52,500"/>
    <n v="0.5"/>
    <x v="1"/>
    <s v="C"/>
    <n v="-23.234746566302292"/>
    <n v="-46.891988004719479"/>
    <n v="9960.86"/>
    <n v="6.27"/>
    <n v="60"/>
    <m/>
    <n v="0"/>
    <s v="Eixo-zero"/>
    <m/>
    <s v="Não"/>
    <s v="Não"/>
    <s v="Não"/>
    <s v="Não"/>
    <n v="5976.5160000000005"/>
    <n v="5976.5160000000005"/>
  </r>
  <r>
    <s v="VGSP-330_052,000_EN_CL2"/>
    <x v="0"/>
    <s v="52,000"/>
    <m/>
    <s v="52,500"/>
    <m/>
    <x v="0"/>
    <s v="N"/>
    <n v="-23.23841254924195"/>
    <n v="-46.869029003100351"/>
    <n v="447.94"/>
    <n v="5.05"/>
    <n v="50"/>
    <m/>
    <n v="0"/>
    <s v="Eixo-zero"/>
    <m/>
    <s v="Não"/>
    <s v="Não"/>
    <s v="Não"/>
    <s v="Não"/>
    <n v="223.97"/>
    <n v="223.97"/>
  </r>
  <r>
    <s v="VGSP-348_052,000_ES_CL4"/>
    <x v="0"/>
    <s v="52,000"/>
    <m/>
    <s v="52,500"/>
    <m/>
    <x v="0"/>
    <s v="S"/>
    <n v="-23.2311657536805"/>
    <n v="-46.897390779959593"/>
    <n v="13494.23"/>
    <n v="8.0500000000000007"/>
    <n v="50"/>
    <m/>
    <n v="0"/>
    <s v="Trator 1.7m"/>
    <m/>
    <s v="Não"/>
    <s v="Não"/>
    <s v="Não"/>
    <s v="Não"/>
    <n v="6747.1149999999998"/>
    <n v="6747.1149999999998"/>
  </r>
  <r>
    <s v="VGSP-330_053,000_EN_CL5"/>
    <x v="0"/>
    <s v="53,000"/>
    <m/>
    <s v="53,500"/>
    <m/>
    <x v="0"/>
    <s v="N"/>
    <n v="-23.22841702480245"/>
    <n v="-46.873717439258307"/>
    <n v="228.58"/>
    <n v="4.6500000000000004"/>
    <n v="40"/>
    <m/>
    <n v="0"/>
    <s v="Trator 1.7m"/>
    <m/>
    <s v="Não"/>
    <s v="Não"/>
    <s v="Não"/>
    <s v="Não"/>
    <n v="91.432000000000016"/>
    <n v="91.432000000000016"/>
  </r>
  <r>
    <s v="VGSP-348_053,000_EN_CL1"/>
    <x v="0"/>
    <s v="53,000"/>
    <m/>
    <s v="53,500"/>
    <m/>
    <x v="0"/>
    <s v="N"/>
    <n v="-23.229461325215141"/>
    <n v="-46.898443397676502"/>
    <n v="30.98"/>
    <n v="10.53"/>
    <n v="0"/>
    <m/>
    <n v="0"/>
    <m/>
    <m/>
    <s v="Não"/>
    <s v="Não"/>
    <s v="Não"/>
    <s v="Não"/>
    <n v="0"/>
    <n v="0"/>
  </r>
  <r>
    <s v="VGSP-348_053,000_CC3"/>
    <x v="63"/>
    <s v="53,000"/>
    <m/>
    <s v="53,500"/>
    <n v="0.5"/>
    <x v="1"/>
    <s v="C"/>
    <n v="-23.228656708429401"/>
    <n v="-46.899991007327714"/>
    <n v="8077.33"/>
    <n v="5.21"/>
    <n v="60"/>
    <m/>
    <n v="0"/>
    <s v="Eixo-zero"/>
    <m/>
    <s v="Não"/>
    <s v="Não"/>
    <s v="Não"/>
    <s v="Não"/>
    <n v="4846.3980000000001"/>
    <n v="4846.3980000000001"/>
  </r>
  <r>
    <s v="VGSP-348_053,000_ES_CL1"/>
    <x v="0"/>
    <s v="53,000"/>
    <m/>
    <s v="53,500"/>
    <m/>
    <x v="0"/>
    <s v="S"/>
    <n v="-23.22991690355224"/>
    <n v="-46.898862485647172"/>
    <n v="21.84"/>
    <n v="5.44"/>
    <n v="0"/>
    <m/>
    <n v="0"/>
    <m/>
    <m/>
    <s v="Não"/>
    <s v="Não"/>
    <s v="Não"/>
    <s v="Não"/>
    <n v="0"/>
    <n v="0"/>
  </r>
  <r>
    <s v="VGSP-348_053,000_ES_CL2"/>
    <x v="0"/>
    <s v="53,000"/>
    <m/>
    <s v="53,500"/>
    <m/>
    <x v="0"/>
    <s v="S"/>
    <n v="-23.22885813082128"/>
    <n v="-46.900225087584708"/>
    <n v="1435.78"/>
    <n v="5.94"/>
    <n v="50"/>
    <m/>
    <n v="0"/>
    <s v="Trator 1.7m"/>
    <m/>
    <s v="Não"/>
    <s v="Não"/>
    <s v="Não"/>
    <s v="Não"/>
    <n v="717.89"/>
    <n v="717.89"/>
  </r>
  <r>
    <s v="VGSP-348_053,000_EN_CL2"/>
    <x v="0"/>
    <s v="53,000"/>
    <m/>
    <s v="53,500"/>
    <m/>
    <x v="0"/>
    <s v="N"/>
    <n v="-23.22840512128424"/>
    <n v="-46.899831500307393"/>
    <n v="1441.43"/>
    <n v="7.84"/>
    <n v="50"/>
    <m/>
    <n v="0"/>
    <s v="Trator 1.7m"/>
    <m/>
    <s v="Não"/>
    <s v="Não"/>
    <s v="Não"/>
    <s v="Não"/>
    <n v="720.71500000000003"/>
    <n v="720.71500000000003"/>
  </r>
  <r>
    <s v="VGSP-348_053,000_CC2"/>
    <x v="63"/>
    <s v="53,000"/>
    <m/>
    <s v="53,500"/>
    <n v="0.5"/>
    <x v="1"/>
    <s v="C"/>
    <n v="-23.226243174755218"/>
    <n v="-46.903200323238913"/>
    <n v="10843.64"/>
    <n v="5.86"/>
    <n v="60"/>
    <m/>
    <n v="0"/>
    <s v="Eixo-zero"/>
    <m/>
    <s v="Não"/>
    <s v="Não"/>
    <s v="Não"/>
    <s v="Não"/>
    <n v="6506.1839999999993"/>
    <n v="6506.1839999999993"/>
  </r>
  <r>
    <s v="VGSP-330_053,000_EN_CL12"/>
    <x v="0"/>
    <s v="53,000"/>
    <m/>
    <s v="53,500"/>
    <m/>
    <x v="0"/>
    <s v="N"/>
    <n v="-23.231576987849671"/>
    <n v="-46.872401579803423"/>
    <n v="702.8"/>
    <n v="6.87"/>
    <n v="50"/>
    <m/>
    <n v="0"/>
    <s v="Eixo-zero"/>
    <m/>
    <s v="Não"/>
    <s v="Não"/>
    <s v="Não"/>
    <s v="Não"/>
    <n v="351.4"/>
    <n v="351.4"/>
  </r>
  <r>
    <s v="VGSP-348_053,000_CC4"/>
    <x v="63"/>
    <s v="53,000"/>
    <m/>
    <s v="53,500"/>
    <n v="0.5"/>
    <x v="1"/>
    <s v="C"/>
    <n v="-23.22972914735033"/>
    <n v="-46.898620914448777"/>
    <n v="440.77"/>
    <n v="3.26"/>
    <n v="0"/>
    <m/>
    <n v="0"/>
    <m/>
    <m/>
    <s v="Não"/>
    <s v="Não"/>
    <s v="Não"/>
    <s v="Não"/>
    <n v="0"/>
    <n v="0"/>
  </r>
  <r>
    <s v="VGSP-330_053,000_EN_CL11"/>
    <x v="0"/>
    <s v="53,000"/>
    <m/>
    <s v="53,500"/>
    <m/>
    <x v="0"/>
    <s v="N"/>
    <n v="-23.226933773901571"/>
    <n v="-46.874436007431839"/>
    <n v="154.41999999999999"/>
    <n v="4.0199999999999996"/>
    <n v="0"/>
    <m/>
    <n v="0"/>
    <m/>
    <m/>
    <s v="Não"/>
    <s v="Não"/>
    <s v="Não"/>
    <s v="Não"/>
    <n v="0"/>
    <n v="0"/>
  </r>
  <r>
    <s v="VGSP-330_053,000_ES_CL8"/>
    <x v="0"/>
    <s v="53,000"/>
    <m/>
    <s v="53,500"/>
    <m/>
    <x v="0"/>
    <s v="S"/>
    <n v="-23.22909949281058"/>
    <n v="-46.874572958540632"/>
    <n v="41.33"/>
    <n v="5.4"/>
    <n v="0"/>
    <m/>
    <n v="0"/>
    <m/>
    <m/>
    <s v="Não"/>
    <s v="Não"/>
    <s v="Não"/>
    <s v="Não"/>
    <n v="0"/>
    <n v="0"/>
  </r>
  <r>
    <s v="VGSP-330_053,000_EN_CL2"/>
    <x v="0"/>
    <s v="53,000"/>
    <m/>
    <s v="53,500"/>
    <m/>
    <x v="0"/>
    <s v="N"/>
    <n v="-23.232664227768279"/>
    <n v="-46.871699192725202"/>
    <n v="1814.41"/>
    <n v="5.72"/>
    <n v="50"/>
    <m/>
    <n v="0"/>
    <s v="Eixo-zero"/>
    <m/>
    <s v="Não"/>
    <s v="Não"/>
    <s v="Não"/>
    <s v="Não"/>
    <n v="907.20500000000004"/>
    <n v="907.20500000000004"/>
  </r>
  <r>
    <s v="VGSP-330_053,000_EN_CL3"/>
    <x v="0"/>
    <s v="53,000"/>
    <m/>
    <s v="53,500"/>
    <m/>
    <x v="0"/>
    <s v="N"/>
    <n v="-23.22927668882966"/>
    <n v="-46.872966075356103"/>
    <n v="1333.77"/>
    <n v="5.44"/>
    <n v="40"/>
    <m/>
    <n v="0"/>
    <s v="Trator 1.7m"/>
    <m/>
    <s v="Não"/>
    <s v="Não"/>
    <s v="Não"/>
    <s v="Não"/>
    <n v="533.50800000000004"/>
    <n v="533.50800000000004"/>
  </r>
  <r>
    <s v="VGSP-330_053,000_EN_CL8"/>
    <x v="0"/>
    <s v="53,000"/>
    <m/>
    <s v="53,500"/>
    <m/>
    <x v="0"/>
    <s v="N"/>
    <n v="-23.22797681371549"/>
    <n v="-46.872845651042347"/>
    <n v="292.39999999999998"/>
    <n v="5.09"/>
    <n v="0"/>
    <m/>
    <n v="0"/>
    <m/>
    <m/>
    <s v="Não"/>
    <s v="Não"/>
    <s v="Não"/>
    <s v="Não"/>
    <n v="0"/>
    <n v="0"/>
  </r>
  <r>
    <s v="VGSP-330_053,000_EN_CL6"/>
    <x v="0"/>
    <s v="53,000"/>
    <m/>
    <s v="53,500"/>
    <m/>
    <x v="0"/>
    <s v="N"/>
    <n v="-23.228137728347551"/>
    <n v="-46.873526655285247"/>
    <n v="1174.24"/>
    <n v="3.31"/>
    <n v="0"/>
    <m/>
    <n v="0"/>
    <m/>
    <m/>
    <s v="Não"/>
    <s v="Não"/>
    <s v="Não"/>
    <s v="Não"/>
    <n v="0"/>
    <n v="0"/>
  </r>
  <r>
    <s v="VGSP-330_053,000_ES_CL9"/>
    <x v="0"/>
    <s v="53,000"/>
    <m/>
    <s v="53,500"/>
    <m/>
    <x v="0"/>
    <s v="S"/>
    <n v="-23.228884373432059"/>
    <n v="-46.874639008959832"/>
    <n v="830.2"/>
    <n v="4.46"/>
    <n v="50"/>
    <m/>
    <n v="0"/>
    <s v="Trator 1.7m"/>
    <m/>
    <s v="Não"/>
    <s v="Não"/>
    <s v="Não"/>
    <s v="Não"/>
    <n v="415.1"/>
    <n v="415.1"/>
  </r>
  <r>
    <s v="VGSP-330_053,000_ES_CL11"/>
    <x v="0"/>
    <s v="53,000"/>
    <m/>
    <s v="53,500"/>
    <m/>
    <x v="0"/>
    <s v="S"/>
    <n v="-23.228642835720098"/>
    <n v="-46.874796737209991"/>
    <n v="170.82"/>
    <n v="3.74"/>
    <n v="50"/>
    <m/>
    <n v="0"/>
    <s v="Trator 1.7m"/>
    <m/>
    <s v="Não"/>
    <s v="Não"/>
    <s v="Não"/>
    <s v="Não"/>
    <n v="85.41"/>
    <n v="85.41"/>
  </r>
  <r>
    <s v="VGSP-330_053,000_ES_CL14"/>
    <x v="0"/>
    <s v="53,000"/>
    <m/>
    <s v="53,500"/>
    <m/>
    <x v="0"/>
    <s v="S"/>
    <n v="-23.227742660418269"/>
    <n v="-46.874927338700743"/>
    <n v="2761.11"/>
    <n v="6.56"/>
    <n v="50"/>
    <m/>
    <n v="0"/>
    <s v="Trator 1.7m"/>
    <m/>
    <s v="Não"/>
    <s v="Não"/>
    <s v="Não"/>
    <s v="Não"/>
    <n v="1380.5550000000001"/>
    <n v="1380.5550000000001"/>
  </r>
  <r>
    <s v="VGSP-330_053,000_ES_CL12"/>
    <x v="0"/>
    <s v="53,000"/>
    <m/>
    <s v="53,500"/>
    <m/>
    <x v="0"/>
    <s v="S"/>
    <n v="-23.22811590169826"/>
    <n v="-46.874587160537232"/>
    <n v="1973.68"/>
    <n v="4.12"/>
    <n v="50"/>
    <m/>
    <n v="0"/>
    <s v="Trator 1.7m"/>
    <m/>
    <s v="Não"/>
    <s v="Não"/>
    <s v="Não"/>
    <s v="Não"/>
    <n v="986.84"/>
    <n v="986.84"/>
  </r>
  <r>
    <s v="VGSP-330_053,000_EN_CL13"/>
    <x v="0"/>
    <s v="53,000"/>
    <m/>
    <s v="53,500"/>
    <m/>
    <x v="0"/>
    <s v="N"/>
    <n v="-23.228207256332599"/>
    <n v="-46.874147445979318"/>
    <n v="2743.88"/>
    <n v="4.8600000000000003"/>
    <n v="40"/>
    <m/>
    <n v="0"/>
    <s v="Trator 1.7m"/>
    <m/>
    <s v="Não"/>
    <s v="Não"/>
    <s v="Não"/>
    <s v="Não"/>
    <n v="1097.5520000000001"/>
    <n v="1097.5520000000001"/>
  </r>
  <r>
    <s v="VGSP-330_053,000_ES_CL1"/>
    <x v="0"/>
    <s v="53,000"/>
    <m/>
    <s v="53,500"/>
    <m/>
    <x v="0"/>
    <s v="S"/>
    <n v="-23.235049373630581"/>
    <n v="-46.871103512624828"/>
    <n v="279.14"/>
    <n v="9.5"/>
    <n v="20"/>
    <m/>
    <n v="0"/>
    <s v="Trator 1.7m"/>
    <m/>
    <s v="Não"/>
    <s v="Não"/>
    <s v="Não"/>
    <s v="Não"/>
    <n v="55.828000000000003"/>
    <n v="55.828000000000003"/>
  </r>
  <r>
    <s v="VGSP-330_053,000_ES_CL4"/>
    <x v="0"/>
    <s v="53,000"/>
    <m/>
    <s v="53,500"/>
    <m/>
    <x v="0"/>
    <s v="S"/>
    <n v="-23.2328410572667"/>
    <n v="-46.872282690975403"/>
    <n v="1790.42"/>
    <n v="6.47"/>
    <n v="20"/>
    <m/>
    <n v="0"/>
    <s v="Trator 1.7m"/>
    <m/>
    <s v="Não"/>
    <s v="Não"/>
    <s v="Não"/>
    <s v="Não"/>
    <n v="358.08400000000006"/>
    <n v="358.08400000000006"/>
  </r>
  <r>
    <s v="VGSP-330_053,000_ES_CL3"/>
    <x v="0"/>
    <s v="53,000"/>
    <m/>
    <s v="53,500"/>
    <m/>
    <x v="0"/>
    <s v="S"/>
    <n v="-23.23031648622862"/>
    <n v="-46.873536677786063"/>
    <n v="681.99"/>
    <n v="6.76"/>
    <n v="50"/>
    <m/>
    <n v="0"/>
    <s v="Trator 1.7m"/>
    <m/>
    <s v="Não"/>
    <s v="Não"/>
    <s v="Não"/>
    <s v="Não"/>
    <n v="340.995"/>
    <n v="340.995"/>
  </r>
  <r>
    <s v="VGSP-330_053,000_ES_CL6"/>
    <x v="0"/>
    <s v="53,000"/>
    <m/>
    <s v="53,500"/>
    <m/>
    <x v="0"/>
    <s v="S"/>
    <n v="-23.229569059454111"/>
    <n v="-46.874275038536638"/>
    <n v="865.72"/>
    <n v="6.3"/>
    <n v="50"/>
    <m/>
    <n v="0"/>
    <s v="Trator 1.7m"/>
    <m/>
    <s v="Não"/>
    <s v="Não"/>
    <s v="Não"/>
    <s v="Não"/>
    <n v="432.86"/>
    <n v="432.86"/>
  </r>
  <r>
    <s v="VGSP-330_053,000_ES_CL13"/>
    <x v="0"/>
    <s v="53,000"/>
    <m/>
    <s v="53,500"/>
    <m/>
    <x v="0"/>
    <s v="S"/>
    <n v="-23.22800304576278"/>
    <n v="-46.87509310124608"/>
    <n v="1126.33"/>
    <n v="8.34"/>
    <n v="50"/>
    <m/>
    <n v="0"/>
    <s v="Trator 1.7m"/>
    <m/>
    <s v="Não"/>
    <s v="Não"/>
    <s v="Não"/>
    <s v="Não"/>
    <n v="563.16499999999996"/>
    <n v="563.16499999999996"/>
  </r>
  <r>
    <s v="VGSP-348_053,000_EN_CL3"/>
    <x v="0"/>
    <s v="53,000"/>
    <m/>
    <s v="53,500"/>
    <m/>
    <x v="0"/>
    <s v="N"/>
    <n v="-23.226008946252719"/>
    <n v="-46.903020377258343"/>
    <n v="1924.15"/>
    <n v="5.9"/>
    <n v="50"/>
    <m/>
    <n v="0"/>
    <s v="Trator 1.7m"/>
    <m/>
    <s v="Não"/>
    <s v="Não"/>
    <s v="Não"/>
    <s v="Não"/>
    <n v="962.07500000000005"/>
    <n v="962.07500000000005"/>
  </r>
  <r>
    <s v="VGSP-330_053,000_EN_CL1"/>
    <x v="0"/>
    <s v="53,000"/>
    <m/>
    <s v="53,500"/>
    <m/>
    <x v="0"/>
    <s v="N"/>
    <n v="-23.233897956857309"/>
    <n v="-46.871255080628302"/>
    <n v="1069.6300000000001"/>
    <n v="4.67"/>
    <n v="50"/>
    <m/>
    <n v="0"/>
    <s v="Eixo-zero"/>
    <m/>
    <s v="Não"/>
    <s v="Não"/>
    <s v="Não"/>
    <s v="Não"/>
    <n v="534.81500000000005"/>
    <n v="534.81500000000005"/>
  </r>
  <r>
    <s v="VGSP-348_053,000_CC1"/>
    <x v="63"/>
    <s v="53,000"/>
    <m/>
    <s v="53,500"/>
    <n v="0.5"/>
    <x v="1"/>
    <s v="C"/>
    <n v="-23.226475574573211"/>
    <n v="-46.903396828722137"/>
    <n v="1911.27"/>
    <n v="10.77"/>
    <n v="50"/>
    <m/>
    <n v="0"/>
    <s v="Trator 1.7m"/>
    <m/>
    <s v="Não"/>
    <s v="Não"/>
    <s v="Não"/>
    <s v="Não"/>
    <n v="955.63499999999999"/>
    <n v="955.63499999999999"/>
  </r>
  <r>
    <s v="VGSP-330_053,000_ES_CL2"/>
    <x v="0"/>
    <s v="53,000"/>
    <m/>
    <s v="53,500"/>
    <m/>
    <x v="0"/>
    <s v="S"/>
    <n v="-23.234368075472439"/>
    <n v="-46.871452832647023"/>
    <n v="212.27"/>
    <n v="7"/>
    <n v="20"/>
    <m/>
    <n v="0"/>
    <s v="Trator 1.7m"/>
    <m/>
    <s v="Não"/>
    <s v="Não"/>
    <s v="Não"/>
    <s v="Não"/>
    <n v="42.454000000000008"/>
    <n v="42.454000000000008"/>
  </r>
  <r>
    <s v="VGSP-330_053,000_ES_CL5"/>
    <x v="0"/>
    <s v="53,000"/>
    <m/>
    <s v="53,500"/>
    <m/>
    <x v="0"/>
    <s v="S"/>
    <n v="-23.233534428598581"/>
    <n v="-46.871812053211983"/>
    <n v="252.93"/>
    <n v="7.06"/>
    <n v="20"/>
    <m/>
    <n v="0"/>
    <s v="Trator 1.7m"/>
    <m/>
    <s v="Não"/>
    <s v="Não"/>
    <s v="Não"/>
    <s v="Não"/>
    <n v="50.586000000000006"/>
    <n v="50.586000000000006"/>
  </r>
  <r>
    <s v="VGSP-330_053,000_ES_CL7"/>
    <x v="0"/>
    <s v="53,000"/>
    <m/>
    <s v="53,500"/>
    <m/>
    <x v="0"/>
    <s v="S"/>
    <n v="-23.229261037849898"/>
    <n v="-46.874109328512517"/>
    <n v="3834.31"/>
    <n v="4.8899999999999997"/>
    <n v="50"/>
    <m/>
    <n v="0"/>
    <s v="Trator 1.7m"/>
    <m/>
    <s v="Não"/>
    <s v="Não"/>
    <s v="Não"/>
    <s v="Não"/>
    <n v="1917.155"/>
    <n v="1917.155"/>
  </r>
  <r>
    <s v="VGSP-330_053,000_EN_CL7"/>
    <x v="0"/>
    <s v="53,000"/>
    <m/>
    <s v="53,500"/>
    <m/>
    <x v="0"/>
    <s v="N"/>
    <n v="-23.228115415068181"/>
    <n v="-46.873131148373183"/>
    <n v="400.11"/>
    <n v="5.46"/>
    <n v="0"/>
    <m/>
    <n v="0"/>
    <m/>
    <m/>
    <s v="Não"/>
    <s v="Não"/>
    <s v="Não"/>
    <s v="Não"/>
    <n v="0"/>
    <n v="0"/>
  </r>
  <r>
    <s v="VGSP-330_053,000_EN_CL4"/>
    <x v="0"/>
    <s v="53,000"/>
    <m/>
    <s v="53,500"/>
    <m/>
    <x v="0"/>
    <s v="N"/>
    <n v="-23.22894631061018"/>
    <n v="-46.873485082192701"/>
    <n v="3166.46"/>
    <n v="5.04"/>
    <n v="40"/>
    <m/>
    <n v="0"/>
    <s v="Trator 1.7m"/>
    <m/>
    <s v="Não"/>
    <s v="Não"/>
    <s v="Não"/>
    <s v="Não"/>
    <n v="1266.5840000000001"/>
    <n v="1266.5840000000001"/>
  </r>
  <r>
    <s v="VGSP-330_053,000_EN_CL10"/>
    <x v="0"/>
    <s v="53,000"/>
    <m/>
    <s v="53,500"/>
    <m/>
    <x v="0"/>
    <s v="N"/>
    <n v="-23.227646783641429"/>
    <n v="-46.874206165283113"/>
    <n v="3467.88"/>
    <n v="4.0999999999999996"/>
    <n v="40"/>
    <m/>
    <n v="0"/>
    <s v="Trator 1.7m"/>
    <m/>
    <s v="Não"/>
    <s v="Não"/>
    <s v="Não"/>
    <s v="Não"/>
    <n v="1387.152"/>
    <n v="1387.152"/>
  </r>
  <r>
    <s v="VGSP-330_053,000_EN_CL9"/>
    <x v="0"/>
    <s v="53,000"/>
    <m/>
    <s v="53,500"/>
    <m/>
    <x v="0"/>
    <s v="N"/>
    <n v="-23.227523629367791"/>
    <n v="-46.874023271169428"/>
    <n v="243.42"/>
    <n v="3.3"/>
    <n v="0"/>
    <m/>
    <n v="0"/>
    <m/>
    <m/>
    <s v="Não"/>
    <s v="Não"/>
    <s v="Não"/>
    <s v="Não"/>
    <n v="0"/>
    <n v="0"/>
  </r>
  <r>
    <s v="VGSP-330_053,000_ES_CL10"/>
    <x v="0"/>
    <s v="53,000"/>
    <m/>
    <s v="53,500"/>
    <m/>
    <x v="0"/>
    <s v="S"/>
    <n v="-23.228729408449631"/>
    <n v="-46.874690019962557"/>
    <n v="39.44"/>
    <n v="3.74"/>
    <n v="0"/>
    <m/>
    <n v="0"/>
    <m/>
    <m/>
    <s v="Não"/>
    <s v="Não"/>
    <s v="Não"/>
    <s v="Não"/>
    <n v="0"/>
    <n v="0"/>
  </r>
  <r>
    <s v="VGSP-330_054,000_ES_CL2"/>
    <x v="0"/>
    <s v="54,000"/>
    <m/>
    <s v="54,500"/>
    <m/>
    <x v="0"/>
    <s v="S"/>
    <n v="-23.22377022250356"/>
    <n v="-46.877633474817692"/>
    <n v="4.55"/>
    <n v="3.86"/>
    <m/>
    <m/>
    <n v="0"/>
    <m/>
    <m/>
    <s v="Não"/>
    <s v="Não"/>
    <s v="Não"/>
    <s v="Não"/>
    <n v="0"/>
    <n v="0"/>
  </r>
  <r>
    <s v="VGSP-330_054,000_EN_CL5"/>
    <x v="0"/>
    <s v="54,000"/>
    <m/>
    <s v="54,500"/>
    <m/>
    <x v="0"/>
    <s v="N"/>
    <n v="-23.219906301018899"/>
    <n v="-46.879979008756962"/>
    <n v="326.47000000000003"/>
    <n v="4.8499999999999996"/>
    <n v="0"/>
    <m/>
    <n v="0"/>
    <m/>
    <m/>
    <s v="Não"/>
    <s v="Não"/>
    <s v="Não"/>
    <s v="Não"/>
    <n v="0"/>
    <n v="0"/>
  </r>
  <r>
    <s v="VGSP-330_054,000_EN_CL4"/>
    <x v="0"/>
    <s v="54,000"/>
    <m/>
    <s v="54,500"/>
    <m/>
    <x v="0"/>
    <s v="N"/>
    <n v="-23.221419265706562"/>
    <n v="-46.878541252177911"/>
    <n v="659.31"/>
    <n v="3.87"/>
    <n v="0"/>
    <m/>
    <n v="0"/>
    <m/>
    <m/>
    <s v="Não"/>
    <s v="Não"/>
    <s v="Não"/>
    <s v="Não"/>
    <n v="0"/>
    <n v="0"/>
  </r>
  <r>
    <s v="VGSP-348_054,000_ES_CL"/>
    <x v="0"/>
    <s v="54,000"/>
    <m/>
    <s v="54,500"/>
    <m/>
    <x v="0"/>
    <s v="S"/>
    <n v="-23.221185791609351"/>
    <n v="-46.910448696453251"/>
    <n v="2082.64"/>
    <n v="7.26"/>
    <n v="50"/>
    <m/>
    <n v="0"/>
    <s v="Trator 1.7m"/>
    <m/>
    <s v="Não"/>
    <s v="Não"/>
    <s v="Não"/>
    <s v="Não"/>
    <n v="1041.32"/>
    <n v="1041.32"/>
  </r>
  <r>
    <s v="VGSP-348_054,000_CC1"/>
    <x v="64"/>
    <s v="54,000"/>
    <m/>
    <s v="54,500"/>
    <n v="0.5"/>
    <x v="1"/>
    <s v="C"/>
    <n v="-23.223920772234919"/>
    <n v="-46.906810837496543"/>
    <n v="1766.98"/>
    <n v="6.2"/>
    <n v="50"/>
    <m/>
    <n v="0"/>
    <s v="Trator 1.7m"/>
    <m/>
    <s v="Não"/>
    <s v="Não"/>
    <s v="Não"/>
    <s v="Não"/>
    <n v="883.49"/>
    <n v="883.49"/>
  </r>
  <r>
    <s v="VGSP-330_054,000_EN_CL3"/>
    <x v="0"/>
    <s v="54,000"/>
    <m/>
    <s v="54,500"/>
    <m/>
    <x v="0"/>
    <s v="N"/>
    <n v="-23.221820289251639"/>
    <n v="-46.878497097701853"/>
    <n v="11673.29"/>
    <n v="3.69"/>
    <n v="40"/>
    <m/>
    <n v="0"/>
    <s v="Trator 1.7m"/>
    <m/>
    <s v="Não"/>
    <s v="Não"/>
    <s v="Não"/>
    <s v="Não"/>
    <n v="4669.3160000000007"/>
    <n v="4669.3160000000007"/>
  </r>
  <r>
    <s v="VGSP-330_054,000_ES_CL5"/>
    <x v="0"/>
    <s v="54,000"/>
    <m/>
    <s v="54,500"/>
    <m/>
    <x v="0"/>
    <s v="S"/>
    <n v="-23.22251603571307"/>
    <n v="-46.878642850864729"/>
    <n v="1268.4100000000001"/>
    <n v="3.69"/>
    <n v="30"/>
    <m/>
    <n v="0"/>
    <s v="Trator 1.7m"/>
    <m/>
    <s v="Não"/>
    <s v="Não"/>
    <s v="Não"/>
    <s v="Não"/>
    <n v="380.52300000000002"/>
    <n v="380.52300000000002"/>
  </r>
  <r>
    <s v="VGSP-330_054,000_EN_CL2"/>
    <x v="0"/>
    <s v="54,000"/>
    <m/>
    <s v="54,500"/>
    <m/>
    <x v="0"/>
    <s v="N"/>
    <n v="-23.224781512206452"/>
    <n v="-46.876024529076183"/>
    <n v="9772.94"/>
    <n v="4.8"/>
    <n v="40"/>
    <m/>
    <n v="0"/>
    <s v="Trator 1.7m"/>
    <m/>
    <s v="Não"/>
    <s v="Não"/>
    <s v="Não"/>
    <s v="Não"/>
    <n v="3909.1760000000004"/>
    <n v="3909.1760000000004"/>
  </r>
  <r>
    <s v="VGSP-348_054,000_EN_CL2"/>
    <x v="0"/>
    <s v="54,000"/>
    <m/>
    <s v="54,500"/>
    <m/>
    <x v="0"/>
    <s v="N"/>
    <n v="-23.220750051077189"/>
    <n v="-46.910045217647358"/>
    <n v="2110.67"/>
    <n v="6.78"/>
    <n v="0"/>
    <m/>
    <n v="0"/>
    <m/>
    <m/>
    <s v="Não"/>
    <s v="Não"/>
    <s v="Não"/>
    <s v="Não"/>
    <n v="0"/>
    <n v="0"/>
  </r>
  <r>
    <s v="VGSP-330_054,000_ES_CL1"/>
    <x v="0"/>
    <s v="54,000"/>
    <m/>
    <s v="54,500"/>
    <m/>
    <x v="0"/>
    <s v="S"/>
    <n v="-23.22516848940009"/>
    <n v="-46.876412651871291"/>
    <n v="1648.56"/>
    <n v="9.2100000000000009"/>
    <n v="50"/>
    <m/>
    <n v="0"/>
    <s v="Trator 1.7m"/>
    <m/>
    <s v="Não"/>
    <s v="Não"/>
    <s v="Não"/>
    <s v="Não"/>
    <n v="824.28"/>
    <n v="824.28"/>
  </r>
  <r>
    <s v="VGSP-330_054,000_ES_CL6"/>
    <x v="0"/>
    <s v="54,000"/>
    <m/>
    <s v="54,500"/>
    <m/>
    <x v="0"/>
    <s v="S"/>
    <n v="-23.22063628128117"/>
    <n v="-46.880323832011392"/>
    <n v="709.38"/>
    <n v="8.42"/>
    <n v="30"/>
    <m/>
    <n v="0"/>
    <s v="Trator 1.7m"/>
    <m/>
    <s v="Não"/>
    <s v="Não"/>
    <s v="Não"/>
    <s v="Não"/>
    <n v="212.81399999999999"/>
    <n v="212.81399999999999"/>
  </r>
  <r>
    <s v="VGSP-348_054,000_CC3"/>
    <x v="64"/>
    <s v="54,000"/>
    <m/>
    <s v="54,500"/>
    <n v="0.5"/>
    <x v="1"/>
    <s v="C"/>
    <n v="-23.223669656420469"/>
    <n v="-46.906638308156083"/>
    <n v="9668.52"/>
    <n v="5.01"/>
    <n v="60"/>
    <m/>
    <n v="0"/>
    <s v="Eixo-zero"/>
    <m/>
    <s v="Não"/>
    <s v="Não"/>
    <s v="Não"/>
    <s v="Não"/>
    <n v="5801.1120000000001"/>
    <n v="5801.1120000000001"/>
  </r>
  <r>
    <s v="VGSP-348_054,000_EN_CL1"/>
    <x v="0"/>
    <s v="54,000"/>
    <m/>
    <s v="54,500"/>
    <m/>
    <x v="0"/>
    <s v="N"/>
    <n v="-23.223444845635051"/>
    <n v="-46.906443602460897"/>
    <n v="1684.13"/>
    <n v="7.84"/>
    <n v="50"/>
    <m/>
    <n v="0"/>
    <s v="Trator 1.7m"/>
    <m/>
    <s v="Não"/>
    <s v="Não"/>
    <s v="Não"/>
    <s v="Não"/>
    <n v="842.06500000000005"/>
    <n v="842.06500000000005"/>
  </r>
  <r>
    <s v="VGSP-348_054,000_CC2"/>
    <x v="64"/>
    <s v="54,000"/>
    <m/>
    <s v="54,500"/>
    <n v="0.5"/>
    <x v="1"/>
    <s v="C"/>
    <n v="-23.220916070114971"/>
    <n v="-46.910301995381282"/>
    <n v="12492.65"/>
    <n v="6.54"/>
    <n v="50"/>
    <m/>
    <n v="0"/>
    <s v="Eixo-zero"/>
    <m/>
    <s v="Não"/>
    <s v="Não"/>
    <s v="Não"/>
    <s v="Não"/>
    <n v="6246.3249999999998"/>
    <n v="6246.3249999999998"/>
  </r>
  <r>
    <s v="VGSP-330_054,000_ES_CL4"/>
    <x v="0"/>
    <s v="54,000"/>
    <m/>
    <s v="54,500"/>
    <m/>
    <x v="0"/>
    <s v="S"/>
    <n v="-23.2217104013199"/>
    <n v="-46.87912907914631"/>
    <n v="6109.93"/>
    <n v="4.88"/>
    <n v="30"/>
    <m/>
    <n v="0"/>
    <s v="Trator 1.7m"/>
    <m/>
    <s v="Não"/>
    <s v="Não"/>
    <s v="Não"/>
    <s v="Não"/>
    <n v="1832.979"/>
    <n v="1832.979"/>
  </r>
  <r>
    <s v="VGSP-330_054,000_EN_CL1"/>
    <x v="0"/>
    <s v="54,000"/>
    <m/>
    <s v="54,500"/>
    <m/>
    <x v="0"/>
    <s v="N"/>
    <n v="-23.226343526479411"/>
    <n v="-46.874881764225357"/>
    <n v="33.32"/>
    <n v="3.39"/>
    <n v="40"/>
    <m/>
    <n v="0"/>
    <s v="Trator 1.7m"/>
    <m/>
    <s v="Não"/>
    <s v="Não"/>
    <s v="Não"/>
    <s v="Não"/>
    <n v="13.328000000000001"/>
    <n v="13.328000000000001"/>
  </r>
  <r>
    <s v="VGSP-330_054,000_ES_CL3"/>
    <x v="0"/>
    <s v="54,000"/>
    <m/>
    <s v="54,500"/>
    <m/>
    <x v="0"/>
    <s v="S"/>
    <n v="-23.225044900415341"/>
    <n v="-46.876322455197098"/>
    <n v="3822.81"/>
    <n v="6.88"/>
    <n v="50"/>
    <m/>
    <n v="0"/>
    <s v="Trator 1.7m"/>
    <m/>
    <s v="Não"/>
    <s v="Não"/>
    <s v="Não"/>
    <s v="Não"/>
    <n v="1911.405"/>
    <n v="1911.405"/>
  </r>
  <r>
    <s v="VGSP-330_055,000_EN_CL2"/>
    <x v="0"/>
    <s v="55,000"/>
    <m/>
    <s v="55,500"/>
    <m/>
    <x v="0"/>
    <s v="N"/>
    <n v="-23.2190179346264"/>
    <n v="-46.880824530647537"/>
    <n v="727.3"/>
    <n v="4.2699999999999996"/>
    <n v="0"/>
    <m/>
    <n v="0"/>
    <m/>
    <m/>
    <s v="Não"/>
    <s v="Não"/>
    <s v="Não"/>
    <s v="Não"/>
    <n v="0"/>
    <n v="0"/>
  </r>
  <r>
    <s v="VGSP-330_055,000_ES_CL1"/>
    <x v="0"/>
    <s v="55,000"/>
    <m/>
    <s v="55,500"/>
    <m/>
    <x v="0"/>
    <s v="S"/>
    <n v="-23.219254630517131"/>
    <n v="-46.881300325341023"/>
    <n v="3092.53"/>
    <n v="8.41"/>
    <n v="30"/>
    <m/>
    <n v="0"/>
    <s v="Trator 1.7m"/>
    <m/>
    <s v="Não"/>
    <s v="Não"/>
    <s v="Não"/>
    <s v="Não"/>
    <n v="927.75900000000001"/>
    <n v="927.75900000000001"/>
  </r>
  <r>
    <s v="VGSP-330_055,000_EN_CL4"/>
    <x v="0"/>
    <s v="55,000"/>
    <m/>
    <s v="55,500"/>
    <m/>
    <x v="0"/>
    <s v="N"/>
    <n v="-23.214579127846111"/>
    <n v="-46.885613265219142"/>
    <n v="2225.3200000000002"/>
    <n v="4.18"/>
    <n v="50"/>
    <m/>
    <n v="0"/>
    <s v="Trator 1.7m"/>
    <m/>
    <s v="Não"/>
    <s v="Não"/>
    <s v="Não"/>
    <s v="Não"/>
    <n v="1112.6600000000001"/>
    <n v="1112.6600000000001"/>
  </r>
  <r>
    <s v="VGSP-348_055,000_ES_CL2"/>
    <x v="0"/>
    <s v="55,000"/>
    <m/>
    <s v="55,500"/>
    <m/>
    <x v="0"/>
    <s v="S"/>
    <n v="-23.215516782321089"/>
    <n v="-46.918014044925307"/>
    <n v="2301.2199999999998"/>
    <n v="8.06"/>
    <n v="50"/>
    <m/>
    <n v="0"/>
    <s v="Trator 1.7m"/>
    <m/>
    <s v="Não"/>
    <s v="Não"/>
    <s v="Não"/>
    <s v="Não"/>
    <n v="1150.6099999999999"/>
    <n v="1150.6099999999999"/>
  </r>
  <r>
    <s v="VGSP-330_055,000_ES_CL6"/>
    <x v="0"/>
    <s v="55,000"/>
    <m/>
    <s v="55,500"/>
    <m/>
    <x v="0"/>
    <s v="S"/>
    <n v="-23.2173402241249"/>
    <n v="-46.883140929459437"/>
    <n v="204.31"/>
    <n v="3.87"/>
    <n v="30"/>
    <m/>
    <n v="0"/>
    <s v="Trator 1.7m"/>
    <m/>
    <s v="Não"/>
    <s v="Não"/>
    <s v="Não"/>
    <s v="Não"/>
    <n v="61.292999999999999"/>
    <n v="61.292999999999999"/>
  </r>
  <r>
    <s v="VGSP-330_055,000_ES_CL4"/>
    <x v="0"/>
    <s v="55,000"/>
    <m/>
    <s v="55,500"/>
    <m/>
    <x v="0"/>
    <s v="S"/>
    <n v="-23.218225660449399"/>
    <n v="-46.882390951150583"/>
    <n v="443.75"/>
    <n v="4.6100000000000003"/>
    <n v="30"/>
    <m/>
    <n v="0"/>
    <s v="Trator 1.7m"/>
    <m/>
    <s v="Não"/>
    <s v="Não"/>
    <s v="Não"/>
    <s v="Não"/>
    <n v="133.125"/>
    <n v="133.125"/>
  </r>
  <r>
    <s v="VGSP-330_055,000_EN_CL6"/>
    <x v="0"/>
    <s v="55,000"/>
    <m/>
    <s v="55,500"/>
    <m/>
    <x v="0"/>
    <s v="N"/>
    <n v="-23.214765503492568"/>
    <n v="-46.88565414869813"/>
    <n v="5945.92"/>
    <n v="5.1100000000000003"/>
    <n v="50"/>
    <m/>
    <n v="0"/>
    <s v="Trator 1.7m"/>
    <m/>
    <s v="Não"/>
    <s v="Não"/>
    <s v="Não"/>
    <s v="Não"/>
    <n v="2972.96"/>
    <n v="2972.96"/>
  </r>
  <r>
    <s v="VGSP-330_055,000_EN_CL7"/>
    <x v="0"/>
    <s v="55,000"/>
    <m/>
    <s v="55,500"/>
    <m/>
    <x v="0"/>
    <s v="N"/>
    <n v="-23.216378692129769"/>
    <n v="-46.883578844866598"/>
    <n v="91.51"/>
    <n v="5.57"/>
    <n v="0"/>
    <m/>
    <n v="0"/>
    <m/>
    <m/>
    <s v="Não"/>
    <s v="Não"/>
    <s v="Não"/>
    <s v="Não"/>
    <n v="0"/>
    <n v="0"/>
  </r>
  <r>
    <s v="VGSP-330_055,000_EN_CL3"/>
    <x v="0"/>
    <s v="55,000"/>
    <m/>
    <s v="55,500"/>
    <m/>
    <x v="0"/>
    <s v="N"/>
    <n v="-23.21751714695133"/>
    <n v="-46.88240124078802"/>
    <n v="1612.35"/>
    <n v="3.54"/>
    <n v="0"/>
    <m/>
    <n v="0"/>
    <m/>
    <m/>
    <s v="Não"/>
    <s v="Não"/>
    <s v="Não"/>
    <s v="Não"/>
    <n v="0"/>
    <n v="0"/>
  </r>
  <r>
    <s v="VGSP-348_055,000_ES_CL1"/>
    <x v="0"/>
    <s v="55,000"/>
    <m/>
    <s v="55,500"/>
    <m/>
    <x v="0"/>
    <s v="S"/>
    <n v="-23.218412166085241"/>
    <n v="-46.914168720818758"/>
    <n v="1833.06"/>
    <n v="5.83"/>
    <n v="50"/>
    <m/>
    <n v="0"/>
    <s v="Trator 1.7m"/>
    <m/>
    <s v="Não"/>
    <s v="Não"/>
    <s v="Não"/>
    <s v="Não"/>
    <n v="916.53"/>
    <n v="916.53"/>
  </r>
  <r>
    <s v="VGSP-330_055,000_ES_CL10"/>
    <x v="0"/>
    <s v="55,000"/>
    <m/>
    <s v="55,500"/>
    <m/>
    <x v="0"/>
    <s v="S"/>
    <n v="-23.216879735421021"/>
    <n v="-46.883667537757873"/>
    <n v="277.92"/>
    <n v="7.52"/>
    <n v="30"/>
    <m/>
    <n v="0"/>
    <s v="Trator 1.7m"/>
    <m/>
    <s v="Não"/>
    <s v="Não"/>
    <s v="Não"/>
    <s v="Não"/>
    <n v="83.376000000000005"/>
    <n v="83.376000000000005"/>
  </r>
  <r>
    <s v="VGSP-330_055,000_ES_CL9"/>
    <x v="0"/>
    <s v="55,000"/>
    <m/>
    <s v="55,500"/>
    <m/>
    <x v="0"/>
    <s v="S"/>
    <n v="-23.21512774670235"/>
    <n v="-46.885962311405322"/>
    <n v="2163.04"/>
    <n v="8.93"/>
    <n v="50"/>
    <m/>
    <n v="0"/>
    <s v="Trator 1.7m"/>
    <m/>
    <s v="Não"/>
    <s v="Não"/>
    <s v="Não"/>
    <s v="Não"/>
    <n v="1081.52"/>
    <n v="1081.52"/>
  </r>
  <r>
    <s v="VGSP-348_055,000_EN_CL2"/>
    <x v="0"/>
    <s v="55,000"/>
    <m/>
    <s v="55,500"/>
    <m/>
    <x v="0"/>
    <s v="N"/>
    <n v="-23.215143614340949"/>
    <n v="-46.917522974241969"/>
    <n v="2200.21"/>
    <n v="9.6"/>
    <n v="0"/>
    <m/>
    <n v="0"/>
    <m/>
    <m/>
    <s v="Não"/>
    <s v="Não"/>
    <s v="Não"/>
    <s v="Não"/>
    <n v="0"/>
    <n v="0"/>
  </r>
  <r>
    <s v="VGSP-330_055,000_EN_CL1"/>
    <x v="0"/>
    <s v="55,000"/>
    <m/>
    <s v="55,500"/>
    <m/>
    <x v="0"/>
    <s v="N"/>
    <n v="-23.21907457005112"/>
    <n v="-46.88099762481211"/>
    <n v="1529.29"/>
    <n v="4.4400000000000004"/>
    <n v="0"/>
    <m/>
    <n v="0"/>
    <m/>
    <m/>
    <s v="Não"/>
    <s v="Não"/>
    <s v="Não"/>
    <s v="Não"/>
    <n v="0"/>
    <n v="0"/>
  </r>
  <r>
    <s v="VGSP-330_055,000_EN_CL5"/>
    <x v="0"/>
    <s v="55,000"/>
    <m/>
    <s v="55,500"/>
    <m/>
    <x v="0"/>
    <s v="N"/>
    <n v="-23.21717094103791"/>
    <n v="-46.882513701636768"/>
    <n v="1214.52"/>
    <n v="4.01"/>
    <n v="0"/>
    <m/>
    <n v="0"/>
    <m/>
    <m/>
    <s v="Não"/>
    <s v="Não"/>
    <s v="Não"/>
    <s v="Não"/>
    <n v="0"/>
    <n v="0"/>
  </r>
  <r>
    <s v="VGSP-348_055,000_CC2"/>
    <x v="65"/>
    <s v="55,000"/>
    <m/>
    <s v="55,500"/>
    <n v="0.5"/>
    <x v="1"/>
    <s v="C"/>
    <n v="-23.21817354834112"/>
    <n v="-46.913952553239731"/>
    <n v="11683.92"/>
    <n v="6.24"/>
    <n v="50"/>
    <m/>
    <n v="0"/>
    <s v="Eixo-zero"/>
    <m/>
    <s v="Não"/>
    <s v="Não"/>
    <s v="Não"/>
    <s v="Não"/>
    <n v="5841.96"/>
    <n v="5841.96"/>
  </r>
  <r>
    <s v="VGSP-330_055,000_ES_CL7"/>
    <x v="0"/>
    <s v="55,000"/>
    <m/>
    <s v="55,500"/>
    <m/>
    <x v="0"/>
    <s v="S"/>
    <n v="-23.21499358567398"/>
    <n v="-46.885864624093543"/>
    <n v="4104.9799999999996"/>
    <n v="8.32"/>
    <n v="50"/>
    <m/>
    <n v="0"/>
    <s v="Trator 1.7m"/>
    <m/>
    <s v="Não"/>
    <s v="Não"/>
    <s v="Não"/>
    <s v="Não"/>
    <n v="2052.4899999999998"/>
    <n v="2052.4899999999998"/>
  </r>
  <r>
    <s v="VGSP-348_055,000_CC1"/>
    <x v="65"/>
    <s v="55,000"/>
    <m/>
    <s v="55,500"/>
    <n v="0.5"/>
    <x v="1"/>
    <s v="C"/>
    <n v="-23.215337041336081"/>
    <n v="-46.91773691681918"/>
    <n v="14504.19"/>
    <n v="8.84"/>
    <n v="60"/>
    <m/>
    <n v="0"/>
    <s v="Eixo-zero"/>
    <m/>
    <s v="Não"/>
    <s v="Não"/>
    <s v="Não"/>
    <s v="Não"/>
    <n v="8702.5139999999992"/>
    <n v="8702.5139999999992"/>
  </r>
  <r>
    <s v="VGSP-348_055,000_EN_CL1"/>
    <x v="0"/>
    <s v="55,000"/>
    <m/>
    <s v="55,500"/>
    <m/>
    <x v="0"/>
    <s v="N"/>
    <n v="-23.217979129063821"/>
    <n v="-46.913741882562491"/>
    <n v="1787.33"/>
    <n v="7.22"/>
    <n v="0"/>
    <m/>
    <n v="0"/>
    <m/>
    <m/>
    <s v="Não"/>
    <s v="Não"/>
    <s v="Não"/>
    <s v="Não"/>
    <n v="0"/>
    <n v="0"/>
  </r>
  <r>
    <s v="VGSP-330_055,000_ES_CL3"/>
    <x v="0"/>
    <s v="55,000"/>
    <m/>
    <s v="55,500"/>
    <m/>
    <x v="0"/>
    <s v="S"/>
    <n v="-23.218944006955379"/>
    <n v="-46.881893806043948"/>
    <n v="300.3"/>
    <n v="8.3000000000000007"/>
    <n v="30"/>
    <m/>
    <n v="0"/>
    <s v="Trator 1.7m"/>
    <m/>
    <s v="Não"/>
    <s v="Não"/>
    <s v="Não"/>
    <s v="Não"/>
    <n v="90.09"/>
    <n v="90.09"/>
  </r>
  <r>
    <s v="VGSP-330_055,000_ES_CL8"/>
    <x v="0"/>
    <s v="55,000"/>
    <m/>
    <s v="55,500"/>
    <m/>
    <x v="0"/>
    <s v="S"/>
    <n v="-23.216842857352809"/>
    <n v="-46.883484523402167"/>
    <n v="543.66"/>
    <n v="6.14"/>
    <n v="30"/>
    <m/>
    <n v="0"/>
    <s v="Trator 1.7m"/>
    <m/>
    <s v="Não"/>
    <s v="Não"/>
    <s v="Não"/>
    <s v="Não"/>
    <n v="163.09799999999998"/>
    <n v="163.09799999999998"/>
  </r>
  <r>
    <s v="VGSP-330_055,000_ES_CL2"/>
    <x v="0"/>
    <s v="55,000"/>
    <m/>
    <s v="55,500"/>
    <m/>
    <x v="0"/>
    <s v="S"/>
    <n v="-23.21959229999862"/>
    <n v="-46.881265808309692"/>
    <n v="496.78"/>
    <n v="10.45"/>
    <n v="30"/>
    <m/>
    <n v="0"/>
    <s v="Trator 1.7m"/>
    <m/>
    <s v="Não"/>
    <s v="Não"/>
    <s v="Não"/>
    <s v="Não"/>
    <n v="149.03399999999999"/>
    <n v="149.03399999999999"/>
  </r>
  <r>
    <s v="VGSP-330_055,000_ES_CL5"/>
    <x v="0"/>
    <s v="55,000"/>
    <m/>
    <s v="55,500"/>
    <m/>
    <x v="0"/>
    <s v="S"/>
    <n v="-23.218302653138331"/>
    <n v="-46.882118317465"/>
    <n v="819.21"/>
    <n v="4.59"/>
    <n v="30"/>
    <m/>
    <n v="0"/>
    <s v="Trator 1.7m"/>
    <m/>
    <s v="Não"/>
    <s v="Não"/>
    <s v="Não"/>
    <s v="Não"/>
    <n v="245.76300000000001"/>
    <n v="245.76300000000001"/>
  </r>
  <r>
    <s v="VGSP-330_056,000_ES_CL4"/>
    <x v="0"/>
    <s v="56,000"/>
    <m/>
    <s v="56,500"/>
    <m/>
    <x v="0"/>
    <s v="S"/>
    <n v="-23.21238627956264"/>
    <n v="-46.89002221102173"/>
    <n v="6548.5"/>
    <n v="4.74"/>
    <n v="50"/>
    <m/>
    <n v="0"/>
    <s v="Trator 1.7m"/>
    <m/>
    <s v="Não"/>
    <s v="Não"/>
    <s v="Não"/>
    <s v="Não"/>
    <n v="3274.25"/>
    <n v="3274.25"/>
  </r>
  <r>
    <s v="VGSP-330_056,000_ES_CL2"/>
    <x v="0"/>
    <s v="56,000"/>
    <m/>
    <s v="56,500"/>
    <m/>
    <x v="0"/>
    <s v="S"/>
    <n v="-23.2136780592101"/>
    <n v="-46.888193371754987"/>
    <n v="74.48"/>
    <n v="9.14"/>
    <n v="50"/>
    <m/>
    <n v="0"/>
    <s v="Trator 1.7m"/>
    <m/>
    <s v="Não"/>
    <s v="Não"/>
    <s v="Não"/>
    <s v="Não"/>
    <n v="37.24"/>
    <n v="37.24"/>
  </r>
  <r>
    <s v="VGSP-330_056,000_ES_CL1"/>
    <x v="0"/>
    <s v="56,000"/>
    <m/>
    <s v="56,500"/>
    <m/>
    <x v="0"/>
    <s v="S"/>
    <n v="-23.213529895253519"/>
    <n v="-46.888106280151902"/>
    <n v="141.82"/>
    <n v="5.7"/>
    <n v="50"/>
    <m/>
    <n v="0"/>
    <s v="Trator 1.7m"/>
    <m/>
    <s v="Não"/>
    <s v="Não"/>
    <s v="Não"/>
    <s v="Não"/>
    <n v="70.91"/>
    <n v="70.91"/>
  </r>
  <r>
    <s v="VGSP-330_056,000_ES_CL10"/>
    <x v="0"/>
    <s v="56,000"/>
    <m/>
    <s v="56,500"/>
    <m/>
    <x v="0"/>
    <s v="S"/>
    <n v="-23.209002378843881"/>
    <n v="-46.895738376858993"/>
    <n v="338.76"/>
    <n v="3.63"/>
    <n v="70"/>
    <m/>
    <n v="0"/>
    <s v="Trator 1.7m"/>
    <m/>
    <s v="Não"/>
    <s v="Não"/>
    <s v="Não"/>
    <s v="Não"/>
    <n v="237.13199999999998"/>
    <n v="237.13199999999998"/>
  </r>
  <r>
    <s v="VGSP-348_056,000_EN_CL1"/>
    <x v="0"/>
    <s v="56,000"/>
    <m/>
    <s v="56,500"/>
    <m/>
    <x v="0"/>
    <s v="N"/>
    <n v="-23.213316491527351"/>
    <n v="-46.919886181555938"/>
    <n v="323.49"/>
    <n v="7.51"/>
    <n v="0"/>
    <m/>
    <n v="0"/>
    <m/>
    <m/>
    <s v="Não"/>
    <s v="Não"/>
    <s v="Não"/>
    <s v="Não"/>
    <n v="0"/>
    <n v="0"/>
  </r>
  <r>
    <s v="VGSP-330_056,000_EN_CL2"/>
    <x v="0"/>
    <s v="56,000"/>
    <m/>
    <s v="56,500"/>
    <m/>
    <x v="0"/>
    <s v="N"/>
    <n v="-23.211853997207331"/>
    <n v="-46.889881540899466"/>
    <n v="1715.17"/>
    <n v="3.95"/>
    <n v="50"/>
    <m/>
    <n v="0"/>
    <s v="Trator 1.7m"/>
    <m/>
    <s v="Não"/>
    <s v="Não"/>
    <s v="Não"/>
    <s v="Não"/>
    <n v="857.58500000000004"/>
    <n v="857.58500000000004"/>
  </r>
  <r>
    <s v="VGSP-330_056,000_EN_CL1"/>
    <x v="0"/>
    <s v="56,000"/>
    <m/>
    <s v="56,500"/>
    <m/>
    <x v="0"/>
    <s v="N"/>
    <n v="-23.210249432954111"/>
    <n v="-46.892442709844147"/>
    <n v="822.67"/>
    <n v="5.92"/>
    <n v="40"/>
    <m/>
    <n v="0"/>
    <s v="Trator 1.7m"/>
    <m/>
    <s v="Não"/>
    <s v="Não"/>
    <s v="Não"/>
    <s v="Não"/>
    <n v="329.06799999999998"/>
    <n v="329.06799999999998"/>
  </r>
  <r>
    <s v="VGSP-330_056,000_ES_CL3"/>
    <x v="0"/>
    <s v="56,000"/>
    <m/>
    <s v="56,500"/>
    <m/>
    <x v="0"/>
    <s v="S"/>
    <n v="-23.21293324948304"/>
    <n v="-46.889513790209428"/>
    <n v="1085.76"/>
    <n v="5.08"/>
    <n v="50"/>
    <m/>
    <n v="0"/>
    <s v="Trator 1.7m"/>
    <m/>
    <s v="Não"/>
    <s v="Não"/>
    <s v="Não"/>
    <s v="Não"/>
    <n v="542.88"/>
    <n v="542.88"/>
  </r>
  <r>
    <s v="VGSP-330_056,000_ES_CL11"/>
    <x v="0"/>
    <s v="56,000"/>
    <m/>
    <s v="56,500"/>
    <m/>
    <x v="0"/>
    <s v="S"/>
    <n v="-23.20888743778988"/>
    <n v="-46.895608285770606"/>
    <n v="693.22"/>
    <n v="3.07"/>
    <n v="70"/>
    <m/>
    <n v="0"/>
    <s v="Trator 1.7m"/>
    <m/>
    <s v="Não"/>
    <s v="Não"/>
    <s v="Não"/>
    <s v="Não"/>
    <n v="485.25399999999996"/>
    <n v="485.25399999999996"/>
  </r>
  <r>
    <s v="VGSP-330_056,000_ES_CL6"/>
    <x v="0"/>
    <s v="56,000"/>
    <m/>
    <s v="56,500"/>
    <m/>
    <x v="0"/>
    <s v="S"/>
    <n v="-23.21066178052698"/>
    <n v="-46.893073878516716"/>
    <n v="1219.1600000000001"/>
    <n v="7.13"/>
    <n v="70"/>
    <m/>
    <n v="0"/>
    <s v="Trator 1.7m"/>
    <m/>
    <s v="Não"/>
    <s v="Não"/>
    <s v="Não"/>
    <s v="Não"/>
    <n v="853.41200000000003"/>
    <n v="853.41200000000003"/>
  </r>
  <r>
    <s v="VGSP-348_056,000_ES_CL1"/>
    <x v="0"/>
    <s v="56,000"/>
    <m/>
    <s v="56,500"/>
    <m/>
    <x v="0"/>
    <s v="S"/>
    <n v="-23.2137475183075"/>
    <n v="-46.920311883204853"/>
    <n v="211.28"/>
    <n v="8.9"/>
    <n v="50"/>
    <m/>
    <n v="0"/>
    <s v="Trator 1.7m"/>
    <m/>
    <s v="Não"/>
    <s v="Não"/>
    <s v="Não"/>
    <s v="Não"/>
    <n v="105.64"/>
    <n v="105.64"/>
  </r>
  <r>
    <s v="VGSP-348_056,000_ES_CL2"/>
    <x v="0"/>
    <s v="56,000"/>
    <m/>
    <s v="56,500"/>
    <m/>
    <x v="0"/>
    <s v="S"/>
    <n v="-23.21334872968157"/>
    <n v="-46.920464952313417"/>
    <n v="0"/>
    <n v="4.5999999999999996"/>
    <m/>
    <m/>
    <n v="0"/>
    <m/>
    <m/>
    <s v="Não"/>
    <s v="Não"/>
    <s v="Não"/>
    <s v="Não"/>
    <n v="0"/>
    <n v="0"/>
  </r>
  <r>
    <s v="VGSP-330_056,000_EN_CL6"/>
    <x v="0"/>
    <s v="56,000"/>
    <m/>
    <s v="56,500"/>
    <m/>
    <x v="0"/>
    <s v="N"/>
    <n v="-23.208592308864809"/>
    <n v="-46.895315800797171"/>
    <n v="261.7"/>
    <n v="5.6"/>
    <n v="40"/>
    <m/>
    <n v="0"/>
    <s v="Trator 1.7m"/>
    <m/>
    <s v="Não"/>
    <s v="Não"/>
    <s v="Não"/>
    <s v="Não"/>
    <n v="104.68"/>
    <n v="104.68"/>
  </r>
  <r>
    <s v="VGSP-348_056,000_EN_CL2"/>
    <x v="0"/>
    <s v="56,000"/>
    <m/>
    <s v="56,500"/>
    <m/>
    <x v="0"/>
    <s v="N"/>
    <n v="-23.211228153445521"/>
    <n v="-46.921990786473657"/>
    <n v="1914.36"/>
    <n v="6.42"/>
    <n v="0"/>
    <m/>
    <n v="0"/>
    <m/>
    <m/>
    <s v="Não"/>
    <s v="Não"/>
    <s v="Não"/>
    <s v="Não"/>
    <n v="0"/>
    <n v="0"/>
  </r>
  <r>
    <s v="VGSP-330_056,000_EN_CL4"/>
    <x v="0"/>
    <s v="56,000"/>
    <m/>
    <s v="56,500"/>
    <m/>
    <x v="0"/>
    <s v="N"/>
    <n v="-23.209199127381719"/>
    <n v="-46.894569983187218"/>
    <n v="405.63"/>
    <n v="4.5199999999999996"/>
    <n v="40"/>
    <m/>
    <n v="0"/>
    <s v="Trator 1.7m"/>
    <m/>
    <s v="Não"/>
    <s v="Não"/>
    <s v="Não"/>
    <s v="Não"/>
    <n v="162.25200000000001"/>
    <n v="162.25200000000001"/>
  </r>
  <r>
    <s v="VGSP-330_056,000_EN_CL3"/>
    <x v="0"/>
    <s v="56,000"/>
    <m/>
    <s v="56,500"/>
    <m/>
    <x v="0"/>
    <s v="N"/>
    <n v="-23.20955134223626"/>
    <n v="-46.893699551264277"/>
    <n v="1500.47"/>
    <n v="4.88"/>
    <n v="40"/>
    <m/>
    <n v="0"/>
    <s v="Trator 1.7m"/>
    <m/>
    <s v="Não"/>
    <s v="Não"/>
    <s v="Não"/>
    <s v="Não"/>
    <n v="600.18799999999999"/>
    <n v="600.18799999999999"/>
  </r>
  <r>
    <s v="VGSP-348_056,000_CC1"/>
    <x v="66"/>
    <s v="56,000"/>
    <m/>
    <s v="56,500"/>
    <n v="0.5"/>
    <x v="1"/>
    <s v="C"/>
    <n v="-23.2134926563002"/>
    <n v="-46.920109182347993"/>
    <n v="1911.4"/>
    <n v="8.2100000000000009"/>
    <n v="60"/>
    <m/>
    <n v="0"/>
    <s v="Eixo-zero"/>
    <m/>
    <s v="Não"/>
    <s v="Não"/>
    <s v="Não"/>
    <s v="Não"/>
    <n v="1146.8399999999999"/>
    <n v="1146.8399999999999"/>
  </r>
  <r>
    <s v="VGSP-348_056,000_CC4"/>
    <x v="66"/>
    <s v="56,000"/>
    <m/>
    <s v="56,500"/>
    <n v="0.5"/>
    <x v="1"/>
    <s v="C"/>
    <n v="-23.207742559620311"/>
    <n v="-46.92494528796005"/>
    <n v="13453.5"/>
    <n v="4.6399999999999997"/>
    <n v="70"/>
    <m/>
    <n v="0"/>
    <s v="Eixo-zero"/>
    <m/>
    <s v="Não"/>
    <s v="Não"/>
    <s v="Não"/>
    <s v="Não"/>
    <n v="9417.4499999999989"/>
    <n v="9417.4499999999989"/>
  </r>
  <r>
    <s v="VGSP-330_056,000_ES_CL5"/>
    <x v="0"/>
    <s v="56,000"/>
    <m/>
    <s v="56,500"/>
    <m/>
    <x v="0"/>
    <s v="S"/>
    <n v="-23.210955751279471"/>
    <n v="-46.892307527956334"/>
    <n v="1108.6600000000001"/>
    <n v="8.6999999999999993"/>
    <n v="70"/>
    <m/>
    <n v="0"/>
    <s v="Trator 1.7m"/>
    <m/>
    <s v="Não"/>
    <s v="Não"/>
    <s v="Não"/>
    <s v="Não"/>
    <n v="776.06200000000001"/>
    <n v="776.06200000000001"/>
  </r>
  <r>
    <s v="VGSP-330_056,000_ES_CL8"/>
    <x v="0"/>
    <s v="56,000"/>
    <m/>
    <s v="56,500"/>
    <m/>
    <x v="0"/>
    <s v="S"/>
    <n v="-23.209698013924399"/>
    <n v="-46.894286544229473"/>
    <n v="1769.2"/>
    <n v="4.53"/>
    <n v="70"/>
    <m/>
    <n v="0"/>
    <s v="Trator 1.7m"/>
    <m/>
    <s v="Não"/>
    <s v="Não"/>
    <s v="Não"/>
    <s v="Não"/>
    <n v="1238.44"/>
    <n v="1238.44"/>
  </r>
  <r>
    <s v="VGSP-330_056,000_ES_CL9"/>
    <x v="0"/>
    <s v="56,000"/>
    <m/>
    <s v="56,500"/>
    <m/>
    <x v="0"/>
    <s v="S"/>
    <n v="-23.20968166729693"/>
    <n v="-46.894675037756883"/>
    <n v="611.32000000000005"/>
    <n v="5.35"/>
    <n v="70"/>
    <m/>
    <n v="0"/>
    <s v="Trator 1.7m"/>
    <m/>
    <s v="Não"/>
    <s v="Não"/>
    <s v="Não"/>
    <s v="Não"/>
    <n v="427.92400000000004"/>
    <n v="427.92400000000004"/>
  </r>
  <r>
    <s v="VGSP-348_056,000_EN_CL4"/>
    <x v="0"/>
    <s v="56,000"/>
    <m/>
    <s v="56,500"/>
    <m/>
    <x v="0"/>
    <s v="N"/>
    <n v="-23.20611872597749"/>
    <n v="-46.926271996374602"/>
    <n v="1089.95"/>
    <n v="2.59"/>
    <n v="70"/>
    <m/>
    <n v="0"/>
    <s v="Trator 1.7m"/>
    <m/>
    <s v="Não"/>
    <s v="Não"/>
    <s v="Não"/>
    <s v="Não"/>
    <n v="762.96500000000003"/>
    <n v="762.96500000000003"/>
  </r>
  <r>
    <s v="VGSP-348_056,000_ES_CL3"/>
    <x v="0"/>
    <s v="56,000"/>
    <m/>
    <s v="56,500"/>
    <m/>
    <x v="0"/>
    <s v="S"/>
    <n v="-23.211720436429481"/>
    <n v="-46.922367396141603"/>
    <n v="2207.85"/>
    <n v="3.88"/>
    <n v="50"/>
    <m/>
    <n v="0"/>
    <s v="Trator 1.7m"/>
    <m/>
    <s v="Não"/>
    <s v="Não"/>
    <s v="Não"/>
    <s v="Não"/>
    <n v="1103.925"/>
    <n v="1103.925"/>
  </r>
  <r>
    <s v="VGSP-348_056,000_EN_CL3"/>
    <x v="0"/>
    <s v="56,000"/>
    <m/>
    <s v="56,500"/>
    <m/>
    <x v="0"/>
    <s v="N"/>
    <n v="-23.20767573769178"/>
    <n v="-46.924650796694152"/>
    <n v="1925.95"/>
    <n v="5.51"/>
    <n v="80"/>
    <m/>
    <n v="0"/>
    <s v="Trator 1.7m"/>
    <m/>
    <s v="Não"/>
    <s v="Não"/>
    <s v="Não"/>
    <s v="Não"/>
    <n v="1540.7600000000002"/>
    <n v="1540.7600000000002"/>
  </r>
  <r>
    <s v="VGSP-330_056,000_CC"/>
    <x v="67"/>
    <s v="56,000"/>
    <m/>
    <s v="56,500"/>
    <m/>
    <x v="1"/>
    <s v="C"/>
    <n v="-23.21239942541877"/>
    <n v="-46.889353392362388"/>
    <n v="3084.16"/>
    <n v="4.09"/>
    <n v="50"/>
    <m/>
    <n v="0"/>
    <s v="Trator 1.7m"/>
    <m/>
    <s v="Não"/>
    <s v="Não"/>
    <s v="Não"/>
    <s v="Não"/>
    <n v="1542.08"/>
    <n v="1542.08"/>
  </r>
  <r>
    <s v="VGSP-330_056,000_ES_CL7"/>
    <x v="0"/>
    <s v="56,000"/>
    <m/>
    <s v="56,500"/>
    <m/>
    <x v="0"/>
    <s v="S"/>
    <n v="-23.21183111498376"/>
    <n v="-46.891311198011849"/>
    <n v="596.28"/>
    <n v="6.74"/>
    <n v="50"/>
    <m/>
    <n v="0"/>
    <s v="Trator 1.7m"/>
    <m/>
    <s v="Não"/>
    <s v="Não"/>
    <s v="Não"/>
    <s v="Não"/>
    <n v="298.14"/>
    <n v="298.14"/>
  </r>
  <r>
    <s v="VGSP-348_056,000_CC2"/>
    <x v="66"/>
    <s v="56,000"/>
    <m/>
    <s v="56,500"/>
    <n v="0.5"/>
    <x v="1"/>
    <s v="C"/>
    <n v="-23.207556855712401"/>
    <n v="-46.925548466834179"/>
    <n v="4454.6000000000004"/>
    <n v="5.93"/>
    <n v="70"/>
    <m/>
    <n v="0"/>
    <s v="Trator 1.7m"/>
    <m/>
    <s v="Não"/>
    <s v="Não"/>
    <s v="Não"/>
    <s v="Não"/>
    <n v="3118.2200000000003"/>
    <n v="3118.2200000000003"/>
  </r>
  <r>
    <s v="VGSP-348_056,000_CC3"/>
    <x v="66"/>
    <s v="56,000"/>
    <m/>
    <s v="56,500"/>
    <n v="0.5"/>
    <x v="1"/>
    <s v="C"/>
    <n v="-23.211466282875438"/>
    <n v="-46.92216043832871"/>
    <n v="13593.02"/>
    <n v="5.01"/>
    <n v="60"/>
    <m/>
    <n v="0"/>
    <s v="Eixo-zero"/>
    <m/>
    <s v="Não"/>
    <s v="Não"/>
    <s v="Não"/>
    <s v="Não"/>
    <n v="8155.8119999999999"/>
    <n v="8155.8119999999999"/>
  </r>
  <r>
    <s v="VGSP-330_056,000_EN_CL5"/>
    <x v="0"/>
    <s v="56,000"/>
    <m/>
    <s v="56,500"/>
    <m/>
    <x v="0"/>
    <s v="N"/>
    <n v="-23.208677882565588"/>
    <n v="-46.89540844123897"/>
    <n v="363.44"/>
    <n v="4.41"/>
    <n v="40"/>
    <m/>
    <n v="0"/>
    <s v="Trator 1.7m"/>
    <m/>
    <s v="Não"/>
    <s v="Não"/>
    <s v="Não"/>
    <s v="Não"/>
    <n v="145.376"/>
    <n v="145.376"/>
  </r>
  <r>
    <s v="VGSP-348_057,000_EN_CL1"/>
    <x v="0"/>
    <s v="57,000"/>
    <m/>
    <s v="57,500"/>
    <m/>
    <x v="0"/>
    <s v="N"/>
    <n v="-23.205092780620671"/>
    <n v="-46.926018611653433"/>
    <n v="629.97"/>
    <n v="4.51"/>
    <n v="0"/>
    <m/>
    <n v="0"/>
    <m/>
    <m/>
    <s v="Não"/>
    <s v="Não"/>
    <s v="Não"/>
    <s v="Não"/>
    <n v="0"/>
    <n v="0"/>
  </r>
  <r>
    <s v="VGSP-348_057,000_EN_CL3"/>
    <x v="0"/>
    <s v="57,000"/>
    <m/>
    <s v="57,500"/>
    <m/>
    <x v="0"/>
    <s v="N"/>
    <n v="-23.199272736061381"/>
    <n v="-46.928080157094527"/>
    <n v="1948.99"/>
    <n v="6.98"/>
    <n v="50"/>
    <m/>
    <n v="0"/>
    <s v="Trator 1.7m"/>
    <m/>
    <s v="Não"/>
    <s v="Não"/>
    <s v="Não"/>
    <s v="Não"/>
    <n v="974.495"/>
    <n v="974.495"/>
  </r>
  <r>
    <s v="VGSP-330_057,000_ES_CL3"/>
    <x v="0"/>
    <s v="57,000"/>
    <m/>
    <s v="57,500"/>
    <m/>
    <x v="0"/>
    <s v="S"/>
    <n v="-23.207266786270861"/>
    <n v="-46.898327960072173"/>
    <n v="1036.26"/>
    <n v="6.19"/>
    <n v="70"/>
    <m/>
    <n v="0"/>
    <s v="Trator 1.7m"/>
    <m/>
    <s v="Não"/>
    <s v="Não"/>
    <s v="Não"/>
    <s v="Não"/>
    <n v="725.38199999999995"/>
    <n v="725.38199999999995"/>
  </r>
  <r>
    <s v="VGSP-330_057,000_ES_CL4"/>
    <x v="0"/>
    <s v="57,000"/>
    <m/>
    <s v="57,500"/>
    <m/>
    <x v="0"/>
    <s v="S"/>
    <n v="-23.20612954959061"/>
    <n v="-46.899567155977707"/>
    <n v="542.95000000000005"/>
    <n v="2.56"/>
    <n v="70"/>
    <m/>
    <n v="0"/>
    <s v="Trator 1.7m"/>
    <m/>
    <s v="Não"/>
    <s v="Não"/>
    <s v="Não"/>
    <s v="Não"/>
    <n v="380.065"/>
    <n v="380.065"/>
  </r>
  <r>
    <s v="VGSP-330_057,000_ES_CL5"/>
    <x v="0"/>
    <s v="57,000"/>
    <m/>
    <s v="57,500"/>
    <m/>
    <x v="0"/>
    <s v="S"/>
    <n v="-23.205312035322141"/>
    <n v="-46.900396877674808"/>
    <n v="430.81"/>
    <n v="3.57"/>
    <n v="70"/>
    <m/>
    <n v="0"/>
    <s v="Trator 1.7m"/>
    <m/>
    <s v="Não"/>
    <s v="Não"/>
    <s v="Não"/>
    <s v="Não"/>
    <n v="301.56700000000001"/>
    <n v="301.56700000000001"/>
  </r>
  <r>
    <s v="VGSP-330_057,000_ES_CL7"/>
    <x v="0"/>
    <s v="57,000"/>
    <m/>
    <s v="57,500"/>
    <m/>
    <x v="0"/>
    <s v="S"/>
    <n v="-23.20402535705125"/>
    <n v="-46.901009083438552"/>
    <n v="8393.84"/>
    <n v="8.84"/>
    <n v="70"/>
    <m/>
    <n v="0"/>
    <s v="Trator 1.7m"/>
    <m/>
    <s v="Não"/>
    <s v="Não"/>
    <s v="Não"/>
    <s v="Não"/>
    <n v="5875.6880000000001"/>
    <n v="5875.6880000000001"/>
  </r>
  <r>
    <s v="VGSP-330_057,000_EN_CL6"/>
    <x v="0"/>
    <s v="57,000"/>
    <m/>
    <s v="57,500"/>
    <m/>
    <x v="0"/>
    <s v="N"/>
    <n v="-23.201972361256608"/>
    <n v="-46.90177438371564"/>
    <n v="414.04"/>
    <n v="6.82"/>
    <n v="0"/>
    <m/>
    <n v="0"/>
    <m/>
    <m/>
    <s v="Não"/>
    <s v="Não"/>
    <s v="Não"/>
    <s v="Não"/>
    <n v="0"/>
    <n v="0"/>
  </r>
  <r>
    <s v="VGSP-330_057,000_EN_CL7"/>
    <x v="0"/>
    <s v="57,000"/>
    <m/>
    <s v="57,500"/>
    <m/>
    <x v="0"/>
    <s v="N"/>
    <n v="-23.203940260735489"/>
    <n v="-46.900438414409251"/>
    <n v="1738.32"/>
    <n v="10.16"/>
    <n v="0"/>
    <m/>
    <n v="0"/>
    <m/>
    <m/>
    <s v="Não"/>
    <s v="Não"/>
    <s v="Não"/>
    <s v="Não"/>
    <n v="0"/>
    <n v="0"/>
  </r>
  <r>
    <s v="VGSP-330_057,000_EN_CL8"/>
    <x v="0"/>
    <s v="57,000"/>
    <m/>
    <s v="57,500"/>
    <m/>
    <x v="0"/>
    <s v="N"/>
    <n v="-23.205933013803591"/>
    <n v="-46.898721845464181"/>
    <n v="532.16"/>
    <n v="5.32"/>
    <n v="40"/>
    <m/>
    <n v="0"/>
    <s v="Trator 1.7m"/>
    <m/>
    <s v="Não"/>
    <s v="Não"/>
    <s v="Não"/>
    <s v="Não"/>
    <n v="212.864"/>
    <n v="212.864"/>
  </r>
  <r>
    <s v="VGSP-330_057,000_ES_CL6"/>
    <x v="0"/>
    <s v="57,000"/>
    <m/>
    <s v="57,500"/>
    <m/>
    <x v="0"/>
    <s v="S"/>
    <n v="-23.206772506890449"/>
    <n v="-46.898566686300533"/>
    <n v="3274.07"/>
    <n v="4.43"/>
    <n v="70"/>
    <m/>
    <n v="0"/>
    <s v="Trator 1.7m"/>
    <m/>
    <s v="Não"/>
    <s v="Não"/>
    <s v="Não"/>
    <s v="Não"/>
    <n v="2291.8490000000002"/>
    <n v="2291.8490000000002"/>
  </r>
  <r>
    <s v="VGSP-348_057,000_ES_CL1"/>
    <x v="0"/>
    <s v="57,000"/>
    <m/>
    <s v="57,500"/>
    <m/>
    <x v="0"/>
    <s v="S"/>
    <n v="-23.19936612538276"/>
    <n v="-46.928719329597399"/>
    <n v="1950.38"/>
    <n v="5.76"/>
    <n v="60"/>
    <m/>
    <n v="0"/>
    <s v="Trator 1.7m"/>
    <m/>
    <s v="Não"/>
    <s v="Não"/>
    <s v="Não"/>
    <s v="Não"/>
    <n v="1170.2280000000001"/>
    <n v="1170.2280000000001"/>
  </r>
  <r>
    <s v="VGSP-330_057,000_EN_CL1"/>
    <x v="0"/>
    <s v="57,000"/>
    <m/>
    <s v="57,500"/>
    <m/>
    <x v="0"/>
    <s v="N"/>
    <n v="-23.208112760891449"/>
    <n v="-46.896317694405333"/>
    <n v="849.51"/>
    <n v="8.31"/>
    <n v="40"/>
    <m/>
    <n v="0"/>
    <s v="Trator 1.7m"/>
    <m/>
    <s v="Não"/>
    <s v="Não"/>
    <s v="Não"/>
    <s v="Não"/>
    <n v="339.80400000000003"/>
    <n v="339.80400000000003"/>
  </r>
  <r>
    <s v="VGSP-348_057,000_CC2"/>
    <x v="68"/>
    <s v="57,000"/>
    <m/>
    <s v="57,500"/>
    <n v="0.5"/>
    <x v="1"/>
    <s v="C"/>
    <n v="-23.203591930055261"/>
    <n v="-46.926903352962583"/>
    <n v="13593.25"/>
    <n v="5"/>
    <n v="70"/>
    <m/>
    <n v="0"/>
    <s v="Eixo-zero"/>
    <m/>
    <s v="Não"/>
    <s v="Não"/>
    <s v="Não"/>
    <s v="Não"/>
    <n v="9515.2749999999996"/>
    <n v="9515.2749999999996"/>
  </r>
  <r>
    <s v="VGSP-348_057,000_CC3"/>
    <x v="68"/>
    <s v="57,000"/>
    <m/>
    <s v="57,500"/>
    <n v="0.5"/>
    <x v="1"/>
    <s v="C"/>
    <n v="-23.199326375883871"/>
    <n v="-46.928376786174468"/>
    <n v="12794.44"/>
    <n v="6.77"/>
    <n v="70"/>
    <m/>
    <n v="0"/>
    <s v="Eixo-zero"/>
    <m/>
    <s v="Não"/>
    <s v="Não"/>
    <s v="Não"/>
    <s v="Não"/>
    <n v="8956.1080000000002"/>
    <n v="8956.1080000000002"/>
  </r>
  <r>
    <s v="VGSP-348_057,000_ES_CL2"/>
    <x v="0"/>
    <s v="57,000"/>
    <m/>
    <s v="57,500"/>
    <m/>
    <x v="0"/>
    <s v="S"/>
    <n v="-23.20254772806344"/>
    <n v="-46.927690662370807"/>
    <n v="1010.56"/>
    <n v="4.62"/>
    <n v="70"/>
    <m/>
    <n v="0"/>
    <s v="Trator 1.7m"/>
    <m/>
    <s v="Não"/>
    <s v="Não"/>
    <s v="Não"/>
    <s v="Não"/>
    <n v="707.39199999999994"/>
    <n v="707.39199999999994"/>
  </r>
  <r>
    <s v="VGSP-330_057,000_EN_CL3"/>
    <x v="0"/>
    <s v="57,000"/>
    <m/>
    <s v="57,500"/>
    <m/>
    <x v="0"/>
    <s v="N"/>
    <n v="-23.206710166484331"/>
    <n v="-46.897975836055167"/>
    <n v="1267.52"/>
    <n v="6.07"/>
    <n v="40"/>
    <m/>
    <n v="0"/>
    <s v="Trator 1.7m"/>
    <m/>
    <s v="Não"/>
    <s v="Não"/>
    <s v="Não"/>
    <s v="Não"/>
    <n v="507.00800000000004"/>
    <n v="507.00800000000004"/>
  </r>
  <r>
    <s v="VGSP-330_057,000_EN_CL2"/>
    <x v="0"/>
    <s v="57,000"/>
    <m/>
    <s v="57,500"/>
    <m/>
    <x v="0"/>
    <s v="N"/>
    <n v="-23.208014507926759"/>
    <n v="-46.896208150262737"/>
    <n v="630.89"/>
    <n v="8.26"/>
    <n v="40"/>
    <m/>
    <n v="0"/>
    <s v="Trator 1.7m"/>
    <m/>
    <s v="Não"/>
    <s v="Não"/>
    <s v="Não"/>
    <s v="Não"/>
    <n v="252.35599999999999"/>
    <n v="252.35599999999999"/>
  </r>
  <r>
    <s v="VGSP-330_057,000_EN_CL4"/>
    <x v="0"/>
    <s v="57,000"/>
    <m/>
    <s v="57,500"/>
    <m/>
    <x v="0"/>
    <s v="N"/>
    <n v="-23.20662510431815"/>
    <n v="-46.898299858830683"/>
    <n v="1820.24"/>
    <n v="5.58"/>
    <n v="40"/>
    <m/>
    <n v="0"/>
    <s v="Trator 1.7m"/>
    <m/>
    <s v="Não"/>
    <s v="Não"/>
    <s v="Não"/>
    <s v="Não"/>
    <n v="728.096"/>
    <n v="728.096"/>
  </r>
  <r>
    <s v="VGSP-330_057,000_EN_CL5"/>
    <x v="0"/>
    <s v="57,000"/>
    <m/>
    <s v="57,500"/>
    <m/>
    <x v="0"/>
    <s v="N"/>
    <n v="-23.203999720164589"/>
    <n v="-46.900602194740053"/>
    <n v="2363.5500000000002"/>
    <n v="9.43"/>
    <n v="0"/>
    <m/>
    <n v="0"/>
    <m/>
    <m/>
    <s v="Não"/>
    <s v="Não"/>
    <s v="Não"/>
    <s v="Não"/>
    <n v="0"/>
    <n v="0"/>
  </r>
  <r>
    <s v="VGSP-348_057,000_CC1"/>
    <x v="68"/>
    <s v="57,000"/>
    <m/>
    <s v="57,500"/>
    <n v="0.5"/>
    <x v="1"/>
    <s v="C"/>
    <n v="-23.204541540274029"/>
    <n v="-46.92695347244279"/>
    <n v="3113.87"/>
    <n v="5.7"/>
    <n v="70"/>
    <m/>
    <n v="0"/>
    <s v="Trator 1.7m"/>
    <m/>
    <s v="Não"/>
    <s v="Não"/>
    <s v="Não"/>
    <s v="Não"/>
    <n v="2179.7089999999998"/>
    <n v="2179.7089999999998"/>
  </r>
  <r>
    <s v="VGSP-330_057,000_ES_CL2"/>
    <x v="0"/>
    <s v="57,000"/>
    <m/>
    <s v="57,500"/>
    <m/>
    <x v="0"/>
    <s v="S"/>
    <n v="-23.208321539341661"/>
    <n v="-46.896517931961768"/>
    <n v="1205.23"/>
    <n v="5.81"/>
    <n v="70"/>
    <m/>
    <n v="0"/>
    <s v="Trator 1.7m"/>
    <m/>
    <s v="Não"/>
    <s v="Não"/>
    <s v="Não"/>
    <s v="Não"/>
    <n v="843.66099999999994"/>
    <n v="843.66099999999994"/>
  </r>
  <r>
    <s v="VGSP-330_057,000_ES_CL1"/>
    <x v="0"/>
    <s v="57,000"/>
    <m/>
    <s v="57,500"/>
    <m/>
    <x v="0"/>
    <s v="S"/>
    <n v="-23.208445632016911"/>
    <n v="-46.896670111335823"/>
    <n v="569.91"/>
    <n v="3.55"/>
    <n v="70"/>
    <m/>
    <n v="0"/>
    <s v="Trator 1.7m"/>
    <m/>
    <s v="Não"/>
    <s v="Não"/>
    <s v="Não"/>
    <s v="Não"/>
    <n v="398.93699999999995"/>
    <n v="398.93699999999995"/>
  </r>
  <r>
    <s v="VGSP-330_057,000_ES_CL8"/>
    <x v="0"/>
    <s v="57,000"/>
    <m/>
    <s v="57,500"/>
    <m/>
    <x v="0"/>
    <s v="S"/>
    <n v="-23.203562581726121"/>
    <n v="-46.901583869543707"/>
    <n v="1132.73"/>
    <n v="8.92"/>
    <n v="70"/>
    <m/>
    <n v="0"/>
    <s v="Trator 1.7m"/>
    <m/>
    <s v="Não"/>
    <s v="Não"/>
    <s v="Não"/>
    <s v="Não"/>
    <n v="792.91099999999994"/>
    <n v="792.91099999999994"/>
  </r>
  <r>
    <s v="VGSP-348_057,000_EN_CL2"/>
    <x v="0"/>
    <s v="57,000"/>
    <m/>
    <s v="57,500"/>
    <m/>
    <x v="0"/>
    <s v="N"/>
    <n v="-23.202941728096789"/>
    <n v="-46.926828465543693"/>
    <n v="1461.07"/>
    <n v="7.61"/>
    <n v="80"/>
    <m/>
    <n v="0"/>
    <s v="Trator 1.7m"/>
    <m/>
    <s v="Não"/>
    <s v="Não"/>
    <s v="Não"/>
    <s v="Não"/>
    <n v="1168.856"/>
    <n v="1168.856"/>
  </r>
  <r>
    <s v="VGSP-348_058,000_ES_CL8"/>
    <x v="0"/>
    <s v="58,000"/>
    <m/>
    <s v="58,500"/>
    <m/>
    <x v="0"/>
    <s v="S"/>
    <n v="-23.193628794111589"/>
    <n v="-46.930921701912943"/>
    <n v="699.91"/>
    <n v="3.98"/>
    <n v="0"/>
    <m/>
    <n v="0"/>
    <m/>
    <m/>
    <s v="Não"/>
    <s v="Não"/>
    <s v="Não"/>
    <s v="Não"/>
    <n v="0"/>
    <n v="0"/>
  </r>
  <r>
    <s v="VGSP-330_058,000_EN_CL1"/>
    <x v="0"/>
    <s v="58,000"/>
    <m/>
    <s v="58,500"/>
    <m/>
    <x v="0"/>
    <s v="N"/>
    <n v="-23.199795885719318"/>
    <n v="-46.90244192219145"/>
    <n v="2306.41"/>
    <n v="6.23"/>
    <n v="0"/>
    <m/>
    <n v="0"/>
    <m/>
    <m/>
    <s v="Não"/>
    <s v="Não"/>
    <s v="Não"/>
    <s v="Não"/>
    <n v="0"/>
    <n v="0"/>
  </r>
  <r>
    <s v="VGSP-348_058,000_CC2"/>
    <x v="69"/>
    <s v="58,000"/>
    <m/>
    <s v="58,500"/>
    <n v="0.5"/>
    <x v="1"/>
    <s v="C"/>
    <n v="-23.190948928990629"/>
    <n v="-46.931218668231203"/>
    <n v="12805.7"/>
    <n v="4.84"/>
    <n v="60"/>
    <m/>
    <n v="0"/>
    <s v="Eixo-zero"/>
    <m/>
    <s v="Não"/>
    <s v="Não"/>
    <s v="Não"/>
    <s v="Não"/>
    <n v="7683.42"/>
    <n v="7683.42"/>
  </r>
  <r>
    <s v="VGSP-348_058,000_ES_CL3"/>
    <x v="0"/>
    <s v="58,000"/>
    <m/>
    <s v="58,500"/>
    <m/>
    <x v="0"/>
    <s v="S"/>
    <n v="-23.193426606036951"/>
    <n v="-46.930900134508462"/>
    <n v="209.74"/>
    <n v="2.5499999999999998"/>
    <n v="0"/>
    <m/>
    <n v="0"/>
    <m/>
    <m/>
    <s v="Não"/>
    <s v="Não"/>
    <s v="Não"/>
    <s v="Não"/>
    <n v="0"/>
    <n v="0"/>
  </r>
  <r>
    <s v="VGSP-348_058,000_ES_CL9"/>
    <x v="0"/>
    <s v="58,000"/>
    <m/>
    <s v="58,500"/>
    <m/>
    <x v="0"/>
    <s v="S"/>
    <n v="-23.19077929357508"/>
    <n v="-46.931721448642392"/>
    <n v="2078.31"/>
    <n v="5.18"/>
    <n v="0"/>
    <m/>
    <n v="0"/>
    <m/>
    <m/>
    <s v="Não"/>
    <s v="Não"/>
    <s v="Não"/>
    <s v="Não"/>
    <n v="0"/>
    <n v="0"/>
  </r>
  <r>
    <s v="VGSP-348_058,000_ES_CL4"/>
    <x v="0"/>
    <s v="58,000"/>
    <m/>
    <s v="58,500"/>
    <m/>
    <x v="0"/>
    <s v="S"/>
    <n v="-23.192563294369378"/>
    <n v="-46.931099219853763"/>
    <n v="747.65"/>
    <n v="1.84"/>
    <n v="0"/>
    <m/>
    <n v="0"/>
    <m/>
    <m/>
    <s v="Não"/>
    <s v="Não"/>
    <s v="Não"/>
    <s v="Não"/>
    <n v="0"/>
    <n v="0"/>
  </r>
  <r>
    <s v="VGSP-348_058,000_CC1"/>
    <x v="69"/>
    <s v="58,000"/>
    <m/>
    <s v="58,500"/>
    <n v="0.5"/>
    <x v="1"/>
    <s v="C"/>
    <n v="-23.19509639077231"/>
    <n v="-46.929807934235093"/>
    <n v="12847.41"/>
    <n v="7.94"/>
    <n v="60"/>
    <m/>
    <n v="0"/>
    <s v="Eixo-zero"/>
    <m/>
    <s v="Não"/>
    <s v="Não"/>
    <s v="Não"/>
    <s v="Não"/>
    <n v="7708.4459999999999"/>
    <n v="7708.4459999999999"/>
  </r>
  <r>
    <s v="VGSP-330_058,000_EN_CL7"/>
    <x v="0"/>
    <s v="58,000"/>
    <m/>
    <s v="58,500"/>
    <m/>
    <x v="0"/>
    <s v="N"/>
    <n v="-23.192944670264851"/>
    <n v="-46.904892248795448"/>
    <n v="4.96"/>
    <n v="4.87"/>
    <n v="50"/>
    <m/>
    <n v="0"/>
    <s v="Trator 1.7m"/>
    <m/>
    <s v="Não"/>
    <s v="Não"/>
    <s v="Não"/>
    <s v="Não"/>
    <n v="2.48"/>
    <n v="2.48"/>
  </r>
  <r>
    <s v="VGSP-330_058,000_ES_CL4"/>
    <x v="0"/>
    <s v="58,000"/>
    <m/>
    <s v="58,500"/>
    <m/>
    <x v="0"/>
    <s v="S"/>
    <n v="-23.198422872318499"/>
    <n v="-46.903443605044288"/>
    <n v="522.4"/>
    <n v="11.71"/>
    <n v="70"/>
    <m/>
    <n v="0"/>
    <s v="Trator 1.7m"/>
    <m/>
    <s v="Não"/>
    <s v="Não"/>
    <s v="Não"/>
    <s v="Não"/>
    <n v="365.67999999999995"/>
    <n v="365.67999999999995"/>
  </r>
  <r>
    <s v="VGSP-348_058,000_EN_CL4"/>
    <x v="0"/>
    <s v="58,000"/>
    <m/>
    <s v="58,500"/>
    <m/>
    <x v="0"/>
    <s v="N"/>
    <n v="-23.188744238948331"/>
    <n v="-46.93162702598525"/>
    <n v="140.69999999999999"/>
    <n v="4.1399999999999997"/>
    <n v="0"/>
    <m/>
    <n v="0"/>
    <m/>
    <m/>
    <s v="Não"/>
    <s v="Não"/>
    <s v="Não"/>
    <s v="Não"/>
    <n v="0"/>
    <n v="0"/>
  </r>
  <r>
    <s v="VGSP-348_058,000_ES_CL12"/>
    <x v="0"/>
    <s v="58,000"/>
    <m/>
    <s v="58,500"/>
    <m/>
    <x v="0"/>
    <s v="S"/>
    <n v="-23.189296351618271"/>
    <n v="-46.932313943677791"/>
    <n v="274.02"/>
    <n v="6.85"/>
    <n v="0"/>
    <m/>
    <n v="0"/>
    <m/>
    <m/>
    <s v="Não"/>
    <s v="Não"/>
    <s v="Não"/>
    <s v="Não"/>
    <n v="0"/>
    <n v="0"/>
  </r>
  <r>
    <s v="VGSP-348_058,000_EN_CL1"/>
    <x v="0"/>
    <s v="58,000"/>
    <m/>
    <s v="58,500"/>
    <m/>
    <x v="0"/>
    <s v="N"/>
    <n v="-23.19505751134411"/>
    <n v="-46.929512512581113"/>
    <n v="1965.88"/>
    <n v="9.1999999999999993"/>
    <n v="50"/>
    <m/>
    <n v="0"/>
    <s v="Trator 1.7m"/>
    <m/>
    <s v="Não"/>
    <s v="Não"/>
    <s v="Não"/>
    <s v="Não"/>
    <n v="982.94"/>
    <n v="982.94"/>
  </r>
  <r>
    <s v="VGSP-348_058,000_EN_CL6"/>
    <x v="0"/>
    <s v="58,000"/>
    <m/>
    <s v="58,500"/>
    <m/>
    <x v="0"/>
    <s v="N"/>
    <n v="-23.188608060045549"/>
    <n v="-46.931393889201658"/>
    <n v="1196.5899999999999"/>
    <n v="3.13"/>
    <n v="70"/>
    <m/>
    <n v="0"/>
    <s v="Trator 1.7m"/>
    <m/>
    <s v="Não"/>
    <s v="Não"/>
    <s v="Não"/>
    <s v="Não"/>
    <n v="837.61299999999994"/>
    <n v="837.61299999999994"/>
  </r>
  <r>
    <s v="VGSP-330_058,000_ES_CL3"/>
    <x v="0"/>
    <s v="58,000"/>
    <m/>
    <s v="58,500"/>
    <m/>
    <x v="0"/>
    <s v="S"/>
    <n v="-23.19528157662765"/>
    <n v="-46.90481014028726"/>
    <n v="2105.15"/>
    <n v="8.7799999999999994"/>
    <n v="60"/>
    <m/>
    <n v="0"/>
    <s v="Trator 1.7m"/>
    <m/>
    <s v="Não"/>
    <s v="Não"/>
    <s v="Não"/>
    <s v="Não"/>
    <n v="1263.0899999999999"/>
    <n v="1263.0899999999999"/>
  </r>
  <r>
    <s v="VGSP-330_058,000_ES_CL2"/>
    <x v="0"/>
    <s v="58,000"/>
    <m/>
    <s v="58,500"/>
    <m/>
    <x v="0"/>
    <s v="S"/>
    <n v="-23.199948667538251"/>
    <n v="-46.90306468282229"/>
    <n v="2301.9499999999998"/>
    <n v="7.57"/>
    <n v="70"/>
    <m/>
    <n v="0"/>
    <s v="Trator 1.7m"/>
    <m/>
    <s v="Não"/>
    <s v="Não"/>
    <s v="Não"/>
    <s v="Não"/>
    <n v="1611.3649999999998"/>
    <n v="1611.3649999999998"/>
  </r>
  <r>
    <s v="VGSP-330_058,000_ES_CL1"/>
    <x v="0"/>
    <s v="58,000"/>
    <m/>
    <s v="58,500"/>
    <m/>
    <x v="0"/>
    <s v="S"/>
    <n v="-23.201260250962029"/>
    <n v="-46.902409361461117"/>
    <n v="3480.27"/>
    <n v="4.5999999999999996"/>
    <n v="70"/>
    <m/>
    <n v="0"/>
    <s v="Trator 1.7m"/>
    <m/>
    <s v="Não"/>
    <s v="Não"/>
    <s v="Não"/>
    <s v="Não"/>
    <n v="2436.1889999999999"/>
    <n v="2436.1889999999999"/>
  </r>
  <r>
    <s v="VGSP-348_058,000_EN_CL5"/>
    <x v="0"/>
    <s v="58,000"/>
    <m/>
    <s v="58,500"/>
    <m/>
    <x v="0"/>
    <s v="N"/>
    <n v="-23.188922128792289"/>
    <n v="-46.931309132912851"/>
    <n v="215.28"/>
    <n v="3.49"/>
    <n v="70"/>
    <m/>
    <n v="0"/>
    <s v="Trator 1.7m"/>
    <m/>
    <s v="Não"/>
    <s v="Não"/>
    <s v="Não"/>
    <s v="Não"/>
    <n v="150.696"/>
    <n v="150.696"/>
  </r>
  <r>
    <s v="VGSP-348_058,000_EN_CL3"/>
    <x v="0"/>
    <s v="58,000"/>
    <m/>
    <s v="58,500"/>
    <m/>
    <x v="0"/>
    <s v="N"/>
    <n v="-23.189964218874039"/>
    <n v="-46.931183339510973"/>
    <n v="1226.48"/>
    <n v="3.18"/>
    <n v="70"/>
    <m/>
    <n v="0"/>
    <s v="Trator 1.7m"/>
    <m/>
    <s v="Não"/>
    <s v="Não"/>
    <s v="Não"/>
    <s v="Não"/>
    <n v="858.53599999999994"/>
    <n v="858.53599999999994"/>
  </r>
  <r>
    <s v="VGSP-348_058,000_ES_CL11"/>
    <x v="0"/>
    <s v="58,000"/>
    <m/>
    <s v="58,500"/>
    <m/>
    <x v="0"/>
    <s v="S"/>
    <n v="-23.189242608405191"/>
    <n v="-46.932148308054458"/>
    <n v="324.76"/>
    <n v="7"/>
    <n v="0"/>
    <m/>
    <n v="0"/>
    <m/>
    <m/>
    <s v="Não"/>
    <s v="Não"/>
    <s v="Não"/>
    <s v="Não"/>
    <n v="0"/>
    <n v="0"/>
  </r>
  <r>
    <s v="VGSP-348_058,000_EN_CL7"/>
    <x v="0"/>
    <s v="58,000"/>
    <m/>
    <s v="58,500"/>
    <m/>
    <x v="0"/>
    <s v="N"/>
    <n v="-23.18880837837353"/>
    <n v="-46.931241067017062"/>
    <n v="363.05"/>
    <n v="2.13"/>
    <n v="70"/>
    <m/>
    <n v="0"/>
    <s v="Trator 1.7m"/>
    <m/>
    <s v="Não"/>
    <s v="Não"/>
    <s v="Não"/>
    <s v="Não"/>
    <n v="254.13499999999999"/>
    <n v="254.13499999999999"/>
  </r>
  <r>
    <s v="VGSP-348_058,000_ES_CL2"/>
    <x v="0"/>
    <s v="58,000"/>
    <m/>
    <s v="58,500"/>
    <m/>
    <x v="0"/>
    <s v="S"/>
    <n v="-23.195060663353338"/>
    <n v="-46.930261318882408"/>
    <n v="2149.2800000000002"/>
    <n v="7.18"/>
    <n v="60"/>
    <m/>
    <n v="0"/>
    <s v="Trator 1.7m"/>
    <m/>
    <s v="Não"/>
    <s v="Não"/>
    <s v="Não"/>
    <s v="Não"/>
    <n v="1289.568"/>
    <n v="1289.568"/>
  </r>
  <r>
    <s v="VGSP-330_058,000_CC1"/>
    <x v="70"/>
    <s v="58,000"/>
    <m/>
    <s v="58,500"/>
    <m/>
    <x v="1"/>
    <s v="C"/>
    <n v="-23.19431769829605"/>
    <n v="-46.905111039838879"/>
    <n v="3266.19"/>
    <n v="8.08"/>
    <n v="60"/>
    <m/>
    <n v="0"/>
    <s v="Trator 1.7m"/>
    <m/>
    <s v="Não"/>
    <s v="Não"/>
    <s v="Não"/>
    <s v="Não"/>
    <n v="1959.7139999999999"/>
    <n v="1959.7139999999999"/>
  </r>
  <r>
    <s v="VGSP-348_058,000_EN_CL2"/>
    <x v="0"/>
    <s v="58,000"/>
    <m/>
    <s v="58,500"/>
    <m/>
    <x v="0"/>
    <s v="N"/>
    <n v="-23.191569881949381"/>
    <n v="-46.930604806373744"/>
    <n v="1261.02"/>
    <n v="5.95"/>
    <n v="70"/>
    <m/>
    <n v="0"/>
    <s v="Trator 1.7m"/>
    <m/>
    <s v="Não"/>
    <s v="Não"/>
    <s v="Não"/>
    <s v="Não"/>
    <n v="882.71399999999994"/>
    <n v="882.71399999999994"/>
  </r>
  <r>
    <s v="VGSP-330_058,000_CC2"/>
    <x v="70"/>
    <s v="58,000"/>
    <m/>
    <s v="58,500"/>
    <m/>
    <x v="1"/>
    <s v="C"/>
    <n v="-23.193198724183841"/>
    <n v="-46.90582757045793"/>
    <n v="2856.15"/>
    <n v="4.82"/>
    <n v="60"/>
    <m/>
    <n v="0"/>
    <s v="Trator 1.7m"/>
    <m/>
    <s v="Não"/>
    <s v="Não"/>
    <s v="Não"/>
    <s v="Não"/>
    <n v="1713.69"/>
    <n v="1713.69"/>
  </r>
  <r>
    <s v="VGSP-348_058,000_ES_CL1"/>
    <x v="0"/>
    <s v="58,000"/>
    <m/>
    <s v="58,500"/>
    <m/>
    <x v="0"/>
    <s v="S"/>
    <n v="-23.19111336336432"/>
    <n v="-46.932023418765283"/>
    <n v="2274.5300000000002"/>
    <n v="5.13"/>
    <n v="0"/>
    <m/>
    <n v="0"/>
    <m/>
    <m/>
    <s v="Não"/>
    <s v="Não"/>
    <s v="Não"/>
    <s v="Não"/>
    <n v="0"/>
    <n v="0"/>
  </r>
  <r>
    <s v="VGSP-330_058,000_EN_CL3"/>
    <x v="0"/>
    <s v="58,000"/>
    <m/>
    <s v="58,500"/>
    <m/>
    <x v="0"/>
    <s v="N"/>
    <n v="-23.1928835576613"/>
    <n v="-46.904782675108713"/>
    <n v="23.97"/>
    <n v="6.57"/>
    <n v="50"/>
    <m/>
    <n v="0"/>
    <s v="Trator 1.7m"/>
    <m/>
    <s v="Não"/>
    <s v="Não"/>
    <s v="Não"/>
    <s v="Não"/>
    <n v="11.984999999999999"/>
    <n v="11.984999999999999"/>
  </r>
  <r>
    <s v="VGSP-348_058,000_ES_CL5"/>
    <x v="0"/>
    <s v="58,000"/>
    <m/>
    <s v="58,500"/>
    <m/>
    <x v="0"/>
    <s v="S"/>
    <n v="-23.193358853344868"/>
    <n v="-46.930758301638157"/>
    <n v="338.45"/>
    <n v="2.65"/>
    <n v="0"/>
    <m/>
    <n v="0"/>
    <m/>
    <m/>
    <s v="Não"/>
    <s v="Não"/>
    <s v="Não"/>
    <s v="Não"/>
    <n v="0"/>
    <n v="0"/>
  </r>
  <r>
    <s v="VGSP-348_058,000_ES_CL10"/>
    <x v="0"/>
    <s v="58,000"/>
    <m/>
    <s v="58,500"/>
    <m/>
    <x v="0"/>
    <s v="S"/>
    <n v="-23.189965722666141"/>
    <n v="-46.932343885325579"/>
    <n v="601.6"/>
    <n v="6.14"/>
    <n v="0"/>
    <m/>
    <n v="0"/>
    <m/>
    <m/>
    <s v="Não"/>
    <s v="Não"/>
    <s v="Não"/>
    <s v="Não"/>
    <n v="0"/>
    <n v="0"/>
  </r>
  <r>
    <s v="VGSP-348_058,000_ES_CL6"/>
    <x v="0"/>
    <s v="58,000"/>
    <m/>
    <s v="58,500"/>
    <m/>
    <x v="0"/>
    <s v="S"/>
    <n v="-23.192163640661771"/>
    <n v="-46.931193464578683"/>
    <n v="133.02000000000001"/>
    <n v="1.9"/>
    <n v="0"/>
    <m/>
    <n v="0"/>
    <m/>
    <m/>
    <s v="Não"/>
    <s v="Não"/>
    <s v="Não"/>
    <s v="Não"/>
    <n v="0"/>
    <n v="0"/>
  </r>
  <r>
    <s v="VGSP-330_058,000_EN_CL6"/>
    <x v="0"/>
    <s v="58,000"/>
    <m/>
    <s v="58,500"/>
    <m/>
    <x v="0"/>
    <s v="N"/>
    <n v="-23.194285934177429"/>
    <n v="-46.904595499182037"/>
    <n v="3224.43"/>
    <n v="6.26"/>
    <n v="50"/>
    <m/>
    <n v="0"/>
    <s v="Trator 1.7m"/>
    <m/>
    <s v="Não"/>
    <s v="Não"/>
    <s v="Não"/>
    <s v="Não"/>
    <n v="1612.2149999999999"/>
    <n v="1612.2149999999999"/>
  </r>
  <r>
    <s v="VGSP-330_058,000_EN_CL2"/>
    <x v="0"/>
    <s v="58,000"/>
    <m/>
    <s v="58,500"/>
    <m/>
    <x v="0"/>
    <s v="N"/>
    <n v="-23.19513212686515"/>
    <n v="-46.904116148485102"/>
    <n v="2050.0100000000002"/>
    <n v="7.09"/>
    <n v="50"/>
    <m/>
    <n v="0"/>
    <s v="Trator 1.7m"/>
    <m/>
    <s v="Não"/>
    <s v="Não"/>
    <s v="Não"/>
    <s v="Não"/>
    <n v="1025.0050000000001"/>
    <n v="1025.0050000000001"/>
  </r>
  <r>
    <s v="VGSP-330_058,000_EN_CL5"/>
    <x v="0"/>
    <s v="58,000"/>
    <m/>
    <s v="58,500"/>
    <m/>
    <x v="0"/>
    <s v="N"/>
    <n v="-23.196680099308011"/>
    <n v="-46.903749598645042"/>
    <n v="1098.99"/>
    <n v="8.11"/>
    <n v="50"/>
    <m/>
    <n v="0"/>
    <s v="Trator 1.7m"/>
    <m/>
    <s v="Não"/>
    <s v="Não"/>
    <s v="Não"/>
    <s v="Não"/>
    <n v="549.495"/>
    <n v="549.495"/>
  </r>
  <r>
    <s v="VGSP-330_058,000_EN_CL4"/>
    <x v="0"/>
    <s v="58,000"/>
    <m/>
    <s v="58,500"/>
    <m/>
    <x v="0"/>
    <s v="N"/>
    <n v="-23.198976027335441"/>
    <n v="-46.902908110394229"/>
    <n v="2543.88"/>
    <n v="6.58"/>
    <n v="0"/>
    <m/>
    <n v="0"/>
    <m/>
    <m/>
    <s v="Não"/>
    <s v="Não"/>
    <s v="Não"/>
    <s v="Não"/>
    <n v="0"/>
    <n v="0"/>
  </r>
  <r>
    <s v="VGSP-348_058,000_ES_CL7"/>
    <x v="0"/>
    <s v="58,000"/>
    <m/>
    <s v="58,500"/>
    <m/>
    <x v="0"/>
    <s v="S"/>
    <n v="-23.191119618206692"/>
    <n v="-46.931830801109427"/>
    <n v="1174.1300000000001"/>
    <n v="4.66"/>
    <n v="0"/>
    <m/>
    <n v="0"/>
    <m/>
    <m/>
    <s v="Não"/>
    <s v="Não"/>
    <s v="Não"/>
    <s v="Não"/>
    <n v="0"/>
    <n v="0"/>
  </r>
  <r>
    <s v="VGSP-348_059,000_EN_CL2"/>
    <x v="0"/>
    <s v="59,000"/>
    <m/>
    <s v="59,500"/>
    <m/>
    <x v="0"/>
    <s v="N"/>
    <n v="-23.186764588920159"/>
    <n v="-46.932207754414307"/>
    <n v="3941.17"/>
    <n v="4.34"/>
    <n v="70"/>
    <m/>
    <n v="0"/>
    <s v="Trator 1.7m"/>
    <m/>
    <s v="Não"/>
    <s v="Não"/>
    <s v="Não"/>
    <s v="Não"/>
    <n v="2758.819"/>
    <n v="2758.819"/>
  </r>
  <r>
    <s v="VGSP-348_059,000_ES_CL5"/>
    <x v="0"/>
    <s v="59,000"/>
    <m/>
    <s v="59,500"/>
    <m/>
    <x v="0"/>
    <s v="S"/>
    <n v="-23.185189264236751"/>
    <n v="-46.933523961378832"/>
    <n v="649.08000000000004"/>
    <n v="4.28"/>
    <n v="0"/>
    <m/>
    <n v="0"/>
    <m/>
    <m/>
    <s v="Não"/>
    <s v="Não"/>
    <s v="Não"/>
    <s v="Não"/>
    <n v="0"/>
    <n v="0"/>
  </r>
  <r>
    <s v="VGSP-348_059,000_CC1"/>
    <x v="71"/>
    <s v="59,000"/>
    <m/>
    <s v="59,500"/>
    <n v="0.5"/>
    <x v="1"/>
    <s v="C"/>
    <n v="-23.18754580817129"/>
    <n v="-46.932372375495348"/>
    <n v="8365.77"/>
    <n v="6.1"/>
    <n v="60"/>
    <m/>
    <n v="0"/>
    <s v="Eixo-zero"/>
    <m/>
    <s v="Não"/>
    <s v="Não"/>
    <s v="Não"/>
    <s v="Não"/>
    <n v="5019.4620000000004"/>
    <n v="5019.4620000000004"/>
  </r>
  <r>
    <s v="VGSP-330_059,000_ES_CL9"/>
    <x v="0"/>
    <s v="59,000"/>
    <m/>
    <s v="59,500"/>
    <m/>
    <x v="0"/>
    <s v="S"/>
    <n v="-23.18863235220071"/>
    <n v="-46.907276942269817"/>
    <n v="79.48"/>
    <n v="3.76"/>
    <n v="60"/>
    <m/>
    <n v="0"/>
    <s v="Trator 1.7m"/>
    <m/>
    <s v="Não"/>
    <s v="Não"/>
    <s v="Não"/>
    <s v="Não"/>
    <n v="47.688000000000002"/>
    <n v="47.688000000000002"/>
  </r>
  <r>
    <s v="VGSP-330_059,000_ES_CL7"/>
    <x v="0"/>
    <s v="59,000"/>
    <m/>
    <s v="59,500"/>
    <m/>
    <x v="0"/>
    <s v="S"/>
    <n v="-23.188873390131729"/>
    <n v="-46.907164018836333"/>
    <n v="109.4"/>
    <n v="6.2"/>
    <n v="60"/>
    <m/>
    <n v="0"/>
    <s v="Trator 1.7m"/>
    <m/>
    <s v="Não"/>
    <s v="Não"/>
    <s v="Não"/>
    <s v="Não"/>
    <n v="65.64"/>
    <n v="65.64"/>
  </r>
  <r>
    <s v="VGSP-330_059,000_ES_CL4"/>
    <x v="0"/>
    <s v="59,000"/>
    <m/>
    <s v="59,500"/>
    <m/>
    <x v="0"/>
    <s v="S"/>
    <n v="-23.191480766453331"/>
    <n v="-46.90691612868941"/>
    <n v="916.81"/>
    <n v="2.02"/>
    <n v="60"/>
    <m/>
    <n v="0"/>
    <s v="Trator 1.7m"/>
    <m/>
    <s v="Não"/>
    <s v="Não"/>
    <s v="Não"/>
    <s v="Não"/>
    <n v="550.0859999999999"/>
    <n v="550.0859999999999"/>
  </r>
  <r>
    <s v="VGSP-330_059,000_EN_CL14"/>
    <x v="0"/>
    <s v="59,000"/>
    <m/>
    <s v="59,500"/>
    <m/>
    <x v="0"/>
    <s v="N"/>
    <n v="-23.184724747250709"/>
    <n v="-46.908203847060342"/>
    <n v="78.989999999999995"/>
    <n v="4.51"/>
    <n v="60"/>
    <m/>
    <n v="0"/>
    <s v="Trator 1.7m"/>
    <m/>
    <s v="Não"/>
    <s v="Não"/>
    <s v="Não"/>
    <s v="Não"/>
    <n v="47.393999999999998"/>
    <n v="47.393999999999998"/>
  </r>
  <r>
    <s v="VGSP-330_059,000_EN_CL15"/>
    <x v="0"/>
    <s v="59,000"/>
    <m/>
    <s v="59,500"/>
    <m/>
    <x v="0"/>
    <s v="N"/>
    <n v="-23.18670523492202"/>
    <n v="-46.907506079347137"/>
    <n v="3000.46"/>
    <n v="4.04"/>
    <n v="60"/>
    <m/>
    <n v="0"/>
    <s v="Trator 1.7m"/>
    <m/>
    <s v="Não"/>
    <s v="Não"/>
    <s v="Não"/>
    <s v="Não"/>
    <n v="1800.2760000000001"/>
    <n v="1800.2760000000001"/>
  </r>
  <r>
    <s v="VGSP-330_059,000_EN_CL8"/>
    <x v="0"/>
    <s v="59,000"/>
    <m/>
    <s v="59,500"/>
    <m/>
    <x v="0"/>
    <s v="N"/>
    <n v="-23.189370836330031"/>
    <n v="-46.906192536406373"/>
    <n v="846.68"/>
    <n v="2.31"/>
    <n v="50"/>
    <m/>
    <n v="0"/>
    <s v="Trator 1.7m"/>
    <m/>
    <s v="Não"/>
    <s v="Não"/>
    <s v="Não"/>
    <s v="Não"/>
    <n v="423.34"/>
    <n v="423.34"/>
  </r>
  <r>
    <s v="VGSP-330_059,000_EN_CL6"/>
    <x v="0"/>
    <s v="59,000"/>
    <m/>
    <s v="59,500"/>
    <m/>
    <x v="0"/>
    <s v="N"/>
    <n v="-23.1901724870843"/>
    <n v="-46.906127564918222"/>
    <n v="3118.04"/>
    <n v="2.34"/>
    <n v="50"/>
    <m/>
    <n v="0"/>
    <s v="Trator 1.7m"/>
    <m/>
    <s v="Não"/>
    <s v="Não"/>
    <s v="Não"/>
    <s v="Não"/>
    <n v="1559.02"/>
    <n v="1559.02"/>
  </r>
  <r>
    <s v="VGSP-330_059,000_ES_CL12"/>
    <x v="0"/>
    <s v="59,000"/>
    <m/>
    <s v="59,500"/>
    <m/>
    <x v="0"/>
    <s v="S"/>
    <n v="-23.185337740588501"/>
    <n v="-46.908828602597183"/>
    <n v="51.17"/>
    <n v="12.47"/>
    <n v="60"/>
    <m/>
    <n v="0"/>
    <s v="Trator 1.7m"/>
    <m/>
    <s v="Não"/>
    <s v="Não"/>
    <s v="Não"/>
    <s v="Não"/>
    <n v="30.701999999999998"/>
    <n v="30.701999999999998"/>
  </r>
  <r>
    <s v="VGSP-330_059,000_ES_CL8"/>
    <x v="0"/>
    <s v="59,000"/>
    <m/>
    <s v="59,500"/>
    <m/>
    <x v="0"/>
    <s v="S"/>
    <n v="-23.18867709325745"/>
    <n v="-46.90721086987282"/>
    <n v="0.09"/>
    <n v="4.5999999999999996"/>
    <m/>
    <m/>
    <n v="0"/>
    <m/>
    <m/>
    <s v="Não"/>
    <s v="Não"/>
    <s v="Não"/>
    <s v="Não"/>
    <n v="0"/>
    <n v="0"/>
  </r>
  <r>
    <s v="VGSP-348_059,000_ES_CL2"/>
    <x v="0"/>
    <s v="59,000"/>
    <m/>
    <s v="59,500"/>
    <m/>
    <x v="0"/>
    <s v="S"/>
    <n v="-23.188650466511969"/>
    <n v="-46.932354229643003"/>
    <n v="492.15"/>
    <n v="5.77"/>
    <n v="0"/>
    <m/>
    <n v="0"/>
    <m/>
    <m/>
    <s v="Não"/>
    <s v="Não"/>
    <s v="Não"/>
    <s v="Não"/>
    <n v="0"/>
    <n v="0"/>
  </r>
  <r>
    <s v="VGSP-330_059,000_CC3"/>
    <x v="72"/>
    <s v="59,000"/>
    <m/>
    <s v="59,500"/>
    <m/>
    <x v="1"/>
    <s v="C"/>
    <n v="-23.191196001645011"/>
    <n v="-46.906412060270647"/>
    <n v="12618.13"/>
    <n v="2.61"/>
    <n v="60"/>
    <m/>
    <n v="0"/>
    <s v="Trator 1.7m"/>
    <m/>
    <s v="Não"/>
    <s v="Não"/>
    <s v="Não"/>
    <s v="Não"/>
    <n v="7570.8779999999988"/>
    <n v="7570.8779999999988"/>
  </r>
  <r>
    <s v="VGSP-348_059,000_ES_CL4"/>
    <x v="0"/>
    <s v="59,000"/>
    <m/>
    <s v="59,500"/>
    <m/>
    <x v="0"/>
    <s v="S"/>
    <n v="-23.182432408127319"/>
    <n v="-46.934458419787603"/>
    <n v="1916.7"/>
    <n v="4.53"/>
    <n v="50"/>
    <m/>
    <n v="0"/>
    <s v="Trator 1.7m"/>
    <m/>
    <s v="Não"/>
    <s v="Não"/>
    <s v="Não"/>
    <s v="Não"/>
    <n v="958.35"/>
    <n v="958.35"/>
  </r>
  <r>
    <s v="VGSP-330_059,000_CC1"/>
    <x v="72"/>
    <s v="59,000"/>
    <m/>
    <s v="59,500"/>
    <m/>
    <x v="1"/>
    <s v="C"/>
    <n v="-23.192661088548029"/>
    <n v="-46.905909389007853"/>
    <n v="7771.2"/>
    <n v="4.58"/>
    <n v="60"/>
    <m/>
    <n v="0"/>
    <s v="Trator 1.7m"/>
    <m/>
    <s v="Não"/>
    <s v="Não"/>
    <s v="Não"/>
    <s v="Não"/>
    <n v="4662.7199999999993"/>
    <n v="4662.7199999999993"/>
  </r>
  <r>
    <s v="VGSP-330_059,000_EN_CL7"/>
    <x v="0"/>
    <s v="59,000"/>
    <m/>
    <s v="59,500"/>
    <m/>
    <x v="0"/>
    <s v="N"/>
    <n v="-23.188421520446681"/>
    <n v="-46.90654025299964"/>
    <n v="42.82"/>
    <n v="1.31"/>
    <n v="50"/>
    <m/>
    <n v="0"/>
    <s v="Trator 1.7m"/>
    <m/>
    <s v="Não"/>
    <s v="Não"/>
    <s v="Não"/>
    <s v="Não"/>
    <n v="21.41"/>
    <n v="21.41"/>
  </r>
  <r>
    <s v="VGSP-330_059,000_CC2"/>
    <x v="72"/>
    <s v="59,000"/>
    <m/>
    <s v="59,500"/>
    <m/>
    <x v="1"/>
    <s v="C"/>
    <n v="-23.19209727625708"/>
    <n v="-46.906167770040661"/>
    <n v="277.07"/>
    <n v="4.58"/>
    <n v="60"/>
    <m/>
    <n v="0"/>
    <s v="Trator 1.7m"/>
    <m/>
    <s v="Não"/>
    <s v="Não"/>
    <s v="Não"/>
    <s v="Não"/>
    <n v="166.24199999999999"/>
    <n v="166.24199999999999"/>
  </r>
  <r>
    <s v="VGSP-348_059,000_EN_CL3"/>
    <x v="0"/>
    <s v="59,000"/>
    <m/>
    <s v="59,500"/>
    <m/>
    <x v="0"/>
    <s v="N"/>
    <n v="-23.182223935517531"/>
    <n v="-46.933861195649293"/>
    <n v="1850.89"/>
    <n v="6.99"/>
    <n v="50"/>
    <m/>
    <n v="0"/>
    <s v="Trator 1.7m"/>
    <m/>
    <s v="Não"/>
    <s v="Não"/>
    <s v="Não"/>
    <s v="Não"/>
    <n v="925.44500000000005"/>
    <n v="925.44500000000005"/>
  </r>
  <r>
    <s v="VGSP-348_059,000_EN_CL1"/>
    <x v="0"/>
    <s v="59,000"/>
    <m/>
    <s v="59,500"/>
    <m/>
    <x v="0"/>
    <s v="N"/>
    <n v="-23.18731514712529"/>
    <n v="-46.931910074290847"/>
    <n v="1187.47"/>
    <n v="3.74"/>
    <n v="70"/>
    <m/>
    <n v="0"/>
    <s v="Trator 1.7m"/>
    <m/>
    <s v="Não"/>
    <s v="Não"/>
    <s v="Não"/>
    <s v="Não"/>
    <n v="831.22899999999993"/>
    <n v="831.22899999999993"/>
  </r>
  <r>
    <s v="VGSP-330_059,000_ES_CL10"/>
    <x v="0"/>
    <s v="59,000"/>
    <m/>
    <s v="59,500"/>
    <m/>
    <x v="0"/>
    <s v="S"/>
    <n v="-23.18690789868235"/>
    <n v="-46.907909946142382"/>
    <n v="1584.61"/>
    <n v="4.3600000000000003"/>
    <n v="60"/>
    <m/>
    <n v="0"/>
    <s v="Trator 1.7m"/>
    <m/>
    <s v="Não"/>
    <s v="Não"/>
    <s v="Não"/>
    <s v="Não"/>
    <n v="950.76599999999985"/>
    <n v="950.76599999999985"/>
  </r>
  <r>
    <s v="VGSP-330_059,000_ES_CL11"/>
    <x v="0"/>
    <s v="59,000"/>
    <m/>
    <s v="59,500"/>
    <m/>
    <x v="0"/>
    <s v="S"/>
    <n v="-23.186838984972351"/>
    <n v="-46.907784517636948"/>
    <n v="4031.4"/>
    <n v="4.21"/>
    <n v="60"/>
    <m/>
    <n v="0"/>
    <s v="Trator 1.7m"/>
    <m/>
    <s v="Não"/>
    <s v="Não"/>
    <s v="Não"/>
    <s v="Não"/>
    <n v="2418.84"/>
    <n v="2418.84"/>
  </r>
  <r>
    <s v="VGSP-330_059,000_ES_CL6"/>
    <x v="0"/>
    <s v="59,000"/>
    <m/>
    <s v="59,500"/>
    <m/>
    <x v="0"/>
    <s v="S"/>
    <n v="-23.189531564805691"/>
    <n v="-46.906917593790602"/>
    <n v="564.04"/>
    <n v="2.5299999999999998"/>
    <n v="60"/>
    <m/>
    <n v="0"/>
    <s v="Trator 1.7m"/>
    <m/>
    <s v="Não"/>
    <s v="Não"/>
    <s v="Não"/>
    <s v="Não"/>
    <n v="338.42399999999998"/>
    <n v="338.42399999999998"/>
  </r>
  <r>
    <s v="VGSP-330_059,000_ES_CL5"/>
    <x v="0"/>
    <s v="59,000"/>
    <m/>
    <s v="59,500"/>
    <m/>
    <x v="0"/>
    <s v="S"/>
    <n v="-23.189963221259621"/>
    <n v="-46.906735999795302"/>
    <n v="3335.54"/>
    <n v="2.46"/>
    <n v="60"/>
    <m/>
    <n v="0"/>
    <s v="Trator 1.7m"/>
    <m/>
    <s v="Não"/>
    <s v="Não"/>
    <s v="Não"/>
    <s v="Não"/>
    <n v="2001.3239999999998"/>
    <n v="2001.3239999999998"/>
  </r>
  <r>
    <s v="VGSP-330_059,000_ES_CL2"/>
    <x v="0"/>
    <s v="59,000"/>
    <m/>
    <s v="59,500"/>
    <m/>
    <x v="0"/>
    <s v="S"/>
    <n v="-23.19319736700184"/>
    <n v="-46.906483329047937"/>
    <n v="38.68"/>
    <n v="2.97"/>
    <n v="60"/>
    <m/>
    <n v="0"/>
    <s v="Trator 1.7m"/>
    <m/>
    <s v="Não"/>
    <s v="Não"/>
    <s v="Não"/>
    <s v="Não"/>
    <n v="23.207999999999998"/>
    <n v="23.207999999999998"/>
  </r>
  <r>
    <s v="VGSP-330_059,000_ES_CL3"/>
    <x v="0"/>
    <s v="59,000"/>
    <m/>
    <s v="59,500"/>
    <m/>
    <x v="0"/>
    <s v="S"/>
    <n v="-23.192252187776081"/>
    <n v="-46.906849488342047"/>
    <n v="4151.7"/>
    <n v="3.3"/>
    <n v="60"/>
    <m/>
    <n v="0"/>
    <s v="Trator 1.7m"/>
    <m/>
    <s v="Não"/>
    <s v="Não"/>
    <s v="Não"/>
    <s v="Não"/>
    <n v="2491.02"/>
    <n v="2491.02"/>
  </r>
  <r>
    <s v="VGSP-348_059,000_EN_CL4"/>
    <x v="0"/>
    <s v="59,000"/>
    <m/>
    <s v="59,500"/>
    <m/>
    <x v="0"/>
    <s v="N"/>
    <n v="-23.185002139097989"/>
    <n v="-46.932920780686352"/>
    <n v="728.45"/>
    <n v="9.0500000000000007"/>
    <n v="70"/>
    <m/>
    <n v="0"/>
    <s v="Trator 1.7m"/>
    <m/>
    <s v="Não"/>
    <s v="Não"/>
    <s v="Não"/>
    <s v="Não"/>
    <n v="509.91500000000002"/>
    <n v="509.91500000000002"/>
  </r>
  <r>
    <s v="VGSP-330_059,000_EN_CL13"/>
    <x v="0"/>
    <s v="59,000"/>
    <m/>
    <s v="59,500"/>
    <m/>
    <x v="0"/>
    <s v="N"/>
    <n v="-23.1850219797279"/>
    <n v="-46.908066056115253"/>
    <n v="216.35"/>
    <n v="4.72"/>
    <n v="60"/>
    <m/>
    <n v="0"/>
    <s v="Trator 1.7m"/>
    <m/>
    <s v="Não"/>
    <s v="Não"/>
    <s v="Não"/>
    <s v="Não"/>
    <n v="129.81"/>
    <n v="129.81"/>
  </r>
  <r>
    <s v="VGSP-330_059,000_EN_CL12"/>
    <x v="0"/>
    <s v="59,000"/>
    <m/>
    <s v="59,500"/>
    <m/>
    <x v="0"/>
    <s v="N"/>
    <n v="-23.185856107319061"/>
    <n v="-46.907586897722993"/>
    <n v="125.66"/>
    <n v="5.6"/>
    <n v="60"/>
    <m/>
    <n v="0"/>
    <s v="Trator 1.7m"/>
    <m/>
    <s v="Não"/>
    <s v="Não"/>
    <s v="Não"/>
    <s v="Não"/>
    <n v="75.396000000000001"/>
    <n v="75.396000000000001"/>
  </r>
  <r>
    <s v="VGSP-330_059,000_EN_CL11"/>
    <x v="0"/>
    <s v="59,000"/>
    <m/>
    <s v="59,500"/>
    <m/>
    <x v="0"/>
    <s v="N"/>
    <n v="-23.186278824227031"/>
    <n v="-46.907374844917932"/>
    <n v="210.39"/>
    <n v="5.14"/>
    <n v="60"/>
    <m/>
    <n v="0"/>
    <s v="Trator 1.7m"/>
    <m/>
    <s v="Não"/>
    <s v="Não"/>
    <s v="Não"/>
    <s v="Não"/>
    <n v="126.23399999999998"/>
    <n v="126.23399999999998"/>
  </r>
  <r>
    <s v="VGSP-330_059,000_EN_CL10"/>
    <x v="0"/>
    <s v="59,000"/>
    <m/>
    <s v="59,500"/>
    <m/>
    <x v="0"/>
    <s v="N"/>
    <n v="-23.1869473839945"/>
    <n v="-46.907072351776762"/>
    <n v="418.9"/>
    <n v="3.56"/>
    <n v="60"/>
    <m/>
    <n v="0"/>
    <s v="Trator 1.7m"/>
    <m/>
    <s v="Não"/>
    <s v="Não"/>
    <s v="Não"/>
    <s v="Não"/>
    <n v="251.33999999999997"/>
    <n v="251.33999999999997"/>
  </r>
  <r>
    <s v="VGSP-330_059,000_EN_CL9"/>
    <x v="0"/>
    <s v="59,000"/>
    <m/>
    <s v="59,500"/>
    <m/>
    <x v="0"/>
    <s v="N"/>
    <n v="-23.187843903085611"/>
    <n v="-46.906721968483453"/>
    <n v="561.63"/>
    <n v="1.48"/>
    <n v="60"/>
    <m/>
    <n v="0"/>
    <s v="Trator 1.7m"/>
    <m/>
    <s v="Não"/>
    <s v="Não"/>
    <s v="Não"/>
    <s v="Não"/>
    <n v="336.97800000000001"/>
    <n v="336.97800000000001"/>
  </r>
  <r>
    <s v="VGSP-330_059,000_EN_CL4"/>
    <x v="0"/>
    <s v="59,000"/>
    <m/>
    <s v="59,500"/>
    <m/>
    <x v="0"/>
    <s v="N"/>
    <n v="-23.190620030743631"/>
    <n v="-46.905725166107921"/>
    <n v="1935.44"/>
    <n v="1.99"/>
    <n v="50"/>
    <m/>
    <n v="0"/>
    <s v="Trator 1.7m"/>
    <m/>
    <s v="Não"/>
    <s v="Não"/>
    <s v="Não"/>
    <s v="Não"/>
    <n v="967.72"/>
    <n v="967.72"/>
  </r>
  <r>
    <s v="VGSP-330_059,000_EN_CL3"/>
    <x v="0"/>
    <s v="59,000"/>
    <m/>
    <s v="59,500"/>
    <m/>
    <x v="0"/>
    <s v="N"/>
    <n v="-23.191401591305251"/>
    <n v="-46.905397629506083"/>
    <n v="1390.71"/>
    <n v="2.41"/>
    <n v="50"/>
    <m/>
    <n v="0"/>
    <s v="Trator 1.7m"/>
    <m/>
    <s v="Não"/>
    <s v="Não"/>
    <s v="Não"/>
    <s v="Não"/>
    <n v="695.35500000000002"/>
    <n v="695.35500000000002"/>
  </r>
  <r>
    <s v="VGSP-330_059,000_EN_CL1"/>
    <x v="0"/>
    <s v="59,000"/>
    <m/>
    <s v="59,500"/>
    <m/>
    <x v="0"/>
    <s v="N"/>
    <n v="-23.192495532559889"/>
    <n v="-46.905273926962643"/>
    <n v="855.85"/>
    <n v="4.7699999999999996"/>
    <n v="50"/>
    <m/>
    <n v="0"/>
    <s v="Trator 1.7m"/>
    <m/>
    <s v="Não"/>
    <s v="Não"/>
    <s v="Não"/>
    <s v="Não"/>
    <n v="427.92500000000001"/>
    <n v="427.92500000000001"/>
  </r>
  <r>
    <s v="VGSP-330_059,000_EN_CL2"/>
    <x v="0"/>
    <s v="59,000"/>
    <m/>
    <s v="59,500"/>
    <m/>
    <x v="0"/>
    <s v="N"/>
    <n v="-23.192460968933961"/>
    <n v="-46.905050420276417"/>
    <n v="577.87"/>
    <n v="4.82"/>
    <n v="50"/>
    <m/>
    <n v="0"/>
    <s v="Trator 1.7m"/>
    <m/>
    <s v="Não"/>
    <s v="Não"/>
    <s v="Não"/>
    <s v="Não"/>
    <n v="288.935"/>
    <n v="288.935"/>
  </r>
  <r>
    <s v="VGSP-330_059,000_EN_CL5"/>
    <x v="0"/>
    <s v="59,000"/>
    <m/>
    <s v="59,500"/>
    <m/>
    <x v="0"/>
    <s v="N"/>
    <n v="-23.188518427952928"/>
    <n v="-46.906697281206597"/>
    <n v="0.4"/>
    <n v="2.2000000000000002"/>
    <m/>
    <m/>
    <n v="0"/>
    <m/>
    <m/>
    <s v="Não"/>
    <s v="Não"/>
    <s v="Não"/>
    <s v="Não"/>
    <n v="0"/>
    <n v="0"/>
  </r>
  <r>
    <s v="VGSP-348_059,000_ES_CL1"/>
    <x v="0"/>
    <s v="59,000"/>
    <m/>
    <s v="59,500"/>
    <m/>
    <x v="0"/>
    <s v="S"/>
    <n v="-23.187654060791239"/>
    <n v="-46.932935901655974"/>
    <n v="1290.02"/>
    <n v="7.13"/>
    <n v="0"/>
    <m/>
    <n v="0"/>
    <m/>
    <m/>
    <s v="Não"/>
    <s v="Não"/>
    <s v="Não"/>
    <s v="Não"/>
    <n v="0"/>
    <n v="0"/>
  </r>
  <r>
    <s v="VGSP-348_059,000_CC2"/>
    <x v="71"/>
    <s v="59,000"/>
    <m/>
    <s v="59,500"/>
    <n v="0.5"/>
    <x v="1"/>
    <s v="C"/>
    <n v="-23.182327945451291"/>
    <n v="-46.934139871207591"/>
    <n v="11838.09"/>
    <n v="5.32"/>
    <n v="60"/>
    <m/>
    <n v="0"/>
    <s v="Eixo-zero"/>
    <m/>
    <s v="Não"/>
    <s v="Não"/>
    <s v="Não"/>
    <s v="Não"/>
    <n v="7102.8540000000003"/>
    <n v="7102.8540000000003"/>
  </r>
  <r>
    <s v="VGSP-330_059,000_ES_CL1"/>
    <x v="0"/>
    <s v="59,000"/>
    <m/>
    <s v="59,500"/>
    <m/>
    <x v="0"/>
    <s v="S"/>
    <n v="-23.19294746797058"/>
    <n v="-46.90660225680719"/>
    <n v="517.14"/>
    <n v="2.9"/>
    <n v="60"/>
    <m/>
    <n v="0"/>
    <s v="Trator 1.7m"/>
    <m/>
    <s v="Não"/>
    <s v="Não"/>
    <s v="Não"/>
    <s v="Não"/>
    <n v="310.28399999999999"/>
    <n v="310.28399999999999"/>
  </r>
  <r>
    <s v="VGSP-348_059,000_CC3"/>
    <x v="71"/>
    <s v="59,000"/>
    <m/>
    <s v="59,500"/>
    <n v="0.5"/>
    <x v="1"/>
    <s v="C"/>
    <n v="-23.185108253927201"/>
    <n v="-46.933195028759272"/>
    <n v="4447.9399999999996"/>
    <n v="7.21"/>
    <n v="60"/>
    <m/>
    <n v="0"/>
    <s v="Eixo-zero"/>
    <m/>
    <s v="Não"/>
    <s v="Não"/>
    <s v="Não"/>
    <s v="Não"/>
    <n v="2668.7639999999997"/>
    <n v="2668.7639999999997"/>
  </r>
  <r>
    <s v="VGSP-348_059,000_ES_CL3"/>
    <x v="0"/>
    <s v="59,000"/>
    <m/>
    <s v="59,500"/>
    <m/>
    <x v="0"/>
    <s v="S"/>
    <n v="-23.187231108853549"/>
    <n v="-46.932919672126957"/>
    <n v="3252.09"/>
    <n v="7.9"/>
    <n v="0"/>
    <m/>
    <n v="0"/>
    <m/>
    <m/>
    <s v="Não"/>
    <s v="Não"/>
    <s v="Não"/>
    <s v="Não"/>
    <n v="0"/>
    <n v="0"/>
  </r>
  <r>
    <s v="VGSP-330_060,000_EN_CL3"/>
    <x v="0"/>
    <s v="60,000"/>
    <m/>
    <s v="60,500"/>
    <m/>
    <x v="0"/>
    <s v="N"/>
    <n v="-23.18431115701134"/>
    <n v="-46.908492517986211"/>
    <n v="206.9"/>
    <n v="5.75"/>
    <n v="60"/>
    <m/>
    <n v="0"/>
    <s v="Trator 1.7m"/>
    <m/>
    <s v="Não"/>
    <s v="Não"/>
    <s v="Não"/>
    <s v="Não"/>
    <n v="124.14"/>
    <n v="124.14"/>
  </r>
  <r>
    <s v="VGSP-330_060,000_ES_CL3"/>
    <x v="0"/>
    <s v="60,000"/>
    <m/>
    <s v="60,500"/>
    <m/>
    <x v="0"/>
    <s v="S"/>
    <n v="-23.18332259196297"/>
    <n v="-46.910170346384163"/>
    <n v="2090.21"/>
    <n v="9.09"/>
    <n v="60"/>
    <m/>
    <n v="0"/>
    <s v="Trator 1.7m"/>
    <m/>
    <s v="Não"/>
    <s v="Não"/>
    <s v="Não"/>
    <s v="Não"/>
    <n v="1254.126"/>
    <n v="1254.126"/>
  </r>
  <r>
    <s v="VGSP-348_060,000_EN_CL3"/>
    <x v="0"/>
    <s v="60,000"/>
    <m/>
    <s v="60,500"/>
    <m/>
    <x v="0"/>
    <s v="N"/>
    <n v="-23.176502094132729"/>
    <n v="-46.93584901781049"/>
    <n v="1044.9100000000001"/>
    <n v="10.19"/>
    <n v="70"/>
    <m/>
    <n v="0"/>
    <s v="Trator 1.7m"/>
    <m/>
    <s v="Não"/>
    <s v="Não"/>
    <s v="Não"/>
    <s v="Não"/>
    <n v="731.43700000000001"/>
    <n v="731.43700000000001"/>
  </r>
  <r>
    <s v="VGSP-348_060,000_CC3"/>
    <x v="73"/>
    <s v="60,000"/>
    <m/>
    <s v="60,500"/>
    <n v="0.5"/>
    <x v="1"/>
    <s v="C"/>
    <n v="-23.17387356359767"/>
    <n v="-46.936311719263678"/>
    <n v="18156.95"/>
    <n v="8.36"/>
    <n v="70"/>
    <m/>
    <n v="0"/>
    <s v="Trator 1.7m"/>
    <m/>
    <s v="Não"/>
    <s v="Não"/>
    <s v="Não"/>
    <s v="Não"/>
    <n v="12709.865"/>
    <n v="12709.865"/>
  </r>
  <r>
    <s v="VGSP-330_060,000_ES_CL2"/>
    <x v="0"/>
    <s v="60,000"/>
    <m/>
    <s v="60,500"/>
    <m/>
    <x v="0"/>
    <s v="S"/>
    <n v="-23.18096580612681"/>
    <n v="-46.911940185875338"/>
    <n v="1579.68"/>
    <n v="3.1"/>
    <n v="60"/>
    <m/>
    <n v="0"/>
    <s v="Trator 1.7m"/>
    <m/>
    <s v="Não"/>
    <s v="Não"/>
    <s v="Não"/>
    <s v="Não"/>
    <n v="947.80799999999999"/>
    <n v="947.80799999999999"/>
  </r>
  <r>
    <s v="VGSP-348_060,000_CC4"/>
    <x v="73"/>
    <s v="60,000"/>
    <m/>
    <s v="60,500"/>
    <n v="0.5"/>
    <x v="1"/>
    <s v="C"/>
    <n v="-23.173070263876671"/>
    <n v="-46.937004736762987"/>
    <n v="13691.75"/>
    <n v="5.87"/>
    <n v="70"/>
    <m/>
    <n v="0"/>
    <s v="Trator 1.7m"/>
    <m/>
    <s v="Não"/>
    <s v="Não"/>
    <s v="Não"/>
    <s v="Não"/>
    <n v="9584.2249999999985"/>
    <n v="9584.2249999999985"/>
  </r>
  <r>
    <s v="VGSP-348_060,000_EN_CL5"/>
    <x v="0"/>
    <s v="60,000"/>
    <m/>
    <s v="60,500"/>
    <m/>
    <x v="0"/>
    <s v="N"/>
    <n v="-23.172049613604081"/>
    <n v="-46.936189331105417"/>
    <n v="14443.87"/>
    <n v="2.82"/>
    <n v="70"/>
    <m/>
    <n v="0"/>
    <s v="Trator 1.7m"/>
    <m/>
    <s v="Não"/>
    <s v="Não"/>
    <s v="Não"/>
    <s v="Não"/>
    <n v="10110.709000000001"/>
    <n v="10110.709000000001"/>
  </r>
  <r>
    <s v="VGSP-330_060,000_ES_CL4"/>
    <x v="0"/>
    <s v="60,000"/>
    <m/>
    <s v="60,500"/>
    <m/>
    <x v="0"/>
    <s v="S"/>
    <n v="-23.181292021533501"/>
    <n v="-46.911950768321887"/>
    <n v="322.81"/>
    <n v="1.28"/>
    <n v="60"/>
    <m/>
    <n v="0"/>
    <s v="Trator 1.7m"/>
    <m/>
    <s v="Não"/>
    <s v="Não"/>
    <s v="Não"/>
    <s v="Não"/>
    <n v="193.68600000000001"/>
    <n v="193.68600000000001"/>
  </r>
  <r>
    <s v="VGSP-330_060,000_ES_CL5"/>
    <x v="0"/>
    <s v="60,000"/>
    <m/>
    <s v="60,500"/>
    <m/>
    <x v="0"/>
    <s v="S"/>
    <n v="-23.181429730205689"/>
    <n v="-46.911819139996773"/>
    <n v="158.06"/>
    <n v="2.21"/>
    <n v="60"/>
    <m/>
    <n v="0"/>
    <s v="Trator 1.7m"/>
    <m/>
    <s v="Não"/>
    <s v="Não"/>
    <s v="Não"/>
    <s v="Não"/>
    <n v="94.835999999999999"/>
    <n v="94.835999999999999"/>
  </r>
  <r>
    <s v="VGSP-330_060,000_ES_CL7"/>
    <x v="0"/>
    <s v="60,000"/>
    <m/>
    <s v="60,500"/>
    <m/>
    <x v="0"/>
    <s v="S"/>
    <n v="-23.179692231871091"/>
    <n v="-46.913630987178117"/>
    <n v="1808.46"/>
    <n v="8.48"/>
    <n v="60"/>
    <m/>
    <n v="0"/>
    <s v="Trator 1.7m"/>
    <m/>
    <s v="Não"/>
    <s v="Não"/>
    <s v="Não"/>
    <s v="Não"/>
    <n v="1085.076"/>
    <n v="1085.076"/>
  </r>
  <r>
    <s v="VGSP-348_060,000_EN_CL6"/>
    <x v="0"/>
    <s v="60,000"/>
    <m/>
    <s v="60,500"/>
    <m/>
    <x v="0"/>
    <s v="N"/>
    <n v="-23.171899972921288"/>
    <n v="-46.936144874857042"/>
    <n v="13404.66"/>
    <n v="4.71"/>
    <n v="70"/>
    <m/>
    <n v="0"/>
    <s v="Trator 1.7m"/>
    <m/>
    <s v="Não"/>
    <s v="Não"/>
    <s v="Não"/>
    <s v="Não"/>
    <n v="9383.2619999999988"/>
    <n v="9383.2619999999988"/>
  </r>
  <r>
    <s v="VGSP-330_060,000_EN_CL2"/>
    <x v="0"/>
    <s v="60,000"/>
    <m/>
    <s v="60,500"/>
    <m/>
    <x v="0"/>
    <s v="N"/>
    <n v="-23.18065122721616"/>
    <n v="-46.91168956959141"/>
    <n v="1146.67"/>
    <n v="3.93"/>
    <n v="70"/>
    <m/>
    <n v="0"/>
    <s v="Trator 1.7m"/>
    <m/>
    <s v="Não"/>
    <s v="Não"/>
    <s v="Não"/>
    <s v="Não"/>
    <n v="802.66899999999998"/>
    <n v="802.66899999999998"/>
  </r>
  <r>
    <s v="VGSP-348_060,000_EN_CL2"/>
    <x v="0"/>
    <s v="60,000"/>
    <m/>
    <s v="60,500"/>
    <m/>
    <x v="0"/>
    <s v="N"/>
    <n v="-23.17812823957507"/>
    <n v="-46.935208868044057"/>
    <n v="1943.18"/>
    <n v="8.6"/>
    <n v="60"/>
    <m/>
    <n v="0"/>
    <s v="Trator 1.7m"/>
    <m/>
    <s v="Não"/>
    <s v="Não"/>
    <s v="Não"/>
    <s v="Não"/>
    <n v="1165.9079999999999"/>
    <n v="1165.9079999999999"/>
  </r>
  <r>
    <s v="VGSP-330_060,000_EN_CL1"/>
    <x v="0"/>
    <s v="60,000"/>
    <m/>
    <s v="60,500"/>
    <m/>
    <x v="0"/>
    <s v="N"/>
    <n v="-23.182644256017301"/>
    <n v="-46.910006808113927"/>
    <n v="5474.55"/>
    <n v="5.38"/>
    <n v="60"/>
    <m/>
    <n v="0"/>
    <s v="Trator 1.7m"/>
    <m/>
    <s v="Não"/>
    <s v="Não"/>
    <s v="Não"/>
    <s v="Não"/>
    <n v="3284.73"/>
    <n v="3284.73"/>
  </r>
  <r>
    <s v="VGSP-330_060,000_ES_CL6"/>
    <x v="0"/>
    <s v="60,000"/>
    <m/>
    <s v="60,500"/>
    <m/>
    <x v="0"/>
    <s v="S"/>
    <n v="-23.17932340905223"/>
    <n v="-46.913786206360562"/>
    <n v="6736.26"/>
    <n v="7.61"/>
    <n v="60"/>
    <m/>
    <n v="0"/>
    <s v="Trator 1.7m"/>
    <m/>
    <s v="Não"/>
    <s v="Não"/>
    <s v="Não"/>
    <s v="Não"/>
    <n v="4041.7559999999999"/>
    <n v="4041.7559999999999"/>
  </r>
  <r>
    <s v="VGSP-348_060,000_ES_CL2"/>
    <x v="0"/>
    <s v="60,000"/>
    <m/>
    <s v="60,500"/>
    <m/>
    <x v="0"/>
    <s v="S"/>
    <n v="-23.178194773886901"/>
    <n v="-46.93592667547474"/>
    <n v="2026.84"/>
    <n v="5.36"/>
    <n v="50"/>
    <m/>
    <n v="0"/>
    <s v="Trator 1.7m"/>
    <m/>
    <s v="Não"/>
    <s v="Não"/>
    <s v="Não"/>
    <s v="Não"/>
    <n v="1013.42"/>
    <n v="1013.42"/>
  </r>
  <r>
    <s v="VGSP-348_060,000_ES_CL1"/>
    <x v="0"/>
    <s v="60,000"/>
    <m/>
    <s v="60,500"/>
    <m/>
    <x v="0"/>
    <s v="S"/>
    <n v="-23.174326024267849"/>
    <n v="-46.937985159003681"/>
    <n v="1836.55"/>
    <n v="7.4"/>
    <n v="30"/>
    <m/>
    <n v="0"/>
    <s v="Trator 1.7m"/>
    <m/>
    <s v="Não"/>
    <s v="Não"/>
    <s v="Não"/>
    <s v="Não"/>
    <n v="550.96499999999992"/>
    <n v="550.96499999999992"/>
  </r>
  <r>
    <s v="VGSP-348_060,000_ES_CL3"/>
    <x v="0"/>
    <s v="60,000"/>
    <m/>
    <s v="60,500"/>
    <m/>
    <x v="0"/>
    <s v="S"/>
    <n v="-23.17325814657044"/>
    <n v="-46.938503113294807"/>
    <n v="11534.21"/>
    <n v="7.26"/>
    <n v="30"/>
    <m/>
    <n v="0"/>
    <s v="Trator 1.7m"/>
    <m/>
    <s v="Não"/>
    <s v="Não"/>
    <s v="Não"/>
    <s v="Não"/>
    <n v="3460.2629999999995"/>
    <n v="3460.2629999999995"/>
  </r>
  <r>
    <s v="VGSP-330_060,000_EN_CL4"/>
    <x v="0"/>
    <s v="60,000"/>
    <m/>
    <s v="60,500"/>
    <m/>
    <x v="0"/>
    <s v="N"/>
    <n v="-23.182332898706569"/>
    <n v="-46.909950236995321"/>
    <n v="1658.53"/>
    <n v="5.68"/>
    <n v="60"/>
    <m/>
    <n v="0"/>
    <s v="Trator 1.7m"/>
    <m/>
    <s v="Não"/>
    <s v="Não"/>
    <s v="Não"/>
    <s v="Não"/>
    <n v="995.11799999999994"/>
    <n v="995.11799999999994"/>
  </r>
  <r>
    <s v="VGSP-348_060,000_EN_CL4"/>
    <x v="0"/>
    <s v="60,000"/>
    <m/>
    <s v="60,500"/>
    <m/>
    <x v="0"/>
    <s v="N"/>
    <n v="-23.172997572992578"/>
    <n v="-46.934973031138632"/>
    <n v="2249.06"/>
    <n v="9.42"/>
    <n v="70"/>
    <m/>
    <n v="0"/>
    <s v="Trator 1.7m"/>
    <m/>
    <s v="Não"/>
    <s v="Não"/>
    <s v="Não"/>
    <s v="Não"/>
    <n v="1574.3419999999999"/>
    <n v="1574.3419999999999"/>
  </r>
  <r>
    <s v="VGSP-348_060,000_CC1"/>
    <x v="73"/>
    <s v="60,000"/>
    <m/>
    <s v="60,500"/>
    <n v="0.5"/>
    <x v="1"/>
    <s v="C"/>
    <n v="-23.178144232239589"/>
    <n v="-46.935578659478608"/>
    <n v="12816.99"/>
    <n v="6.36"/>
    <n v="80"/>
    <m/>
    <n v="0"/>
    <s v="Eixo-zero"/>
    <m/>
    <s v="Não"/>
    <s v="Não"/>
    <s v="Não"/>
    <s v="Não"/>
    <n v="10253.592000000001"/>
    <n v="10253.592000000001"/>
  </r>
  <r>
    <s v="VGSP-348_060,000_CC2"/>
    <x v="73"/>
    <s v="60,000"/>
    <m/>
    <s v="60,500"/>
    <n v="0.5"/>
    <x v="1"/>
    <s v="C"/>
    <n v="-23.174155014345232"/>
    <n v="-46.937340954017309"/>
    <n v="12569.45"/>
    <n v="6.51"/>
    <n v="90"/>
    <m/>
    <n v="0"/>
    <s v="Eixo-zero"/>
    <m/>
    <s v="Não"/>
    <s v="Não"/>
    <s v="Não"/>
    <s v="Não"/>
    <n v="11312.505000000001"/>
    <n v="11312.505000000001"/>
  </r>
  <r>
    <s v="VGSP-330_060,000_EN_CL5"/>
    <x v="0"/>
    <s v="60,000"/>
    <m/>
    <s v="60,500"/>
    <m/>
    <x v="0"/>
    <s v="N"/>
    <n v="-23.180693091268839"/>
    <n v="-46.911317768683929"/>
    <n v="176.43"/>
    <n v="3.58"/>
    <n v="70"/>
    <m/>
    <n v="0"/>
    <s v="Trator 1.7m"/>
    <m/>
    <s v="Não"/>
    <s v="Não"/>
    <s v="Não"/>
    <s v="Não"/>
    <n v="123.50099999999999"/>
    <n v="123.50099999999999"/>
  </r>
  <r>
    <s v="VGSP-348_060,000_EN_CL7"/>
    <x v="0"/>
    <s v="60,000"/>
    <m/>
    <s v="60,500"/>
    <m/>
    <x v="0"/>
    <s v="N"/>
    <n v="-23.171738243536112"/>
    <n v="-46.93545249984701"/>
    <n v="1688.01"/>
    <n v="7.94"/>
    <n v="70"/>
    <m/>
    <n v="0"/>
    <s v="Trator 1.7m"/>
    <m/>
    <s v="Não"/>
    <s v="Não"/>
    <s v="Não"/>
    <s v="Não"/>
    <n v="1181.607"/>
    <n v="1181.607"/>
  </r>
  <r>
    <s v="VGSP-348_060,000_EN_CL1"/>
    <x v="0"/>
    <s v="60,000"/>
    <m/>
    <s v="60,500"/>
    <m/>
    <x v="0"/>
    <s v="N"/>
    <n v="-23.174136193804401"/>
    <n v="-46.935633968143499"/>
    <n v="1955.16"/>
    <n v="10.94"/>
    <n v="70"/>
    <m/>
    <n v="0"/>
    <s v="Trator 1.7m"/>
    <m/>
    <s v="Não"/>
    <s v="Não"/>
    <s v="Não"/>
    <s v="Não"/>
    <n v="1368.6120000000001"/>
    <n v="1368.6120000000001"/>
  </r>
  <r>
    <s v="VGSP-330_060,000_EN_CL7"/>
    <x v="0"/>
    <s v="60,000"/>
    <m/>
    <s v="60,500"/>
    <m/>
    <x v="0"/>
    <s v="N"/>
    <n v="-23.179106924534679"/>
    <n v="-46.913029428709038"/>
    <n v="468.33"/>
    <n v="2.73"/>
    <n v="70"/>
    <m/>
    <n v="0"/>
    <s v="Trator 1.7m"/>
    <m/>
    <s v="Não"/>
    <s v="Não"/>
    <s v="Não"/>
    <s v="Não"/>
    <n v="327.83099999999996"/>
    <n v="327.83099999999996"/>
  </r>
  <r>
    <s v="VGSP-330_060,000_EN_CL9"/>
    <x v="0"/>
    <s v="60,000"/>
    <m/>
    <s v="60,500"/>
    <m/>
    <x v="0"/>
    <s v="N"/>
    <n v="-23.17815426605803"/>
    <n v="-46.914245068769837"/>
    <n v="677.06"/>
    <n v="2.94"/>
    <n v="70"/>
    <m/>
    <n v="0"/>
    <s v="Trator 1.7m"/>
    <m/>
    <s v="Não"/>
    <s v="Não"/>
    <s v="Não"/>
    <s v="Não"/>
    <n v="473.94199999999995"/>
    <n v="473.94199999999995"/>
  </r>
  <r>
    <s v="VGSP-330_060,000_EN_CL8"/>
    <x v="0"/>
    <s v="60,000"/>
    <m/>
    <s v="60,500"/>
    <m/>
    <x v="0"/>
    <s v="N"/>
    <n v="-23.179072183847961"/>
    <n v="-46.913394631170469"/>
    <n v="8426.39"/>
    <n v="3.9"/>
    <n v="70"/>
    <m/>
    <n v="0"/>
    <s v="Trator 1.7m"/>
    <m/>
    <s v="Não"/>
    <s v="Não"/>
    <s v="Não"/>
    <s v="Não"/>
    <n v="5898.472999999999"/>
    <n v="5898.472999999999"/>
  </r>
  <r>
    <s v="VGSP-330_060,000_ES_CL1"/>
    <x v="0"/>
    <s v="60,000"/>
    <m/>
    <s v="60,500"/>
    <m/>
    <x v="0"/>
    <s v="S"/>
    <n v="-23.183057978044111"/>
    <n v="-46.910147236563049"/>
    <n v="10079.56"/>
    <n v="7.12"/>
    <n v="60"/>
    <m/>
    <n v="0"/>
    <s v="Trator 1.7m"/>
    <m/>
    <s v="Não"/>
    <s v="Não"/>
    <s v="Não"/>
    <s v="Não"/>
    <n v="6047.7359999999999"/>
    <n v="6047.7359999999999"/>
  </r>
  <r>
    <s v="VGSP-330_060,000_EN_CL6"/>
    <x v="0"/>
    <s v="60,000"/>
    <m/>
    <s v="60,500"/>
    <m/>
    <x v="0"/>
    <s v="N"/>
    <n v="-23.18007137136863"/>
    <n v="-46.911903622340432"/>
    <n v="57.25"/>
    <n v="3.89"/>
    <n v="70"/>
    <m/>
    <n v="0"/>
    <s v="Trator 1.7m"/>
    <m/>
    <s v="Não"/>
    <s v="Não"/>
    <s v="Não"/>
    <s v="Não"/>
    <n v="40.074999999999996"/>
    <n v="40.074999999999996"/>
  </r>
  <r>
    <s v="VGSP-330_061,000_EN_CL4"/>
    <x v="0"/>
    <s v="61,000"/>
    <m/>
    <s v="61,500"/>
    <m/>
    <x v="0"/>
    <s v="N"/>
    <n v="-23.175904580290041"/>
    <n v="-46.917110771376528"/>
    <n v="43.7"/>
    <n v="4.21"/>
    <n v="70"/>
    <m/>
    <n v="0"/>
    <s v="Trator 1.7m"/>
    <m/>
    <s v="Não"/>
    <s v="Não"/>
    <s v="Não"/>
    <s v="Não"/>
    <n v="30.59"/>
    <n v="30.59"/>
  </r>
  <r>
    <s v="VGSP-330_061,000_EN_CL2"/>
    <x v="0"/>
    <s v="61,000"/>
    <m/>
    <s v="61,500"/>
    <m/>
    <x v="0"/>
    <s v="N"/>
    <n v="-23.177230405126618"/>
    <n v="-46.915418932824018"/>
    <n v="264.77"/>
    <n v="0.79"/>
    <n v="70"/>
    <m/>
    <n v="0"/>
    <s v="Trator 1.7m"/>
    <m/>
    <s v="Não"/>
    <s v="Não"/>
    <s v="Não"/>
    <s v="Não"/>
    <n v="185.33899999999997"/>
    <n v="185.33899999999997"/>
  </r>
  <r>
    <s v="VGSP-330_061,000_EN_CL1"/>
    <x v="0"/>
    <s v="61,000"/>
    <m/>
    <s v="61,500"/>
    <m/>
    <x v="0"/>
    <s v="N"/>
    <n v="-23.17737839670534"/>
    <n v="-46.915604209781861"/>
    <n v="2989.67"/>
    <n v="2.2599999999999998"/>
    <n v="70"/>
    <m/>
    <n v="0"/>
    <s v="Trator 1.7m"/>
    <m/>
    <s v="Não"/>
    <s v="Não"/>
    <s v="Não"/>
    <s v="Não"/>
    <n v="2092.7689999999998"/>
    <n v="2092.7689999999998"/>
  </r>
  <r>
    <s v="VGSP-330_061,000_EN_CL3"/>
    <x v="0"/>
    <s v="61,000"/>
    <m/>
    <s v="61,500"/>
    <m/>
    <x v="0"/>
    <s v="N"/>
    <n v="-23.17624744977325"/>
    <n v="-46.91667494422925"/>
    <n v="220.8"/>
    <n v="2.42"/>
    <n v="70"/>
    <m/>
    <n v="0"/>
    <s v="Trator 1.7m"/>
    <m/>
    <s v="Não"/>
    <s v="Não"/>
    <s v="Não"/>
    <s v="Não"/>
    <n v="154.56"/>
    <n v="154.56"/>
  </r>
  <r>
    <s v="VGSP-348_061,000_ES_CL6"/>
    <x v="0"/>
    <s v="61,000"/>
    <m/>
    <s v="61,500"/>
    <m/>
    <x v="0"/>
    <s v="S"/>
    <n v="-23.170455613512949"/>
    <n v="-46.941960317986101"/>
    <n v="2069.04"/>
    <n v="3.84"/>
    <n v="30"/>
    <m/>
    <n v="0"/>
    <s v="Trator 1.7m"/>
    <m/>
    <s v="Não"/>
    <s v="Não"/>
    <s v="Não"/>
    <s v="Não"/>
    <n v="620.71199999999999"/>
    <n v="620.71199999999999"/>
  </r>
  <r>
    <s v="VGSP-348_061,000_ES_CL8"/>
    <x v="0"/>
    <s v="61,000"/>
    <m/>
    <s v="61,500"/>
    <m/>
    <x v="0"/>
    <s v="S"/>
    <n v="-23.16564417956079"/>
    <n v="-46.944752437499737"/>
    <n v="846.26"/>
    <n v="3.09"/>
    <n v="20"/>
    <m/>
    <n v="0"/>
    <s v="Trator 1.7m"/>
    <m/>
    <s v="Não"/>
    <s v="Não"/>
    <s v="Não"/>
    <s v="Não"/>
    <n v="169.25200000000001"/>
    <n v="169.25200000000001"/>
  </r>
  <r>
    <s v="VGSP-348_061,000_ES_CL7"/>
    <x v="0"/>
    <s v="61,000"/>
    <m/>
    <s v="61,500"/>
    <m/>
    <x v="0"/>
    <s v="S"/>
    <n v="-23.167364358317911"/>
    <n v="-46.942924276176967"/>
    <n v="1488.9"/>
    <n v="3.1"/>
    <n v="20"/>
    <m/>
    <n v="0"/>
    <s v="Trator 1.7m"/>
    <m/>
    <s v="Não"/>
    <s v="Não"/>
    <s v="Não"/>
    <s v="Não"/>
    <n v="297.78000000000003"/>
    <n v="297.78000000000003"/>
  </r>
  <r>
    <s v="VGSP-330_061,000_ES_CL9"/>
    <x v="0"/>
    <s v="61,000"/>
    <m/>
    <s v="61,500"/>
    <m/>
    <x v="0"/>
    <s v="S"/>
    <n v="-23.174009804167849"/>
    <n v="-46.921033338135977"/>
    <n v="283.44"/>
    <n v="2.71"/>
    <n v="40"/>
    <m/>
    <n v="0"/>
    <s v="Trator 1.7m"/>
    <m/>
    <s v="Não"/>
    <s v="Não"/>
    <s v="Não"/>
    <s v="Não"/>
    <n v="113.376"/>
    <n v="113.376"/>
  </r>
  <r>
    <s v="VGSP-348_061,000_EN_CL1"/>
    <x v="0"/>
    <s v="61,000"/>
    <m/>
    <s v="61,500"/>
    <m/>
    <x v="0"/>
    <s v="N"/>
    <n v="-23.17144867786843"/>
    <n v="-46.938278589480568"/>
    <n v="5772.69"/>
    <n v="3.72"/>
    <n v="70"/>
    <m/>
    <n v="0"/>
    <s v="Trator 1.7m"/>
    <m/>
    <s v="Não"/>
    <s v="Não"/>
    <s v="Não"/>
    <s v="Não"/>
    <n v="4040.8829999999994"/>
    <n v="4040.8829999999994"/>
  </r>
  <r>
    <s v="VGSP-348_061,000_EN_CL3"/>
    <x v="0"/>
    <s v="61,000"/>
    <m/>
    <s v="61,500"/>
    <m/>
    <x v="0"/>
    <s v="N"/>
    <n v="-23.167043913095739"/>
    <n v="-46.942322103568749"/>
    <n v="1365.64"/>
    <n v="4.21"/>
    <n v="0"/>
    <m/>
    <n v="0"/>
    <m/>
    <m/>
    <s v="Não"/>
    <s v="Não"/>
    <s v="Não"/>
    <s v="Não"/>
    <n v="0"/>
    <n v="0"/>
  </r>
  <r>
    <s v="VGSP-330_061,000_ES_CL8"/>
    <x v="0"/>
    <s v="61,000"/>
    <m/>
    <s v="61,500"/>
    <m/>
    <x v="0"/>
    <s v="S"/>
    <n v="-23.174343245431611"/>
    <n v="-46.9205370076807"/>
    <n v="99.72"/>
    <n v="1.29"/>
    <n v="40"/>
    <m/>
    <n v="0"/>
    <s v="Trator 1.7m"/>
    <m/>
    <s v="Não"/>
    <s v="Não"/>
    <s v="Não"/>
    <s v="Não"/>
    <n v="39.888000000000005"/>
    <n v="39.888000000000005"/>
  </r>
  <r>
    <s v="VGSP-330_061,000_ES_CL6"/>
    <x v="0"/>
    <s v="61,000"/>
    <m/>
    <s v="61,500"/>
    <m/>
    <x v="0"/>
    <s v="S"/>
    <n v="-23.17617488020181"/>
    <n v="-46.917837985238009"/>
    <n v="4332.62"/>
    <n v="4.37"/>
    <n v="60"/>
    <m/>
    <n v="0"/>
    <s v="Trator 1.7m"/>
    <m/>
    <s v="Não"/>
    <s v="Não"/>
    <s v="Não"/>
    <s v="Não"/>
    <n v="2599.5719999999997"/>
    <n v="2599.5719999999997"/>
  </r>
  <r>
    <s v="VGSP-330_061,000_ES_CL5"/>
    <x v="0"/>
    <s v="61,000"/>
    <m/>
    <s v="61,500"/>
    <m/>
    <x v="0"/>
    <s v="S"/>
    <n v="-23.173684367793609"/>
    <n v="-46.921357498224353"/>
    <n v="11881.85"/>
    <n v="3.82"/>
    <n v="40"/>
    <m/>
    <n v="0"/>
    <s v="Trator 1.7m"/>
    <m/>
    <s v="Não"/>
    <s v="Não"/>
    <s v="Não"/>
    <s v="Não"/>
    <n v="4752.7400000000007"/>
    <n v="4752.7400000000007"/>
  </r>
  <r>
    <s v="VGSP-330_061,000_ES_CL2"/>
    <x v="0"/>
    <s v="61,000"/>
    <m/>
    <s v="61,500"/>
    <m/>
    <x v="0"/>
    <s v="S"/>
    <n v="-23.176927207223489"/>
    <n v="-46.917137002935966"/>
    <n v="1969.46"/>
    <n v="4.9000000000000004"/>
    <n v="60"/>
    <m/>
    <n v="0"/>
    <s v="Trator 1.7m"/>
    <m/>
    <s v="Não"/>
    <s v="Não"/>
    <s v="Não"/>
    <s v="Não"/>
    <n v="1181.6759999999999"/>
    <n v="1181.6759999999999"/>
  </r>
  <r>
    <s v="VGSP-330_061,000_ES_CL1"/>
    <x v="0"/>
    <s v="61,000"/>
    <m/>
    <s v="61,500"/>
    <m/>
    <x v="0"/>
    <s v="S"/>
    <n v="-23.177637126229499"/>
    <n v="-46.915918925084483"/>
    <n v="3385.47"/>
    <n v="4.34"/>
    <n v="60"/>
    <m/>
    <n v="0"/>
    <s v="Trator 1.7m"/>
    <m/>
    <s v="Não"/>
    <s v="Não"/>
    <s v="Não"/>
    <s v="Não"/>
    <n v="2031.2819999999997"/>
    <n v="2031.2819999999997"/>
  </r>
  <r>
    <s v="VGSP-330_061,000_ES_CL11"/>
    <x v="0"/>
    <s v="61,000"/>
    <m/>
    <s v="61,500"/>
    <m/>
    <x v="0"/>
    <s v="S"/>
    <n v="-23.172684757825749"/>
    <n v="-46.922784392807849"/>
    <n v="430.74"/>
    <n v="5.13"/>
    <n v="40"/>
    <m/>
    <n v="0"/>
    <s v="Trator 1.7m"/>
    <m/>
    <s v="Não"/>
    <s v="Não"/>
    <s v="Não"/>
    <s v="Não"/>
    <n v="172.29600000000002"/>
    <n v="172.29600000000002"/>
  </r>
  <r>
    <s v="VGSP-330_061,000_ES_CL10"/>
    <x v="0"/>
    <s v="61,000"/>
    <m/>
    <s v="61,500"/>
    <m/>
    <x v="0"/>
    <s v="S"/>
    <n v="-23.172635028968958"/>
    <n v="-46.922348222797787"/>
    <n v="2119.1799999999998"/>
    <n v="3.93"/>
    <n v="40"/>
    <m/>
    <n v="0"/>
    <s v="Trator 1.7m"/>
    <m/>
    <s v="Não"/>
    <s v="Não"/>
    <s v="Não"/>
    <s v="Não"/>
    <n v="847.67200000000003"/>
    <n v="847.67200000000003"/>
  </r>
  <r>
    <s v="VGSP-348_061,000_ES_CL1"/>
    <x v="0"/>
    <s v="61,000"/>
    <m/>
    <s v="61,500"/>
    <m/>
    <x v="0"/>
    <s v="S"/>
    <n v="-23.17226514054417"/>
    <n v="-46.941044788608771"/>
    <n v="1348.68"/>
    <n v="4.55"/>
    <n v="30"/>
    <m/>
    <n v="0"/>
    <s v="Trator 1.7m"/>
    <m/>
    <s v="Não"/>
    <s v="Não"/>
    <s v="Não"/>
    <s v="Não"/>
    <n v="404.60399999999998"/>
    <n v="404.60399999999998"/>
  </r>
  <r>
    <s v="VGSP-330_061,000_ES_CL7"/>
    <x v="0"/>
    <s v="61,000"/>
    <m/>
    <s v="61,500"/>
    <m/>
    <x v="0"/>
    <s v="S"/>
    <n v="-23.174679352854589"/>
    <n v="-46.920047479940003"/>
    <n v="308.35000000000002"/>
    <n v="1.89"/>
    <n v="40"/>
    <m/>
    <n v="0"/>
    <s v="Trator 1.7m"/>
    <m/>
    <s v="Não"/>
    <s v="Não"/>
    <s v="Não"/>
    <s v="Não"/>
    <n v="123.34000000000002"/>
    <n v="123.34000000000002"/>
  </r>
  <r>
    <s v="VGSP-330_061,000_ES_CL4"/>
    <x v="0"/>
    <s v="61,000"/>
    <m/>
    <s v="61,500"/>
    <m/>
    <x v="0"/>
    <s v="S"/>
    <n v="-23.175095298940949"/>
    <n v="-46.91947792906543"/>
    <n v="214.12"/>
    <n v="2.73"/>
    <n v="40"/>
    <m/>
    <n v="0"/>
    <s v="Trator 1.7m"/>
    <m/>
    <s v="Não"/>
    <s v="Não"/>
    <s v="Não"/>
    <s v="Não"/>
    <n v="85.64800000000001"/>
    <n v="85.64800000000001"/>
  </r>
  <r>
    <s v="VGSP-330_061,000_ES_CL3"/>
    <x v="0"/>
    <s v="61,000"/>
    <m/>
    <s v="61,500"/>
    <m/>
    <x v="0"/>
    <s v="S"/>
    <n v="-23.175367443799018"/>
    <n v="-46.919125300653967"/>
    <n v="107.16"/>
    <n v="6.09"/>
    <n v="40"/>
    <m/>
    <n v="0"/>
    <s v="Trator 1.7m"/>
    <m/>
    <s v="Não"/>
    <s v="Não"/>
    <s v="Não"/>
    <s v="Não"/>
    <n v="42.864000000000004"/>
    <n v="42.864000000000004"/>
  </r>
  <r>
    <s v="VGSP-330_061,000_EN_CL8"/>
    <x v="0"/>
    <s v="61,000"/>
    <m/>
    <s v="61,500"/>
    <m/>
    <x v="0"/>
    <s v="N"/>
    <n v="-23.174745042524101"/>
    <n v="-46.918601494113133"/>
    <n v="242.31"/>
    <n v="3.07"/>
    <n v="0"/>
    <m/>
    <n v="0"/>
    <m/>
    <m/>
    <s v="Não"/>
    <s v="Não"/>
    <s v="Não"/>
    <s v="Não"/>
    <n v="0"/>
    <n v="0"/>
  </r>
  <r>
    <s v="VGSP-348_061,000_CC3"/>
    <x v="74"/>
    <s v="61,000"/>
    <m/>
    <s v="61,500"/>
    <n v="0.5"/>
    <x v="1"/>
    <s v="C"/>
    <n v="-23.170100762249088"/>
    <n v="-46.940007186976473"/>
    <n v="14738.43"/>
    <n v="3.62"/>
    <n v="90"/>
    <m/>
    <n v="0"/>
    <s v="Eixo-zero"/>
    <m/>
    <s v="Não"/>
    <s v="Não"/>
    <s v="Não"/>
    <s v="Não"/>
    <n v="13264.587000000001"/>
    <n v="13264.587000000001"/>
  </r>
  <r>
    <s v="VGSP-348_061,000_CC5"/>
    <x v="74"/>
    <s v="61,000"/>
    <m/>
    <s v="61,500"/>
    <n v="0.5"/>
    <x v="1"/>
    <s v="C"/>
    <n v="-23.165371489657279"/>
    <n v="-46.944584155110192"/>
    <n v="6032.15"/>
    <n v="3.27"/>
    <n v="90"/>
    <m/>
    <n v="0"/>
    <s v="Eixo-zero"/>
    <m/>
    <s v="Não"/>
    <s v="Não"/>
    <s v="Não"/>
    <s v="Não"/>
    <n v="5428.9349999999995"/>
    <n v="5428.9349999999995"/>
  </r>
  <r>
    <s v="VGSP-348_061,000_CC1"/>
    <x v="74"/>
    <s v="61,000"/>
    <m/>
    <s v="61,500"/>
    <n v="0.5"/>
    <x v="1"/>
    <s v="C"/>
    <n v="-23.171252318133579"/>
    <n v="-46.940068995431957"/>
    <n v="12651.32"/>
    <n v="6.17"/>
    <n v="30"/>
    <m/>
    <n v="0"/>
    <s v="Trator 1.7m"/>
    <m/>
    <s v="Não"/>
    <s v="Não"/>
    <s v="Não"/>
    <s v="Não"/>
    <n v="3795.3959999999997"/>
    <n v="3795.3959999999997"/>
  </r>
  <r>
    <s v="VGSP-330_061,000_EN_CL7"/>
    <x v="0"/>
    <s v="61,000"/>
    <m/>
    <s v="61,500"/>
    <m/>
    <x v="0"/>
    <s v="N"/>
    <n v="-23.17533346208667"/>
    <n v="-46.91784613970264"/>
    <n v="437.54"/>
    <n v="2.4"/>
    <n v="70"/>
    <m/>
    <n v="0"/>
    <s v="Trator 1.7m"/>
    <m/>
    <s v="Não"/>
    <s v="Não"/>
    <s v="Não"/>
    <s v="Não"/>
    <n v="306.27800000000002"/>
    <n v="306.27800000000002"/>
  </r>
  <r>
    <s v="VGSP-348_061,000_ES_CL3"/>
    <x v="0"/>
    <s v="61,000"/>
    <m/>
    <s v="61,500"/>
    <m/>
    <x v="0"/>
    <s v="S"/>
    <n v="-23.172208834710499"/>
    <n v="-46.93969868313156"/>
    <n v="1416.88"/>
    <n v="3.7"/>
    <n v="30"/>
    <m/>
    <n v="0"/>
    <s v="Trator 1.7m"/>
    <m/>
    <s v="Não"/>
    <s v="Não"/>
    <s v="Não"/>
    <s v="Não"/>
    <n v="425.06400000000002"/>
    <n v="425.06400000000002"/>
  </r>
  <r>
    <s v="VGSP-348_061,000_ES_CL4"/>
    <x v="0"/>
    <s v="61,000"/>
    <m/>
    <s v="61,500"/>
    <m/>
    <x v="0"/>
    <s v="S"/>
    <n v="-23.17127477026229"/>
    <n v="-46.941717148197498"/>
    <n v="8150.03"/>
    <n v="3.71"/>
    <n v="30"/>
    <m/>
    <n v="0"/>
    <s v="Trator 1.7m"/>
    <m/>
    <s v="Não"/>
    <s v="Não"/>
    <s v="Não"/>
    <s v="Não"/>
    <n v="2445.009"/>
    <n v="2445.009"/>
  </r>
  <r>
    <s v="VGSP-348_061,000_CC2"/>
    <x v="74"/>
    <s v="61,000"/>
    <m/>
    <s v="61,500"/>
    <n v="0.5"/>
    <x v="1"/>
    <s v="C"/>
    <n v="-23.170323926294309"/>
    <n v="-46.940742604528637"/>
    <n v="13073.24"/>
    <n v="3.9"/>
    <n v="30"/>
    <m/>
    <n v="0"/>
    <s v="Trator 1.7m"/>
    <m/>
    <s v="Não"/>
    <s v="Não"/>
    <s v="Não"/>
    <s v="Não"/>
    <n v="3921.9719999999998"/>
    <n v="3921.9719999999998"/>
  </r>
  <r>
    <s v="VGSP-348_061,000_ES_CL5"/>
    <x v="0"/>
    <s v="61,000"/>
    <m/>
    <s v="61,500"/>
    <m/>
    <x v="0"/>
    <s v="S"/>
    <n v="-23.168458306590662"/>
    <n v="-46.941773822131772"/>
    <n v="130.21"/>
    <n v="0.95"/>
    <n v="20"/>
    <m/>
    <n v="0"/>
    <s v="Trator 1.7m"/>
    <m/>
    <s v="Não"/>
    <s v="Não"/>
    <s v="Não"/>
    <s v="Não"/>
    <n v="26.042000000000002"/>
    <n v="26.042000000000002"/>
  </r>
  <r>
    <s v="VGSP-348_061,000_CC4"/>
    <x v="74"/>
    <s v="61,000"/>
    <m/>
    <s v="61,500"/>
    <n v="0.5"/>
    <x v="1"/>
    <s v="C"/>
    <n v="-23.16720137396123"/>
    <n v="-46.942602723411639"/>
    <n v="10947.95"/>
    <n v="4.33"/>
    <n v="90"/>
    <m/>
    <n v="0"/>
    <s v="Eixo-zero"/>
    <m/>
    <s v="Não"/>
    <s v="Não"/>
    <s v="Não"/>
    <s v="Não"/>
    <n v="9853.1550000000007"/>
    <n v="9853.1550000000007"/>
  </r>
  <r>
    <s v="VGSP-330_061,000_EN_CL6"/>
    <x v="0"/>
    <s v="61,000"/>
    <m/>
    <s v="61,500"/>
    <m/>
    <x v="0"/>
    <s v="N"/>
    <n v="-23.175923718983949"/>
    <n v="-46.917393104595099"/>
    <n v="6054.31"/>
    <n v="2.5299999999999998"/>
    <n v="70"/>
    <m/>
    <n v="0"/>
    <s v="Trator 1.7m"/>
    <m/>
    <s v="Não"/>
    <s v="Não"/>
    <s v="Não"/>
    <s v="Não"/>
    <n v="4238.0169999999998"/>
    <n v="4238.0169999999998"/>
  </r>
  <r>
    <s v="VGSP-348_061,000_ES_CL2"/>
    <x v="0"/>
    <s v="61,000"/>
    <m/>
    <s v="61,500"/>
    <m/>
    <x v="0"/>
    <s v="S"/>
    <n v="-23.172327797618099"/>
    <n v="-46.940125094606692"/>
    <n v="7373.97"/>
    <n v="4.78"/>
    <n v="30"/>
    <m/>
    <n v="0"/>
    <s v="Trator 1.7m"/>
    <m/>
    <s v="Não"/>
    <s v="Não"/>
    <s v="Não"/>
    <s v="Não"/>
    <n v="2212.1909999999998"/>
    <n v="2212.1909999999998"/>
  </r>
  <r>
    <s v="VGSP-348_061,000_EN_CL4"/>
    <x v="0"/>
    <s v="61,000"/>
    <m/>
    <s v="61,500"/>
    <m/>
    <x v="0"/>
    <s v="N"/>
    <n v="-23.165169885256169"/>
    <n v="-46.944352238774293"/>
    <n v="805.3"/>
    <n v="4.4800000000000004"/>
    <n v="0"/>
    <m/>
    <n v="0"/>
    <m/>
    <m/>
    <s v="Não"/>
    <s v="Não"/>
    <s v="Não"/>
    <s v="Não"/>
    <n v="0"/>
    <n v="0"/>
  </r>
  <r>
    <s v="VGSP-348_061,000_EN_CL2"/>
    <x v="0"/>
    <s v="61,000"/>
    <m/>
    <s v="61,500"/>
    <m/>
    <x v="0"/>
    <s v="N"/>
    <n v="-23.17001136825473"/>
    <n v="-46.939439894735521"/>
    <n v="2186.4699999999998"/>
    <n v="3.09"/>
    <n v="70"/>
    <m/>
    <n v="0"/>
    <s v="Trator 1.7m"/>
    <m/>
    <s v="Não"/>
    <s v="Não"/>
    <s v="Não"/>
    <s v="Não"/>
    <n v="1530.5289999999998"/>
    <n v="1530.5289999999998"/>
  </r>
  <r>
    <s v="VGSP-330_061,000_EN_CL10"/>
    <x v="0"/>
    <s v="61,000"/>
    <m/>
    <s v="61,500"/>
    <m/>
    <x v="0"/>
    <s v="N"/>
    <n v="-23.17252026576698"/>
    <n v="-46.921053038279517"/>
    <n v="3143.26"/>
    <n v="4.8"/>
    <n v="0"/>
    <m/>
    <n v="0"/>
    <m/>
    <m/>
    <s v="Não"/>
    <s v="Não"/>
    <s v="Não"/>
    <s v="Não"/>
    <n v="0"/>
    <n v="0"/>
  </r>
  <r>
    <s v="VGSP-330_061,000_EN_CL9"/>
    <x v="0"/>
    <s v="61,000"/>
    <m/>
    <s v="61,500"/>
    <m/>
    <x v="0"/>
    <s v="N"/>
    <n v="-23.172456824018528"/>
    <n v="-46.921567044133248"/>
    <n v="10017.01"/>
    <n v="4.18"/>
    <n v="0"/>
    <m/>
    <n v="0"/>
    <m/>
    <m/>
    <s v="Não"/>
    <s v="Não"/>
    <s v="Não"/>
    <s v="Não"/>
    <n v="0"/>
    <n v="0"/>
  </r>
  <r>
    <s v="VGSP-330_061,000_EN_CL5"/>
    <x v="0"/>
    <s v="61,000"/>
    <m/>
    <s v="61,500"/>
    <m/>
    <x v="0"/>
    <s v="N"/>
    <n v="-23.17418311682178"/>
    <n v="-46.919578999371808"/>
    <n v="6816.15"/>
    <n v="3.46"/>
    <n v="0"/>
    <m/>
    <n v="0"/>
    <m/>
    <m/>
    <s v="Não"/>
    <s v="Não"/>
    <s v="Não"/>
    <s v="Não"/>
    <n v="0"/>
    <n v="0"/>
  </r>
  <r>
    <s v="VGSP-330_062,000_ES_CL12"/>
    <x v="0"/>
    <s v="62,000"/>
    <m/>
    <s v="62,500"/>
    <m/>
    <x v="0"/>
    <s v="S"/>
    <n v="-23.168565550756"/>
    <n v="-46.92704227338298"/>
    <n v="785.83"/>
    <n v="2.72"/>
    <n v="0"/>
    <m/>
    <n v="0"/>
    <m/>
    <m/>
    <s v="Não"/>
    <s v="Não"/>
    <s v="Não"/>
    <s v="Não"/>
    <n v="0"/>
    <n v="0"/>
  </r>
  <r>
    <s v="VGSP-330_062,000_ES_CL14"/>
    <x v="0"/>
    <s v="62,000"/>
    <m/>
    <s v="62,500"/>
    <m/>
    <x v="0"/>
    <s v="S"/>
    <n v="-23.166934382881109"/>
    <n v="-46.928191559640837"/>
    <n v="829.03"/>
    <n v="4.7699999999999996"/>
    <n v="0"/>
    <m/>
    <n v="0"/>
    <m/>
    <m/>
    <s v="Não"/>
    <s v="Não"/>
    <s v="Não"/>
    <s v="Não"/>
    <n v="0"/>
    <n v="0"/>
  </r>
  <r>
    <s v="VGSP-348_062,000_EN_CL2"/>
    <x v="0"/>
    <s v="62,000"/>
    <m/>
    <s v="62,500"/>
    <m/>
    <x v="0"/>
    <s v="N"/>
    <n v="-23.160023602057318"/>
    <n v="-46.950058864581017"/>
    <n v="2125.08"/>
    <n v="11.78"/>
    <n v="30"/>
    <m/>
    <n v="0"/>
    <s v="Trator 1.7m"/>
    <m/>
    <s v="Não"/>
    <s v="Não"/>
    <s v="Não"/>
    <s v="Não"/>
    <n v="637.524"/>
    <n v="637.524"/>
  </r>
  <r>
    <s v="VGSP-348_062,000_CC3"/>
    <x v="75"/>
    <s v="62,000"/>
    <m/>
    <s v="62,500"/>
    <n v="0.5"/>
    <x v="1"/>
    <s v="C"/>
    <n v="-23.16255393551323"/>
    <n v="-46.947715918448523"/>
    <n v="6938.7"/>
    <n v="5.91"/>
    <n v="90"/>
    <m/>
    <n v="0"/>
    <s v="Eixo-zero"/>
    <m/>
    <s v="Não"/>
    <s v="Não"/>
    <s v="Não"/>
    <s v="Não"/>
    <n v="6244.83"/>
    <n v="6244.83"/>
  </r>
  <r>
    <s v="VGSP-330_062,000_EN_CL7"/>
    <x v="0"/>
    <s v="62,000"/>
    <m/>
    <s v="62,500"/>
    <m/>
    <x v="0"/>
    <s v="N"/>
    <n v="-23.169764784910971"/>
    <n v="-46.924039935896907"/>
    <n v="4918.34"/>
    <n v="4.6100000000000003"/>
    <n v="60"/>
    <m/>
    <n v="0"/>
    <s v="Trator 1.7m"/>
    <m/>
    <s v="Não"/>
    <s v="Não"/>
    <s v="Não"/>
    <s v="Não"/>
    <n v="2951.0039999999999"/>
    <n v="2951.0039999999999"/>
  </r>
  <r>
    <s v="VGSP-330_062,000_CC2"/>
    <x v="76"/>
    <s v="62,000"/>
    <m/>
    <s v="62,500"/>
    <m/>
    <x v="1"/>
    <s v="C"/>
    <n v="-23.171123133493278"/>
    <n v="-46.923115454692422"/>
    <n v="7240.71"/>
    <n v="2.4500000000000002"/>
    <n v="60"/>
    <m/>
    <n v="0"/>
    <s v="Trator 1.7m"/>
    <m/>
    <s v="Não"/>
    <s v="Não"/>
    <s v="Não"/>
    <s v="Não"/>
    <n v="4344.4259999999995"/>
    <n v="4344.4259999999995"/>
  </r>
  <r>
    <s v="VGSP-330_062,000_EN_CL5"/>
    <x v="0"/>
    <s v="62,000"/>
    <m/>
    <s v="62,500"/>
    <m/>
    <x v="0"/>
    <s v="N"/>
    <n v="-23.168862975941639"/>
    <n v="-46.926110906964283"/>
    <n v="9.7100000000000009"/>
    <n v="1.67"/>
    <m/>
    <m/>
    <n v="0"/>
    <m/>
    <m/>
    <s v="Não"/>
    <s v="Não"/>
    <s v="Não"/>
    <s v="Não"/>
    <n v="0"/>
    <n v="0"/>
  </r>
  <r>
    <s v="VGSP-348_062,000_CC2"/>
    <x v="75"/>
    <s v="62,000"/>
    <m/>
    <s v="62,500"/>
    <n v="0.5"/>
    <x v="1"/>
    <s v="C"/>
    <n v="-23.160214270450972"/>
    <n v="-46.950303548344522"/>
    <n v="15770.49"/>
    <n v="7.71"/>
    <n v="90"/>
    <m/>
    <n v="0"/>
    <s v="Eixo-zero"/>
    <m/>
    <s v="Não"/>
    <s v="Não"/>
    <s v="Não"/>
    <s v="Não"/>
    <n v="14193.441000000001"/>
    <n v="14193.441000000001"/>
  </r>
  <r>
    <s v="VGSP-348_062,000_EN_CL3"/>
    <x v="0"/>
    <s v="62,000"/>
    <m/>
    <s v="62,500"/>
    <m/>
    <x v="0"/>
    <s v="N"/>
    <n v="-23.162391734121371"/>
    <n v="-46.947436303616648"/>
    <n v="878.18"/>
    <n v="7.51"/>
    <n v="0"/>
    <m/>
    <n v="0"/>
    <m/>
    <m/>
    <s v="Não"/>
    <s v="Não"/>
    <s v="Não"/>
    <s v="Não"/>
    <n v="0"/>
    <n v="0"/>
  </r>
  <r>
    <s v="VGSP-330_062,000_EN_CL4"/>
    <x v="0"/>
    <s v="62,000"/>
    <m/>
    <s v="62,500"/>
    <m/>
    <x v="0"/>
    <s v="N"/>
    <n v="-23.170157122187319"/>
    <n v="-46.924282341043941"/>
    <n v="15289.58"/>
    <n v="4.3"/>
    <n v="60"/>
    <m/>
    <n v="0"/>
    <s v="Trator 1.7m"/>
    <m/>
    <s v="Não"/>
    <s v="Não"/>
    <s v="Não"/>
    <s v="Não"/>
    <n v="9173.7479999999996"/>
    <n v="9173.7479999999996"/>
  </r>
  <r>
    <s v="VGSP-330_062,000_EN_CL8"/>
    <x v="0"/>
    <s v="62,000"/>
    <m/>
    <s v="62,500"/>
    <m/>
    <x v="0"/>
    <s v="N"/>
    <n v="-23.165648714305071"/>
    <n v="-46.928574548405059"/>
    <n v="85.06"/>
    <n v="2.21"/>
    <n v="0"/>
    <m/>
    <n v="0"/>
    <m/>
    <m/>
    <s v="Não"/>
    <s v="Não"/>
    <s v="Não"/>
    <s v="Não"/>
    <n v="0"/>
    <n v="0"/>
  </r>
  <r>
    <s v="VGSP-330_062,000_EN_CL1"/>
    <x v="0"/>
    <s v="62,000"/>
    <m/>
    <s v="62,500"/>
    <m/>
    <x v="0"/>
    <s v="N"/>
    <n v="-23.171195924694981"/>
    <n v="-46.922189324168961"/>
    <n v="1399.6"/>
    <n v="6.89"/>
    <n v="60"/>
    <m/>
    <n v="0"/>
    <s v="Trator 1.7m"/>
    <m/>
    <s v="Não"/>
    <s v="Não"/>
    <s v="Não"/>
    <s v="Não"/>
    <n v="839.75999999999988"/>
    <n v="839.75999999999988"/>
  </r>
  <r>
    <s v="VGSP-330_062,000_ES_CL4"/>
    <x v="0"/>
    <s v="62,000"/>
    <m/>
    <s v="62,500"/>
    <m/>
    <x v="0"/>
    <s v="S"/>
    <n v="-23.17224513494352"/>
    <n v="-46.923349279797122"/>
    <n v="4878.1400000000003"/>
    <n v="3.57"/>
    <n v="40"/>
    <m/>
    <n v="0"/>
    <s v="Trator 1.7m"/>
    <m/>
    <s v="Não"/>
    <s v="Não"/>
    <s v="Não"/>
    <s v="Não"/>
    <n v="1951.2560000000003"/>
    <n v="1951.2560000000003"/>
  </r>
  <r>
    <s v="VGSP-330_062,000_ES_CL10"/>
    <x v="0"/>
    <s v="62,000"/>
    <m/>
    <s v="62,500"/>
    <m/>
    <x v="0"/>
    <s v="S"/>
    <n v="-23.171305788748441"/>
    <n v="-46.925636517225662"/>
    <n v="622.79"/>
    <n v="3.88"/>
    <n v="40"/>
    <m/>
    <n v="0"/>
    <s v="Trator 1.7m"/>
    <m/>
    <s v="Não"/>
    <s v="Não"/>
    <s v="Não"/>
    <s v="Não"/>
    <n v="249.11599999999999"/>
    <n v="249.11599999999999"/>
  </r>
  <r>
    <s v="VGSP-330_062,000_ES_CL2"/>
    <x v="0"/>
    <s v="62,000"/>
    <m/>
    <s v="62,500"/>
    <m/>
    <x v="0"/>
    <s v="S"/>
    <n v="-23.17291718208547"/>
    <n v="-46.925438332376928"/>
    <n v="497.38"/>
    <n v="5.08"/>
    <n v="40"/>
    <m/>
    <n v="0"/>
    <s v="Trator 1.7m"/>
    <m/>
    <s v="Não"/>
    <s v="Não"/>
    <s v="Não"/>
    <s v="Não"/>
    <n v="198.952"/>
    <n v="198.952"/>
  </r>
  <r>
    <s v="VGSP-330_062,000_ES_CL8"/>
    <x v="0"/>
    <s v="62,000"/>
    <m/>
    <s v="62,500"/>
    <m/>
    <x v="0"/>
    <s v="S"/>
    <n v="-23.17169397464896"/>
    <n v="-46.924024728972611"/>
    <n v="6845.82"/>
    <n v="3.01"/>
    <n v="40"/>
    <m/>
    <n v="0"/>
    <s v="Trator 1.7m"/>
    <m/>
    <s v="Não"/>
    <s v="Não"/>
    <s v="Não"/>
    <s v="Não"/>
    <n v="2738.328"/>
    <n v="2738.328"/>
  </r>
  <r>
    <s v="VGSP-330_062,000_CC1"/>
    <x v="76"/>
    <s v="62,000"/>
    <m/>
    <s v="62,500"/>
    <m/>
    <x v="1"/>
    <s v="C"/>
    <n v="-23.171639800278729"/>
    <n v="-46.922436082220287"/>
    <n v="4942.1499999999996"/>
    <n v="2.7"/>
    <n v="60"/>
    <m/>
    <n v="0"/>
    <s v="Trator 1.7m"/>
    <m/>
    <s v="Não"/>
    <s v="Não"/>
    <s v="Não"/>
    <s v="Não"/>
    <n v="2965.2899999999995"/>
    <n v="2965.2899999999995"/>
  </r>
  <r>
    <s v="VGSP-348_062,000_ES_CL3"/>
    <x v="0"/>
    <s v="62,000"/>
    <m/>
    <s v="62,500"/>
    <m/>
    <x v="0"/>
    <s v="S"/>
    <n v="-23.16264924611675"/>
    <n v="-46.948046460622308"/>
    <n v="863.01"/>
    <n v="4.99"/>
    <n v="20"/>
    <m/>
    <n v="0"/>
    <s v="Trator 1.7m"/>
    <m/>
    <s v="Não"/>
    <s v="Não"/>
    <s v="Não"/>
    <s v="Não"/>
    <n v="172.602"/>
    <n v="172.602"/>
  </r>
  <r>
    <s v="VGSP-330_062,000_ES_CL9"/>
    <x v="0"/>
    <s v="62,000"/>
    <m/>
    <s v="62,500"/>
    <m/>
    <x v="0"/>
    <s v="S"/>
    <n v="-23.17185904198368"/>
    <n v="-46.925353411767183"/>
    <n v="4094.92"/>
    <n v="4.7"/>
    <n v="40"/>
    <m/>
    <n v="0"/>
    <s v="Trator 1.7m"/>
    <m/>
    <s v="Não"/>
    <s v="Não"/>
    <s v="Não"/>
    <s v="Não"/>
    <n v="1637.9680000000001"/>
    <n v="1637.9680000000001"/>
  </r>
  <r>
    <s v="VGSP-348_062,000_ES_CL1"/>
    <x v="0"/>
    <s v="62,000"/>
    <m/>
    <s v="62,500"/>
    <m/>
    <x v="0"/>
    <s v="S"/>
    <n v="-23.164671236490278"/>
    <n v="-46.945838070148511"/>
    <n v="394.88"/>
    <n v="1.97"/>
    <n v="20"/>
    <m/>
    <n v="0"/>
    <s v="Trator 1.7m"/>
    <m/>
    <s v="Não"/>
    <s v="Não"/>
    <s v="Não"/>
    <s v="Não"/>
    <n v="78.975999999999999"/>
    <n v="78.975999999999999"/>
  </r>
  <r>
    <s v="VGSP-330_062,000_CC3"/>
    <x v="76"/>
    <s v="62,000"/>
    <m/>
    <s v="62,500"/>
    <m/>
    <x v="1"/>
    <s v="C"/>
    <n v="-23.171119189663461"/>
    <n v="-46.924738148284582"/>
    <n v="6855.58"/>
    <n v="4.83"/>
    <n v="40"/>
    <m/>
    <n v="0"/>
    <s v="Trator 1.7m"/>
    <m/>
    <s v="Não"/>
    <s v="Não"/>
    <s v="Não"/>
    <s v="Não"/>
    <n v="2742.232"/>
    <n v="2742.232"/>
  </r>
  <r>
    <s v="VGSP-330_062,000_ES_CL7"/>
    <x v="0"/>
    <s v="62,000"/>
    <m/>
    <s v="62,500"/>
    <m/>
    <x v="0"/>
    <s v="S"/>
    <n v="-23.172246338385388"/>
    <n v="-46.924747604503267"/>
    <n v="4315"/>
    <n v="3.98"/>
    <n v="40"/>
    <m/>
    <n v="0"/>
    <s v="Trator 1.7m"/>
    <m/>
    <s v="Não"/>
    <s v="Não"/>
    <s v="Não"/>
    <s v="Não"/>
    <n v="1726"/>
    <n v="1726"/>
  </r>
  <r>
    <s v="VGSP-330_062,000_CC4"/>
    <x v="76"/>
    <s v="62,000"/>
    <m/>
    <s v="62,500"/>
    <m/>
    <x v="1"/>
    <s v="C"/>
    <n v="-23.170280316492729"/>
    <n v="-46.92546411139579"/>
    <n v="10667.78"/>
    <n v="4.95"/>
    <n v="40"/>
    <m/>
    <n v="0"/>
    <s v="Trator 1.7m"/>
    <m/>
    <s v="Não"/>
    <s v="Não"/>
    <s v="Não"/>
    <s v="Não"/>
    <n v="4267.1120000000001"/>
    <n v="4267.1120000000001"/>
  </r>
  <r>
    <s v="VGSP-330_062,000_ES_CL5"/>
    <x v="0"/>
    <s v="62,000"/>
    <m/>
    <s v="62,500"/>
    <m/>
    <x v="0"/>
    <s v="S"/>
    <n v="-23.172583358087511"/>
    <n v="-46.923650224586943"/>
    <n v="1884.93"/>
    <n v="4.28"/>
    <n v="40"/>
    <m/>
    <n v="0"/>
    <s v="Trator 1.7m"/>
    <m/>
    <s v="Não"/>
    <s v="Não"/>
    <s v="Não"/>
    <s v="Não"/>
    <n v="753.97200000000009"/>
    <n v="753.97200000000009"/>
  </r>
  <r>
    <s v="VGSP-348_062,000_CC1"/>
    <x v="75"/>
    <s v="62,000"/>
    <m/>
    <s v="62,500"/>
    <n v="0.5"/>
    <x v="1"/>
    <s v="C"/>
    <n v="-23.164464368294421"/>
    <n v="-46.945603097786183"/>
    <n v="2815.15"/>
    <n v="2.5099999999999998"/>
    <n v="90"/>
    <m/>
    <n v="0"/>
    <s v="Eixo-zero"/>
    <m/>
    <s v="Não"/>
    <s v="Não"/>
    <s v="Não"/>
    <s v="Não"/>
    <n v="2533.6350000000002"/>
    <n v="2533.6350000000002"/>
  </r>
  <r>
    <s v="VGSP-330_062,000_ES_CL6"/>
    <x v="0"/>
    <s v="62,000"/>
    <m/>
    <s v="62,500"/>
    <m/>
    <x v="0"/>
    <s v="S"/>
    <n v="-23.172558822893819"/>
    <n v="-46.924347394256714"/>
    <n v="172.44"/>
    <n v="3.37"/>
    <n v="40"/>
    <m/>
    <n v="0"/>
    <s v="Trator 1.7m"/>
    <m/>
    <s v="Não"/>
    <s v="Não"/>
    <s v="Não"/>
    <s v="Não"/>
    <n v="68.975999999999999"/>
    <n v="68.975999999999999"/>
  </r>
  <r>
    <s v="VGSP-330_062,000_EN_CL2"/>
    <x v="0"/>
    <s v="62,000"/>
    <m/>
    <s v="62,500"/>
    <m/>
    <x v="0"/>
    <s v="N"/>
    <n v="-23.171857784571969"/>
    <n v="-46.922110710242883"/>
    <n v="1723.51"/>
    <n v="3.92"/>
    <n v="0"/>
    <m/>
    <n v="0"/>
    <m/>
    <m/>
    <s v="Não"/>
    <s v="Não"/>
    <s v="Não"/>
    <s v="Não"/>
    <n v="0"/>
    <n v="0"/>
  </r>
  <r>
    <s v="VGSP-330_062,000_EN_CL6"/>
    <x v="0"/>
    <s v="62,000"/>
    <m/>
    <s v="62,500"/>
    <m/>
    <x v="0"/>
    <s v="N"/>
    <n v="-23.167349717489628"/>
    <n v="-46.927231721003949"/>
    <n v="6636.18"/>
    <n v="2.2400000000000002"/>
    <n v="0"/>
    <m/>
    <n v="0"/>
    <m/>
    <m/>
    <s v="Não"/>
    <s v="Não"/>
    <s v="Não"/>
    <s v="Não"/>
    <n v="0"/>
    <n v="0"/>
  </r>
  <r>
    <s v="VGSP-348_062,000_EN_CL1"/>
    <x v="0"/>
    <s v="62,000"/>
    <m/>
    <s v="62,500"/>
    <m/>
    <x v="0"/>
    <s v="N"/>
    <n v="-23.164269361240979"/>
    <n v="-46.94535523451475"/>
    <n v="340.96"/>
    <n v="3.83"/>
    <n v="0"/>
    <m/>
    <n v="0"/>
    <m/>
    <m/>
    <s v="Não"/>
    <s v="Não"/>
    <s v="Não"/>
    <s v="Não"/>
    <n v="0"/>
    <n v="0"/>
  </r>
  <r>
    <s v="VGSP-348_062,000_ES_CL2"/>
    <x v="0"/>
    <s v="62,000"/>
    <m/>
    <s v="62,500"/>
    <m/>
    <x v="0"/>
    <s v="S"/>
    <n v="-23.160378526308261"/>
    <n v="-46.950564454200659"/>
    <n v="2018.73"/>
    <n v="4.09"/>
    <n v="70"/>
    <m/>
    <n v="0"/>
    <s v="Trator 1.7m"/>
    <m/>
    <s v="Não"/>
    <s v="Não"/>
    <s v="Não"/>
    <s v="Não"/>
    <n v="1413.1109999999999"/>
    <n v="1413.1109999999999"/>
  </r>
  <r>
    <s v="VGSP-330_062,000_ES_CL1"/>
    <x v="0"/>
    <s v="62,000"/>
    <m/>
    <s v="62,500"/>
    <m/>
    <x v="0"/>
    <s v="S"/>
    <n v="-23.17275376043089"/>
    <n v="-46.923404634838107"/>
    <n v="786.25"/>
    <n v="5.18"/>
    <n v="40"/>
    <m/>
    <n v="0"/>
    <s v="Trator 1.7m"/>
    <m/>
    <s v="Não"/>
    <s v="Não"/>
    <s v="Não"/>
    <s v="Não"/>
    <n v="314.5"/>
    <n v="314.5"/>
  </r>
  <r>
    <s v="VGSP-330_062,000_ES_CL3"/>
    <x v="0"/>
    <s v="62,000"/>
    <m/>
    <s v="62,500"/>
    <m/>
    <x v="0"/>
    <s v="S"/>
    <n v="-23.17272662907072"/>
    <n v="-46.925968813136478"/>
    <n v="211.79"/>
    <n v="5.18"/>
    <n v="40"/>
    <m/>
    <n v="0"/>
    <s v="Trator 1.7m"/>
    <m/>
    <s v="Não"/>
    <s v="Não"/>
    <s v="Não"/>
    <s v="Não"/>
    <n v="84.716000000000008"/>
    <n v="84.716000000000008"/>
  </r>
  <r>
    <s v="VGSP-330_062,000_ES_CL13"/>
    <x v="0"/>
    <s v="62,000"/>
    <m/>
    <s v="62,500"/>
    <m/>
    <x v="0"/>
    <s v="S"/>
    <n v="-23.169840791072161"/>
    <n v="-46.926157325207583"/>
    <n v="564.94000000000005"/>
    <n v="3.56"/>
    <n v="40"/>
    <m/>
    <n v="0"/>
    <s v="Trator 1.7m"/>
    <m/>
    <s v="Não"/>
    <s v="Não"/>
    <s v="Não"/>
    <s v="Não"/>
    <n v="225.97600000000003"/>
    <n v="225.97600000000003"/>
  </r>
  <r>
    <s v="VGSP-330_062,000_EN_CL3"/>
    <x v="0"/>
    <s v="62,000"/>
    <m/>
    <s v="62,500"/>
    <m/>
    <x v="0"/>
    <s v="N"/>
    <n v="-23.170698725293441"/>
    <n v="-46.922319085505073"/>
    <n v="6829.49"/>
    <n v="5.64"/>
    <n v="60"/>
    <m/>
    <n v="0"/>
    <s v="Trator 1.7m"/>
    <m/>
    <s v="Não"/>
    <s v="Não"/>
    <s v="Não"/>
    <s v="Não"/>
    <n v="4097.6939999999995"/>
    <n v="4097.6939999999995"/>
  </r>
  <r>
    <s v="VGSP-330_062,000_ES_CL11"/>
    <x v="0"/>
    <s v="62,000"/>
    <m/>
    <s v="62,500"/>
    <m/>
    <x v="0"/>
    <s v="S"/>
    <n v="-23.168047109831139"/>
    <n v="-46.927178290439159"/>
    <n v="4382.2299999999996"/>
    <n v="2.92"/>
    <n v="0"/>
    <m/>
    <n v="0"/>
    <m/>
    <m/>
    <s v="Não"/>
    <s v="Não"/>
    <s v="Não"/>
    <s v="Não"/>
    <n v="0"/>
    <n v="0"/>
  </r>
  <r>
    <s v="VGSP-348_063,000_ES_CL4"/>
    <x v="0"/>
    <s v="63,000"/>
    <m/>
    <s v="63,500"/>
    <m/>
    <x v="0"/>
    <s v="S"/>
    <n v="-23.1521732169813"/>
    <n v="-46.958740043374938"/>
    <n v="488.58"/>
    <n v="3.63"/>
    <n v="60"/>
    <m/>
    <n v="0"/>
    <s v="Trator 1.7m"/>
    <m/>
    <s v="Não"/>
    <s v="Não"/>
    <s v="Não"/>
    <s v="Não"/>
    <n v="293.14799999999997"/>
    <n v="293.14799999999997"/>
  </r>
  <r>
    <s v="VGSP-348_063,000_CC3"/>
    <x v="77"/>
    <s v="63,000"/>
    <m/>
    <s v="63,500"/>
    <n v="0.5"/>
    <x v="1"/>
    <s v="C"/>
    <n v="-23.15632488416562"/>
    <n v="-46.954535338706087"/>
    <n v="8558.8799999999992"/>
    <n v="3.52"/>
    <n v="90"/>
    <m/>
    <n v="0"/>
    <s v="Eixo-zero"/>
    <m/>
    <s v="Não"/>
    <s v="Não"/>
    <s v="Não"/>
    <s v="Não"/>
    <n v="7702.9919999999993"/>
    <n v="7702.9919999999993"/>
  </r>
  <r>
    <s v="VGSP-348_063,000_ES_CL3"/>
    <x v="0"/>
    <s v="63,000"/>
    <m/>
    <s v="63,500"/>
    <m/>
    <x v="0"/>
    <s v="S"/>
    <n v="-23.153826826398891"/>
    <n v="-46.95730981356072"/>
    <n v="2139.73"/>
    <n v="5.08"/>
    <n v="60"/>
    <m/>
    <n v="0"/>
    <s v="Trator 1.7m"/>
    <m/>
    <s v="Não"/>
    <s v="Não"/>
    <s v="Não"/>
    <s v="Não"/>
    <n v="1283.838"/>
    <n v="1283.838"/>
  </r>
  <r>
    <s v="VGSP-300_063,000_EO_CL5"/>
    <x v="0"/>
    <s v="63,000"/>
    <m/>
    <s v="63,500"/>
    <m/>
    <x v="0"/>
    <s v="O"/>
    <n v="-23.17309282624111"/>
    <n v="-46.93110098600858"/>
    <n v="94.38"/>
    <n v="3.74"/>
    <n v="40"/>
    <m/>
    <n v="0"/>
    <s v="Trator 1.7m"/>
    <m/>
    <s v="Não"/>
    <s v="Não"/>
    <s v="Não"/>
    <s v="Não"/>
    <n v="37.752000000000002"/>
    <n v="37.752000000000002"/>
  </r>
  <r>
    <s v="VGSP-300_063,000_EL_CL3"/>
    <x v="0"/>
    <s v="63,000"/>
    <m/>
    <s v="63,500"/>
    <m/>
    <x v="0"/>
    <s v="L"/>
    <n v="-23.173147000240611"/>
    <n v="-46.932648123954678"/>
    <n v="1120.8900000000001"/>
    <n v="9.16"/>
    <n v="50"/>
    <m/>
    <n v="0"/>
    <s v="Trator 1.7m"/>
    <m/>
    <s v="Não"/>
    <s v="Não"/>
    <s v="Não"/>
    <s v="Não"/>
    <n v="560.44500000000005"/>
    <n v="560.44500000000005"/>
  </r>
  <r>
    <s v="VGSP-300_063,000_EL_CL4"/>
    <x v="0"/>
    <s v="63,000"/>
    <m/>
    <s v="63,500"/>
    <m/>
    <x v="0"/>
    <s v="L"/>
    <n v="-23.17336256204182"/>
    <n v="-46.931164592401629"/>
    <n v="109.52"/>
    <n v="4.42"/>
    <n v="40"/>
    <m/>
    <n v="0"/>
    <s v="Trator 1.7m"/>
    <m/>
    <s v="Não"/>
    <s v="Não"/>
    <s v="Não"/>
    <s v="Não"/>
    <n v="43.808"/>
    <n v="43.808"/>
  </r>
  <r>
    <s v="VGSP-300_063,000_CC"/>
    <x v="78"/>
    <s v="63,000"/>
    <m/>
    <s v="63,500"/>
    <m/>
    <x v="1"/>
    <s v="C"/>
    <n v="-23.172550715479009"/>
    <n v="-46.936179548905812"/>
    <n v="1655.67"/>
    <n v="5.32"/>
    <n v="60"/>
    <m/>
    <n v="0"/>
    <s v="Trator 1.7m"/>
    <m/>
    <s v="Não"/>
    <s v="Não"/>
    <s v="Não"/>
    <s v="Não"/>
    <n v="993.40200000000004"/>
    <n v="993.40200000000004"/>
  </r>
  <r>
    <s v="VGSP-330_063,000_EN_CL2"/>
    <x v="0"/>
    <s v="63,000"/>
    <m/>
    <s v="63,500"/>
    <m/>
    <x v="0"/>
    <s v="N"/>
    <n v="-23.159467853228289"/>
    <n v="-46.932303714080668"/>
    <n v="2089.34"/>
    <n v="6.62"/>
    <n v="70"/>
    <m/>
    <n v="0"/>
    <s v="Trator 1.7m"/>
    <m/>
    <s v="Não"/>
    <s v="Não"/>
    <s v="Não"/>
    <s v="Não"/>
    <n v="1462.538"/>
    <n v="1462.538"/>
  </r>
  <r>
    <s v="VGSP-300_063,000_EL_CL2"/>
    <x v="0"/>
    <s v="63,000"/>
    <m/>
    <s v="63,500"/>
    <m/>
    <x v="0"/>
    <s v="L"/>
    <n v="-23.173677662910329"/>
    <n v="-46.928839451029887"/>
    <n v="1484.09"/>
    <n v="5.52"/>
    <n v="40"/>
    <m/>
    <n v="0"/>
    <s v="Trator 1.7m"/>
    <m/>
    <s v="Não"/>
    <s v="Não"/>
    <s v="Não"/>
    <s v="Não"/>
    <n v="593.63599999999997"/>
    <n v="593.63599999999997"/>
  </r>
  <r>
    <s v="VGSP-300_063,000_EL_CL1"/>
    <x v="0"/>
    <s v="63,000"/>
    <m/>
    <s v="63,500"/>
    <m/>
    <x v="0"/>
    <s v="L"/>
    <n v="-23.173525640499971"/>
    <n v="-46.926549648916257"/>
    <n v="440.39"/>
    <n v="5.91"/>
    <n v="0"/>
    <m/>
    <n v="0"/>
    <m/>
    <m/>
    <s v="Não"/>
    <s v="Não"/>
    <s v="Não"/>
    <s v="Não"/>
    <n v="0"/>
    <n v="0"/>
  </r>
  <r>
    <s v="VGSP-348_063,000_ES_CL2"/>
    <x v="0"/>
    <s v="63,000"/>
    <m/>
    <s v="63,500"/>
    <m/>
    <x v="0"/>
    <s v="S"/>
    <n v="-23.156600781016159"/>
    <n v="-46.954702246811863"/>
    <n v="1120.02"/>
    <n v="3.57"/>
    <n v="70"/>
    <m/>
    <n v="0"/>
    <s v="Trator 1.7m"/>
    <m/>
    <s v="Não"/>
    <s v="Não"/>
    <s v="Não"/>
    <s v="Não"/>
    <n v="784.0139999999999"/>
    <n v="784.0139999999999"/>
  </r>
  <r>
    <s v="VGSP-300_063,000_EO_CL1"/>
    <x v="0"/>
    <s v="63,000"/>
    <m/>
    <s v="63,500"/>
    <m/>
    <x v="0"/>
    <s v="O"/>
    <n v="-23.173423302857859"/>
    <n v="-46.928587452292312"/>
    <n v="1150.81"/>
    <n v="4.6500000000000004"/>
    <n v="40"/>
    <m/>
    <n v="0"/>
    <s v="Trator 1.7m"/>
    <m/>
    <s v="Não"/>
    <s v="Não"/>
    <s v="Não"/>
    <s v="Não"/>
    <n v="460.32400000000001"/>
    <n v="460.32400000000001"/>
  </r>
  <r>
    <s v="VGSP-300_063,000_EO_CL4"/>
    <x v="0"/>
    <s v="63,000"/>
    <m/>
    <s v="63,500"/>
    <m/>
    <x v="0"/>
    <s v="O"/>
    <n v="-23.172867654257139"/>
    <n v="-46.932457201638577"/>
    <n v="1034.8599999999999"/>
    <n v="10.93"/>
    <n v="50"/>
    <m/>
    <n v="0"/>
    <s v="Trator 1.7m"/>
    <m/>
    <s v="Não"/>
    <s v="Não"/>
    <s v="Não"/>
    <s v="Não"/>
    <n v="517.42999999999995"/>
    <n v="517.42999999999995"/>
  </r>
  <r>
    <s v="VGSP-330_063,000_EN_CL1"/>
    <x v="0"/>
    <s v="63,000"/>
    <m/>
    <s v="63,500"/>
    <m/>
    <x v="0"/>
    <s v="N"/>
    <n v="-23.164751011906912"/>
    <n v="-46.92912682109619"/>
    <n v="830.02"/>
    <n v="3"/>
    <n v="0"/>
    <m/>
    <n v="0"/>
    <m/>
    <m/>
    <s v="Não"/>
    <s v="Não"/>
    <s v="Não"/>
    <s v="Não"/>
    <n v="0"/>
    <n v="0"/>
  </r>
  <r>
    <s v="VGSP-300_063,000_EO_CL3"/>
    <x v="0"/>
    <s v="63,000"/>
    <m/>
    <s v="63,500"/>
    <m/>
    <x v="0"/>
    <s v="O"/>
    <n v="-23.173204623382581"/>
    <n v="-46.930281460650562"/>
    <n v="323.52"/>
    <n v="4.21"/>
    <n v="40"/>
    <m/>
    <n v="0"/>
    <s v="Trator 1.7m"/>
    <m/>
    <s v="Não"/>
    <s v="Não"/>
    <s v="Não"/>
    <s v="Não"/>
    <n v="129.40799999999999"/>
    <n v="129.40799999999999"/>
  </r>
  <r>
    <s v="VGSP-300_063,000_EO_CL2"/>
    <x v="0"/>
    <s v="63,000"/>
    <m/>
    <s v="63,500"/>
    <m/>
    <x v="0"/>
    <s v="O"/>
    <n v="-23.1732487876371"/>
    <n v="-46.926701967499227"/>
    <n v="449.87"/>
    <n v="4.88"/>
    <n v="40"/>
    <m/>
    <n v="0"/>
    <s v="Trator 1.7m"/>
    <m/>
    <s v="Não"/>
    <s v="Não"/>
    <s v="Não"/>
    <s v="Não"/>
    <n v="179.94800000000001"/>
    <n v="179.94800000000001"/>
  </r>
  <r>
    <s v="VGSP-300_063,000_EL_CL5"/>
    <x v="0"/>
    <s v="63,000"/>
    <m/>
    <s v="63,500"/>
    <m/>
    <x v="0"/>
    <s v="L"/>
    <n v="-23.172820629051451"/>
    <n v="-46.934174701292868"/>
    <n v="749.44"/>
    <n v="9.91"/>
    <n v="60"/>
    <m/>
    <n v="0"/>
    <s v="Trator 1.7m"/>
    <m/>
    <s v="Não"/>
    <s v="Não"/>
    <s v="Não"/>
    <s v="Não"/>
    <n v="449.66400000000004"/>
    <n v="449.66400000000004"/>
  </r>
  <r>
    <s v="VGSP-348_063,000_EN_CL3"/>
    <x v="0"/>
    <s v="63,000"/>
    <m/>
    <s v="63,500"/>
    <m/>
    <x v="0"/>
    <s v="N"/>
    <n v="-23.156087314402139"/>
    <n v="-46.954319631856933"/>
    <n v="1696.43"/>
    <n v="3.59"/>
    <n v="30"/>
    <m/>
    <n v="0"/>
    <s v="Trator 1.7m"/>
    <m/>
    <s v="Não"/>
    <s v="Não"/>
    <s v="Não"/>
    <s v="Não"/>
    <n v="508.92899999999997"/>
    <n v="508.92899999999997"/>
  </r>
  <r>
    <s v="VGSP-348_063,000_CC2"/>
    <x v="77"/>
    <s v="63,000"/>
    <m/>
    <s v="63,500"/>
    <n v="0.5"/>
    <x v="1"/>
    <s v="C"/>
    <n v="-23.153590883774591"/>
    <n v="-46.957051688624503"/>
    <n v="15533.71"/>
    <n v="6.89"/>
    <n v="80"/>
    <m/>
    <n v="0"/>
    <s v="Eixo-zero"/>
    <m/>
    <s v="Não"/>
    <s v="Não"/>
    <s v="Não"/>
    <s v="Não"/>
    <n v="12426.968000000001"/>
    <n v="12426.968000000001"/>
  </r>
  <r>
    <s v="VGSP-348_063,000_EN_CL1"/>
    <x v="0"/>
    <s v="63,000"/>
    <m/>
    <s v="63,500"/>
    <m/>
    <x v="0"/>
    <s v="N"/>
    <n v="-23.157733561129429"/>
    <n v="-46.952603769941589"/>
    <n v="786.61"/>
    <n v="6.41"/>
    <n v="30"/>
    <m/>
    <n v="0"/>
    <s v="Trator 1.7m"/>
    <m/>
    <s v="Não"/>
    <s v="Não"/>
    <s v="Não"/>
    <s v="Não"/>
    <n v="235.983"/>
    <n v="235.983"/>
  </r>
  <r>
    <s v="VGSP-330_063,000_ES_CL2"/>
    <x v="0"/>
    <s v="63,000"/>
    <m/>
    <s v="63,500"/>
    <m/>
    <x v="0"/>
    <s v="S"/>
    <n v="-23.159609424682351"/>
    <n v="-46.932616233362403"/>
    <n v="2080.77"/>
    <n v="6.32"/>
    <n v="0"/>
    <m/>
    <n v="0"/>
    <m/>
    <m/>
    <s v="Não"/>
    <s v="Não"/>
    <s v="Não"/>
    <s v="Não"/>
    <n v="0"/>
    <n v="0"/>
  </r>
  <r>
    <s v="VGSP-330_063,000_ES_CL3"/>
    <x v="0"/>
    <s v="63,000"/>
    <m/>
    <s v="63,500"/>
    <m/>
    <x v="0"/>
    <s v="S"/>
    <n v="-23.162692970779968"/>
    <n v="-46.93076095699243"/>
    <n v="1045.92"/>
    <n v="4.53"/>
    <n v="0"/>
    <m/>
    <n v="0"/>
    <m/>
    <m/>
    <s v="Não"/>
    <s v="Não"/>
    <s v="Não"/>
    <s v="Não"/>
    <n v="0"/>
    <n v="0"/>
  </r>
  <r>
    <s v="VGSP-330_063,000_ES_CL1"/>
    <x v="0"/>
    <s v="63,000"/>
    <m/>
    <s v="63,500"/>
    <m/>
    <x v="0"/>
    <s v="S"/>
    <n v="-23.16481013932113"/>
    <n v="-46.929482300269257"/>
    <n v="721.5"/>
    <n v="4.3899999999999997"/>
    <n v="0"/>
    <m/>
    <n v="0"/>
    <m/>
    <m/>
    <s v="Não"/>
    <s v="Não"/>
    <s v="Não"/>
    <s v="Não"/>
    <n v="0"/>
    <n v="0"/>
  </r>
  <r>
    <s v="VGSP-348_063,000_EN_CL2"/>
    <x v="0"/>
    <s v="63,000"/>
    <m/>
    <s v="63,500"/>
    <m/>
    <x v="0"/>
    <s v="N"/>
    <n v="-23.153377914891529"/>
    <n v="-46.956826745797613"/>
    <n v="1970.71"/>
    <n v="9.34"/>
    <n v="50"/>
    <m/>
    <n v="0"/>
    <s v="Trator 1.7m"/>
    <m/>
    <s v="Não"/>
    <s v="Não"/>
    <s v="Não"/>
    <s v="Não"/>
    <n v="985.35500000000002"/>
    <n v="985.35500000000002"/>
  </r>
  <r>
    <s v="VGSP-348_063,000_CC1"/>
    <x v="77"/>
    <s v="63,000"/>
    <m/>
    <s v="63,500"/>
    <n v="0.5"/>
    <x v="1"/>
    <s v="C"/>
    <n v="-23.157983130121401"/>
    <n v="-46.952782054495728"/>
    <n v="5595.56"/>
    <n v="5.46"/>
    <n v="90"/>
    <m/>
    <n v="0"/>
    <s v="Eixo-zero"/>
    <m/>
    <s v="Não"/>
    <s v="Não"/>
    <s v="Não"/>
    <s v="Não"/>
    <n v="5036.0040000000008"/>
    <n v="5036.0040000000008"/>
  </r>
  <r>
    <s v="VGSP-348_063,000_ES_CL1"/>
    <x v="0"/>
    <s v="63,000"/>
    <m/>
    <s v="63,500"/>
    <m/>
    <x v="0"/>
    <s v="S"/>
    <n v="-23.158176549520739"/>
    <n v="-46.953024724568138"/>
    <n v="787.65"/>
    <n v="4.8899999999999997"/>
    <n v="70"/>
    <m/>
    <n v="0"/>
    <s v="Trator 1.7m"/>
    <m/>
    <s v="Não"/>
    <s v="Não"/>
    <s v="Não"/>
    <s v="Não"/>
    <n v="551.3549999999999"/>
    <n v="551.3549999999999"/>
  </r>
  <r>
    <s v="VGSP-330_063,000_EN_CL3"/>
    <x v="0"/>
    <s v="63,000"/>
    <m/>
    <s v="63,500"/>
    <m/>
    <x v="0"/>
    <s v="N"/>
    <n v="-23.162583140284831"/>
    <n v="-46.930425527690709"/>
    <n v="1072.3"/>
    <n v="3.49"/>
    <n v="0"/>
    <m/>
    <n v="0"/>
    <m/>
    <m/>
    <s v="Não"/>
    <s v="Não"/>
    <s v="Não"/>
    <s v="Não"/>
    <n v="0"/>
    <n v="0"/>
  </r>
  <r>
    <s v="VGSP-300_064,000_EL_CL2"/>
    <x v="0"/>
    <s v="64,000"/>
    <m/>
    <s v="64,500"/>
    <m/>
    <x v="0"/>
    <s v="L"/>
    <n v="-23.172670294818989"/>
    <n v="-46.947645872321999"/>
    <n v="472.7"/>
    <n v="10.9"/>
    <n v="0"/>
    <m/>
    <n v="0"/>
    <m/>
    <m/>
    <s v="Não"/>
    <s v="Não"/>
    <s v="Não"/>
    <s v="Não"/>
    <n v="0"/>
    <n v="0"/>
  </r>
  <r>
    <s v="VGSP-300_064,000_CC3"/>
    <x v="79"/>
    <s v="64,000"/>
    <m/>
    <s v="64,500"/>
    <m/>
    <x v="1"/>
    <s v="C"/>
    <n v="-23.17180076913559"/>
    <n v="-46.944666135975659"/>
    <n v="3516.61"/>
    <n v="2.34"/>
    <n v="60"/>
    <m/>
    <n v="0"/>
    <s v="Trator 1.7m"/>
    <m/>
    <s v="Não"/>
    <s v="Não"/>
    <s v="Não"/>
    <s v="Não"/>
    <n v="2109.9659999999999"/>
    <n v="2109.9659999999999"/>
  </r>
  <r>
    <s v="VGSP-348_064,000_EN_CL1"/>
    <x v="0"/>
    <s v="64,000"/>
    <m/>
    <s v="64,500"/>
    <m/>
    <x v="0"/>
    <s v="N"/>
    <n v="-23.146705441621631"/>
    <n v="-46.963653428533938"/>
    <n v="2101.46"/>
    <n v="7.8"/>
    <n v="50"/>
    <m/>
    <n v="0"/>
    <s v="Trator 1.7m"/>
    <m/>
    <s v="Não"/>
    <s v="Não"/>
    <s v="Não"/>
    <s v="Não"/>
    <n v="1050.73"/>
    <n v="1050.73"/>
  </r>
  <r>
    <s v="VGSP-300_064,000_EL_CL5"/>
    <x v="0"/>
    <s v="64,000"/>
    <m/>
    <s v="64,500"/>
    <m/>
    <x v="0"/>
    <s v="L"/>
    <n v="-23.172028481112491"/>
    <n v="-46.944882845802987"/>
    <n v="1836.96"/>
    <n v="2.84"/>
    <n v="0"/>
    <m/>
    <n v="0"/>
    <m/>
    <m/>
    <s v="Não"/>
    <s v="Não"/>
    <s v="Não"/>
    <s v="Não"/>
    <n v="0"/>
    <n v="0"/>
  </r>
  <r>
    <s v="VGSP-348_064,000_ES_CL6"/>
    <x v="0"/>
    <s v="64,000"/>
    <m/>
    <s v="64,500"/>
    <m/>
    <x v="0"/>
    <s v="S"/>
    <n v="-23.148477725351889"/>
    <n v="-46.9622689199023"/>
    <n v="167.21"/>
    <n v="8.67"/>
    <n v="60"/>
    <m/>
    <n v="0"/>
    <s v="Trator 1.7m"/>
    <m/>
    <s v="Não"/>
    <s v="Não"/>
    <s v="Não"/>
    <s v="Não"/>
    <n v="100.32600000000001"/>
    <n v="100.32600000000001"/>
  </r>
  <r>
    <s v="VGSP-300_064,000_CC5"/>
    <x v="79"/>
    <s v="64,000"/>
    <m/>
    <s v="64,500"/>
    <m/>
    <x v="1"/>
    <s v="C"/>
    <n v="-23.171725227436738"/>
    <n v="-46.941724909948803"/>
    <n v="2321.2600000000002"/>
    <n v="4.51"/>
    <n v="60"/>
    <m/>
    <n v="0"/>
    <s v="Trator 1.7m"/>
    <m/>
    <s v="Não"/>
    <s v="Não"/>
    <s v="Não"/>
    <s v="Não"/>
    <n v="1392.7560000000001"/>
    <n v="1392.7560000000001"/>
  </r>
  <r>
    <s v="VGSP-300_064,000_EO_CL2"/>
    <x v="0"/>
    <s v="64,000"/>
    <m/>
    <s v="64,500"/>
    <m/>
    <x v="0"/>
    <s v="O"/>
    <n v="-23.172367419665871"/>
    <n v="-46.947680618709782"/>
    <n v="514.48"/>
    <n v="5.03"/>
    <n v="0"/>
    <m/>
    <n v="0"/>
    <m/>
    <m/>
    <s v="Não"/>
    <s v="Não"/>
    <s v="Não"/>
    <s v="Não"/>
    <n v="0"/>
    <n v="0"/>
  </r>
  <r>
    <s v="VGSP-330_064,000_ES_CL1"/>
    <x v="0"/>
    <s v="64,000"/>
    <m/>
    <s v="64,500"/>
    <m/>
    <x v="0"/>
    <s v="S"/>
    <n v="-23.155627284292351"/>
    <n v="-46.934722954289697"/>
    <n v="1850.53"/>
    <n v="7.17"/>
    <n v="0"/>
    <m/>
    <n v="0"/>
    <m/>
    <m/>
    <s v="Não"/>
    <s v="Não"/>
    <s v="Não"/>
    <s v="Não"/>
    <n v="0"/>
    <n v="0"/>
  </r>
  <r>
    <s v="VGSP-330_064,000_ES_CL2"/>
    <x v="0"/>
    <s v="64,000"/>
    <m/>
    <s v="64,500"/>
    <m/>
    <x v="0"/>
    <s v="S"/>
    <n v="-23.15230333783505"/>
    <n v="-46.936222622840909"/>
    <n v="1345.42"/>
    <n v="7.25"/>
    <n v="20"/>
    <m/>
    <n v="0"/>
    <s v="Trator 1.7m"/>
    <m/>
    <s v="Não"/>
    <s v="Não"/>
    <s v="Não"/>
    <s v="Não"/>
    <n v="269.084"/>
    <n v="269.084"/>
  </r>
  <r>
    <s v="VGSP-330_064,000_ES_CL3"/>
    <x v="0"/>
    <s v="64,000"/>
    <m/>
    <s v="64,500"/>
    <m/>
    <x v="0"/>
    <s v="S"/>
    <n v="-23.15060166222009"/>
    <n v="-46.936876022723347"/>
    <n v="895.69"/>
    <n v="5.21"/>
    <n v="20"/>
    <m/>
    <n v="0"/>
    <s v="Trator 1.7m"/>
    <m/>
    <s v="Não"/>
    <s v="Não"/>
    <s v="Não"/>
    <s v="Não"/>
    <n v="179.13800000000003"/>
    <n v="179.13800000000003"/>
  </r>
  <r>
    <s v="VGSP-300_064,000_EO_CL1"/>
    <x v="0"/>
    <s v="64,000"/>
    <m/>
    <s v="64,500"/>
    <m/>
    <x v="0"/>
    <s v="O"/>
    <n v="-23.171723110891971"/>
    <n v="-46.94547212189152"/>
    <n v="1388.26"/>
    <n v="2.14"/>
    <n v="0"/>
    <m/>
    <n v="0"/>
    <m/>
    <m/>
    <s v="Não"/>
    <s v="Não"/>
    <s v="Não"/>
    <s v="Não"/>
    <n v="0"/>
    <n v="0"/>
  </r>
  <r>
    <s v="VGSP-348_064,000_CC2"/>
    <x v="80"/>
    <s v="64,000"/>
    <m/>
    <s v="64,500"/>
    <n v="0.5"/>
    <x v="1"/>
    <s v="C"/>
    <n v="-23.146921330298909"/>
    <n v="-46.963865551499509"/>
    <n v="15503.49"/>
    <n v="5.59"/>
    <n v="70"/>
    <m/>
    <n v="0"/>
    <s v="Eixo-zero"/>
    <m/>
    <s v="Não"/>
    <s v="Não"/>
    <s v="Não"/>
    <s v="Não"/>
    <n v="10852.442999999999"/>
    <n v="10852.442999999999"/>
  </r>
  <r>
    <s v="VGSP-300_064,000_CC6"/>
    <x v="79"/>
    <s v="64,000"/>
    <m/>
    <s v="64,500"/>
    <m/>
    <x v="1"/>
    <s v="C"/>
    <n v="-23.17199248949473"/>
    <n v="-46.939773689735922"/>
    <n v="2203.75"/>
    <n v="4.6900000000000004"/>
    <n v="60"/>
    <m/>
    <n v="0"/>
    <s v="Trator 1.7m"/>
    <m/>
    <s v="Não"/>
    <s v="Não"/>
    <s v="Não"/>
    <s v="Não"/>
    <n v="1322.25"/>
    <n v="1322.25"/>
  </r>
  <r>
    <s v="VGSP-348_064,000_ES_CL7"/>
    <x v="0"/>
    <s v="64,000"/>
    <m/>
    <s v="64,500"/>
    <m/>
    <x v="0"/>
    <s v="S"/>
    <n v="-23.147159386551941"/>
    <n v="-46.964110032231048"/>
    <n v="2003.31"/>
    <n v="8.3800000000000008"/>
    <n v="40"/>
    <m/>
    <n v="0"/>
    <s v="Trator 1.7m"/>
    <m/>
    <s v="Não"/>
    <s v="Não"/>
    <s v="Não"/>
    <s v="Não"/>
    <n v="801.32400000000007"/>
    <n v="801.32400000000007"/>
  </r>
  <r>
    <s v="VGSP-348_064,000_ES_CL4"/>
    <x v="0"/>
    <s v="64,000"/>
    <m/>
    <s v="64,500"/>
    <m/>
    <x v="0"/>
    <s v="S"/>
    <n v="-23.14948876592802"/>
    <n v="-46.961443730580783"/>
    <n v="769.64"/>
    <n v="3.43"/>
    <n v="60"/>
    <m/>
    <n v="0"/>
    <s v="Trator 1.7m"/>
    <m/>
    <s v="Não"/>
    <s v="Não"/>
    <s v="Não"/>
    <s v="Não"/>
    <n v="461.78399999999999"/>
    <n v="461.78399999999999"/>
  </r>
  <r>
    <s v="VGSP-348_064,000_ES_CL3"/>
    <x v="0"/>
    <s v="64,000"/>
    <m/>
    <s v="64,500"/>
    <m/>
    <x v="0"/>
    <s v="S"/>
    <n v="-23.150763545119791"/>
    <n v="-46.960247500601866"/>
    <n v="834.87"/>
    <n v="2.2999999999999998"/>
    <n v="60"/>
    <m/>
    <n v="0"/>
    <s v="Trator 1.7m"/>
    <m/>
    <s v="Não"/>
    <s v="Não"/>
    <s v="Não"/>
    <s v="Não"/>
    <n v="500.92199999999997"/>
    <n v="500.92199999999997"/>
  </r>
  <r>
    <s v="VGSP-300_064,000_CC1"/>
    <x v="79"/>
    <s v="64,000"/>
    <m/>
    <s v="64,500"/>
    <m/>
    <x v="1"/>
    <s v="C"/>
    <n v="-23.172330683245349"/>
    <n v="-46.937543650740899"/>
    <n v="1359.95"/>
    <n v="4.13"/>
    <n v="60"/>
    <m/>
    <n v="0"/>
    <s v="Trator 1.7m"/>
    <m/>
    <s v="Não"/>
    <s v="Não"/>
    <s v="Não"/>
    <s v="Não"/>
    <n v="815.97"/>
    <n v="815.97"/>
  </r>
  <r>
    <s v="VGSP-348_064,000_CC1"/>
    <x v="80"/>
    <s v="64,000"/>
    <m/>
    <s v="64,500"/>
    <n v="0.5"/>
    <x v="1"/>
    <s v="C"/>
    <n v="-23.150069786219451"/>
    <n v="-46.960229267161871"/>
    <n v="15440.62"/>
    <n v="5.22"/>
    <n v="80"/>
    <m/>
    <n v="0"/>
    <s v="Eixo-zero"/>
    <m/>
    <s v="Não"/>
    <s v="Não"/>
    <s v="Não"/>
    <s v="Não"/>
    <n v="12352.496000000001"/>
    <n v="12352.496000000001"/>
  </r>
  <r>
    <s v="VGSP-300_064,000_EL_CL4"/>
    <x v="0"/>
    <s v="64,000"/>
    <m/>
    <s v="64,500"/>
    <m/>
    <x v="0"/>
    <s v="L"/>
    <n v="-23.17185175931796"/>
    <n v="-46.942641228965932"/>
    <n v="16.239999999999998"/>
    <n v="1.25"/>
    <n v="0"/>
    <m/>
    <n v="0"/>
    <m/>
    <m/>
    <s v="Não"/>
    <s v="Não"/>
    <s v="Não"/>
    <s v="Não"/>
    <n v="0"/>
    <n v="0"/>
  </r>
  <r>
    <s v="VGSP-330_064,000_EN_CL2"/>
    <x v="0"/>
    <s v="64,000"/>
    <m/>
    <s v="64,500"/>
    <m/>
    <x v="0"/>
    <s v="N"/>
    <n v="-23.151537342302241"/>
    <n v="-46.936098908712147"/>
    <n v="1918.29"/>
    <n v="5.58"/>
    <n v="70"/>
    <m/>
    <n v="0"/>
    <s v="Trator 1.7m"/>
    <m/>
    <s v="Não"/>
    <s v="Não"/>
    <s v="Não"/>
    <s v="Não"/>
    <n v="1342.8029999999999"/>
    <n v="1342.8029999999999"/>
  </r>
  <r>
    <s v="VGSP-330_064,000_EN_CL1"/>
    <x v="0"/>
    <s v="64,000"/>
    <m/>
    <s v="64,500"/>
    <m/>
    <x v="0"/>
    <s v="N"/>
    <n v="-23.155480758508709"/>
    <n v="-46.934379312964118"/>
    <n v="1850.36"/>
    <n v="7.74"/>
    <n v="70"/>
    <m/>
    <n v="0"/>
    <s v="Trator 1.7m"/>
    <m/>
    <s v="Não"/>
    <s v="Não"/>
    <s v="Não"/>
    <s v="Não"/>
    <n v="1295.252"/>
    <n v="1295.252"/>
  </r>
  <r>
    <s v="VGSP-300_064,000_EL_CL1"/>
    <x v="0"/>
    <s v="64,000"/>
    <m/>
    <s v="64,500"/>
    <m/>
    <x v="0"/>
    <s v="L"/>
    <n v="-23.172721414593031"/>
    <n v="-46.94729255871907"/>
    <n v="446.12"/>
    <n v="10.67"/>
    <n v="0"/>
    <m/>
    <n v="0"/>
    <m/>
    <m/>
    <s v="Não"/>
    <s v="Não"/>
    <s v="Não"/>
    <s v="Não"/>
    <n v="0"/>
    <n v="0"/>
  </r>
  <r>
    <s v="VGSP-348_064,000_ES_CL5"/>
    <x v="0"/>
    <s v="64,000"/>
    <m/>
    <s v="64,500"/>
    <m/>
    <x v="0"/>
    <s v="S"/>
    <n v="-23.149243533193879"/>
    <n v="-46.961447796004983"/>
    <n v="1646.64"/>
    <n v="3.93"/>
    <n v="60"/>
    <m/>
    <n v="0"/>
    <s v="Trator 1.7m"/>
    <m/>
    <s v="Não"/>
    <s v="Não"/>
    <s v="Não"/>
    <s v="Não"/>
    <n v="987.98400000000004"/>
    <n v="987.98400000000004"/>
  </r>
  <r>
    <s v="VGSP-348_064,000_ES_CL1"/>
    <x v="0"/>
    <s v="64,000"/>
    <m/>
    <s v="64,500"/>
    <m/>
    <x v="0"/>
    <s v="S"/>
    <n v="-23.151755648485938"/>
    <n v="-46.959363519738027"/>
    <n v="356.31"/>
    <n v="4.13"/>
    <n v="60"/>
    <m/>
    <n v="0"/>
    <s v="Trator 1.7m"/>
    <m/>
    <s v="Não"/>
    <s v="Não"/>
    <s v="Não"/>
    <s v="Não"/>
    <n v="213.786"/>
    <n v="213.786"/>
  </r>
  <r>
    <s v="VGSP-348_064,000_ES_CL2"/>
    <x v="0"/>
    <s v="64,000"/>
    <m/>
    <s v="64,500"/>
    <m/>
    <x v="0"/>
    <s v="S"/>
    <n v="-23.151090726079271"/>
    <n v="-46.959715143247607"/>
    <n v="2643.77"/>
    <n v="3.21"/>
    <n v="60"/>
    <m/>
    <n v="0"/>
    <s v="Trator 1.7m"/>
    <m/>
    <s v="Não"/>
    <s v="Não"/>
    <s v="Não"/>
    <s v="Não"/>
    <n v="1586.2619999999999"/>
    <n v="1586.2619999999999"/>
  </r>
  <r>
    <s v="VGSP-348_064,000_ES_CL8"/>
    <x v="0"/>
    <s v="64,000"/>
    <m/>
    <s v="64,500"/>
    <m/>
    <x v="0"/>
    <s v="S"/>
    <n v="-23.148828200544411"/>
    <n v="-46.962184145800698"/>
    <n v="172.4"/>
    <n v="9.1999999999999993"/>
    <n v="60"/>
    <m/>
    <n v="0"/>
    <s v="Trator 1.7m"/>
    <m/>
    <s v="Não"/>
    <s v="Não"/>
    <s v="Não"/>
    <s v="Não"/>
    <n v="103.44"/>
    <n v="103.44"/>
  </r>
  <r>
    <s v="VGSP-348_064,000_EN_CL2"/>
    <x v="0"/>
    <s v="64,000"/>
    <m/>
    <s v="64,500"/>
    <m/>
    <x v="0"/>
    <s v="N"/>
    <n v="-23.149892168066721"/>
    <n v="-46.959967073812336"/>
    <n v="2049.9"/>
    <n v="8.2200000000000006"/>
    <n v="50"/>
    <m/>
    <n v="0"/>
    <s v="Trator 1.7m"/>
    <m/>
    <s v="Não"/>
    <s v="Não"/>
    <s v="Não"/>
    <s v="Não"/>
    <n v="1024.95"/>
    <n v="1024.95"/>
  </r>
  <r>
    <s v="VGSP-300_064,000_EL_CL6"/>
    <x v="0"/>
    <s v="64,000"/>
    <m/>
    <s v="64,500"/>
    <m/>
    <x v="0"/>
    <s v="L"/>
    <n v="-23.172576502046869"/>
    <n v="-46.947055341834307"/>
    <n v="30.26"/>
    <n v="6.04"/>
    <n v="0"/>
    <m/>
    <n v="0"/>
    <m/>
    <m/>
    <s v="Não"/>
    <s v="Não"/>
    <s v="Não"/>
    <s v="Não"/>
    <n v="0"/>
    <n v="0"/>
  </r>
  <r>
    <s v="VGSP-300_064,000_CC4"/>
    <x v="79"/>
    <s v="64,000"/>
    <m/>
    <s v="64,500"/>
    <m/>
    <x v="1"/>
    <s v="C"/>
    <n v="-23.172500717777169"/>
    <n v="-46.947639285934933"/>
    <n v="662.79"/>
    <n v="8.48"/>
    <n v="60"/>
    <m/>
    <n v="0"/>
    <s v="Trator 1.7m"/>
    <m/>
    <s v="Não"/>
    <s v="Não"/>
    <s v="Não"/>
    <s v="Não"/>
    <n v="397.67399999999998"/>
    <n v="397.67399999999998"/>
  </r>
  <r>
    <s v="VGSP-300_064,000_CC2"/>
    <x v="79"/>
    <s v="64,000"/>
    <m/>
    <s v="64,500"/>
    <m/>
    <x v="1"/>
    <s v="C"/>
    <n v="-23.172182519234202"/>
    <n v="-46.938499292887577"/>
    <n v="469.52"/>
    <n v="4.03"/>
    <n v="60"/>
    <m/>
    <n v="0"/>
    <s v="Trator 1.7m"/>
    <m/>
    <s v="Não"/>
    <s v="Não"/>
    <s v="Não"/>
    <s v="Não"/>
    <n v="281.71199999999999"/>
    <n v="281.71199999999999"/>
  </r>
  <r>
    <s v="VGSP-300_064,000_EL_CL3"/>
    <x v="0"/>
    <s v="64,000"/>
    <m/>
    <s v="64,500"/>
    <m/>
    <x v="0"/>
    <s v="L"/>
    <n v="-23.172418496129179"/>
    <n v="-46.94700251116641"/>
    <n v="25.93"/>
    <n v="6.44"/>
    <n v="0"/>
    <m/>
    <n v="0"/>
    <m/>
    <m/>
    <s v="Não"/>
    <s v="Não"/>
    <s v="Não"/>
    <s v="Não"/>
    <n v="0"/>
    <n v="0"/>
  </r>
  <r>
    <s v="VGSP-348_065,000_EN_CL3"/>
    <x v="0"/>
    <s v="65,000"/>
    <m/>
    <s v="65,500"/>
    <m/>
    <x v="0"/>
    <s v="N"/>
    <n v="-23.141735340782631"/>
    <n v="-46.97223860720878"/>
    <n v="2145.96"/>
    <n v="4.04"/>
    <n v="60"/>
    <m/>
    <n v="0"/>
    <s v="Trator 1.7m"/>
    <m/>
    <s v="Não"/>
    <s v="Não"/>
    <s v="Não"/>
    <s v="Não"/>
    <n v="1287.576"/>
    <n v="1287.576"/>
  </r>
  <r>
    <s v="VGSP-348_065,000_EN_CL1"/>
    <x v="0"/>
    <s v="65,000"/>
    <m/>
    <s v="65,500"/>
    <m/>
    <x v="0"/>
    <s v="N"/>
    <n v="-23.145242973805161"/>
    <n v="-46.965938423228152"/>
    <n v="191.8"/>
    <n v="3.43"/>
    <n v="50"/>
    <m/>
    <n v="0"/>
    <s v="Trator 1.7m"/>
    <m/>
    <s v="Não"/>
    <s v="Não"/>
    <s v="Não"/>
    <s v="Não"/>
    <n v="95.9"/>
    <n v="95.9"/>
  </r>
  <r>
    <s v="VGSP-348_065,000_CC2"/>
    <x v="81"/>
    <s v="65,000"/>
    <m/>
    <s v="65,500"/>
    <n v="0.5"/>
    <x v="1"/>
    <s v="C"/>
    <n v="-23.14199444554195"/>
    <n v="-46.972396149014713"/>
    <n v="16520.66"/>
    <n v="3.99"/>
    <n v="80"/>
    <m/>
    <n v="0"/>
    <s v="Eixo-zero"/>
    <m/>
    <s v="Não"/>
    <s v="Não"/>
    <s v="Não"/>
    <s v="Não"/>
    <n v="13216.528"/>
    <n v="13216.528"/>
  </r>
  <r>
    <s v="VGSP-330_065,000_ES_CL3"/>
    <x v="0"/>
    <s v="65,000"/>
    <m/>
    <s v="65,500"/>
    <m/>
    <x v="0"/>
    <s v="S"/>
    <n v="-23.144730228437719"/>
    <n v="-46.939348138180769"/>
    <n v="25.8"/>
    <n v="2.78"/>
    <n v="0"/>
    <m/>
    <n v="0"/>
    <m/>
    <m/>
    <s v="Não"/>
    <s v="Não"/>
    <s v="Não"/>
    <s v="Não"/>
    <n v="0"/>
    <n v="0"/>
  </r>
  <r>
    <s v="VGSP-330_065,000_EN_CL1"/>
    <x v="0"/>
    <s v="65,000"/>
    <m/>
    <s v="65,500"/>
    <m/>
    <x v="0"/>
    <s v="N"/>
    <n v="-23.14893347342348"/>
    <n v="-46.937081400081617"/>
    <n v="532.17999999999995"/>
    <n v="4.2699999999999996"/>
    <n v="70"/>
    <m/>
    <n v="0"/>
    <s v="Trator 1.7m"/>
    <m/>
    <s v="Não"/>
    <s v="Não"/>
    <s v="Não"/>
    <s v="Não"/>
    <n v="372.52599999999995"/>
    <n v="372.52599999999995"/>
  </r>
  <r>
    <s v="VGSP-348_065,000_ES_CL2"/>
    <x v="0"/>
    <s v="65,000"/>
    <m/>
    <s v="65,500"/>
    <m/>
    <x v="0"/>
    <s v="S"/>
    <n v="-23.14221998148799"/>
    <n v="-46.972608773349563"/>
    <n v="2193.36"/>
    <n v="5.31"/>
    <n v="30"/>
    <m/>
    <n v="0"/>
    <s v="Trator 1.7m"/>
    <m/>
    <s v="Não"/>
    <s v="Não"/>
    <s v="Não"/>
    <s v="Não"/>
    <n v="658.00800000000004"/>
    <n v="658.00800000000004"/>
  </r>
  <r>
    <s v="VGSP-348_065,000_ES_CL3"/>
    <x v="0"/>
    <s v="65,000"/>
    <m/>
    <s v="65,500"/>
    <m/>
    <x v="0"/>
    <s v="S"/>
    <n v="-23.144492313131551"/>
    <n v="-46.968535985423628"/>
    <n v="1704.76"/>
    <n v="5.17"/>
    <n v="40"/>
    <m/>
    <n v="0"/>
    <s v="Trator 1.7m"/>
    <m/>
    <s v="Não"/>
    <s v="Não"/>
    <s v="Não"/>
    <s v="Não"/>
    <n v="681.904"/>
    <n v="681.904"/>
  </r>
  <r>
    <s v="VGSP-330_065,000_EN_CL3"/>
    <x v="0"/>
    <s v="65,000"/>
    <m/>
    <s v="65,500"/>
    <m/>
    <x v="0"/>
    <s v="N"/>
    <n v="-23.145656727267362"/>
    <n v="-46.938512530607582"/>
    <n v="867.65"/>
    <n v="6.69"/>
    <n v="0"/>
    <m/>
    <n v="0"/>
    <m/>
    <m/>
    <s v="Não"/>
    <s v="Não"/>
    <s v="Não"/>
    <s v="Não"/>
    <n v="0"/>
    <n v="0"/>
  </r>
  <r>
    <s v="VGSP-348_065,000_ES_CL1"/>
    <x v="0"/>
    <s v="65,000"/>
    <m/>
    <s v="65,500"/>
    <m/>
    <x v="0"/>
    <s v="S"/>
    <n v="-23.145675662334629"/>
    <n v="-46.966422602504281"/>
    <n v="311.64999999999998"/>
    <n v="5.54"/>
    <n v="40"/>
    <m/>
    <n v="0"/>
    <s v="Trator 1.7m"/>
    <m/>
    <s v="Não"/>
    <s v="Não"/>
    <s v="Não"/>
    <s v="Não"/>
    <n v="124.66"/>
    <n v="124.66"/>
  </r>
  <r>
    <s v="VGSP-348_065,000_CC1"/>
    <x v="81"/>
    <s v="65,000"/>
    <m/>
    <s v="65,500"/>
    <n v="0.5"/>
    <x v="1"/>
    <s v="C"/>
    <n v="-23.145482060801669"/>
    <n v="-46.966153333437369"/>
    <n v="1557.22"/>
    <n v="4.43"/>
    <n v="70"/>
    <m/>
    <n v="0"/>
    <s v="Eixo-zero"/>
    <m/>
    <s v="Não"/>
    <s v="Não"/>
    <s v="Não"/>
    <s v="Não"/>
    <n v="1090.0539999999999"/>
    <n v="1090.0539999999999"/>
  </r>
  <r>
    <s v="VGSP-348_065,000_EN_CL2"/>
    <x v="0"/>
    <s v="65,000"/>
    <m/>
    <s v="65,500"/>
    <m/>
    <x v="0"/>
    <s v="N"/>
    <n v="-23.14408019542191"/>
    <n v="-46.968034970866469"/>
    <n v="1877.39"/>
    <n v="4.84"/>
    <n v="50"/>
    <m/>
    <n v="0"/>
    <s v="Trator 1.7m"/>
    <m/>
    <s v="Não"/>
    <s v="Não"/>
    <s v="Não"/>
    <s v="Não"/>
    <n v="938.69500000000005"/>
    <n v="938.69500000000005"/>
  </r>
  <r>
    <s v="VGSP-330_065,000_EN_CL2"/>
    <x v="0"/>
    <s v="65,000"/>
    <m/>
    <s v="65,500"/>
    <m/>
    <x v="0"/>
    <s v="N"/>
    <n v="-23.147594358198031"/>
    <n v="-46.937728518809998"/>
    <n v="1693.71"/>
    <n v="4.63"/>
    <n v="0"/>
    <m/>
    <n v="0"/>
    <m/>
    <m/>
    <s v="Não"/>
    <s v="Não"/>
    <s v="Não"/>
    <s v="Não"/>
    <n v="0"/>
    <n v="0"/>
  </r>
  <r>
    <s v="VGSP-330_065,000_ES_CL1"/>
    <x v="0"/>
    <s v="65,000"/>
    <m/>
    <s v="65,500"/>
    <m/>
    <x v="0"/>
    <s v="S"/>
    <n v="-23.14770322101311"/>
    <n v="-46.938126487252561"/>
    <n v="1901.9"/>
    <n v="3.46"/>
    <n v="20"/>
    <m/>
    <n v="0"/>
    <s v="Trator 1.7m"/>
    <m/>
    <s v="Não"/>
    <s v="Não"/>
    <s v="Não"/>
    <s v="Não"/>
    <n v="380.38000000000005"/>
    <n v="380.38000000000005"/>
  </r>
  <r>
    <s v="VGSP-330_065,000_ES_CL2"/>
    <x v="0"/>
    <s v="65,000"/>
    <m/>
    <s v="65,500"/>
    <m/>
    <x v="0"/>
    <s v="S"/>
    <n v="-23.145560875959681"/>
    <n v="-46.939048108395532"/>
    <n v="638.4"/>
    <n v="4.84"/>
    <n v="20"/>
    <m/>
    <n v="0"/>
    <s v="Trator 1.7m"/>
    <m/>
    <s v="Não"/>
    <s v="Não"/>
    <s v="Não"/>
    <s v="Não"/>
    <n v="127.68"/>
    <n v="127.68"/>
  </r>
  <r>
    <s v="VGSP-348_065,000_CC3"/>
    <x v="81"/>
    <s v="65,000"/>
    <m/>
    <s v="65,500"/>
    <n v="0.5"/>
    <x v="1"/>
    <s v="C"/>
    <n v="-23.144265861426948"/>
    <n v="-46.96831471592732"/>
    <n v="13652.2"/>
    <n v="4.75"/>
    <n v="70"/>
    <m/>
    <n v="0"/>
    <s v="Eixo-zero"/>
    <m/>
    <s v="Não"/>
    <s v="Não"/>
    <s v="Não"/>
    <s v="Não"/>
    <n v="9556.5399999999991"/>
    <n v="9556.5399999999991"/>
  </r>
  <r>
    <s v="VGSP-330_065,000_EN_CL4"/>
    <x v="0"/>
    <s v="65,000"/>
    <m/>
    <s v="65,500"/>
    <m/>
    <x v="0"/>
    <s v="N"/>
    <n v="-23.142367205892761"/>
    <n v="-46.940111089091083"/>
    <n v="2211.36"/>
    <n v="6.25"/>
    <n v="0"/>
    <m/>
    <n v="0"/>
    <m/>
    <m/>
    <s v="Não"/>
    <s v="Não"/>
    <s v="Não"/>
    <s v="Não"/>
    <n v="0"/>
    <n v="0"/>
  </r>
  <r>
    <s v="VGSP-330_065,000_ES_CL4"/>
    <x v="0"/>
    <s v="65,000"/>
    <m/>
    <s v="65,500"/>
    <m/>
    <x v="0"/>
    <s v="S"/>
    <n v="-23.142470088156681"/>
    <n v="-46.940451179506347"/>
    <n v="2174.0300000000002"/>
    <n v="7.23"/>
    <n v="0"/>
    <m/>
    <n v="0"/>
    <m/>
    <m/>
    <s v="Não"/>
    <s v="Não"/>
    <s v="Não"/>
    <s v="Não"/>
    <n v="0"/>
    <n v="0"/>
  </r>
  <r>
    <s v="VGSP-348_066,000_ES_CL2"/>
    <x v="0"/>
    <s v="66,000"/>
    <m/>
    <s v="66,500"/>
    <m/>
    <x v="0"/>
    <s v="S"/>
    <n v="-23.13719862418867"/>
    <n v="-46.978399963925597"/>
    <n v="406"/>
    <n v="4.28"/>
    <n v="30"/>
    <m/>
    <n v="0"/>
    <s v="Trator 1.7m"/>
    <m/>
    <s v="Não"/>
    <s v="Não"/>
    <s v="Não"/>
    <s v="Não"/>
    <n v="121.8"/>
    <n v="121.8"/>
  </r>
  <r>
    <s v="VGSP-330_066,000_EN_CL2"/>
    <x v="0"/>
    <s v="66,000"/>
    <m/>
    <s v="66,500"/>
    <m/>
    <x v="0"/>
    <s v="N"/>
    <n v="-23.136135826747921"/>
    <n v="-46.944644643791086"/>
    <n v="644.25"/>
    <n v="5.62"/>
    <n v="0"/>
    <m/>
    <n v="0"/>
    <m/>
    <m/>
    <s v="Não"/>
    <s v="Não"/>
    <s v="Não"/>
    <s v="Não"/>
    <n v="0"/>
    <n v="0"/>
  </r>
  <r>
    <s v="VGSP-330_066,000_EN_CL3"/>
    <x v="0"/>
    <s v="66,000"/>
    <m/>
    <s v="66,500"/>
    <m/>
    <x v="0"/>
    <s v="N"/>
    <n v="-23.134873669911329"/>
    <n v="-46.945993085167693"/>
    <n v="2012.52"/>
    <n v="4.9400000000000004"/>
    <n v="0"/>
    <m/>
    <n v="0"/>
    <m/>
    <m/>
    <s v="Não"/>
    <s v="Não"/>
    <s v="Não"/>
    <s v="Não"/>
    <n v="0"/>
    <n v="0"/>
  </r>
  <r>
    <s v="VGSP-348_066,000_EN_CL3"/>
    <x v="0"/>
    <s v="66,000"/>
    <m/>
    <s v="66,500"/>
    <m/>
    <x v="0"/>
    <s v="N"/>
    <n v="-23.134691013730372"/>
    <n v="-46.978700305802818"/>
    <n v="1405.48"/>
    <n v="1.87"/>
    <n v="40"/>
    <m/>
    <n v="0"/>
    <s v="Trator 1.7m"/>
    <m/>
    <s v="Não"/>
    <s v="Não"/>
    <s v="Não"/>
    <s v="Não"/>
    <n v="562.19200000000001"/>
    <n v="562.19200000000001"/>
  </r>
  <r>
    <s v="VGSP-348_066,000_ES_CL1"/>
    <x v="0"/>
    <s v="66,000"/>
    <m/>
    <s v="66,500"/>
    <m/>
    <x v="0"/>
    <s v="S"/>
    <n v="-23.139405011766151"/>
    <n v="-46.976666401758372"/>
    <n v="1920.58"/>
    <n v="5.01"/>
    <n v="30"/>
    <m/>
    <n v="0"/>
    <s v="Trator 1.7m"/>
    <m/>
    <s v="Não"/>
    <s v="Não"/>
    <s v="Não"/>
    <s v="Não"/>
    <n v="576.17399999999998"/>
    <n v="576.17399999999998"/>
  </r>
  <r>
    <s v="VGSP-348_066,000_EN_CL2"/>
    <x v="0"/>
    <s v="66,000"/>
    <m/>
    <s v="66,500"/>
    <m/>
    <x v="0"/>
    <s v="N"/>
    <n v="-23.136733508014359"/>
    <n v="-46.977891947554568"/>
    <n v="619.82000000000005"/>
    <n v="3.09"/>
    <n v="40"/>
    <m/>
    <n v="0"/>
    <s v="Trator 1.7m"/>
    <m/>
    <s v="Não"/>
    <s v="Não"/>
    <s v="Não"/>
    <s v="Não"/>
    <n v="247.92800000000003"/>
    <n v="247.92800000000003"/>
  </r>
  <r>
    <s v="VGSP-348_066,000_CC2"/>
    <x v="82"/>
    <s v="66,000"/>
    <m/>
    <s v="66,500"/>
    <n v="0.5"/>
    <x v="1"/>
    <s v="C"/>
    <n v="-23.137043812115479"/>
    <n v="-46.978121607294177"/>
    <n v="3403.06"/>
    <n v="4.2"/>
    <n v="70"/>
    <m/>
    <n v="0"/>
    <s v="Eixo-zero"/>
    <m/>
    <s v="Não"/>
    <s v="Não"/>
    <s v="Não"/>
    <s v="Não"/>
    <n v="2382.1419999999998"/>
    <n v="2382.1419999999998"/>
  </r>
  <r>
    <s v="VGSP-348_066,000_EN_CL1"/>
    <x v="0"/>
    <s v="66,000"/>
    <m/>
    <s v="66,500"/>
    <m/>
    <x v="0"/>
    <s v="N"/>
    <n v="-23.13903529799915"/>
    <n v="-46.976172542548603"/>
    <n v="1901.59"/>
    <n v="6.93"/>
    <n v="60"/>
    <m/>
    <n v="0"/>
    <s v="Trator 1.7m"/>
    <m/>
    <s v="Não"/>
    <s v="Não"/>
    <s v="Não"/>
    <s v="Não"/>
    <n v="1140.954"/>
    <n v="1140.954"/>
  </r>
  <r>
    <s v="VGSP-330_066,000_ES_CL2"/>
    <x v="0"/>
    <s v="66,000"/>
    <m/>
    <s v="66,500"/>
    <m/>
    <x v="0"/>
    <s v="S"/>
    <n v="-23.135259043921032"/>
    <n v="-46.946125342694742"/>
    <n v="2056.58"/>
    <n v="7.15"/>
    <n v="0"/>
    <m/>
    <n v="0"/>
    <m/>
    <m/>
    <s v="Não"/>
    <s v="Não"/>
    <s v="Não"/>
    <s v="Não"/>
    <n v="0"/>
    <n v="0"/>
  </r>
  <r>
    <s v="VGSP-330_066,000_EN_CL1"/>
    <x v="0"/>
    <s v="66,000"/>
    <m/>
    <s v="66,500"/>
    <m/>
    <x v="0"/>
    <s v="N"/>
    <n v="-23.138414307807729"/>
    <n v="-46.942737760290122"/>
    <n v="1912.83"/>
    <n v="5.79"/>
    <n v="0"/>
    <m/>
    <n v="0"/>
    <m/>
    <m/>
    <s v="Não"/>
    <s v="Não"/>
    <s v="Não"/>
    <s v="Não"/>
    <n v="0"/>
    <n v="0"/>
  </r>
  <r>
    <s v="VGSP-330_066,000_ES_CL1"/>
    <x v="0"/>
    <s v="66,000"/>
    <m/>
    <s v="66,500"/>
    <m/>
    <x v="0"/>
    <s v="S"/>
    <n v="-23.138607053383211"/>
    <n v="-46.94301887670315"/>
    <n v="1856.26"/>
    <n v="5.44"/>
    <n v="0"/>
    <m/>
    <n v="0"/>
    <m/>
    <m/>
    <s v="Não"/>
    <s v="Não"/>
    <s v="Não"/>
    <s v="Não"/>
    <n v="0"/>
    <n v="0"/>
  </r>
  <r>
    <s v="VGSP-348_066,000_ES_CL3"/>
    <x v="0"/>
    <s v="66,000"/>
    <m/>
    <s v="66,500"/>
    <m/>
    <x v="0"/>
    <s v="S"/>
    <n v="-23.13510912337334"/>
    <n v="-46.979222910138482"/>
    <n v="1568.81"/>
    <n v="2.5"/>
    <n v="30"/>
    <m/>
    <n v="0"/>
    <s v="Trator 1.7m"/>
    <m/>
    <s v="Não"/>
    <s v="Não"/>
    <s v="Não"/>
    <s v="Não"/>
    <n v="470.64299999999997"/>
    <n v="470.64299999999997"/>
  </r>
  <r>
    <s v="VGSP-348_066,000_CC3"/>
    <x v="82"/>
    <s v="66,000"/>
    <m/>
    <s v="66,500"/>
    <n v="0.5"/>
    <x v="1"/>
    <s v="C"/>
    <n v="-23.134869477076709"/>
    <n v="-46.978968270796933"/>
    <n v="11035.98"/>
    <n v="2.14"/>
    <n v="70"/>
    <m/>
    <n v="0"/>
    <s v="Eixo-zero"/>
    <m/>
    <s v="Não"/>
    <s v="Não"/>
    <s v="Não"/>
    <s v="Não"/>
    <n v="7725.1859999999988"/>
    <n v="7725.1859999999988"/>
  </r>
  <r>
    <s v="VGSP-348_066,000_CC1"/>
    <x v="82"/>
    <s v="66,000"/>
    <m/>
    <s v="66,500"/>
    <n v="0.5"/>
    <x v="1"/>
    <s v="C"/>
    <n v="-23.1392105456063"/>
    <n v="-46.976430325659443"/>
    <n v="14641.03"/>
    <n v="5.23"/>
    <n v="80"/>
    <m/>
    <n v="0"/>
    <s v="Eixo-zero"/>
    <m/>
    <s v="Não"/>
    <s v="Não"/>
    <s v="Não"/>
    <s v="Não"/>
    <n v="11712.824000000001"/>
    <n v="11712.824000000001"/>
  </r>
  <r>
    <s v="VGSP-348_067,000_ES_CL1"/>
    <x v="0"/>
    <s v="67,000"/>
    <m/>
    <s v="67,500"/>
    <m/>
    <x v="0"/>
    <s v="S"/>
    <n v="-23.131479951998578"/>
    <n v="-46.980493223067491"/>
    <n v="1841.33"/>
    <n v="7.55"/>
    <n v="30"/>
    <m/>
    <n v="0"/>
    <s v="Trator 1.7m"/>
    <m/>
    <s v="Não"/>
    <s v="Não"/>
    <s v="Não"/>
    <s v="Não"/>
    <n v="552.399"/>
    <n v="552.399"/>
  </r>
  <r>
    <s v="VGSP-348_067,000_EN_CL2"/>
    <x v="0"/>
    <s v="67,000"/>
    <m/>
    <s v="67,500"/>
    <m/>
    <x v="0"/>
    <s v="N"/>
    <n v="-23.127355912565289"/>
    <n v="-46.982566405920053"/>
    <n v="2022.95"/>
    <n v="5.96"/>
    <n v="60"/>
    <m/>
    <n v="0"/>
    <s v="Trator 1.7m"/>
    <m/>
    <s v="Não"/>
    <s v="Não"/>
    <s v="Não"/>
    <s v="Não"/>
    <n v="1213.77"/>
    <n v="1213.77"/>
  </r>
  <r>
    <s v="VGSP-330_067,000_ES_CL2"/>
    <x v="0"/>
    <s v="67,000"/>
    <m/>
    <s v="67,500"/>
    <m/>
    <x v="0"/>
    <s v="S"/>
    <n v="-23.13044917401978"/>
    <n v="-46.950781704943473"/>
    <n v="69.069999999999993"/>
    <n v="4.26"/>
    <n v="0"/>
    <m/>
    <n v="0"/>
    <m/>
    <m/>
    <s v="Não"/>
    <s v="Não"/>
    <s v="Não"/>
    <s v="Não"/>
    <n v="0"/>
    <n v="0"/>
  </r>
  <r>
    <s v="VGSP-348_067,000_CC1"/>
    <x v="83"/>
    <s v="67,000"/>
    <m/>
    <s v="67,500"/>
    <n v="0.5"/>
    <x v="1"/>
    <s v="C"/>
    <n v="-23.13152152205706"/>
    <n v="-46.980125225294437"/>
    <n v="12778.69"/>
    <n v="5.42"/>
    <n v="70"/>
    <m/>
    <n v="0"/>
    <s v="Eixo-zero"/>
    <m/>
    <s v="Não"/>
    <s v="Não"/>
    <s v="Não"/>
    <s v="Não"/>
    <n v="8945.0830000000005"/>
    <n v="8945.0830000000005"/>
  </r>
  <r>
    <s v="VGSP-330_067,000_ES_CL1"/>
    <x v="0"/>
    <s v="67,000"/>
    <m/>
    <s v="67,500"/>
    <m/>
    <x v="0"/>
    <s v="S"/>
    <n v="-23.132014915301252"/>
    <n v="-46.949288220498808"/>
    <n v="1814.63"/>
    <n v="4.05"/>
    <n v="0"/>
    <m/>
    <n v="0"/>
    <m/>
    <m/>
    <s v="Não"/>
    <s v="Não"/>
    <s v="Não"/>
    <s v="Não"/>
    <n v="0"/>
    <n v="0"/>
  </r>
  <r>
    <s v="VGSP-348_067,000_CC2"/>
    <x v="83"/>
    <s v="67,000"/>
    <m/>
    <s v="67,500"/>
    <n v="0.5"/>
    <x v="1"/>
    <s v="C"/>
    <n v="-23.12750507307436"/>
    <n v="-46.982849370634383"/>
    <n v="15316.72"/>
    <n v="4.6100000000000003"/>
    <n v="80"/>
    <m/>
    <n v="0"/>
    <s v="Eixo-zero"/>
    <m/>
    <s v="Não"/>
    <s v="Não"/>
    <s v="Não"/>
    <s v="Não"/>
    <n v="12253.376"/>
    <n v="12253.376"/>
  </r>
  <r>
    <s v="VGSP-330_067,000_EN_CL2"/>
    <x v="0"/>
    <s v="67,000"/>
    <m/>
    <s v="67,500"/>
    <m/>
    <x v="0"/>
    <s v="N"/>
    <n v="-23.129703983404148"/>
    <n v="-46.950721598166673"/>
    <n v="2660.33"/>
    <n v="2.96"/>
    <n v="0"/>
    <m/>
    <n v="0"/>
    <m/>
    <m/>
    <s v="Não"/>
    <s v="Não"/>
    <s v="Não"/>
    <s v="Não"/>
    <n v="0"/>
    <n v="0"/>
  </r>
  <r>
    <s v="VGSP-330_067,000_ES_CL4"/>
    <x v="0"/>
    <s v="67,000"/>
    <m/>
    <s v="67,500"/>
    <m/>
    <x v="0"/>
    <s v="S"/>
    <n v="-23.12825674868694"/>
    <n v="-46.952109263566392"/>
    <n v="2066.09"/>
    <n v="6.29"/>
    <n v="60"/>
    <m/>
    <n v="0"/>
    <s v="Trator 1.7m"/>
    <m/>
    <s v="Não"/>
    <s v="Não"/>
    <s v="Não"/>
    <s v="Não"/>
    <n v="1239.654"/>
    <n v="1239.654"/>
  </r>
  <r>
    <s v="VGSP-330_067,000_EN_CL4"/>
    <x v="0"/>
    <s v="67,000"/>
    <m/>
    <s v="67,500"/>
    <m/>
    <x v="0"/>
    <s v="N"/>
    <n v="-23.127661058028789"/>
    <n v="-46.952047844269003"/>
    <n v="1608.23"/>
    <n v="5.55"/>
    <n v="0"/>
    <m/>
    <n v="0"/>
    <m/>
    <m/>
    <s v="Não"/>
    <s v="Não"/>
    <s v="Não"/>
    <s v="Não"/>
    <n v="0"/>
    <n v="0"/>
  </r>
  <r>
    <s v="VGSP-330_067,000_ES_CL3"/>
    <x v="0"/>
    <s v="67,000"/>
    <m/>
    <s v="67,500"/>
    <m/>
    <x v="0"/>
    <s v="S"/>
    <n v="-23.130502662470541"/>
    <n v="-46.950826968028338"/>
    <n v="2.75"/>
    <n v="5"/>
    <m/>
    <m/>
    <n v="0"/>
    <m/>
    <m/>
    <s v="Não"/>
    <s v="Não"/>
    <s v="Não"/>
    <s v="Não"/>
    <n v="0"/>
    <n v="0"/>
  </r>
  <r>
    <s v="VGSP-348_067,000_EN_CL3"/>
    <x v="0"/>
    <s v="67,000"/>
    <m/>
    <s v="67,500"/>
    <m/>
    <x v="0"/>
    <s v="N"/>
    <n v="-23.129635432439809"/>
    <n v="-46.979848269913447"/>
    <n v="1160.8499999999999"/>
    <n v="2.68"/>
    <n v="40"/>
    <m/>
    <n v="0"/>
    <s v="Trator 1.7m"/>
    <m/>
    <s v="Não"/>
    <s v="Não"/>
    <s v="Não"/>
    <s v="Não"/>
    <n v="464.34"/>
    <n v="464.34"/>
  </r>
  <r>
    <s v="VGSP-330_067,000_EN_CL1"/>
    <x v="0"/>
    <s v="67,000"/>
    <m/>
    <s v="67,500"/>
    <m/>
    <x v="0"/>
    <s v="N"/>
    <n v="-23.13198103046663"/>
    <n v="-46.948808449267787"/>
    <n v="1549.64"/>
    <n v="3.68"/>
    <n v="20"/>
    <m/>
    <n v="0"/>
    <s v="Trator com braço articulado"/>
    <m/>
    <s v="Não"/>
    <s v="Não"/>
    <s v="Não"/>
    <s v="Não"/>
    <n v="309.92800000000005"/>
    <n v="309.92800000000005"/>
  </r>
  <r>
    <s v="VGSP-348_067,000_ES_CL2"/>
    <x v="0"/>
    <s v="67,000"/>
    <m/>
    <s v="67,500"/>
    <m/>
    <x v="0"/>
    <s v="S"/>
    <n v="-23.127641145705422"/>
    <n v="-46.983137760853303"/>
    <n v="1951.03"/>
    <n v="4.8"/>
    <n v="80"/>
    <m/>
    <n v="0"/>
    <s v="Trator 1.7m"/>
    <m/>
    <s v="Não"/>
    <s v="Não"/>
    <s v="Não"/>
    <s v="Não"/>
    <n v="1560.8240000000001"/>
    <n v="1560.8240000000001"/>
  </r>
  <r>
    <s v="VGSP-330_067,000_EN_CL3"/>
    <x v="0"/>
    <s v="67,000"/>
    <m/>
    <s v="67,500"/>
    <m/>
    <x v="0"/>
    <s v="N"/>
    <n v="-23.130566124473841"/>
    <n v="-46.950075839695501"/>
    <n v="1114.1099999999999"/>
    <n v="2.59"/>
    <n v="20"/>
    <m/>
    <n v="0"/>
    <s v="Trator com braço articulado"/>
    <m/>
    <s v="Não"/>
    <s v="Não"/>
    <s v="Não"/>
    <s v="Não"/>
    <n v="222.822"/>
    <n v="222.822"/>
  </r>
  <r>
    <s v="VGSP-348_067,000_ES_CL3"/>
    <x v="0"/>
    <s v="67,000"/>
    <m/>
    <s v="67,500"/>
    <m/>
    <x v="0"/>
    <s v="S"/>
    <n v="-23.129521690909169"/>
    <n v="-46.98146413729711"/>
    <n v="293.10000000000002"/>
    <n v="4.8600000000000003"/>
    <n v="30"/>
    <m/>
    <n v="0"/>
    <s v="Trator 1.7m"/>
    <m/>
    <s v="Não"/>
    <s v="Não"/>
    <s v="Não"/>
    <s v="Não"/>
    <n v="87.93"/>
    <n v="87.93"/>
  </r>
  <r>
    <s v="VGSP-348_067,000_CC3"/>
    <x v="83"/>
    <s v="67,000"/>
    <m/>
    <s v="67,500"/>
    <n v="0.5"/>
    <x v="1"/>
    <s v="C"/>
    <n v="-23.12941094950213"/>
    <n v="-46.981107530370089"/>
    <n v="1811.3"/>
    <n v="2.83"/>
    <n v="70"/>
    <m/>
    <n v="0"/>
    <s v="Eixo-zero"/>
    <m/>
    <s v="Não"/>
    <s v="Não"/>
    <s v="Não"/>
    <s v="Não"/>
    <n v="1267.9099999999999"/>
    <n v="1267.9099999999999"/>
  </r>
  <r>
    <s v="VGSP-348_067,000_EN_CL1"/>
    <x v="0"/>
    <s v="67,000"/>
    <m/>
    <s v="67,500"/>
    <m/>
    <x v="0"/>
    <s v="N"/>
    <n v="-23.130923829536119"/>
    <n v="-46.979711442616463"/>
    <n v="2404.31"/>
    <n v="3.28"/>
    <n v="40"/>
    <m/>
    <n v="0"/>
    <s v="Trator 1.7m"/>
    <m/>
    <s v="Não"/>
    <s v="Não"/>
    <s v="Não"/>
    <s v="Não"/>
    <n v="961.72400000000005"/>
    <n v="961.72400000000005"/>
  </r>
  <r>
    <s v="VGSP-330_068,000_ES_CL3"/>
    <x v="0"/>
    <s v="68,000"/>
    <m/>
    <s v="68,500"/>
    <m/>
    <x v="0"/>
    <s v="S"/>
    <n v="-23.119607004187159"/>
    <n v="-46.955233002174253"/>
    <n v="1809.96"/>
    <n v="6.7"/>
    <n v="70"/>
    <m/>
    <n v="0"/>
    <s v="Trator 1.7m"/>
    <m/>
    <s v="Não"/>
    <s v="Não"/>
    <s v="Não"/>
    <s v="Não"/>
    <n v="1266.972"/>
    <n v="1266.972"/>
  </r>
  <r>
    <s v="VGSP-348_068,000_CC1"/>
    <x v="84"/>
    <s v="68,000"/>
    <m/>
    <s v="68,500"/>
    <n v="0.5"/>
    <x v="1"/>
    <s v="C"/>
    <n v="-23.12439002341679"/>
    <n v="-46.986306659713208"/>
    <n v="14902.68"/>
    <n v="3.75"/>
    <n v="80"/>
    <m/>
    <n v="0"/>
    <s v="Eixo-zero"/>
    <m/>
    <s v="Não"/>
    <s v="Não"/>
    <s v="Não"/>
    <s v="Não"/>
    <n v="11922.144"/>
    <n v="11922.144"/>
  </r>
  <r>
    <s v="VGSP-348_068,000_CC5"/>
    <x v="84"/>
    <s v="68,000"/>
    <m/>
    <s v="68,500"/>
    <n v="0.5"/>
    <x v="1"/>
    <s v="C"/>
    <n v="-23.121328154308401"/>
    <n v="-46.989774026307913"/>
    <n v="12538.4"/>
    <n v="3.97"/>
    <n v="80"/>
    <m/>
    <n v="0"/>
    <s v="Eixo-zero"/>
    <m/>
    <s v="Não"/>
    <s v="Não"/>
    <s v="Não"/>
    <s v="Não"/>
    <n v="10030.720000000001"/>
    <n v="10030.720000000001"/>
  </r>
  <r>
    <s v="VGSP-348_068,000_CC2"/>
    <x v="84"/>
    <s v="68,000"/>
    <m/>
    <s v="68,500"/>
    <n v="0.5"/>
    <x v="1"/>
    <s v="C"/>
    <n v="-23.12277993302412"/>
    <n v="-46.988132462606522"/>
    <n v="522.19000000000005"/>
    <n v="2.3199999999999998"/>
    <n v="0"/>
    <m/>
    <n v="0"/>
    <m/>
    <m/>
    <s v="Não"/>
    <s v="Não"/>
    <s v="Não"/>
    <s v="Não"/>
    <n v="0"/>
    <n v="0"/>
  </r>
  <r>
    <s v="VGSP-348_068,000_ES_CL1"/>
    <x v="0"/>
    <s v="68,000"/>
    <m/>
    <s v="68,500"/>
    <m/>
    <x v="0"/>
    <s v="S"/>
    <n v="-23.123381490307729"/>
    <n v="-46.988037950858349"/>
    <n v="2171.79"/>
    <n v="1.56"/>
    <n v="80"/>
    <m/>
    <n v="0"/>
    <s v="Trator 1.7m"/>
    <m/>
    <s v="Não"/>
    <s v="Não"/>
    <s v="Não"/>
    <s v="Não"/>
    <n v="1737.432"/>
    <n v="1737.432"/>
  </r>
  <r>
    <s v="VGSP-348_068,000_ES_CL2"/>
    <x v="0"/>
    <s v="68,000"/>
    <m/>
    <s v="68,500"/>
    <m/>
    <x v="0"/>
    <s v="S"/>
    <n v="-23.123037786208091"/>
    <n v="-46.988369737518653"/>
    <n v="158.76"/>
    <n v="2.93"/>
    <n v="60"/>
    <m/>
    <n v="0"/>
    <s v="Trator 1.7m"/>
    <m/>
    <s v="Não"/>
    <s v="Não"/>
    <s v="Não"/>
    <s v="Não"/>
    <n v="95.255999999999986"/>
    <n v="95.255999999999986"/>
  </r>
  <r>
    <s v="VGSP-348_068,000_EN_CL2"/>
    <x v="0"/>
    <s v="68,000"/>
    <m/>
    <s v="68,500"/>
    <m/>
    <x v="0"/>
    <s v="N"/>
    <n v="-23.124136947061039"/>
    <n v="-46.986009708822642"/>
    <n v="1992.09"/>
    <n v="5.5"/>
    <n v="60"/>
    <m/>
    <n v="0"/>
    <s v="Trator 1.7m"/>
    <m/>
    <s v="Não"/>
    <s v="Não"/>
    <s v="Não"/>
    <s v="Não"/>
    <n v="1195.2539999999999"/>
    <n v="1195.2539999999999"/>
  </r>
  <r>
    <s v="VGSP-348_068,000_EN_CL3"/>
    <x v="0"/>
    <s v="68,000"/>
    <m/>
    <s v="68,500"/>
    <m/>
    <x v="0"/>
    <s v="N"/>
    <n v="-23.123414109141461"/>
    <n v="-46.986957016707422"/>
    <n v="1108.98"/>
    <n v="2.8"/>
    <n v="60"/>
    <m/>
    <n v="0"/>
    <s v="Trator 1.7m"/>
    <m/>
    <s v="Não"/>
    <s v="Não"/>
    <s v="Não"/>
    <s v="Não"/>
    <n v="665.38800000000003"/>
    <n v="665.38800000000003"/>
  </r>
  <r>
    <s v="VGSP-348_068,000_EN_CL1"/>
    <x v="0"/>
    <s v="68,000"/>
    <m/>
    <s v="68,500"/>
    <m/>
    <x v="0"/>
    <s v="N"/>
    <n v="-23.122486293230839"/>
    <n v="-46.987777663197193"/>
    <n v="67.180000000000007"/>
    <n v="5.08"/>
    <n v="60"/>
    <m/>
    <n v="0"/>
    <s v="Trator 1.7m"/>
    <m/>
    <s v="Não"/>
    <s v="Não"/>
    <s v="Não"/>
    <s v="Não"/>
    <n v="40.308"/>
    <n v="40.308"/>
  </r>
  <r>
    <s v="VGSP-348_068,000_CC4"/>
    <x v="84"/>
    <s v="68,000"/>
    <m/>
    <s v="68,500"/>
    <n v="0.5"/>
    <x v="1"/>
    <s v="C"/>
    <n v="-23.12107399702413"/>
    <n v="-46.989589663365393"/>
    <n v="1969.09"/>
    <n v="3.53"/>
    <n v="50"/>
    <m/>
    <n v="0"/>
    <s v="Trator 1.7m"/>
    <m/>
    <s v="Não"/>
    <s v="Não"/>
    <s v="Não"/>
    <s v="Não"/>
    <n v="984.54499999999996"/>
    <n v="984.54499999999996"/>
  </r>
  <r>
    <s v="VGSP-348_068,000_EN_CL4"/>
    <x v="0"/>
    <s v="68,000"/>
    <m/>
    <s v="68,500"/>
    <m/>
    <x v="0"/>
    <s v="N"/>
    <n v="-23.122602345206609"/>
    <n v="-46.987880961479433"/>
    <n v="44.18"/>
    <n v="4.3499999999999996"/>
    <n v="60"/>
    <m/>
    <n v="0"/>
    <s v="Trator 1.7m"/>
    <m/>
    <s v="Não"/>
    <s v="Não"/>
    <s v="Não"/>
    <s v="Não"/>
    <n v="26.507999999999999"/>
    <n v="26.507999999999999"/>
  </r>
  <r>
    <s v="VGSP-330_068,000_EN_CL1"/>
    <x v="0"/>
    <s v="68,000"/>
    <m/>
    <s v="68,500"/>
    <m/>
    <x v="0"/>
    <s v="N"/>
    <n v="-23.125101866022298"/>
    <n v="-46.95320159757307"/>
    <n v="876.48"/>
    <n v="5.82"/>
    <n v="0"/>
    <m/>
    <n v="0"/>
    <m/>
    <m/>
    <s v="Não"/>
    <s v="Não"/>
    <s v="Não"/>
    <s v="Não"/>
    <n v="0"/>
    <n v="0"/>
  </r>
  <r>
    <s v="VGSP-348_068,000_ES_CL4"/>
    <x v="0"/>
    <s v="68,000"/>
    <m/>
    <s v="68,500"/>
    <m/>
    <x v="0"/>
    <s v="S"/>
    <n v="-23.12458371958482"/>
    <n v="-46.986631869112038"/>
    <n v="2009.35"/>
    <n v="5.97"/>
    <n v="80"/>
    <m/>
    <n v="0"/>
    <s v="Trator 1.7m"/>
    <m/>
    <s v="Não"/>
    <s v="Não"/>
    <s v="Não"/>
    <s v="Não"/>
    <n v="1607.48"/>
    <n v="1607.48"/>
  </r>
  <r>
    <s v="VGSP-348_068,000_ES_CL3"/>
    <x v="0"/>
    <s v="68,000"/>
    <m/>
    <s v="68,500"/>
    <m/>
    <x v="0"/>
    <s v="S"/>
    <n v="-23.12173028589536"/>
    <n v="-46.989803941593458"/>
    <n v="1829.67"/>
    <n v="5.2"/>
    <n v="60"/>
    <m/>
    <n v="0"/>
    <s v="Trator 1.7m"/>
    <m/>
    <s v="Não"/>
    <s v="Não"/>
    <s v="Não"/>
    <s v="Não"/>
    <n v="1097.8019999999999"/>
    <n v="1097.8019999999999"/>
  </r>
  <r>
    <s v="VGSP-330_068,000_ES_CL2"/>
    <x v="0"/>
    <s v="68,000"/>
    <m/>
    <s v="68,500"/>
    <m/>
    <x v="0"/>
    <s v="S"/>
    <n v="-23.123073487656001"/>
    <n v="-46.954221682790987"/>
    <n v="1381.22"/>
    <n v="8.49"/>
    <n v="60"/>
    <m/>
    <n v="0"/>
    <s v="Trator 1.7m"/>
    <m/>
    <s v="Não"/>
    <s v="Não"/>
    <s v="Não"/>
    <s v="Não"/>
    <n v="828.73199999999997"/>
    <n v="828.73199999999997"/>
  </r>
  <r>
    <s v="VGSP-330_068,000_EN_CL2"/>
    <x v="0"/>
    <s v="68,000"/>
    <m/>
    <s v="68,500"/>
    <m/>
    <x v="0"/>
    <s v="N"/>
    <n v="-23.122912697565869"/>
    <n v="-46.953886430046047"/>
    <n v="1243.95"/>
    <n v="5.3"/>
    <n v="0"/>
    <m/>
    <n v="0"/>
    <m/>
    <m/>
    <s v="Não"/>
    <s v="Não"/>
    <s v="Não"/>
    <s v="Não"/>
    <n v="0"/>
    <n v="0"/>
  </r>
  <r>
    <s v="VGSP-330_068,000_ES_CL1"/>
    <x v="0"/>
    <s v="68,000"/>
    <m/>
    <s v="68,500"/>
    <m/>
    <x v="0"/>
    <s v="S"/>
    <n v="-23.12533141101823"/>
    <n v="-46.953552962600142"/>
    <n v="795.22"/>
    <n v="6.35"/>
    <n v="60"/>
    <m/>
    <n v="0"/>
    <s v="Trator 1.7m"/>
    <m/>
    <s v="Não"/>
    <s v="Não"/>
    <s v="Não"/>
    <s v="Não"/>
    <n v="477.13200000000001"/>
    <n v="477.13200000000001"/>
  </r>
  <r>
    <s v="VGSP-330_068,000_EN_CL3"/>
    <x v="0"/>
    <s v="68,000"/>
    <m/>
    <s v="68,500"/>
    <m/>
    <x v="0"/>
    <s v="N"/>
    <n v="-23.119527849951162"/>
    <n v="-46.954888182479458"/>
    <n v="1867.35"/>
    <n v="5.33"/>
    <n v="0"/>
    <m/>
    <n v="0"/>
    <m/>
    <m/>
    <s v="Não"/>
    <s v="Não"/>
    <s v="Não"/>
    <s v="Não"/>
    <n v="0"/>
    <n v="0"/>
  </r>
  <r>
    <s v="VGSP-348_068,000_CC3"/>
    <x v="84"/>
    <s v="68,000"/>
    <m/>
    <s v="68,500"/>
    <n v="0.5"/>
    <x v="1"/>
    <s v="C"/>
    <n v="-23.121343811413151"/>
    <n v="-46.989001225283047"/>
    <n v="1075.2"/>
    <n v="5.16"/>
    <n v="50"/>
    <m/>
    <n v="0"/>
    <s v="Trator 1.7m"/>
    <m/>
    <s v="Não"/>
    <s v="Não"/>
    <s v="Não"/>
    <s v="Não"/>
    <n v="537.6"/>
    <n v="537.6"/>
  </r>
  <r>
    <s v="VGSP-348_069,000_CC1"/>
    <x v="85"/>
    <s v="69,000"/>
    <m/>
    <s v="69,500"/>
    <n v="0.5"/>
    <x v="1"/>
    <s v="C"/>
    <n v="-23.115473670332889"/>
    <n v="-46.996638990265353"/>
    <n v="15073.03"/>
    <n v="5.82"/>
    <n v="70"/>
    <m/>
    <n v="0"/>
    <s v="Eixo-zero"/>
    <m/>
    <s v="Não"/>
    <s v="Não"/>
    <s v="Não"/>
    <s v="Não"/>
    <n v="10551.120999999999"/>
    <n v="10551.120999999999"/>
  </r>
  <r>
    <s v="VGSP-330_069,000_EN_CL1"/>
    <x v="0"/>
    <s v="69,000"/>
    <m/>
    <s v="69,500"/>
    <m/>
    <x v="0"/>
    <s v="N"/>
    <n v="-23.11612272687038"/>
    <n v="-46.956091755009837"/>
    <n v="1317.24"/>
    <n v="7.39"/>
    <n v="70"/>
    <m/>
    <n v="0"/>
    <s v="Trator 1.7m"/>
    <m/>
    <s v="Não"/>
    <s v="Não"/>
    <s v="Não"/>
    <s v="Não"/>
    <n v="922.06799999999998"/>
    <n v="922.06799999999998"/>
  </r>
  <r>
    <s v="VGSP-330_069,000_EN_CL3"/>
    <x v="0"/>
    <s v="69,000"/>
    <m/>
    <s v="69,500"/>
    <m/>
    <x v="0"/>
    <s v="N"/>
    <n v="-23.113907845588709"/>
    <n v="-46.957090000125589"/>
    <n v="496.61"/>
    <n v="5.74"/>
    <n v="70"/>
    <m/>
    <n v="0"/>
    <s v="Trator 1.7m"/>
    <m/>
    <s v="Não"/>
    <s v="Não"/>
    <s v="Não"/>
    <s v="Não"/>
    <n v="347.62700000000001"/>
    <n v="347.62700000000001"/>
  </r>
  <r>
    <s v="VGSP-348_069,000_ES_CL2"/>
    <x v="0"/>
    <s v="69,000"/>
    <m/>
    <s v="69,500"/>
    <m/>
    <x v="0"/>
    <s v="S"/>
    <n v="-23.115731505272151"/>
    <n v="-46.996786958294727"/>
    <n v="1949.49"/>
    <n v="6.6"/>
    <n v="70"/>
    <m/>
    <n v="0"/>
    <s v="Trator 1.7m"/>
    <m/>
    <s v="Não"/>
    <s v="Não"/>
    <s v="Não"/>
    <s v="Não"/>
    <n v="1364.643"/>
    <n v="1364.643"/>
  </r>
  <r>
    <s v="VGSP-330_069,000_ES_CL4"/>
    <x v="0"/>
    <s v="69,000"/>
    <m/>
    <s v="69,500"/>
    <m/>
    <x v="0"/>
    <s v="S"/>
    <n v="-23.111244881151642"/>
    <n v="-46.959286163647121"/>
    <n v="1728.76"/>
    <n v="5.3"/>
    <n v="60"/>
    <m/>
    <n v="0"/>
    <s v="Trator 1.7m"/>
    <m/>
    <s v="Não"/>
    <s v="Não"/>
    <s v="Não"/>
    <s v="Não"/>
    <n v="1037.2559999999999"/>
    <n v="1037.2559999999999"/>
  </r>
  <r>
    <s v="VGSP-330_069,000_ES_CL3"/>
    <x v="0"/>
    <s v="69,000"/>
    <m/>
    <s v="69,500"/>
    <m/>
    <x v="0"/>
    <s v="S"/>
    <n v="-23.112896453096731"/>
    <n v="-46.9582468231851"/>
    <n v="2456.0700000000002"/>
    <n v="6.34"/>
    <n v="60"/>
    <m/>
    <n v="0"/>
    <s v="Trator 1.7m"/>
    <m/>
    <s v="Não"/>
    <s v="Não"/>
    <s v="Não"/>
    <s v="Não"/>
    <n v="1473.6420000000001"/>
    <n v="1473.6420000000001"/>
  </r>
  <r>
    <s v="VGSP-330_069,000_ES_CL2"/>
    <x v="0"/>
    <s v="69,000"/>
    <m/>
    <s v="69,500"/>
    <m/>
    <x v="0"/>
    <s v="S"/>
    <n v="-23.113504095506851"/>
    <n v="-46.957976498565557"/>
    <n v="187.03"/>
    <n v="8.7899999999999991"/>
    <n v="60"/>
    <m/>
    <n v="0"/>
    <s v="Trator 1.7m"/>
    <m/>
    <s v="Não"/>
    <s v="Não"/>
    <s v="Não"/>
    <s v="Não"/>
    <n v="112.218"/>
    <n v="112.218"/>
  </r>
  <r>
    <s v="VGSP-330_069,000_ES_CL1"/>
    <x v="0"/>
    <s v="69,000"/>
    <m/>
    <s v="69,500"/>
    <m/>
    <x v="0"/>
    <s v="S"/>
    <n v="-23.11559458265663"/>
    <n v="-46.956751200842518"/>
    <n v="1963.08"/>
    <n v="9.77"/>
    <n v="70"/>
    <m/>
    <n v="0"/>
    <s v="Trator 1.7m"/>
    <m/>
    <s v="Não"/>
    <s v="Não"/>
    <s v="Não"/>
    <s v="Não"/>
    <n v="1374.1559999999999"/>
    <n v="1374.1559999999999"/>
  </r>
  <r>
    <s v="VGSP-348_069,000_ES_CL1"/>
    <x v="0"/>
    <s v="69,000"/>
    <m/>
    <s v="69,500"/>
    <m/>
    <x v="0"/>
    <s v="S"/>
    <n v="-23.11871849139149"/>
    <n v="-46.993176024606868"/>
    <n v="2020.31"/>
    <n v="5.35"/>
    <n v="60"/>
    <m/>
    <n v="0"/>
    <s v="Trator 1.7m"/>
    <m/>
    <s v="Não"/>
    <s v="Não"/>
    <s v="Não"/>
    <s v="Não"/>
    <n v="1212.1859999999999"/>
    <n v="1212.1859999999999"/>
  </r>
  <r>
    <s v="VGSP-348_069,000_EN_CL1"/>
    <x v="0"/>
    <s v="69,000"/>
    <m/>
    <s v="69,500"/>
    <m/>
    <x v="0"/>
    <s v="N"/>
    <n v="-23.118197724133921"/>
    <n v="-46.992773236034097"/>
    <n v="7251.03"/>
    <n v="3.55"/>
    <n v="50"/>
    <m/>
    <n v="0"/>
    <s v="Trator 1.7m"/>
    <m/>
    <s v="Não"/>
    <s v="Não"/>
    <s v="Não"/>
    <s v="Não"/>
    <n v="3625.5149999999999"/>
    <n v="3625.5149999999999"/>
  </r>
  <r>
    <s v="VGSP-330_069,000_EN_CL4"/>
    <x v="0"/>
    <s v="69,000"/>
    <m/>
    <s v="69,500"/>
    <m/>
    <x v="0"/>
    <s v="N"/>
    <n v="-23.11148076484243"/>
    <n v="-46.958680571729118"/>
    <n v="2027.27"/>
    <n v="5.73"/>
    <n v="0"/>
    <m/>
    <n v="0"/>
    <m/>
    <m/>
    <s v="Não"/>
    <s v="Não"/>
    <s v="Não"/>
    <s v="Não"/>
    <n v="0"/>
    <n v="0"/>
  </r>
  <r>
    <s v="VGSP-348_069,000_CC2"/>
    <x v="85"/>
    <s v="69,000"/>
    <m/>
    <s v="69,500"/>
    <n v="0.5"/>
    <x v="1"/>
    <s v="C"/>
    <n v="-23.11846958614197"/>
    <n v="-46.992999125384749"/>
    <n v="15178.11"/>
    <n v="3.86"/>
    <n v="80"/>
    <m/>
    <n v="0"/>
    <s v="Eixo-zero"/>
    <m/>
    <s v="Não"/>
    <s v="Não"/>
    <s v="Não"/>
    <s v="Não"/>
    <n v="12142.488000000001"/>
    <n v="12142.488000000001"/>
  </r>
  <r>
    <s v="VGSP-348_069,000_EN_CL2"/>
    <x v="0"/>
    <s v="69,000"/>
    <m/>
    <s v="69,500"/>
    <m/>
    <x v="0"/>
    <s v="N"/>
    <n v="-23.11660730920072"/>
    <n v="-46.99466450746084"/>
    <n v="111.68"/>
    <n v="7.32"/>
    <n v="50"/>
    <m/>
    <n v="0"/>
    <s v="Trator 1.7m"/>
    <m/>
    <s v="Não"/>
    <s v="Não"/>
    <s v="Não"/>
    <s v="Não"/>
    <n v="55.84"/>
    <n v="55.84"/>
  </r>
  <r>
    <s v="VGSP-348_069,000_EN_CL3"/>
    <x v="0"/>
    <s v="69,000"/>
    <m/>
    <s v="69,500"/>
    <m/>
    <x v="0"/>
    <s v="N"/>
    <n v="-23.11692810911844"/>
    <n v="-46.994004030749011"/>
    <n v="498.96"/>
    <n v="3.34"/>
    <n v="20"/>
    <m/>
    <n v="0"/>
    <s v="Trator 1.7m"/>
    <m/>
    <s v="Não"/>
    <s v="Não"/>
    <s v="Não"/>
    <s v="Não"/>
    <n v="99.792000000000002"/>
    <n v="99.792000000000002"/>
  </r>
  <r>
    <s v="VGSP-330_069,000_EN_CL2"/>
    <x v="0"/>
    <s v="69,000"/>
    <m/>
    <s v="69,500"/>
    <m/>
    <x v="0"/>
    <s v="N"/>
    <n v="-23.114527994189391"/>
    <n v="-46.956723100305567"/>
    <n v="2366.88"/>
    <n v="6.71"/>
    <n v="70"/>
    <m/>
    <n v="0"/>
    <s v="Trator 1.7m"/>
    <m/>
    <s v="Não"/>
    <s v="Não"/>
    <s v="Não"/>
    <s v="Não"/>
    <n v="1656.816"/>
    <n v="1656.816"/>
  </r>
  <r>
    <s v="VGSP-348_069,000_EN_CL4"/>
    <x v="0"/>
    <s v="69,000"/>
    <m/>
    <s v="69,500"/>
    <m/>
    <x v="0"/>
    <s v="N"/>
    <n v="-23.115221563639839"/>
    <n v="-46.996462253461679"/>
    <n v="2022.28"/>
    <n v="6.47"/>
    <n v="20"/>
    <m/>
    <n v="0"/>
    <s v="Trator 1.7m"/>
    <m/>
    <s v="Não"/>
    <s v="Não"/>
    <s v="Não"/>
    <s v="Não"/>
    <n v="404.45600000000002"/>
    <n v="404.45600000000002"/>
  </r>
  <r>
    <s v="VGSP-348_070,000_CC2"/>
    <x v="86"/>
    <s v="70,000"/>
    <m/>
    <s v="70,500"/>
    <n v="0.5"/>
    <x v="1"/>
    <s v="C"/>
    <n v="-23.113045996183601"/>
    <n v="-47.000680579540898"/>
    <n v="14967.4"/>
    <n v="8.77"/>
    <n v="70"/>
    <m/>
    <n v="0"/>
    <s v="Eixo-zero"/>
    <m/>
    <s v="Não"/>
    <s v="Não"/>
    <s v="Não"/>
    <s v="Não"/>
    <n v="10477.179999999998"/>
    <n v="10477.179999999998"/>
  </r>
  <r>
    <s v="VGSP-348_070,000_EN_CL2"/>
    <x v="0"/>
    <s v="70,000"/>
    <m/>
    <s v="70,500"/>
    <m/>
    <x v="0"/>
    <s v="N"/>
    <n v="-23.110065688712059"/>
    <n v="-47.004214015140526"/>
    <n v="1859.01"/>
    <n v="5.07"/>
    <n v="50"/>
    <m/>
    <n v="0"/>
    <s v="Trator 1.7m"/>
    <m/>
    <s v="Não"/>
    <s v="Não"/>
    <s v="Não"/>
    <s v="Não"/>
    <n v="929.505"/>
    <n v="929.505"/>
  </r>
  <r>
    <s v="VGSP-330_070,000_EN_CL2"/>
    <x v="0"/>
    <s v="70,000"/>
    <m/>
    <s v="70,500"/>
    <m/>
    <x v="0"/>
    <s v="N"/>
    <n v="-23.10390795889802"/>
    <n v="-46.963659967549162"/>
    <n v="1981.87"/>
    <n v="4.71"/>
    <n v="0"/>
    <m/>
    <n v="0"/>
    <m/>
    <m/>
    <s v="Não"/>
    <s v="Não"/>
    <s v="Não"/>
    <s v="Não"/>
    <n v="0"/>
    <n v="0"/>
  </r>
  <r>
    <s v="VGSP-348_070,000_CC1"/>
    <x v="86"/>
    <s v="70,000"/>
    <m/>
    <s v="70,500"/>
    <n v="0.5"/>
    <x v="1"/>
    <s v="C"/>
    <n v="-23.110296670692531"/>
    <n v="-47.004415378915084"/>
    <n v="15042.89"/>
    <n v="6.3"/>
    <n v="70"/>
    <m/>
    <n v="0"/>
    <s v="Eixo-zero"/>
    <m/>
    <s v="Não"/>
    <s v="Não"/>
    <s v="Não"/>
    <s v="Não"/>
    <n v="10530.022999999999"/>
    <n v="10530.022999999999"/>
  </r>
  <r>
    <s v="VGSP-330_070,000_EN_CL3"/>
    <x v="0"/>
    <s v="70,000"/>
    <m/>
    <s v="70,500"/>
    <m/>
    <x v="0"/>
    <s v="N"/>
    <n v="-23.106387163370879"/>
    <n v="-46.961945184302323"/>
    <n v="670.66"/>
    <n v="5.32"/>
    <n v="0"/>
    <m/>
    <n v="0"/>
    <m/>
    <m/>
    <s v="Não"/>
    <s v="Não"/>
    <s v="Não"/>
    <s v="Não"/>
    <n v="0"/>
    <n v="0"/>
  </r>
  <r>
    <s v="VGSP-348_070,000_EN_CL1"/>
    <x v="0"/>
    <s v="70,000"/>
    <m/>
    <s v="70,500"/>
    <m/>
    <x v="0"/>
    <s v="N"/>
    <n v="-23.112799389323431"/>
    <n v="-47.000519769838107"/>
    <n v="1941.84"/>
    <n v="8.7200000000000006"/>
    <n v="20"/>
    <m/>
    <n v="0"/>
    <s v="Trator 1.7m"/>
    <m/>
    <s v="Não"/>
    <s v="Não"/>
    <s v="Não"/>
    <s v="Não"/>
    <n v="388.36799999999999"/>
    <n v="388.36799999999999"/>
  </r>
  <r>
    <s v="VGSP-330_070,000_ES_CL2"/>
    <x v="0"/>
    <s v="70,000"/>
    <m/>
    <s v="70,500"/>
    <m/>
    <x v="0"/>
    <s v="S"/>
    <n v="-23.104043302949741"/>
    <n v="-46.963980021280058"/>
    <n v="1985.12"/>
    <n v="6.13"/>
    <n v="0"/>
    <m/>
    <n v="0"/>
    <m/>
    <m/>
    <s v="Não"/>
    <s v="Não"/>
    <s v="Não"/>
    <s v="Não"/>
    <n v="0"/>
    <n v="0"/>
  </r>
  <r>
    <s v="VGSP-348_070,000_ES_CL2"/>
    <x v="0"/>
    <s v="70,000"/>
    <m/>
    <s v="70,500"/>
    <m/>
    <x v="0"/>
    <s v="S"/>
    <n v="-23.110504650536921"/>
    <n v="-47.004644184907747"/>
    <n v="2017.42"/>
    <n v="9.31"/>
    <n v="50"/>
    <m/>
    <n v="0"/>
    <s v="Trator 1.7m"/>
    <m/>
    <s v="Não"/>
    <s v="Não"/>
    <s v="Não"/>
    <s v="Não"/>
    <n v="1008.71"/>
    <n v="1008.71"/>
  </r>
  <r>
    <s v="VGSP-330_070,000_ES_CL1"/>
    <x v="0"/>
    <s v="70,000"/>
    <m/>
    <s v="70,500"/>
    <m/>
    <x v="0"/>
    <s v="S"/>
    <n v="-23.107860167407299"/>
    <n v="-46.961458156572959"/>
    <n v="1978.47"/>
    <n v="4.5599999999999996"/>
    <n v="60"/>
    <m/>
    <n v="0"/>
    <s v="Trator 1.7m"/>
    <m/>
    <s v="Não"/>
    <s v="Não"/>
    <s v="Não"/>
    <s v="Não"/>
    <n v="1187.0819999999999"/>
    <n v="1187.0819999999999"/>
  </r>
  <r>
    <s v="VGSP-330_070,000_EN_CL1"/>
    <x v="0"/>
    <s v="70,000"/>
    <m/>
    <s v="70,500"/>
    <m/>
    <x v="0"/>
    <s v="N"/>
    <n v="-23.108149365354119"/>
    <n v="-46.960839798075973"/>
    <n v="1421.98"/>
    <n v="6.68"/>
    <n v="0"/>
    <m/>
    <n v="0"/>
    <m/>
    <m/>
    <s v="Não"/>
    <s v="Não"/>
    <s v="Não"/>
    <s v="Não"/>
    <n v="0"/>
    <n v="0"/>
  </r>
  <r>
    <s v="VGSP-348_070,000_ES_CL1"/>
    <x v="0"/>
    <s v="70,000"/>
    <m/>
    <s v="70,500"/>
    <m/>
    <x v="0"/>
    <s v="S"/>
    <n v="-23.113302474037681"/>
    <n v="-47.000829486425289"/>
    <n v="2009.53"/>
    <n v="10.73"/>
    <n v="70"/>
    <m/>
    <n v="0"/>
    <s v="Trator 1.7m"/>
    <m/>
    <s v="Não"/>
    <s v="Não"/>
    <s v="Não"/>
    <s v="Não"/>
    <n v="1406.6709999999998"/>
    <n v="1406.6709999999998"/>
  </r>
  <r>
    <s v="VGSP-330_071,000_EN_CL10"/>
    <x v="0"/>
    <s v="71,000"/>
    <m/>
    <s v="71,500"/>
    <m/>
    <x v="0"/>
    <s v="N"/>
    <n v="-23.095100619943672"/>
    <n v="-46.969041841615237"/>
    <n v="1015.87"/>
    <n v="3.97"/>
    <n v="70"/>
    <m/>
    <n v="0"/>
    <s v="Trator 1.7m"/>
    <m/>
    <s v="Não"/>
    <s v="Não"/>
    <s v="Não"/>
    <s v="Não"/>
    <n v="711.10899999999992"/>
    <n v="711.10899999999992"/>
  </r>
  <r>
    <s v="VGSP-330_071,000_EN_CL5"/>
    <x v="0"/>
    <s v="71,000"/>
    <m/>
    <s v="71,500"/>
    <m/>
    <x v="0"/>
    <s v="N"/>
    <n v="-23.096061146196654"/>
    <n v="-46.967881019512689"/>
    <n v="40.58"/>
    <n v="3.38"/>
    <n v="70"/>
    <m/>
    <n v="0"/>
    <s v="Trator 1.7m"/>
    <m/>
    <s v="Não"/>
    <s v="Não"/>
    <s v="Não"/>
    <s v="Não"/>
    <n v="28.405999999999995"/>
    <n v="28.405999999999995"/>
  </r>
  <r>
    <s v="VGSP-330_071,000_EN_CL6"/>
    <x v="0"/>
    <s v="71,000"/>
    <m/>
    <s v="71,500"/>
    <m/>
    <x v="0"/>
    <s v="N"/>
    <n v="-23.09598245027377"/>
    <n v="-46.96817657187777"/>
    <n v="1182.73"/>
    <n v="1.77"/>
    <n v="70"/>
    <m/>
    <n v="0"/>
    <s v="Trator 1.7m"/>
    <m/>
    <s v="Não"/>
    <s v="Não"/>
    <s v="Não"/>
    <s v="Não"/>
    <n v="827.91099999999994"/>
    <n v="827.91099999999994"/>
  </r>
  <r>
    <s v="VGSP-330_071,000_EN_CL1"/>
    <x v="0"/>
    <s v="71,000"/>
    <m/>
    <s v="71,500"/>
    <m/>
    <x v="0"/>
    <s v="N"/>
    <n v="-23.099723772462667"/>
    <n v="-46.966387097438748"/>
    <n v="2348.12"/>
    <n v="5.44"/>
    <n v="0"/>
    <m/>
    <n v="0"/>
    <m/>
    <m/>
    <s v="Não"/>
    <s v="Não"/>
    <s v="Não"/>
    <s v="Não"/>
    <n v="0"/>
    <n v="0"/>
  </r>
  <r>
    <s v="VGSP-330_071,000_ES_CL2"/>
    <x v="0"/>
    <s v="71,000"/>
    <m/>
    <s v="71,500"/>
    <m/>
    <x v="0"/>
    <s v="S"/>
    <n v="-23.097388506925331"/>
    <n v="-46.968756119476929"/>
    <n v="615.39"/>
    <n v="5.0999999999999996"/>
    <n v="30"/>
    <m/>
    <n v="0"/>
    <s v="Trator 1.7m"/>
    <m/>
    <s v="Não"/>
    <s v="Não"/>
    <s v="Não"/>
    <s v="Não"/>
    <n v="184.61699999999999"/>
    <n v="184.61699999999999"/>
  </r>
  <r>
    <s v="VGSP-330_071,000_ES_CL8"/>
    <x v="0"/>
    <s v="71,000"/>
    <m/>
    <s v="71,500"/>
    <m/>
    <x v="0"/>
    <s v="S"/>
    <n v="-23.094385333778007"/>
    <n v="-46.970350737599709"/>
    <n v="362.37"/>
    <n v="3.07"/>
    <n v="30"/>
    <m/>
    <n v="0"/>
    <s v="Trator 1.7m"/>
    <m/>
    <s v="Não"/>
    <s v="Não"/>
    <s v="Não"/>
    <s v="Não"/>
    <n v="108.711"/>
    <n v="108.711"/>
  </r>
  <r>
    <s v="VGSP-330_071,000_EN_CL7"/>
    <x v="0"/>
    <s v="71,000"/>
    <m/>
    <s v="71,500"/>
    <m/>
    <x v="0"/>
    <s v="N"/>
    <n v="-23.09574190679476"/>
    <n v="-46.968169844463112"/>
    <n v="11.84"/>
    <n v="1.04"/>
    <n v="70"/>
    <m/>
    <n v="0"/>
    <s v="Trator 1.7m"/>
    <m/>
    <s v="Não"/>
    <s v="Não"/>
    <s v="Não"/>
    <s v="Não"/>
    <n v="8.2880000000000003"/>
    <n v="8.2880000000000003"/>
  </r>
  <r>
    <s v="VGSP-348_071,000_EN_CL7"/>
    <x v="0"/>
    <s v="71,000"/>
    <m/>
    <s v="71,500"/>
    <m/>
    <x v="0"/>
    <s v="N"/>
    <n v="-23.103518967200731"/>
    <n v="-47.009664504615536"/>
    <n v="4021.16"/>
    <n v="2.82"/>
    <n v="40"/>
    <m/>
    <n v="0"/>
    <s v="Trator 1.7m"/>
    <m/>
    <s v="Não"/>
    <s v="Não"/>
    <s v="Não"/>
    <s v="Não"/>
    <n v="1608.4639999999999"/>
    <n v="1608.4639999999999"/>
  </r>
  <r>
    <s v="VGSP-348_071,000_EN_CL6"/>
    <x v="0"/>
    <s v="71,000"/>
    <m/>
    <s v="71,500"/>
    <m/>
    <x v="0"/>
    <s v="N"/>
    <n v="-23.104539139986809"/>
    <n v="-47.008543394393513"/>
    <n v="83.61"/>
    <n v="4.1900000000000004"/>
    <n v="40"/>
    <m/>
    <n v="0"/>
    <s v="Trator 1.7m"/>
    <m/>
    <s v="Não"/>
    <s v="Não"/>
    <s v="Não"/>
    <s v="Não"/>
    <n v="33.444000000000003"/>
    <n v="33.444000000000003"/>
  </r>
  <r>
    <s v="VGSP-330_071,000_EN_CL4"/>
    <x v="0"/>
    <s v="71,000"/>
    <m/>
    <s v="71,500"/>
    <m/>
    <x v="0"/>
    <s v="N"/>
    <n v="-23.09761776590895"/>
    <n v="-46.96777727312034"/>
    <n v="243.21"/>
    <n v="4.29"/>
    <n v="70"/>
    <m/>
    <n v="0"/>
    <s v="Trator 1.7m"/>
    <m/>
    <s v="Não"/>
    <s v="Não"/>
    <s v="Não"/>
    <s v="Não"/>
    <n v="170.24699999999999"/>
    <n v="170.24699999999999"/>
  </r>
  <r>
    <s v="VGSP-330_071,000_EN_CL9"/>
    <x v="0"/>
    <s v="71,000"/>
    <m/>
    <s v="71,500"/>
    <m/>
    <x v="0"/>
    <s v="N"/>
    <n v="-23.094222223930551"/>
    <n v="-46.970016834839747"/>
    <n v="117.35"/>
    <n v="3.22"/>
    <n v="70"/>
    <m/>
    <n v="0"/>
    <s v="Trator 1.7m"/>
    <m/>
    <s v="Não"/>
    <s v="Não"/>
    <s v="Não"/>
    <s v="Não"/>
    <n v="82.144999999999996"/>
    <n v="82.144999999999996"/>
  </r>
  <r>
    <s v="VGSP-348_071,000_EN_CL2"/>
    <x v="0"/>
    <s v="71,000"/>
    <m/>
    <s v="71,500"/>
    <m/>
    <x v="0"/>
    <s v="N"/>
    <n v="-23.106394732668129"/>
    <n v="-47.006984807244514"/>
    <n v="701.74"/>
    <n v="5.3"/>
    <n v="0"/>
    <m/>
    <n v="0"/>
    <m/>
    <m/>
    <s v="Não"/>
    <s v="Não"/>
    <s v="Não"/>
    <s v="Não"/>
    <n v="0"/>
    <n v="0"/>
  </r>
  <r>
    <s v="VGSP-348_071,000_EN_CL5"/>
    <x v="0"/>
    <s v="71,000"/>
    <m/>
    <s v="71,500"/>
    <m/>
    <x v="0"/>
    <s v="N"/>
    <n v="-23.104207161053449"/>
    <n v="-47.008861321618646"/>
    <n v="316.49"/>
    <n v="3.58"/>
    <n v="40"/>
    <m/>
    <n v="0"/>
    <s v="Trator 1.7m"/>
    <m/>
    <s v="Não"/>
    <s v="Não"/>
    <s v="Não"/>
    <s v="Não"/>
    <n v="126.596"/>
    <n v="126.596"/>
  </r>
  <r>
    <s v="VGSP-330_071,000_ES_CL5"/>
    <x v="0"/>
    <s v="71,000"/>
    <m/>
    <s v="71,500"/>
    <m/>
    <x v="0"/>
    <s v="S"/>
    <n v="-23.097033868464276"/>
    <n v="-46.969464190752198"/>
    <n v="39.53"/>
    <n v="5.01"/>
    <n v="30"/>
    <m/>
    <n v="0"/>
    <s v="Trator 1.7m"/>
    <m/>
    <s v="Não"/>
    <s v="Não"/>
    <s v="Não"/>
    <s v="Não"/>
    <n v="11.859"/>
    <n v="11.859"/>
  </r>
  <r>
    <s v="VGSP-330_071,000_ES_CL7"/>
    <x v="0"/>
    <s v="71,000"/>
    <m/>
    <s v="71,500"/>
    <m/>
    <x v="0"/>
    <s v="S"/>
    <n v="-23.095710416583618"/>
    <n v="-46.969628786040623"/>
    <n v="6373.4"/>
    <n v="2.88"/>
    <n v="30"/>
    <m/>
    <n v="0"/>
    <s v="Trator 1.7m"/>
    <m/>
    <s v="Não"/>
    <s v="Não"/>
    <s v="Não"/>
    <s v="Não"/>
    <n v="1912.0199999999998"/>
    <n v="1912.0199999999998"/>
  </r>
  <r>
    <s v="VGSP-330_071,000_EN_CL2"/>
    <x v="0"/>
    <s v="71,000"/>
    <m/>
    <s v="71,500"/>
    <m/>
    <x v="0"/>
    <s v="N"/>
    <n v="-23.09673460301509"/>
    <n v="-46.967912948407147"/>
    <n v="607.24"/>
    <n v="4.38"/>
    <n v="70"/>
    <m/>
    <n v="0"/>
    <s v="Trator 1.7m"/>
    <m/>
    <s v="Não"/>
    <s v="Não"/>
    <s v="Não"/>
    <s v="Não"/>
    <n v="425.06799999999998"/>
    <n v="425.06799999999998"/>
  </r>
  <r>
    <s v="VGSP-330_071,000_ES_CL1"/>
    <x v="0"/>
    <s v="71,000"/>
    <m/>
    <s v="71,500"/>
    <m/>
    <x v="0"/>
    <s v="S"/>
    <n v="-23.099960963260344"/>
    <n v="-46.966682216534068"/>
    <n v="2257.3000000000002"/>
    <n v="5.32"/>
    <n v="0"/>
    <m/>
    <n v="0"/>
    <m/>
    <m/>
    <s v="Não"/>
    <s v="Não"/>
    <s v="Não"/>
    <s v="Não"/>
    <n v="0"/>
    <n v="0"/>
  </r>
  <r>
    <s v="VGSP-348_071,000_EN_CL8"/>
    <x v="0"/>
    <s v="71,000"/>
    <m/>
    <s v="71,500"/>
    <m/>
    <x v="0"/>
    <s v="N"/>
    <n v="-23.1050224353544"/>
    <n v="-47.008394024826551"/>
    <n v="1900.35"/>
    <n v="4.38"/>
    <n v="50"/>
    <m/>
    <n v="0"/>
    <s v="Trator 1.7m"/>
    <m/>
    <s v="Não"/>
    <s v="Não"/>
    <s v="Não"/>
    <s v="Não"/>
    <n v="950.17499999999995"/>
    <n v="950.17499999999995"/>
  </r>
  <r>
    <s v="VGSP-330_071,000_ES_CL6"/>
    <x v="0"/>
    <s v="71,000"/>
    <m/>
    <s v="71,500"/>
    <m/>
    <x v="0"/>
    <s v="S"/>
    <n v="-23.096741735503752"/>
    <n v="-46.969513703035901"/>
    <n v="1381.23"/>
    <n v="3.84"/>
    <n v="30"/>
    <m/>
    <n v="0"/>
    <s v="Trator 1.7m"/>
    <m/>
    <s v="Não"/>
    <s v="Não"/>
    <s v="Não"/>
    <s v="Não"/>
    <n v="414.36899999999997"/>
    <n v="414.36899999999997"/>
  </r>
  <r>
    <s v="VGSP-330_071,000_ES_CL3"/>
    <x v="0"/>
    <s v="71,000"/>
    <m/>
    <s v="71,500"/>
    <m/>
    <x v="0"/>
    <s v="S"/>
    <n v="-23.097001595794239"/>
    <n v="-46.968790936844577"/>
    <n v="5367.73"/>
    <n v="3.8"/>
    <n v="30"/>
    <m/>
    <n v="0"/>
    <s v="Trator 1.7m"/>
    <m/>
    <s v="Não"/>
    <s v="Não"/>
    <s v="Não"/>
    <s v="Não"/>
    <n v="1610.3189999999997"/>
    <n v="1610.3189999999997"/>
  </r>
  <r>
    <s v="VGSP-348_071,000_EN_CL9"/>
    <x v="0"/>
    <s v="71,000"/>
    <m/>
    <s v="71,500"/>
    <m/>
    <x v="0"/>
    <s v="N"/>
    <n v="-23.102640468372179"/>
    <n v="-47.010171984320571"/>
    <n v="1556.39"/>
    <n v="2.4"/>
    <n v="40"/>
    <m/>
    <n v="0"/>
    <s v="Trator 1.7m"/>
    <m/>
    <s v="Não"/>
    <s v="Não"/>
    <s v="Não"/>
    <s v="Não"/>
    <n v="622.55600000000004"/>
    <n v="622.55600000000004"/>
  </r>
  <r>
    <s v="VGSP-348_071,000_EN_CL11"/>
    <x v="0"/>
    <s v="71,000"/>
    <m/>
    <s v="71,500"/>
    <m/>
    <x v="0"/>
    <s v="N"/>
    <n v="-23.101656867739781"/>
    <n v="-47.011166627907457"/>
    <n v="991.66"/>
    <n v="2.6"/>
    <n v="40"/>
    <m/>
    <n v="0"/>
    <s v="Trator 1.7m"/>
    <m/>
    <s v="Não"/>
    <s v="Não"/>
    <s v="Não"/>
    <s v="Não"/>
    <n v="396.66399999999999"/>
    <n v="396.66399999999999"/>
  </r>
  <r>
    <s v="VGSP-348_071,000_EN_CL4"/>
    <x v="0"/>
    <s v="71,000"/>
    <m/>
    <s v="71,500"/>
    <m/>
    <x v="0"/>
    <s v="N"/>
    <n v="-23.10602900179741"/>
    <n v="-47.007267651998539"/>
    <n v="395.77"/>
    <n v="6.38"/>
    <n v="0"/>
    <m/>
    <n v="0"/>
    <m/>
    <m/>
    <s v="Não"/>
    <s v="Não"/>
    <s v="Não"/>
    <s v="Não"/>
    <n v="0"/>
    <n v="0"/>
  </r>
  <r>
    <s v="VGSP-330_071,000_EN_CL3"/>
    <x v="0"/>
    <s v="71,000"/>
    <m/>
    <s v="71,500"/>
    <m/>
    <x v="0"/>
    <s v="N"/>
    <n v="-23.096705789564105"/>
    <n v="-46.968203870859007"/>
    <n v="4866.2700000000004"/>
    <n v="3.16"/>
    <n v="70"/>
    <m/>
    <n v="0"/>
    <s v="Trator 1.7m"/>
    <m/>
    <s v="Não"/>
    <s v="Não"/>
    <s v="Não"/>
    <s v="Não"/>
    <n v="3406.3890000000001"/>
    <n v="3406.3890000000001"/>
  </r>
  <r>
    <s v="VGSP-330_071,000_EN_CL8"/>
    <x v="0"/>
    <s v="71,000"/>
    <m/>
    <s v="71,500"/>
    <m/>
    <x v="0"/>
    <s v="N"/>
    <n v="-23.095424471135299"/>
    <n v="-46.969075523773682"/>
    <n v="6476"/>
    <n v="3.2"/>
    <n v="70"/>
    <m/>
    <n v="0"/>
    <s v="Trator 1.7m"/>
    <m/>
    <s v="Não"/>
    <s v="Não"/>
    <s v="Não"/>
    <s v="Não"/>
    <n v="4533.2"/>
    <n v="4533.2"/>
  </r>
  <r>
    <s v="VGSP-330_071,000_ES_CL4"/>
    <x v="0"/>
    <s v="71,000"/>
    <m/>
    <s v="71,500"/>
    <m/>
    <x v="0"/>
    <s v="S"/>
    <n v="-23.097853510288985"/>
    <n v="-46.968057704299227"/>
    <n v="134.19999999999999"/>
    <n v="3.84"/>
    <n v="0"/>
    <m/>
    <n v="0"/>
    <m/>
    <m/>
    <s v="Não"/>
    <s v="Não"/>
    <s v="Não"/>
    <s v="Não"/>
    <n v="0"/>
    <n v="0"/>
  </r>
  <r>
    <s v="VGSP-330_071,000_ES_CL9"/>
    <x v="0"/>
    <s v="71,000"/>
    <m/>
    <s v="71,500"/>
    <m/>
    <x v="0"/>
    <s v="S"/>
    <n v="-23.095595776558078"/>
    <n v="-46.969936005015562"/>
    <n v="872.55"/>
    <n v="3.52"/>
    <n v="30"/>
    <m/>
    <n v="0"/>
    <s v="Trator 1.7m"/>
    <m/>
    <s v="Não"/>
    <s v="Não"/>
    <s v="Não"/>
    <s v="Não"/>
    <n v="261.76499999999999"/>
    <n v="261.76499999999999"/>
  </r>
  <r>
    <s v="VGSP-348_071,000_ES_CL1"/>
    <x v="0"/>
    <s v="71,000"/>
    <m/>
    <s v="71,500"/>
    <m/>
    <x v="0"/>
    <s v="S"/>
    <n v="-23.107809396546539"/>
    <n v="-47.007078600998703"/>
    <n v="1103.01"/>
    <n v="8.64"/>
    <n v="50"/>
    <m/>
    <n v="0"/>
    <s v="Trator 1.7m"/>
    <m/>
    <s v="Não"/>
    <s v="Não"/>
    <s v="Não"/>
    <s v="Não"/>
    <n v="551.505"/>
    <n v="551.505"/>
  </r>
  <r>
    <s v="VGSP-348_071,000_EN_CL1"/>
    <x v="0"/>
    <s v="71,000"/>
    <m/>
    <s v="71,500"/>
    <m/>
    <x v="0"/>
    <s v="N"/>
    <n v="-23.107479631616769"/>
    <n v="-47.006280478802381"/>
    <n v="1121.1500000000001"/>
    <n v="3.8"/>
    <n v="50"/>
    <m/>
    <n v="0"/>
    <s v="Trator 1.7m"/>
    <m/>
    <s v="Não"/>
    <s v="Não"/>
    <s v="Não"/>
    <s v="Não"/>
    <n v="560.57500000000005"/>
    <n v="560.57500000000005"/>
  </r>
  <r>
    <s v="VGSP-348_071,000_EN_CL3"/>
    <x v="0"/>
    <s v="71,000"/>
    <m/>
    <s v="71,500"/>
    <m/>
    <x v="0"/>
    <s v="N"/>
    <n v="-23.106489995557851"/>
    <n v="-47.007199022271784"/>
    <n v="2893.3"/>
    <n v="4.1900000000000004"/>
    <n v="50"/>
    <m/>
    <n v="0"/>
    <s v="Trator 1.7m"/>
    <m/>
    <s v="Não"/>
    <s v="Não"/>
    <s v="Não"/>
    <s v="Não"/>
    <n v="1446.65"/>
    <n v="1446.65"/>
  </r>
  <r>
    <s v="VGSP-348_071,000_CC1"/>
    <x v="87"/>
    <s v="71,000"/>
    <m/>
    <s v="71,500"/>
    <n v="0.5"/>
    <x v="1"/>
    <s v="C"/>
    <n v="-23.10719539840834"/>
    <n v="-47.007085512621572"/>
    <n v="11795.76"/>
    <n v="4.41"/>
    <n v="70"/>
    <m/>
    <n v="0"/>
    <s v="Eixo-zero"/>
    <m/>
    <s v="Não"/>
    <s v="Não"/>
    <s v="Não"/>
    <s v="Não"/>
    <n v="8257.0319999999992"/>
    <n v="8257.0319999999992"/>
  </r>
  <r>
    <s v="VGSP-348_071,000_ES_CL2"/>
    <x v="0"/>
    <s v="71,000"/>
    <m/>
    <s v="71,500"/>
    <m/>
    <x v="0"/>
    <s v="S"/>
    <n v="-23.106678592025329"/>
    <n v="-47.008031621709534"/>
    <n v="3640.97"/>
    <n v="4.71"/>
    <n v="50"/>
    <m/>
    <n v="0"/>
    <s v="Trator 1.7m"/>
    <m/>
    <s v="Não"/>
    <s v="Não"/>
    <s v="Não"/>
    <s v="Não"/>
    <n v="1820.4849999999999"/>
    <n v="1820.4849999999999"/>
  </r>
  <r>
    <s v="VGSP-348_071,000_EN_CL10"/>
    <x v="0"/>
    <s v="71,000"/>
    <m/>
    <s v="71,500"/>
    <m/>
    <x v="0"/>
    <s v="N"/>
    <n v="-23.10109854241168"/>
    <n v="-47.01133893746379"/>
    <n v="116.96"/>
    <n v="1.72"/>
    <n v="40"/>
    <m/>
    <n v="0"/>
    <s v="Trator 1.7m"/>
    <m/>
    <s v="Não"/>
    <s v="Não"/>
    <s v="Não"/>
    <s v="Não"/>
    <n v="46.783999999999999"/>
    <n v="46.783999999999999"/>
  </r>
  <r>
    <s v="VGSP-348_071,000_CC2"/>
    <x v="87"/>
    <s v="71,000"/>
    <m/>
    <s v="71,500"/>
    <n v="0.5"/>
    <x v="1"/>
    <s v="C"/>
    <n v="-23.105216565673562"/>
    <n v="-47.008712984522319"/>
    <n v="3299.22"/>
    <n v="3.97"/>
    <n v="70"/>
    <m/>
    <n v="0"/>
    <s v="Eixo-zero"/>
    <m/>
    <s v="Não"/>
    <s v="Não"/>
    <s v="Não"/>
    <s v="Não"/>
    <n v="2309.4539999999997"/>
    <n v="2309.4539999999997"/>
  </r>
  <r>
    <s v="VGSP-348_071,000_CC3"/>
    <x v="87"/>
    <s v="71,000"/>
    <m/>
    <s v="71,500"/>
    <n v="0.5"/>
    <x v="1"/>
    <s v="C"/>
    <n v="-23.10312689509907"/>
    <n v="-47.010447159068399"/>
    <n v="14695.69"/>
    <n v="2.92"/>
    <n v="80"/>
    <m/>
    <n v="0"/>
    <s v="Eixo-zero"/>
    <m/>
    <s v="Não"/>
    <s v="Não"/>
    <s v="Não"/>
    <s v="Não"/>
    <n v="11756.552000000001"/>
    <n v="11756.552000000001"/>
  </r>
  <r>
    <s v="VGSP-348_071,000_ES_CL4"/>
    <x v="0"/>
    <s v="71,000"/>
    <m/>
    <s v="71,500"/>
    <m/>
    <x v="0"/>
    <s v="S"/>
    <n v="-23.105418175321919"/>
    <n v="-47.008979826595358"/>
    <n v="445.95"/>
    <n v="4.99"/>
    <n v="50"/>
    <m/>
    <n v="0"/>
    <s v="Trator 1.7m"/>
    <m/>
    <s v="Não"/>
    <s v="Não"/>
    <s v="Não"/>
    <s v="Não"/>
    <n v="222.97499999999999"/>
    <n v="222.97499999999999"/>
  </r>
  <r>
    <s v="VGSP-348_071,000_ES_CL3"/>
    <x v="0"/>
    <s v="71,000"/>
    <m/>
    <s v="71,500"/>
    <m/>
    <x v="0"/>
    <s v="S"/>
    <n v="-23.104066333657681"/>
    <n v="-47.010094189058606"/>
    <n v="1261.28"/>
    <n v="4.01"/>
    <n v="40"/>
    <m/>
    <n v="0"/>
    <s v="Trator 1.7m"/>
    <m/>
    <s v="Não"/>
    <s v="Não"/>
    <s v="Não"/>
    <s v="Não"/>
    <n v="504.512"/>
    <n v="504.512"/>
  </r>
  <r>
    <s v="VGSP-348_071,000_ES_CL5"/>
    <x v="0"/>
    <s v="71,000"/>
    <m/>
    <s v="71,500"/>
    <m/>
    <x v="0"/>
    <s v="S"/>
    <n v="-23.1026217837031"/>
    <n v="-47.011333107282326"/>
    <n v="1176.5"/>
    <n v="2.59"/>
    <n v="40"/>
    <m/>
    <n v="0"/>
    <s v="Trator 1.7m"/>
    <m/>
    <s v="Não"/>
    <s v="Não"/>
    <s v="Não"/>
    <s v="Não"/>
    <n v="470.6"/>
    <n v="470.6"/>
  </r>
  <r>
    <s v="VGSP-330_072,000_EN_CL1"/>
    <x v="0"/>
    <s v="72,000"/>
    <m/>
    <s v="72,500"/>
    <m/>
    <x v="0"/>
    <s v="N"/>
    <n v="-23.092239478578048"/>
    <n v="-46.971309505939367"/>
    <n v="2147.38"/>
    <n v="3.11"/>
    <n v="70"/>
    <m/>
    <n v="0"/>
    <s v="Trator 1.7m"/>
    <m/>
    <s v="Não"/>
    <s v="Não"/>
    <s v="Não"/>
    <s v="Não"/>
    <n v="1503.1659999999999"/>
    <n v="1503.1659999999999"/>
  </r>
  <r>
    <s v="VGSP-330_072,000_EN_CL4"/>
    <x v="0"/>
    <s v="72,000"/>
    <m/>
    <s v="72,500"/>
    <m/>
    <x v="0"/>
    <s v="N"/>
    <n v="-23.087128565277375"/>
    <n v="-46.974625336935141"/>
    <n v="452.04"/>
    <n v="3.22"/>
    <n v="0"/>
    <m/>
    <n v="0"/>
    <m/>
    <m/>
    <s v="Não"/>
    <s v="Não"/>
    <s v="Não"/>
    <s v="Não"/>
    <n v="0"/>
    <n v="0"/>
  </r>
  <r>
    <s v="VGSP-330_072,000_ES_CL5"/>
    <x v="0"/>
    <s v="72,000"/>
    <m/>
    <s v="72,500"/>
    <m/>
    <x v="0"/>
    <s v="S"/>
    <n v="-23.086946462285155"/>
    <n v="-46.975262591584197"/>
    <n v="30.87"/>
    <n v="10.39"/>
    <n v="30"/>
    <m/>
    <n v="0"/>
    <s v="Trator 1.7m"/>
    <m/>
    <s v="Não"/>
    <s v="Não"/>
    <s v="Não"/>
    <s v="Não"/>
    <n v="9.2609999999999992"/>
    <n v="9.2609999999999992"/>
  </r>
  <r>
    <s v="VGSP-348_072,000_ES_CL2"/>
    <x v="0"/>
    <s v="72,000"/>
    <m/>
    <s v="72,500"/>
    <m/>
    <x v="0"/>
    <s v="S"/>
    <n v="-23.096060024943867"/>
    <n v="-47.016321390107798"/>
    <n v="1961"/>
    <n v="6.05"/>
    <n v="50"/>
    <m/>
    <n v="0"/>
    <s v="Trator 1.7m"/>
    <m/>
    <s v="Não"/>
    <s v="Não"/>
    <s v="Não"/>
    <s v="Não"/>
    <n v="980.5"/>
    <n v="980.5"/>
  </r>
  <r>
    <s v="VGSP-330_072,000_EN_CL2"/>
    <x v="0"/>
    <s v="72,000"/>
    <m/>
    <s v="72,500"/>
    <m/>
    <x v="0"/>
    <s v="N"/>
    <n v="-23.088687282948225"/>
    <n v="-46.973667738651791"/>
    <n v="1550.65"/>
    <n v="4.2300000000000004"/>
    <n v="0"/>
    <m/>
    <n v="0"/>
    <m/>
    <m/>
    <s v="Não"/>
    <s v="Não"/>
    <s v="Não"/>
    <s v="Não"/>
    <n v="0"/>
    <n v="0"/>
  </r>
  <r>
    <s v="VGSP-348_072,000_EN_CL5"/>
    <x v="0"/>
    <s v="72,000"/>
    <m/>
    <s v="72,500"/>
    <m/>
    <x v="0"/>
    <s v="N"/>
    <n v="-23.098380243053988"/>
    <n v="-47.013859823214574"/>
    <n v="1037.98"/>
    <n v="3.63"/>
    <n v="40"/>
    <m/>
    <n v="0"/>
    <s v="Trator 1.7m"/>
    <m/>
    <s v="Não"/>
    <s v="Não"/>
    <s v="Não"/>
    <s v="Não"/>
    <n v="415.19200000000001"/>
    <n v="415.19200000000001"/>
  </r>
  <r>
    <s v="VGSP-348_072,000_ES_CL1"/>
    <x v="0"/>
    <s v="72,000"/>
    <m/>
    <s v="72,500"/>
    <m/>
    <x v="0"/>
    <s v="S"/>
    <n v="-23.10095170601187"/>
    <n v="-47.012667425208072"/>
    <n v="681.52"/>
    <n v="2.44"/>
    <n v="40"/>
    <m/>
    <n v="0"/>
    <s v="Trator 1.7m"/>
    <m/>
    <s v="Não"/>
    <s v="Não"/>
    <s v="Não"/>
    <s v="Não"/>
    <n v="272.608"/>
    <n v="272.608"/>
  </r>
  <r>
    <s v="VGSP-348_072,000_CC1"/>
    <x v="88"/>
    <s v="72,000"/>
    <m/>
    <s v="72,500"/>
    <n v="0.5"/>
    <x v="1"/>
    <s v="C"/>
    <n v="-23.100817063695029"/>
    <n v="-47.012352228188902"/>
    <n v="5290.01"/>
    <n v="3.15"/>
    <n v="70"/>
    <m/>
    <n v="0"/>
    <s v="Eixo-zero"/>
    <m/>
    <s v="Não"/>
    <s v="Não"/>
    <s v="Não"/>
    <s v="Não"/>
    <n v="3703.0070000000001"/>
    <n v="3703.0070000000001"/>
  </r>
  <r>
    <s v="VGSP-330_072,000_EN_CL3"/>
    <x v="0"/>
    <s v="72,000"/>
    <m/>
    <s v="72,500"/>
    <m/>
    <x v="0"/>
    <s v="N"/>
    <n v="-23.086786531975534"/>
    <n v="-46.974901030307628"/>
    <n v="58.72"/>
    <n v="3.46"/>
    <n v="0"/>
    <m/>
    <n v="0"/>
    <m/>
    <m/>
    <s v="Não"/>
    <s v="Não"/>
    <s v="Não"/>
    <s v="Não"/>
    <n v="0"/>
    <n v="0"/>
  </r>
  <r>
    <s v="VGSP-348_072,000_EN_CL1"/>
    <x v="0"/>
    <s v="72,000"/>
    <m/>
    <s v="72,500"/>
    <m/>
    <x v="0"/>
    <s v="N"/>
    <n v="-23.100451641038859"/>
    <n v="-47.012117449231688"/>
    <n v="4907.6400000000003"/>
    <n v="3.85"/>
    <n v="40"/>
    <m/>
    <n v="0"/>
    <s v="Trator 1.7m"/>
    <m/>
    <s v="Não"/>
    <s v="Não"/>
    <s v="Não"/>
    <s v="Não"/>
    <n v="1963.0560000000003"/>
    <n v="1963.0560000000003"/>
  </r>
  <r>
    <s v="VGSP-348_072,000_ES_CL3"/>
    <x v="0"/>
    <s v="72,000"/>
    <m/>
    <s v="72,500"/>
    <m/>
    <x v="0"/>
    <s v="S"/>
    <n v="-23.099215716861824"/>
    <n v="-47.014074490560311"/>
    <n v="1403.7"/>
    <n v="7.69"/>
    <n v="40"/>
    <m/>
    <n v="0"/>
    <s v="Trator 1.7m"/>
    <m/>
    <s v="Não"/>
    <s v="Não"/>
    <s v="Não"/>
    <s v="Não"/>
    <n v="561.48"/>
    <n v="561.48"/>
  </r>
  <r>
    <s v="VGSP-348_072,000_EN_CL3"/>
    <x v="0"/>
    <s v="72,000"/>
    <m/>
    <s v="72,500"/>
    <m/>
    <x v="0"/>
    <s v="N"/>
    <n v="-23.099734466915418"/>
    <n v="-47.012494901657554"/>
    <n v="117.11"/>
    <n v="1.86"/>
    <n v="100"/>
    <m/>
    <n v="0"/>
    <s v="Trator 1.7m"/>
    <m/>
    <s v="Não"/>
    <s v="Não"/>
    <s v="Não"/>
    <s v="Não"/>
    <n v="117.11"/>
    <n v="117.11"/>
  </r>
  <r>
    <s v="VGSP-330_072,000_ES_CL3"/>
    <x v="0"/>
    <s v="72,000"/>
    <m/>
    <s v="72,500"/>
    <m/>
    <x v="0"/>
    <s v="S"/>
    <n v="-23.090686947404411"/>
    <n v="-46.97282244549659"/>
    <n v="447.28"/>
    <n v="2.58"/>
    <n v="30"/>
    <m/>
    <n v="0"/>
    <s v="Trator 1.7m"/>
    <m/>
    <s v="Não"/>
    <s v="Não"/>
    <s v="Não"/>
    <s v="Não"/>
    <n v="134.184"/>
    <n v="134.184"/>
  </r>
  <r>
    <s v="VGSP-330_072,000_ES_CL1"/>
    <x v="0"/>
    <s v="72,000"/>
    <m/>
    <s v="72,500"/>
    <m/>
    <x v="0"/>
    <s v="S"/>
    <n v="-23.092653423692553"/>
    <n v="-46.971537364259397"/>
    <n v="2057.4699999999998"/>
    <n v="3.68"/>
    <n v="30"/>
    <m/>
    <n v="0"/>
    <s v="Trator 1.7m"/>
    <m/>
    <s v="Não"/>
    <s v="Não"/>
    <s v="Não"/>
    <s v="Não"/>
    <n v="617.24099999999987"/>
    <n v="617.24099999999987"/>
  </r>
  <r>
    <s v="VGSP-348_072,000_CC3"/>
    <x v="88"/>
    <s v="72,000"/>
    <m/>
    <s v="72,500"/>
    <n v="0.5"/>
    <x v="1"/>
    <s v="C"/>
    <n v="-23.098917701282215"/>
    <n v="-47.013928205878308"/>
    <n v="9956.89"/>
    <n v="5.38"/>
    <n v="70"/>
    <m/>
    <n v="0"/>
    <s v="Eixo-zero"/>
    <m/>
    <s v="Não"/>
    <s v="Não"/>
    <s v="Não"/>
    <s v="Não"/>
    <n v="6969.8229999999994"/>
    <n v="6969.8229999999994"/>
  </r>
  <r>
    <s v="VGSP-348_072,000_EN_CL6"/>
    <x v="0"/>
    <s v="72,000"/>
    <m/>
    <s v="72,500"/>
    <m/>
    <x v="0"/>
    <s v="N"/>
    <n v="-23.095755364699659"/>
    <n v="-47.015786354492029"/>
    <n v="1897.93"/>
    <n v="4.1399999999999997"/>
    <n v="50"/>
    <m/>
    <n v="0"/>
    <s v="Trator 1.7m"/>
    <m/>
    <s v="Não"/>
    <s v="Não"/>
    <s v="Não"/>
    <s v="Não"/>
    <n v="948.96500000000003"/>
    <n v="948.96500000000003"/>
  </r>
  <r>
    <s v="VGSP-348_072,000_EN_CL4"/>
    <x v="0"/>
    <s v="72,000"/>
    <m/>
    <s v="72,500"/>
    <m/>
    <x v="0"/>
    <s v="N"/>
    <n v="-23.099332110391298"/>
    <n v="-47.013047321697137"/>
    <n v="3182.81"/>
    <n v="3.49"/>
    <n v="40"/>
    <m/>
    <n v="0"/>
    <s v="Trator 1.7m"/>
    <m/>
    <s v="Não"/>
    <s v="Não"/>
    <s v="Não"/>
    <s v="Não"/>
    <n v="1273.124"/>
    <n v="1273.124"/>
  </r>
  <r>
    <s v="VGSP-330_072,000_ES_CL4"/>
    <x v="0"/>
    <s v="72,000"/>
    <m/>
    <s v="72,500"/>
    <m/>
    <x v="0"/>
    <s v="S"/>
    <n v="-23.088431795997217"/>
    <n v="-46.974297932059713"/>
    <n v="1515.01"/>
    <n v="8.56"/>
    <n v="30"/>
    <m/>
    <n v="0"/>
    <s v="Trator 1.7m"/>
    <m/>
    <s v="Não"/>
    <s v="Não"/>
    <s v="Não"/>
    <s v="Não"/>
    <n v="454.50299999999999"/>
    <n v="454.50299999999999"/>
  </r>
  <r>
    <s v="VGSP-330_072,000_ES_CL2"/>
    <x v="0"/>
    <s v="72,000"/>
    <m/>
    <s v="72,500"/>
    <m/>
    <x v="0"/>
    <s v="S"/>
    <n v="-23.09001393139204"/>
    <n v="-46.973263814042419"/>
    <n v="460.07"/>
    <n v="4.3"/>
    <n v="30"/>
    <m/>
    <n v="0"/>
    <s v="Trator 1.7m"/>
    <m/>
    <s v="Não"/>
    <s v="Não"/>
    <s v="Não"/>
    <s v="Não"/>
    <n v="138.02099999999999"/>
    <n v="138.02099999999999"/>
  </r>
  <r>
    <s v="VGSP-348_072,000_CC2"/>
    <x v="88"/>
    <s v="72,000"/>
    <m/>
    <s v="72,500"/>
    <n v="0.5"/>
    <x v="1"/>
    <s v="C"/>
    <n v="-23.09592177333171"/>
    <n v="-47.016052546990032"/>
    <n v="14787.5"/>
    <n v="4.9800000000000004"/>
    <n v="80"/>
    <m/>
    <n v="0"/>
    <s v="Eixo-zero"/>
    <m/>
    <s v="Não"/>
    <s v="Não"/>
    <s v="Não"/>
    <s v="Não"/>
    <n v="11830"/>
    <n v="11830"/>
  </r>
  <r>
    <s v="VGSP-348_072,000_EN_CL2"/>
    <x v="0"/>
    <s v="72,000"/>
    <m/>
    <s v="72,500"/>
    <m/>
    <x v="0"/>
    <s v="N"/>
    <n v="-23.100710908126079"/>
    <n v="-47.011690153564992"/>
    <n v="456.69"/>
    <n v="3.52"/>
    <n v="40"/>
    <m/>
    <n v="0"/>
    <s v="Trator 1.7m"/>
    <m/>
    <s v="Não"/>
    <s v="Não"/>
    <s v="Não"/>
    <s v="Não"/>
    <n v="182.67600000000002"/>
    <n v="182.67600000000002"/>
  </r>
  <r>
    <s v="VGSP-348_073,000_EN_CL1"/>
    <x v="0"/>
    <s v="73,000"/>
    <m/>
    <s v="73,500"/>
    <m/>
    <x v="0"/>
    <s v="N"/>
    <n v="-23.092887155723243"/>
    <n v="-47.016957682074406"/>
    <n v="853.02"/>
    <n v="5.64"/>
    <n v="50"/>
    <m/>
    <n v="0"/>
    <s v="Trator 1.7m"/>
    <m/>
    <s v="Não"/>
    <s v="Não"/>
    <s v="Não"/>
    <s v="Não"/>
    <n v="426.51"/>
    <n v="426.51"/>
  </r>
  <r>
    <s v="VGSP-348_073,000_EN_CL3"/>
    <x v="0"/>
    <s v="73,000"/>
    <m/>
    <s v="73,500"/>
    <m/>
    <x v="0"/>
    <s v="N"/>
    <n v="-23.090580197695441"/>
    <n v="-47.017674376580437"/>
    <n v="1349.06"/>
    <n v="5.73"/>
    <n v="50"/>
    <m/>
    <n v="0"/>
    <s v="Trator 1.7m"/>
    <m/>
    <s v="Não"/>
    <s v="Não"/>
    <s v="Não"/>
    <s v="Não"/>
    <n v="674.53"/>
    <n v="674.53"/>
  </r>
  <r>
    <s v="VGSP-348_073,000_CC2"/>
    <x v="89"/>
    <s v="73,000"/>
    <m/>
    <s v="73,500"/>
    <n v="0.5"/>
    <x v="1"/>
    <s v="C"/>
    <n v="-23.088619989575697"/>
    <n v="-47.01892207630614"/>
    <n v="5451.36"/>
    <n v="4.59"/>
    <n v="80"/>
    <m/>
    <n v="0"/>
    <s v="Eixo-zero"/>
    <m/>
    <s v="Não"/>
    <s v="Não"/>
    <s v="Não"/>
    <s v="Não"/>
    <n v="4361.0879999999997"/>
    <n v="4361.0879999999997"/>
  </r>
  <r>
    <s v="VGSP-330_073,000_ES_CL4"/>
    <x v="0"/>
    <s v="73,000"/>
    <m/>
    <s v="73,500"/>
    <m/>
    <x v="0"/>
    <s v="S"/>
    <n v="-23.083164787918204"/>
    <n v="-46.977812920774269"/>
    <n v="346.19"/>
    <n v="3.11"/>
    <n v="30"/>
    <m/>
    <n v="0"/>
    <s v="Trator 1.7m"/>
    <m/>
    <s v="Não"/>
    <s v="Não"/>
    <s v="Não"/>
    <s v="Não"/>
    <n v="103.857"/>
    <n v="103.857"/>
  </r>
  <r>
    <s v="VGSP-330_073,000_ES_CL1"/>
    <x v="0"/>
    <s v="73,000"/>
    <m/>
    <s v="73,500"/>
    <m/>
    <x v="0"/>
    <s v="S"/>
    <n v="-23.084873825022342"/>
    <n v="-46.976632882556807"/>
    <n v="1635.68"/>
    <n v="5.61"/>
    <n v="30"/>
    <m/>
    <n v="0"/>
    <s v="Trator 1.7m"/>
    <m/>
    <s v="Não"/>
    <s v="Não"/>
    <s v="Não"/>
    <s v="Não"/>
    <n v="490.70400000000001"/>
    <n v="490.70400000000001"/>
  </r>
  <r>
    <s v="VGSP-348_073,000_ES_CL1"/>
    <x v="0"/>
    <s v="73,000"/>
    <m/>
    <s v="73,500"/>
    <m/>
    <x v="0"/>
    <s v="S"/>
    <n v="-23.091736287119875"/>
    <n v="-47.017967703604604"/>
    <n v="2118.8200000000002"/>
    <n v="9.09"/>
    <n v="50"/>
    <m/>
    <n v="0"/>
    <s v="Trator 1.7m"/>
    <m/>
    <s v="Não"/>
    <s v="Não"/>
    <s v="Não"/>
    <s v="Não"/>
    <n v="1059.4100000000001"/>
    <n v="1059.4100000000001"/>
  </r>
  <r>
    <s v="VGSP-348_073,000_EN_CL5"/>
    <x v="0"/>
    <s v="73,000"/>
    <m/>
    <s v="73,500"/>
    <m/>
    <x v="0"/>
    <s v="N"/>
    <n v="-23.086384171406891"/>
    <n v="-47.019994647510572"/>
    <n v="1278.6500000000001"/>
    <n v="7.09"/>
    <n v="10"/>
    <m/>
    <n v="0"/>
    <s v="Trator 1.7m"/>
    <m/>
    <s v="Não"/>
    <s v="Não"/>
    <s v="Não"/>
    <s v="Não"/>
    <n v="127.86500000000001"/>
    <n v="127.86500000000001"/>
  </r>
  <r>
    <s v="VGSP-330_073,000_EN_CL4"/>
    <x v="0"/>
    <s v="73,000"/>
    <m/>
    <s v="73,500"/>
    <m/>
    <x v="0"/>
    <s v="N"/>
    <n v="-23.080992642892781"/>
    <n v="-46.978811407813062"/>
    <n v="1798.06"/>
    <n v="5.39"/>
    <n v="20"/>
    <m/>
    <n v="0"/>
    <s v="Trator 1.7m"/>
    <m/>
    <s v="Não"/>
    <s v="Não"/>
    <s v="Não"/>
    <s v="Não"/>
    <n v="359.61200000000002"/>
    <n v="359.61200000000002"/>
  </r>
  <r>
    <s v="VGSP-348_073,000_CC1"/>
    <x v="89"/>
    <s v="73,000"/>
    <m/>
    <s v="73,500"/>
    <n v="0.5"/>
    <x v="1"/>
    <s v="C"/>
    <n v="-23.091630122413026"/>
    <n v="-47.017680550002616"/>
    <n v="16168.23"/>
    <n v="7.68"/>
    <n v="80"/>
    <m/>
    <n v="0"/>
    <s v="Eixo-zero"/>
    <m/>
    <s v="Não"/>
    <s v="Não"/>
    <s v="Não"/>
    <s v="Não"/>
    <n v="12934.584000000001"/>
    <n v="12934.584000000001"/>
  </r>
  <r>
    <s v="VGSP-348_073,000_CC3"/>
    <x v="89"/>
    <s v="73,000"/>
    <m/>
    <s v="73,500"/>
    <n v="0.5"/>
    <x v="1"/>
    <s v="C"/>
    <n v="-23.086722687566983"/>
    <n v="-47.020350220881163"/>
    <n v="9220.2000000000007"/>
    <n v="5"/>
    <n v="80"/>
    <m/>
    <n v="0"/>
    <s v="Eixo-zero"/>
    <m/>
    <s v="Não"/>
    <s v="Não"/>
    <s v="Não"/>
    <s v="Não"/>
    <n v="7376.1600000000008"/>
    <n v="7376.1600000000008"/>
  </r>
  <r>
    <s v="VGSP-348_073,000_ES_CL3"/>
    <x v="0"/>
    <s v="73,000"/>
    <m/>
    <s v="73,500"/>
    <m/>
    <x v="0"/>
    <s v="S"/>
    <n v="-23.087441726644233"/>
    <n v="-47.020259325863513"/>
    <n v="2643.33"/>
    <n v="3.86"/>
    <n v="60"/>
    <m/>
    <n v="0"/>
    <s v="Trator 1.7m"/>
    <m/>
    <s v="Não"/>
    <s v="Não"/>
    <s v="Não"/>
    <s v="Não"/>
    <n v="1585.9979999999998"/>
    <n v="1585.9979999999998"/>
  </r>
  <r>
    <s v="VGSP-330_073,000_ES_CL2"/>
    <x v="0"/>
    <s v="73,000"/>
    <m/>
    <s v="73,500"/>
    <m/>
    <x v="0"/>
    <s v="S"/>
    <n v="-23.083397738298984"/>
    <n v="-46.977601647160022"/>
    <n v="216.51"/>
    <n v="5.66"/>
    <n v="30"/>
    <m/>
    <n v="0"/>
    <s v="Trator 1.7m"/>
    <m/>
    <s v="Não"/>
    <s v="Não"/>
    <s v="Não"/>
    <s v="Não"/>
    <n v="64.952999999999989"/>
    <n v="64.952999999999989"/>
  </r>
  <r>
    <s v="VGSP-348_073,000_ES_CL4"/>
    <x v="0"/>
    <s v="73,000"/>
    <m/>
    <s v="73,500"/>
    <m/>
    <x v="0"/>
    <s v="S"/>
    <n v="-23.08629729252608"/>
    <n v="-47.021077990404315"/>
    <n v="508.55"/>
    <n v="6.89"/>
    <n v="60"/>
    <m/>
    <n v="0"/>
    <s v="Trator 1.7m"/>
    <m/>
    <s v="Não"/>
    <s v="Não"/>
    <s v="Não"/>
    <s v="Não"/>
    <n v="305.13"/>
    <n v="305.13"/>
  </r>
  <r>
    <s v="VGSP-330_073,000_ES_CL3"/>
    <x v="0"/>
    <s v="73,000"/>
    <m/>
    <s v="73,500"/>
    <m/>
    <x v="0"/>
    <s v="S"/>
    <n v="-23.081155694990947"/>
    <n v="-46.979097915968197"/>
    <n v="1739.3"/>
    <n v="7.16"/>
    <n v="65"/>
    <m/>
    <n v="1130.5450000000001"/>
    <s v="Trator com braço articulado"/>
    <m/>
    <s v="Não"/>
    <s v="Sim"/>
    <s v="Não"/>
    <s v="Sim"/>
    <n v="0"/>
    <m/>
  </r>
  <r>
    <s v="VGSP-348_073,000_ES_CL2"/>
    <x v="0"/>
    <s v="73,000"/>
    <m/>
    <s v="73,500"/>
    <m/>
    <x v="0"/>
    <s v="S"/>
    <n v="-23.088699653224545"/>
    <n v="-47.019248187879292"/>
    <n v="795.96"/>
    <n v="7.54"/>
    <n v="60"/>
    <m/>
    <n v="0"/>
    <s v="Trator 1.7m"/>
    <m/>
    <s v="Não"/>
    <s v="Não"/>
    <s v="Não"/>
    <s v="Não"/>
    <n v="477.57600000000002"/>
    <n v="477.57600000000002"/>
  </r>
  <r>
    <s v="VGSP-330_073,000_EN_CL2"/>
    <x v="0"/>
    <s v="73,000"/>
    <m/>
    <s v="73,500"/>
    <m/>
    <x v="0"/>
    <s v="N"/>
    <n v="-23.084422087557506"/>
    <n v="-46.976418554716801"/>
    <n v="2973.22"/>
    <n v="5.25"/>
    <n v="50"/>
    <m/>
    <n v="0"/>
    <s v="Trator 1.7m"/>
    <m/>
    <s v="Não"/>
    <s v="Não"/>
    <s v="Não"/>
    <s v="Não"/>
    <n v="1486.61"/>
    <n v="1486.61"/>
  </r>
  <r>
    <s v="VGSP-330_073,000_EN_CL3"/>
    <x v="0"/>
    <s v="73,000"/>
    <m/>
    <s v="73,500"/>
    <m/>
    <x v="0"/>
    <s v="N"/>
    <n v="-23.083316724155846"/>
    <n v="-46.977150664959836"/>
    <n v="528.4"/>
    <n v="3.35"/>
    <n v="50"/>
    <m/>
    <n v="0"/>
    <s v="Trator 1.7m"/>
    <m/>
    <s v="Não"/>
    <s v="Não"/>
    <s v="Não"/>
    <s v="Não"/>
    <n v="264.2"/>
    <n v="264.2"/>
  </r>
  <r>
    <s v="VGSP-330_073,000_EN_CL5"/>
    <x v="0"/>
    <s v="73,000"/>
    <m/>
    <s v="73,500"/>
    <m/>
    <x v="0"/>
    <s v="N"/>
    <n v="-23.082836304830753"/>
    <n v="-46.977526435015889"/>
    <n v="145.72"/>
    <n v="1.3"/>
    <n v="50"/>
    <m/>
    <n v="0"/>
    <s v="Trator 1.7m"/>
    <m/>
    <s v="Não"/>
    <s v="Não"/>
    <s v="Não"/>
    <s v="Não"/>
    <n v="72.86"/>
    <n v="72.86"/>
  </r>
  <r>
    <s v="VGSP-330_073,000_EN_CL1"/>
    <x v="0"/>
    <s v="73,000"/>
    <m/>
    <s v="73,500"/>
    <m/>
    <x v="0"/>
    <s v="N"/>
    <n v="-23.086056314530371"/>
    <n v="-46.975304844771067"/>
    <n v="294.95"/>
    <n v="5.27"/>
    <n v="50"/>
    <m/>
    <n v="0"/>
    <s v="Trator 1.7m"/>
    <m/>
    <s v="Não"/>
    <s v="Não"/>
    <s v="Não"/>
    <s v="Não"/>
    <n v="147.47499999999999"/>
    <n v="147.47499999999999"/>
  </r>
  <r>
    <s v="VGSP-348_073,000_EN_CL2"/>
    <x v="0"/>
    <s v="73,000"/>
    <m/>
    <s v="73,500"/>
    <m/>
    <x v="0"/>
    <s v="N"/>
    <n v="-23.088467749110595"/>
    <n v="-47.018648089504197"/>
    <n v="837.24"/>
    <n v="3.66"/>
    <n v="10"/>
    <m/>
    <n v="0"/>
    <s v="Trator 1.7m"/>
    <m/>
    <s v="Não"/>
    <s v="Não"/>
    <s v="Não"/>
    <s v="Não"/>
    <n v="83.724000000000004"/>
    <n v="83.724000000000004"/>
  </r>
  <r>
    <s v="VGSP-348_073,000_EN_CL4"/>
    <x v="0"/>
    <s v="73,000"/>
    <m/>
    <s v="73,500"/>
    <m/>
    <x v="0"/>
    <s v="N"/>
    <n v="-23.086663789245495"/>
    <n v="-47.01993146800077"/>
    <n v="4026.26"/>
    <n v="6.7"/>
    <n v="10"/>
    <m/>
    <n v="0"/>
    <s v="Trator 1.7m"/>
    <m/>
    <s v="Não"/>
    <s v="Não"/>
    <s v="Não"/>
    <s v="Não"/>
    <n v="402.62600000000003"/>
    <n v="402.62600000000003"/>
  </r>
  <r>
    <s v="VGSP-330_074,000_EN_CL3"/>
    <x v="0"/>
    <s v="74,000"/>
    <m/>
    <s v="74,500"/>
    <m/>
    <x v="0"/>
    <s v="N"/>
    <n v="-23.074930116308206"/>
    <n v="-46.983283137025509"/>
    <n v="17.47"/>
    <n v="3.66"/>
    <n v="20"/>
    <m/>
    <n v="0"/>
    <s v="Trator 1.7m"/>
    <m/>
    <s v="Não"/>
    <s v="Não"/>
    <s v="Não"/>
    <s v="Não"/>
    <n v="3.4939999999999998"/>
    <n v="3.4939999999999998"/>
  </r>
  <r>
    <s v="VGSP-330_074,000_ES_CL1"/>
    <x v="0"/>
    <s v="74,000"/>
    <m/>
    <s v="74,500"/>
    <m/>
    <x v="0"/>
    <s v="S"/>
    <n v="-23.073684844987461"/>
    <n v="-46.984646022084007"/>
    <n v="1612.6"/>
    <n v="4.99"/>
    <n v="30"/>
    <m/>
    <n v="0"/>
    <s v="Trator 1.7m"/>
    <m/>
    <s v="Não"/>
    <s v="Não"/>
    <s v="Não"/>
    <s v="Não"/>
    <n v="483.78"/>
    <n v="483.78"/>
  </r>
  <r>
    <s v="VGSP-348_074,000_EN_CL1"/>
    <x v="0"/>
    <s v="74,000"/>
    <m/>
    <s v="74,500"/>
    <m/>
    <x v="0"/>
    <s v="N"/>
    <n v="-23.079378926365191"/>
    <n v="-47.02528852517122"/>
    <n v="2231.96"/>
    <n v="2.44"/>
    <n v="40"/>
    <m/>
    <n v="0"/>
    <s v="Trator 1.7m"/>
    <m/>
    <s v="Não"/>
    <s v="Não"/>
    <s v="Não"/>
    <s v="Não"/>
    <n v="892.78400000000011"/>
    <n v="892.78400000000011"/>
  </r>
  <r>
    <s v="VGSP-330_074,000_EN_CL2"/>
    <x v="0"/>
    <s v="74,000"/>
    <m/>
    <s v="74,500"/>
    <m/>
    <x v="0"/>
    <s v="N"/>
    <n v="-23.075184930263582"/>
    <n v="-46.982959098558787"/>
    <n v="1590.28"/>
    <n v="4.3"/>
    <n v="20"/>
    <m/>
    <n v="0"/>
    <s v="Trator 1.7m"/>
    <m/>
    <s v="Não"/>
    <s v="Não"/>
    <s v="Não"/>
    <s v="Não"/>
    <n v="318.05600000000004"/>
    <n v="318.05600000000004"/>
  </r>
  <r>
    <s v="VGSP-348_074,000_CC2"/>
    <x v="90"/>
    <s v="74,000"/>
    <m/>
    <s v="74,500"/>
    <n v="0.5"/>
    <x v="1"/>
    <s v="C"/>
    <n v="-23.079568123549997"/>
    <n v="-47.025528843285805"/>
    <n v="17001.8"/>
    <n v="5.07"/>
    <n v="80"/>
    <m/>
    <n v="0"/>
    <s v="Eixo-zero"/>
    <m/>
    <s v="Não"/>
    <s v="Não"/>
    <s v="Não"/>
    <s v="Não"/>
    <n v="13601.44"/>
    <n v="13601.44"/>
  </r>
  <r>
    <s v="VGSP-330_074,000_EN_CL1"/>
    <x v="0"/>
    <s v="74,000"/>
    <m/>
    <s v="74,500"/>
    <m/>
    <x v="0"/>
    <s v="N"/>
    <n v="-23.077305862052558"/>
    <n v="-46.981458156097098"/>
    <n v="2126.0700000000002"/>
    <n v="5.42"/>
    <n v="20"/>
    <m/>
    <n v="0"/>
    <s v="Trator 1.7m"/>
    <m/>
    <s v="Não"/>
    <s v="Não"/>
    <s v="Não"/>
    <s v="Não"/>
    <n v="425.21400000000006"/>
    <n v="425.21400000000006"/>
  </r>
  <r>
    <s v="VGSP-348_074,000_ES_CL1"/>
    <x v="0"/>
    <s v="74,000"/>
    <m/>
    <s v="74,500"/>
    <m/>
    <x v="0"/>
    <s v="S"/>
    <n v="-23.07974421133159"/>
    <n v="-47.025779350719674"/>
    <n v="2233.77"/>
    <n v="7.86"/>
    <n v="70"/>
    <m/>
    <n v="0"/>
    <s v="Trator 1.7m"/>
    <m/>
    <s v="Não"/>
    <s v="Não"/>
    <s v="Não"/>
    <s v="Não"/>
    <n v="1563.6389999999999"/>
    <n v="1563.6389999999999"/>
  </r>
  <r>
    <s v="VGSP-348_074,000_CC1"/>
    <x v="90"/>
    <s v="74,000"/>
    <m/>
    <s v="74,500"/>
    <n v="0.5"/>
    <x v="1"/>
    <s v="C"/>
    <n v="-23.083720306776357"/>
    <n v="-47.022725450557644"/>
    <n v="16481.64"/>
    <n v="5.7"/>
    <n v="80"/>
    <m/>
    <n v="0"/>
    <s v="Eixo-zero"/>
    <m/>
    <s v="Não"/>
    <s v="Não"/>
    <s v="Não"/>
    <s v="Não"/>
    <n v="13185.312"/>
    <n v="13185.312"/>
  </r>
  <r>
    <s v="VGSP-348_074,000_EN_CL2"/>
    <x v="0"/>
    <s v="74,000"/>
    <m/>
    <s v="74,500"/>
    <m/>
    <x v="0"/>
    <s v="N"/>
    <n v="-23.083523694043635"/>
    <n v="-47.022493230635455"/>
    <n v="2102.5"/>
    <n v="3.88"/>
    <n v="10"/>
    <m/>
    <n v="0"/>
    <s v="Trator 1.7m"/>
    <m/>
    <s v="Não"/>
    <s v="Não"/>
    <s v="Não"/>
    <s v="Não"/>
    <n v="210.25"/>
    <n v="210.25"/>
  </r>
  <r>
    <s v="VGSP-330_074,000_EN_CL4"/>
    <x v="0"/>
    <s v="74,000"/>
    <m/>
    <s v="74,500"/>
    <m/>
    <x v="0"/>
    <s v="N"/>
    <n v="-23.073503916858709"/>
    <n v="-46.9843363870433"/>
    <n v="1551.97"/>
    <n v="3.13"/>
    <n v="40"/>
    <m/>
    <n v="0"/>
    <s v="Trator 1.7m"/>
    <m/>
    <s v="Não"/>
    <s v="Não"/>
    <s v="Não"/>
    <s v="Não"/>
    <n v="620.78800000000001"/>
    <n v="620.78800000000001"/>
  </r>
  <r>
    <s v="VGSP-330_074,000_EN_CL5"/>
    <x v="0"/>
    <s v="74,000"/>
    <m/>
    <s v="74,500"/>
    <m/>
    <x v="0"/>
    <s v="N"/>
    <n v="-23.074902579623149"/>
    <n v="-46.983056413640547"/>
    <n v="103.99"/>
    <n v="2.86"/>
    <n v="40"/>
    <m/>
    <n v="0"/>
    <s v="Trator 1.7m"/>
    <m/>
    <s v="Não"/>
    <s v="Não"/>
    <s v="Não"/>
    <s v="Não"/>
    <n v="41.596000000000004"/>
    <n v="41.596000000000004"/>
  </r>
  <r>
    <s v="VGSP-330_074,000_ES_CL2"/>
    <x v="0"/>
    <s v="74,000"/>
    <m/>
    <s v="74,500"/>
    <m/>
    <x v="0"/>
    <s v="S"/>
    <n v="-23.077342567940526"/>
    <n v="-46.981885587845952"/>
    <n v="2340.29"/>
    <n v="5.73"/>
    <n v="65"/>
    <m/>
    <n v="1521.1885"/>
    <s v="Trator com braço articulado"/>
    <m/>
    <s v="Não"/>
    <s v="Não"/>
    <s v="Não"/>
    <s v="Sim"/>
    <n v="0"/>
    <m/>
  </r>
  <r>
    <s v="VGSP-348_074,000_ES_CL2"/>
    <x v="0"/>
    <s v="74,000"/>
    <m/>
    <s v="74,500"/>
    <m/>
    <x v="0"/>
    <s v="S"/>
    <n v="-23.083904706908665"/>
    <n v="-47.022970418346524"/>
    <n v="2118.79"/>
    <n v="7.8"/>
    <n v="60"/>
    <m/>
    <n v="0"/>
    <s v="Trator 1.7m"/>
    <m/>
    <s v="Não"/>
    <s v="Não"/>
    <s v="Não"/>
    <s v="Não"/>
    <n v="1271.2739999999999"/>
    <n v="1271.2739999999999"/>
  </r>
  <r>
    <s v="VGSP-330_075,000_EN_CL3"/>
    <x v="0"/>
    <s v="75,000"/>
    <m/>
    <s v="75,500"/>
    <m/>
    <x v="0"/>
    <s v="N"/>
    <n v="-23.067676017448125"/>
    <n v="-46.98865995944346"/>
    <n v="441.17"/>
    <n v="5.08"/>
    <n v="40"/>
    <m/>
    <n v="0"/>
    <s v="Trator 1.7m"/>
    <m/>
    <s v="Não"/>
    <s v="Não"/>
    <s v="Não"/>
    <s v="Não"/>
    <n v="176.46800000000002"/>
    <n v="176.46800000000002"/>
  </r>
  <r>
    <s v="VGSP-348_075,000_EN_CL1"/>
    <x v="0"/>
    <s v="75,000"/>
    <m/>
    <s v="75,500"/>
    <m/>
    <x v="0"/>
    <s v="N"/>
    <n v="-23.071136994681268"/>
    <n v="-47.030051319058359"/>
    <n v="2251.7600000000002"/>
    <n v="4.09"/>
    <n v="40"/>
    <m/>
    <n v="0"/>
    <s v="Trator 1.7m"/>
    <m/>
    <s v="Não"/>
    <s v="Não"/>
    <s v="Não"/>
    <s v="Não"/>
    <n v="900.70400000000018"/>
    <n v="900.70400000000018"/>
  </r>
  <r>
    <s v="VGSP-330_075,000_EN_CL1"/>
    <x v="0"/>
    <s v="75,000"/>
    <m/>
    <s v="75,500"/>
    <m/>
    <x v="0"/>
    <s v="N"/>
    <n v="-23.070129616192169"/>
    <n v="-46.986900146942482"/>
    <n v="2103.2600000000002"/>
    <n v="4.08"/>
    <n v="40"/>
    <m/>
    <n v="0"/>
    <s v="Trator 1.7m"/>
    <m/>
    <s v="Não"/>
    <s v="Não"/>
    <s v="Não"/>
    <s v="Não"/>
    <n v="841.30400000000009"/>
    <n v="841.30400000000009"/>
  </r>
  <r>
    <s v="VGSP-330_075,000_ES_CL2"/>
    <x v="0"/>
    <s v="75,000"/>
    <m/>
    <s v="75,500"/>
    <m/>
    <x v="0"/>
    <s v="S"/>
    <n v="-23.070307277584973"/>
    <n v="-46.987201204968898"/>
    <n v="2040.57"/>
    <n v="6.45"/>
    <n v="30"/>
    <m/>
    <n v="0"/>
    <s v="Trator 1.7m"/>
    <m/>
    <s v="Não"/>
    <s v="Não"/>
    <s v="Não"/>
    <s v="Não"/>
    <n v="612.17099999999994"/>
    <n v="612.17099999999994"/>
  </r>
  <r>
    <s v="VGSP-330_075,000_EN_CL2"/>
    <x v="0"/>
    <s v="75,000"/>
    <m/>
    <s v="75,500"/>
    <m/>
    <x v="0"/>
    <s v="N"/>
    <n v="-23.0679159668416"/>
    <n v="-46.988458033190973"/>
    <n v="256.92"/>
    <n v="3.44"/>
    <n v="40"/>
    <m/>
    <n v="0"/>
    <s v="Trator 1.7m"/>
    <m/>
    <s v="Não"/>
    <s v="Não"/>
    <s v="Não"/>
    <s v="Não"/>
    <n v="102.76800000000001"/>
    <n v="102.76800000000001"/>
  </r>
  <r>
    <s v="VGSP-348_075,000_CC2"/>
    <x v="91"/>
    <s v="75,000"/>
    <m/>
    <s v="75,500"/>
    <n v="0.5"/>
    <x v="1"/>
    <s v="C"/>
    <n v="-23.071315305874176"/>
    <n v="-47.030302541107837"/>
    <n v="16319.69"/>
    <n v="7.28"/>
    <n v="80"/>
    <m/>
    <n v="0"/>
    <s v="Eixo-zero"/>
    <m/>
    <s v="Não"/>
    <s v="Não"/>
    <s v="Não"/>
    <s v="Não"/>
    <n v="13055.752"/>
    <n v="13055.752"/>
  </r>
  <r>
    <s v="VGSP-348_075,000_ES_CL2"/>
    <x v="0"/>
    <s v="75,000"/>
    <m/>
    <s v="75,500"/>
    <m/>
    <x v="0"/>
    <s v="S"/>
    <n v="-23.075467953780752"/>
    <n v="-47.028201367415932"/>
    <n v="2064.52"/>
    <n v="4.33"/>
    <n v="70"/>
    <m/>
    <n v="0"/>
    <s v="Trator 1.7m"/>
    <m/>
    <s v="Não"/>
    <s v="Não"/>
    <s v="Não"/>
    <s v="Não"/>
    <n v="1445.164"/>
    <n v="1445.164"/>
  </r>
  <r>
    <s v="VGSP-348_075,000_CC1"/>
    <x v="91"/>
    <s v="75,000"/>
    <m/>
    <s v="75,500"/>
    <n v="0.5"/>
    <x v="1"/>
    <s v="C"/>
    <n v="-23.075371786414301"/>
    <n v="-47.027897903075456"/>
    <n v="14938.89"/>
    <n v="3.32"/>
    <n v="80"/>
    <m/>
    <n v="0"/>
    <s v="Eixo-zero"/>
    <m/>
    <s v="Não"/>
    <s v="Não"/>
    <s v="Não"/>
    <s v="Não"/>
    <n v="11951.112000000001"/>
    <n v="11951.112000000001"/>
  </r>
  <r>
    <s v="VGSP-348_075,000_ES_CL3"/>
    <x v="0"/>
    <s v="75,000"/>
    <m/>
    <s v="75,500"/>
    <m/>
    <x v="0"/>
    <s v="S"/>
    <n v="-23.075221422718091"/>
    <n v="-47.028554294816104"/>
    <n v="245.31"/>
    <n v="2.88"/>
    <n v="70"/>
    <m/>
    <n v="0"/>
    <s v="Trator 1.7m"/>
    <m/>
    <s v="Não"/>
    <s v="Não"/>
    <s v="Não"/>
    <s v="Não"/>
    <n v="171.71699999999998"/>
    <n v="171.71699999999998"/>
  </r>
  <r>
    <s v="VGSP-330_075,000_ES_CL1"/>
    <x v="0"/>
    <s v="75,000"/>
    <m/>
    <s v="75,500"/>
    <m/>
    <x v="0"/>
    <s v="S"/>
    <n v="-23.066374735052314"/>
    <n v="-46.990174481331103"/>
    <n v="2211.9499999999998"/>
    <n v="3.08"/>
    <n v="55"/>
    <m/>
    <n v="1216.5725"/>
    <s v="Trator com braço articulado"/>
    <m/>
    <s v="Não"/>
    <s v="Sim"/>
    <s v="Não"/>
    <s v="Não"/>
    <n v="0"/>
    <m/>
  </r>
  <r>
    <s v="VGSP-348_075,000_ES_CL1"/>
    <x v="0"/>
    <s v="75,000"/>
    <m/>
    <s v="75,500"/>
    <m/>
    <x v="0"/>
    <s v="S"/>
    <n v="-23.071469624901578"/>
    <n v="-47.030562414702835"/>
    <n v="2090.02"/>
    <n v="10.96"/>
    <n v="60"/>
    <m/>
    <n v="0"/>
    <s v="Trator 1.7m"/>
    <m/>
    <s v="Não"/>
    <s v="Não"/>
    <s v="Não"/>
    <s v="Não"/>
    <n v="1254.0119999999999"/>
    <n v="1254.0119999999999"/>
  </r>
  <r>
    <s v="VGSP-330_075,000_EN_CL4"/>
    <x v="0"/>
    <s v="75,000"/>
    <m/>
    <s v="75,500"/>
    <m/>
    <x v="0"/>
    <s v="N"/>
    <n v="-23.065897360473063"/>
    <n v="-46.99008818824629"/>
    <n v="1975.73"/>
    <n v="2.95"/>
    <n v="40"/>
    <m/>
    <n v="0"/>
    <s v="Trator 1.7m"/>
    <m/>
    <s v="Não"/>
    <s v="Não"/>
    <s v="Não"/>
    <s v="Não"/>
    <n v="790.29200000000003"/>
    <n v="790.29200000000003"/>
  </r>
  <r>
    <s v="VGSP-348_075,000_EN_CL2"/>
    <x v="0"/>
    <s v="75,000"/>
    <m/>
    <s v="75,500"/>
    <m/>
    <x v="0"/>
    <s v="N"/>
    <n v="-23.075241391704669"/>
    <n v="-47.027623698732107"/>
    <n v="1904.61"/>
    <n v="3.09"/>
    <n v="40"/>
    <m/>
    <n v="0"/>
    <s v="Trator 1.7m"/>
    <m/>
    <s v="Não"/>
    <s v="Não"/>
    <s v="Não"/>
    <s v="Não"/>
    <n v="761.84400000000005"/>
    <n v="761.84400000000005"/>
  </r>
  <r>
    <s v="VGSP-330_076,000_ES_CL6"/>
    <x v="0"/>
    <s v="76,000"/>
    <m/>
    <s v="76,500"/>
    <m/>
    <x v="0"/>
    <s v="S"/>
    <n v="-23.061128801174135"/>
    <n v="-46.994516891390752"/>
    <n v="6098.1"/>
    <n v="3.76"/>
    <n v="0"/>
    <m/>
    <n v="0"/>
    <m/>
    <m/>
    <s v="Não"/>
    <s v="Não"/>
    <s v="Não"/>
    <s v="Não"/>
    <n v="0"/>
    <n v="0"/>
  </r>
  <r>
    <s v="VGSP-348_076,000_CC3"/>
    <x v="92"/>
    <s v="76,000"/>
    <m/>
    <s v="76,500"/>
    <n v="0.5"/>
    <x v="1"/>
    <s v="C"/>
    <n v="-23.067034757919522"/>
    <n v="-47.033904575384177"/>
    <n v="1497.91"/>
    <n v="2.79"/>
    <n v="40"/>
    <m/>
    <n v="0"/>
    <s v="Trator 1.7m"/>
    <m/>
    <s v="Não"/>
    <s v="Não"/>
    <s v="Não"/>
    <s v="Não"/>
    <n v="599.1640000000001"/>
    <n v="599.1640000000001"/>
  </r>
  <r>
    <s v="VGSP-330_076,000_ES_CL5"/>
    <x v="0"/>
    <s v="76,000"/>
    <m/>
    <s v="76,500"/>
    <m/>
    <x v="0"/>
    <s v="S"/>
    <n v="-23.061968774205841"/>
    <n v="-46.99451553241952"/>
    <n v="2347.21"/>
    <n v="5.89"/>
    <n v="0"/>
    <m/>
    <n v="0"/>
    <m/>
    <m/>
    <s v="Não"/>
    <s v="Não"/>
    <s v="Não"/>
    <s v="Não"/>
    <n v="0"/>
    <n v="0"/>
  </r>
  <r>
    <s v="VGSP-330_076,000_EN_CL4"/>
    <x v="0"/>
    <s v="76,000"/>
    <m/>
    <s v="76,500"/>
    <m/>
    <x v="0"/>
    <s v="N"/>
    <n v="-23.06061267498476"/>
    <n v="-46.99368286572367"/>
    <n v="5980.61"/>
    <n v="2.99"/>
    <n v="40"/>
    <m/>
    <n v="0"/>
    <s v="Trator 1.7m"/>
    <m/>
    <s v="Não"/>
    <s v="Não"/>
    <s v="Não"/>
    <s v="Não"/>
    <n v="2392.2440000000001"/>
    <n v="2392.2440000000001"/>
  </r>
  <r>
    <s v="VGSP-348_076,000_ES_CL1"/>
    <x v="0"/>
    <s v="76,000"/>
    <m/>
    <s v="76,500"/>
    <m/>
    <x v="0"/>
    <s v="S"/>
    <n v="-23.06923530900028"/>
    <n v="-47.032459916813735"/>
    <n v="442.64"/>
    <n v="5.56"/>
    <n v="60"/>
    <m/>
    <n v="0"/>
    <s v="Trator 1.7m"/>
    <m/>
    <s v="Não"/>
    <s v="Não"/>
    <s v="Não"/>
    <s v="Não"/>
    <n v="265.584"/>
    <n v="265.584"/>
  </r>
  <r>
    <s v="VGSP-330_076,000_EN_CL2"/>
    <x v="0"/>
    <s v="76,000"/>
    <m/>
    <s v="76,500"/>
    <m/>
    <x v="0"/>
    <s v="N"/>
    <n v="-23.063877987110878"/>
    <n v="-46.991614861733787"/>
    <n v="119.97"/>
    <n v="4.8"/>
    <n v="40"/>
    <m/>
    <n v="0"/>
    <s v="Trator 1.7m"/>
    <m/>
    <s v="Não"/>
    <s v="Não"/>
    <s v="Não"/>
    <s v="Não"/>
    <n v="47.988"/>
    <n v="47.988"/>
  </r>
  <r>
    <s v="VGSP-348_076,000_ES_CL4"/>
    <x v="0"/>
    <s v="76,000"/>
    <m/>
    <s v="76,500"/>
    <m/>
    <x v="0"/>
    <s v="S"/>
    <n v="-23.064669249915681"/>
    <n v="-47.036893581010716"/>
    <n v="13636.37"/>
    <n v="2.94"/>
    <n v="80"/>
    <m/>
    <n v="0"/>
    <s v="Eixo-zero"/>
    <m/>
    <s v="Não"/>
    <s v="Não"/>
    <s v="Não"/>
    <s v="Não"/>
    <n v="10909.096000000001"/>
    <n v="10909.096000000001"/>
  </r>
  <r>
    <s v="VGSP-330_076,000_EN_CL8"/>
    <x v="0"/>
    <s v="76,000"/>
    <m/>
    <s v="76,500"/>
    <m/>
    <x v="0"/>
    <s v="N"/>
    <n v="-23.059855957999435"/>
    <n v="-46.993124331340837"/>
    <n v="542.04999999999995"/>
    <n v="4.8"/>
    <n v="40"/>
    <m/>
    <n v="0"/>
    <s v="Trator 1.7m"/>
    <m/>
    <s v="Não"/>
    <s v="Não"/>
    <s v="Não"/>
    <s v="Não"/>
    <n v="216.82"/>
    <n v="216.82"/>
  </r>
  <r>
    <s v="VGSP-348_076,000_EN_CL2"/>
    <x v="0"/>
    <s v="76,000"/>
    <m/>
    <s v="76,500"/>
    <m/>
    <x v="0"/>
    <s v="N"/>
    <n v="-23.064587955137839"/>
    <n v="-47.036518765486981"/>
    <n v="2048.98"/>
    <n v="3.11"/>
    <n v="40"/>
    <m/>
    <n v="0"/>
    <s v="Trator 1.7m"/>
    <m/>
    <s v="Não"/>
    <s v="Não"/>
    <s v="Não"/>
    <s v="Não"/>
    <n v="819.5920000000001"/>
    <n v="819.5920000000001"/>
  </r>
  <r>
    <s v="VGSP-330_076,000_EN_CL5"/>
    <x v="0"/>
    <s v="76,000"/>
    <m/>
    <s v="76,500"/>
    <m/>
    <x v="0"/>
    <s v="N"/>
    <n v="-23.060225925736194"/>
    <n v="-46.993557495813278"/>
    <n v="3016.29"/>
    <n v="4.2699999999999996"/>
    <n v="40"/>
    <m/>
    <n v="0"/>
    <s v="Trator 1.7m"/>
    <m/>
    <s v="Não"/>
    <s v="Não"/>
    <s v="Não"/>
    <s v="Não"/>
    <n v="1206.5160000000001"/>
    <n v="1206.5160000000001"/>
  </r>
  <r>
    <s v="VGSP-330_076,000_ES_CL4"/>
    <x v="0"/>
    <s v="76,000"/>
    <m/>
    <s v="76,500"/>
    <m/>
    <x v="0"/>
    <s v="S"/>
    <n v="-23.062263485422172"/>
    <n v="-46.99364580392254"/>
    <n v="11955.36"/>
    <n v="3.89"/>
    <n v="0"/>
    <m/>
    <n v="0"/>
    <m/>
    <m/>
    <s v="Não"/>
    <s v="Não"/>
    <s v="Não"/>
    <s v="Não"/>
    <n v="0"/>
    <n v="0"/>
  </r>
  <r>
    <s v="VGSP-330_076,000_ES_CL9"/>
    <x v="0"/>
    <s v="76,000"/>
    <m/>
    <s v="76,500"/>
    <m/>
    <x v="0"/>
    <s v="S"/>
    <n v="-23.059046735504637"/>
    <n v="-46.99570292769107"/>
    <n v="1486.22"/>
    <n v="2.6"/>
    <n v="0"/>
    <m/>
    <n v="0"/>
    <m/>
    <m/>
    <s v="Não"/>
    <s v="Não"/>
    <s v="Não"/>
    <s v="Não"/>
    <n v="0"/>
    <n v="0"/>
  </r>
  <r>
    <s v="VGSP-348_076,000_ES_CL2"/>
    <x v="0"/>
    <s v="76,000"/>
    <m/>
    <s v="76,500"/>
    <m/>
    <x v="0"/>
    <s v="S"/>
    <n v="-23.064856284007561"/>
    <n v="-47.03713596790211"/>
    <n v="1732.98"/>
    <n v="2.48"/>
    <n v="60"/>
    <m/>
    <n v="0"/>
    <s v="Trator 1.7m"/>
    <m/>
    <s v="Não"/>
    <s v="Não"/>
    <s v="Não"/>
    <s v="Não"/>
    <n v="1039.788"/>
    <n v="1039.788"/>
  </r>
  <r>
    <s v="VGSP-330_076,000_ES_CL3"/>
    <x v="0"/>
    <s v="76,000"/>
    <m/>
    <s v="76,500"/>
    <m/>
    <x v="0"/>
    <s v="S"/>
    <n v="-23.062708274286834"/>
    <n v="-46.99395929308438"/>
    <n v="2023.75"/>
    <n v="5.53"/>
    <n v="0"/>
    <m/>
    <n v="0"/>
    <m/>
    <m/>
    <s v="Não"/>
    <s v="Não"/>
    <s v="Não"/>
    <s v="Não"/>
    <n v="0"/>
    <n v="0"/>
  </r>
  <r>
    <s v="VGSP-330_076,000_EN_CL3"/>
    <x v="0"/>
    <s v="76,000"/>
    <m/>
    <s v="76,500"/>
    <m/>
    <x v="0"/>
    <s v="N"/>
    <n v="-23.061709699539357"/>
    <n v="-46.992812555636"/>
    <n v="12809.24"/>
    <n v="4.88"/>
    <n v="40"/>
    <m/>
    <n v="0"/>
    <s v="Trator 1.7m"/>
    <m/>
    <s v="Não"/>
    <s v="Não"/>
    <s v="Não"/>
    <s v="Não"/>
    <n v="5123.6959999999999"/>
    <n v="5123.6959999999999"/>
  </r>
  <r>
    <s v="VGSP-330_076,000_CC"/>
    <x v="93"/>
    <s v="76,000"/>
    <m/>
    <s v="76,500"/>
    <m/>
    <x v="1"/>
    <s v="C"/>
    <n v="-23.062004224401797"/>
    <n v="-46.992496528771682"/>
    <n v="5087.95"/>
    <n v="4.92"/>
    <n v="40"/>
    <m/>
    <n v="0"/>
    <s v="Trator 1.7m"/>
    <m/>
    <s v="Não"/>
    <s v="Não"/>
    <s v="Não"/>
    <s v="Não"/>
    <n v="2035.18"/>
    <n v="2035.18"/>
  </r>
  <r>
    <s v="VGSP-330_076,000_EN_CL6"/>
    <x v="0"/>
    <s v="76,000"/>
    <m/>
    <s v="76,500"/>
    <m/>
    <x v="0"/>
    <s v="N"/>
    <n v="-23.06011898018264"/>
    <n v="-46.994365576068361"/>
    <n v="1145.48"/>
    <n v="5.17"/>
    <n v="60"/>
    <m/>
    <n v="0"/>
    <s v="Trator 1.7m"/>
    <m/>
    <s v="Não"/>
    <s v="Não"/>
    <s v="Não"/>
    <s v="Não"/>
    <n v="687.28800000000001"/>
    <n v="687.28800000000001"/>
  </r>
  <r>
    <s v="VGSP-348_076,000_CC2"/>
    <x v="92"/>
    <s v="76,000"/>
    <m/>
    <s v="76,500"/>
    <n v="0.5"/>
    <x v="1"/>
    <s v="C"/>
    <n v="-23.067311422795868"/>
    <n v="-47.03407302568462"/>
    <n v="11710.72"/>
    <n v="2.54"/>
    <n v="80"/>
    <m/>
    <n v="0"/>
    <s v="Eixo-zero"/>
    <m/>
    <s v="Não"/>
    <s v="Não"/>
    <s v="Não"/>
    <s v="Não"/>
    <n v="9368.5759999999991"/>
    <n v="9368.5759999999991"/>
  </r>
  <r>
    <s v="VGSP-348_076,000_CC1"/>
    <x v="92"/>
    <s v="76,000"/>
    <m/>
    <s v="76,500"/>
    <n v="0.5"/>
    <x v="1"/>
    <s v="C"/>
    <n v="-23.068981373455461"/>
    <n v="-47.032290290338956"/>
    <n v="3723.58"/>
    <n v="4.92"/>
    <n v="80"/>
    <m/>
    <n v="0"/>
    <s v="Eixo-zero"/>
    <m/>
    <s v="Não"/>
    <s v="Não"/>
    <s v="Não"/>
    <s v="Não"/>
    <n v="2978.864"/>
    <n v="2978.864"/>
  </r>
  <r>
    <s v="VGSP-330_076,000_ES_CL1"/>
    <x v="0"/>
    <s v="76,000"/>
    <m/>
    <s v="76,500"/>
    <m/>
    <x v="0"/>
    <s v="S"/>
    <n v="-23.063205119474866"/>
    <n v="-46.992684554161229"/>
    <n v="2479.87"/>
    <n v="3.9"/>
    <n v="0"/>
    <m/>
    <n v="0"/>
    <m/>
    <m/>
    <s v="Não"/>
    <s v="Não"/>
    <s v="Não"/>
    <s v="Não"/>
    <n v="0"/>
    <n v="0"/>
  </r>
  <r>
    <s v="VGSP-330_076,000_ES_CL2"/>
    <x v="0"/>
    <s v="76,000"/>
    <m/>
    <s v="76,500"/>
    <m/>
    <x v="0"/>
    <s v="S"/>
    <n v="-23.0640814721514"/>
    <n v="-46.991906886980928"/>
    <n v="86.3"/>
    <n v="3.15"/>
    <n v="0"/>
    <m/>
    <n v="0"/>
    <m/>
    <m/>
    <s v="Não"/>
    <s v="Não"/>
    <s v="Não"/>
    <s v="Não"/>
    <n v="0"/>
    <n v="0"/>
  </r>
  <r>
    <s v="VGSP-348_076,000_ES_CL3"/>
    <x v="0"/>
    <s v="76,000"/>
    <m/>
    <s v="76,500"/>
    <m/>
    <x v="0"/>
    <s v="S"/>
    <n v="-23.067444672000267"/>
    <n v="-47.034377852332213"/>
    <n v="1487.93"/>
    <n v="2.39"/>
    <n v="60"/>
    <m/>
    <n v="0"/>
    <s v="Trator 1.7m"/>
    <m/>
    <s v="Não"/>
    <s v="Não"/>
    <s v="Não"/>
    <s v="Não"/>
    <n v="892.75800000000004"/>
    <n v="892.75800000000004"/>
  </r>
  <r>
    <s v="VGSP-348_076,000_EN_CL1"/>
    <x v="0"/>
    <s v="76,000"/>
    <m/>
    <s v="76,500"/>
    <m/>
    <x v="0"/>
    <s v="N"/>
    <n v="-23.068754186203567"/>
    <n v="-47.032079066802872"/>
    <n v="575.55999999999995"/>
    <n v="5.45"/>
    <n v="40"/>
    <m/>
    <n v="0"/>
    <s v="Trator 1.7m"/>
    <m/>
    <s v="Não"/>
    <s v="Não"/>
    <s v="Não"/>
    <s v="Não"/>
    <n v="230.22399999999999"/>
    <n v="230.22399999999999"/>
  </r>
  <r>
    <s v="VGSP-330_076,000_ES_CL7"/>
    <x v="0"/>
    <s v="76,000"/>
    <m/>
    <s v="76,500"/>
    <m/>
    <x v="0"/>
    <s v="S"/>
    <n v="-23.06107820849277"/>
    <n v="-46.994970152842377"/>
    <n v="3185.56"/>
    <n v="5.56"/>
    <n v="0"/>
    <m/>
    <n v="0"/>
    <m/>
    <m/>
    <s v="Não"/>
    <s v="Não"/>
    <s v="Não"/>
    <s v="Não"/>
    <n v="0"/>
    <n v="0"/>
  </r>
  <r>
    <s v="VGSP-330_076,000_EN_CL1"/>
    <x v="0"/>
    <s v="76,000"/>
    <m/>
    <s v="76,500"/>
    <m/>
    <x v="0"/>
    <s v="N"/>
    <n v="-23.061668974851774"/>
    <n v="-46.992274373643838"/>
    <n v="2012.05"/>
    <n v="5.27"/>
    <n v="40"/>
    <m/>
    <n v="0"/>
    <s v="Trator 1.7m"/>
    <m/>
    <s v="Não"/>
    <s v="Não"/>
    <s v="Não"/>
    <s v="Não"/>
    <n v="804.82"/>
    <n v="804.82"/>
  </r>
  <r>
    <s v="VGSP-330_076,000_ES_CL8"/>
    <x v="0"/>
    <s v="76,000"/>
    <m/>
    <s v="76,500"/>
    <m/>
    <x v="0"/>
    <s v="S"/>
    <n v="-23.060366413272671"/>
    <n v="-46.994798143961852"/>
    <n v="773.4"/>
    <n v="3.79"/>
    <n v="0"/>
    <m/>
    <n v="0"/>
    <m/>
    <m/>
    <s v="Não"/>
    <s v="Não"/>
    <s v="Não"/>
    <s v="Não"/>
    <n v="0"/>
    <n v="0"/>
  </r>
  <r>
    <s v="VGSP-330_076,000_EN_CL7"/>
    <x v="0"/>
    <s v="76,000"/>
    <m/>
    <s v="76,500"/>
    <m/>
    <x v="0"/>
    <s v="N"/>
    <n v="-23.058952592240814"/>
    <n v="-46.995313816288601"/>
    <n v="1634.96"/>
    <n v="4.28"/>
    <n v="60"/>
    <m/>
    <n v="0"/>
    <s v="Trator 1.7m"/>
    <m/>
    <s v="Não"/>
    <s v="Não"/>
    <s v="Não"/>
    <s v="Não"/>
    <n v="980.976"/>
    <n v="980.976"/>
  </r>
  <r>
    <s v="VGSP-348_077,000_ES_CL2"/>
    <x v="0"/>
    <s v="77,000"/>
    <m/>
    <s v="77,500"/>
    <m/>
    <x v="0"/>
    <s v="S"/>
    <n v="-23.062237162634215"/>
    <n v="-47.039965034945972"/>
    <n v="1548.5"/>
    <n v="12.06"/>
    <n v="60"/>
    <m/>
    <n v="0"/>
    <s v="Trator 1.7m"/>
    <m/>
    <s v="Não"/>
    <s v="Não"/>
    <s v="Não"/>
    <s v="Não"/>
    <n v="929.09999999999991"/>
    <n v="929.09999999999991"/>
  </r>
  <r>
    <s v="VGSP-348_077,000_EN_CL2"/>
    <x v="0"/>
    <s v="77,000"/>
    <m/>
    <s v="77,500"/>
    <m/>
    <x v="0"/>
    <s v="N"/>
    <n v="-23.061806161098488"/>
    <n v="-47.039495699064403"/>
    <n v="1527.71"/>
    <n v="3.82"/>
    <n v="40"/>
    <m/>
    <n v="0"/>
    <s v="Trator 1.7m"/>
    <m/>
    <s v="Não"/>
    <s v="Não"/>
    <s v="Não"/>
    <s v="Não"/>
    <n v="611.08400000000006"/>
    <n v="611.08400000000006"/>
  </r>
  <r>
    <s v="VGSP-348_077,000_EN_CL1"/>
    <x v="0"/>
    <s v="77,000"/>
    <m/>
    <s v="77,500"/>
    <m/>
    <x v="0"/>
    <s v="N"/>
    <n v="-23.06035042145222"/>
    <n v="-47.041064661659611"/>
    <n v="294.06"/>
    <n v="1.93"/>
    <n v="0"/>
    <m/>
    <n v="0"/>
    <m/>
    <m/>
    <s v="Não"/>
    <s v="Não"/>
    <s v="Não"/>
    <s v="Não"/>
    <n v="0"/>
    <n v="0"/>
  </r>
  <r>
    <s v="VGSP-348_077,000_EN_CL3"/>
    <x v="0"/>
    <s v="77,000"/>
    <m/>
    <s v="77,500"/>
    <m/>
    <x v="0"/>
    <s v="N"/>
    <n v="-23.058208544735365"/>
    <n v="-47.043043400555824"/>
    <n v="1859.01"/>
    <n v="3.78"/>
    <n v="0"/>
    <m/>
    <n v="0"/>
    <m/>
    <m/>
    <s v="Não"/>
    <s v="Não"/>
    <s v="Não"/>
    <s v="Não"/>
    <n v="0"/>
    <n v="0"/>
  </r>
  <r>
    <s v="VGSP-348_077,000_ES_CL3"/>
    <x v="0"/>
    <s v="77,000"/>
    <m/>
    <s v="77,500"/>
    <m/>
    <x v="0"/>
    <s v="S"/>
    <n v="-23.059062247496414"/>
    <n v="-47.04407332976588"/>
    <n v="1874.06"/>
    <n v="2.6"/>
    <n v="0"/>
    <m/>
    <n v="0"/>
    <m/>
    <m/>
    <s v="Não"/>
    <s v="Não"/>
    <s v="Não"/>
    <s v="Não"/>
    <n v="0"/>
    <n v="0"/>
  </r>
  <r>
    <s v="VGSP-330_077,000_EN_CL4"/>
    <x v="0"/>
    <s v="77,000"/>
    <m/>
    <s v="77,500"/>
    <m/>
    <x v="0"/>
    <s v="N"/>
    <n v="-23.049208592115523"/>
    <n v="-47.001751710425253"/>
    <n v="171.53"/>
    <n v="5.22"/>
    <n v="70"/>
    <m/>
    <n v="0"/>
    <s v="Trator 1.7m"/>
    <m/>
    <s v="Não"/>
    <s v="Não"/>
    <s v="Não"/>
    <s v="Não"/>
    <n v="120.071"/>
    <n v="120.071"/>
  </r>
  <r>
    <s v="VGSP-330_077,000_EN_CL2"/>
    <x v="0"/>
    <s v="77,000"/>
    <m/>
    <s v="77,500"/>
    <m/>
    <x v="0"/>
    <s v="N"/>
    <n v="-23.051107423048578"/>
    <n v="-47.000716681747463"/>
    <n v="1941.17"/>
    <n v="3.23"/>
    <n v="70"/>
    <m/>
    <n v="0"/>
    <s v="Trator 1.7m"/>
    <m/>
    <s v="Não"/>
    <s v="Não"/>
    <s v="Não"/>
    <s v="Não"/>
    <n v="1358.819"/>
    <n v="1358.819"/>
  </r>
  <r>
    <s v="VGSP-330_077,000_ES_CL4"/>
    <x v="0"/>
    <s v="77,000"/>
    <m/>
    <s v="77,500"/>
    <m/>
    <x v="0"/>
    <s v="S"/>
    <n v="-23.050313647387672"/>
    <n v="-47.00157520788273"/>
    <n v="1001.39"/>
    <n v="7.6"/>
    <n v="50"/>
    <m/>
    <n v="0"/>
    <s v="Trator 1.7m"/>
    <m/>
    <s v="Não"/>
    <s v="Não"/>
    <s v="Não"/>
    <s v="Não"/>
    <n v="500.69499999999999"/>
    <n v="500.69499999999999"/>
  </r>
  <r>
    <s v="VGSP-330_077,000_ES_CL2"/>
    <x v="0"/>
    <s v="77,000"/>
    <m/>
    <s v="77,500"/>
    <m/>
    <x v="0"/>
    <s v="S"/>
    <n v="-23.052092737433593"/>
    <n v="-47.00045552999476"/>
    <n v="1041.56"/>
    <n v="2.54"/>
    <n v="50"/>
    <m/>
    <n v="0"/>
    <s v="Trator 1.7m"/>
    <m/>
    <s v="Não"/>
    <s v="Não"/>
    <s v="Não"/>
    <s v="Não"/>
    <n v="520.78"/>
    <n v="520.78"/>
  </r>
  <r>
    <s v="VGSP-330_077,000_ES_CL1"/>
    <x v="0"/>
    <s v="77,000"/>
    <m/>
    <s v="77,500"/>
    <m/>
    <x v="0"/>
    <s v="S"/>
    <n v="-23.055388381441801"/>
    <n v="-46.998281888580131"/>
    <n v="2390"/>
    <n v="7.42"/>
    <n v="0"/>
    <m/>
    <n v="0"/>
    <m/>
    <m/>
    <s v="Não"/>
    <s v="Não"/>
    <s v="Não"/>
    <s v="Não"/>
    <n v="0"/>
    <n v="0"/>
  </r>
  <r>
    <s v="VGSP-330_077,000_EN_CL3"/>
    <x v="0"/>
    <s v="77,000"/>
    <m/>
    <s v="77,500"/>
    <m/>
    <x v="0"/>
    <s v="N"/>
    <n v="-23.049357604169373"/>
    <n v="-47.001827964209511"/>
    <n v="56.05"/>
    <n v="7.2"/>
    <n v="70"/>
    <m/>
    <n v="0"/>
    <s v="Trator 1.7m"/>
    <m/>
    <s v="Não"/>
    <s v="Não"/>
    <s v="Não"/>
    <s v="Não"/>
    <n v="39.234999999999992"/>
    <n v="39.234999999999992"/>
  </r>
  <r>
    <s v="VGSP-348_077,000_CC1"/>
    <x v="94"/>
    <s v="77,000"/>
    <m/>
    <s v="77,500"/>
    <n v="0.5"/>
    <x v="1"/>
    <s v="C"/>
    <n v="-23.06202061313514"/>
    <n v="-47.039724582472225"/>
    <n v="11747.8"/>
    <n v="6.88"/>
    <n v="80"/>
    <m/>
    <n v="0"/>
    <s v="Eixo-zero"/>
    <m/>
    <s v="Não"/>
    <s v="Não"/>
    <s v="Não"/>
    <s v="Não"/>
    <n v="9398.24"/>
    <n v="9398.24"/>
  </r>
  <r>
    <s v="VGSP-348_077,000_CC2"/>
    <x v="94"/>
    <s v="77,000"/>
    <m/>
    <s v="77,500"/>
    <n v="0.5"/>
    <x v="1"/>
    <s v="C"/>
    <n v="-23.060488873599834"/>
    <n v="-47.041362532200345"/>
    <n v="2729.33"/>
    <n v="4.88"/>
    <n v="0"/>
    <m/>
    <n v="0"/>
    <m/>
    <m/>
    <s v="Não"/>
    <s v="Não"/>
    <s v="Não"/>
    <s v="Não"/>
    <n v="0"/>
    <n v="0"/>
  </r>
  <r>
    <s v="VGSP-330_077,000_ES_CL3"/>
    <x v="0"/>
    <s v="77,000"/>
    <m/>
    <s v="77,500"/>
    <m/>
    <x v="0"/>
    <s v="S"/>
    <n v="-23.051199481703485"/>
    <n v="-47.00105276945704"/>
    <n v="249.59"/>
    <n v="4.51"/>
    <n v="50"/>
    <m/>
    <n v="0"/>
    <s v="Trator 1.7m"/>
    <m/>
    <s v="Não"/>
    <s v="Não"/>
    <s v="Não"/>
    <s v="Não"/>
    <n v="124.795"/>
    <n v="124.795"/>
  </r>
  <r>
    <s v="VGSP-348_077,000_ES_CL1"/>
    <x v="0"/>
    <s v="77,000"/>
    <m/>
    <s v="77,500"/>
    <m/>
    <x v="0"/>
    <s v="S"/>
    <n v="-23.060819281220645"/>
    <n v="-47.041599219995831"/>
    <n v="288.77"/>
    <n v="11.54"/>
    <n v="0"/>
    <m/>
    <n v="0"/>
    <m/>
    <m/>
    <s v="Não"/>
    <s v="Não"/>
    <s v="Não"/>
    <s v="Não"/>
    <n v="0"/>
    <n v="0"/>
  </r>
  <r>
    <s v="VGSP-330_077,000_EN_CL1"/>
    <x v="0"/>
    <s v="77,000"/>
    <m/>
    <s v="77,500"/>
    <m/>
    <x v="0"/>
    <s v="N"/>
    <n v="-23.055254695654998"/>
    <n v="-46.998036323310423"/>
    <n v="2346.9699999999998"/>
    <n v="7.72"/>
    <n v="60"/>
    <m/>
    <n v="0"/>
    <s v="Trator 1.7m"/>
    <m/>
    <s v="Não"/>
    <s v="Não"/>
    <s v="Não"/>
    <s v="Não"/>
    <n v="1408.1819999999998"/>
    <n v="1408.1819999999998"/>
  </r>
  <r>
    <s v="VGSP-348_077,000_CC3"/>
    <x v="94"/>
    <s v="77,000"/>
    <m/>
    <s v="77,500"/>
    <n v="0.5"/>
    <x v="1"/>
    <s v="C"/>
    <n v="-23.059441801075671"/>
    <n v="-47.042554949561492"/>
    <n v="5476.02"/>
    <n v="2.78"/>
    <n v="0"/>
    <m/>
    <n v="0"/>
    <m/>
    <m/>
    <s v="Não"/>
    <s v="Não"/>
    <s v="Não"/>
    <s v="Não"/>
    <n v="0"/>
    <n v="0"/>
  </r>
  <r>
    <s v="VGSP-348_078,000_EN_CL6"/>
    <x v="0"/>
    <s v="78,000"/>
    <m/>
    <s v="78,500"/>
    <m/>
    <x v="0"/>
    <s v="N"/>
    <n v="-23.053692594542188"/>
    <n v="-47.047332358547109"/>
    <n v="821.89"/>
    <n v="3.94"/>
    <n v="0"/>
    <m/>
    <n v="0"/>
    <m/>
    <m/>
    <s v="Não"/>
    <s v="Não"/>
    <s v="Não"/>
    <s v="Não"/>
    <n v="0"/>
    <n v="0"/>
  </r>
  <r>
    <s v="VGSP-348_078,000_ES_CL3"/>
    <x v="0"/>
    <s v="78,000"/>
    <m/>
    <s v="78,500"/>
    <m/>
    <x v="0"/>
    <s v="S"/>
    <n v="-23.057300623153409"/>
    <n v="-47.045075840905014"/>
    <n v="4.2699999999999996"/>
    <n v="3.62"/>
    <m/>
    <m/>
    <n v="0"/>
    <m/>
    <m/>
    <s v="Não"/>
    <s v="Não"/>
    <s v="Não"/>
    <s v="Não"/>
    <n v="0"/>
    <n v="0"/>
  </r>
  <r>
    <s v="VGSP-348_078,000_CC1"/>
    <x v="95"/>
    <s v="78,000"/>
    <m/>
    <s v="78,500"/>
    <n v="0.5"/>
    <x v="1"/>
    <s v="C"/>
    <n v="-23.055707410954096"/>
    <n v="-47.045841533020145"/>
    <n v="1944.25"/>
    <n v="4.43"/>
    <n v="0"/>
    <m/>
    <n v="0"/>
    <m/>
    <m/>
    <s v="Não"/>
    <s v="Não"/>
    <s v="Não"/>
    <s v="Não"/>
    <n v="0"/>
    <n v="0"/>
  </r>
  <r>
    <s v="VGSP-348_078,000_CC5"/>
    <x v="95"/>
    <s v="78,000"/>
    <m/>
    <s v="78,500"/>
    <n v="0.5"/>
    <x v="1"/>
    <s v="C"/>
    <n v="-23.052739973771853"/>
    <n v="-47.050622341962033"/>
    <n v="1608.94"/>
    <n v="3.51"/>
    <n v="0"/>
    <m/>
    <n v="0"/>
    <m/>
    <m/>
    <s v="Não"/>
    <s v="Não"/>
    <s v="Não"/>
    <s v="Não"/>
    <n v="0"/>
    <n v="0"/>
  </r>
  <r>
    <s v="VGSP-348_078,000_CC4"/>
    <x v="95"/>
    <s v="78,000"/>
    <m/>
    <s v="78,500"/>
    <n v="0.5"/>
    <x v="1"/>
    <s v="C"/>
    <n v="-23.053165905678043"/>
    <n v="-47.049158883734535"/>
    <n v="1642.79"/>
    <n v="1.88"/>
    <n v="70"/>
    <m/>
    <n v="0"/>
    <s v="Eixo-zero"/>
    <m/>
    <s v="Não"/>
    <s v="Não"/>
    <s v="Não"/>
    <s v="Não"/>
    <n v="1149.953"/>
    <n v="1149.953"/>
  </r>
  <r>
    <s v="VGSP-348_078,000_EN_CL7"/>
    <x v="0"/>
    <s v="78,000"/>
    <m/>
    <s v="78,500"/>
    <m/>
    <x v="0"/>
    <s v="N"/>
    <n v="-23.054425866045477"/>
    <n v="-47.045262686547737"/>
    <n v="1135.9100000000001"/>
    <n v="8.44"/>
    <n v="0"/>
    <m/>
    <n v="0"/>
    <m/>
    <m/>
    <s v="Não"/>
    <s v="Não"/>
    <s v="Não"/>
    <s v="Não"/>
    <n v="0"/>
    <n v="0"/>
  </r>
  <r>
    <s v="VGSP-348_078,000_CC6"/>
    <x v="95"/>
    <s v="78,000"/>
    <m/>
    <s v="78,500"/>
    <n v="0.5"/>
    <x v="1"/>
    <s v="C"/>
    <n v="-23.052233118501274"/>
    <n v="-47.050184922371393"/>
    <n v="6118.61"/>
    <n v="2.59"/>
    <n v="70"/>
    <m/>
    <n v="0"/>
    <s v="Eixo-zero"/>
    <m/>
    <s v="Não"/>
    <s v="Não"/>
    <s v="Não"/>
    <s v="Não"/>
    <n v="4283.0269999999991"/>
    <n v="4283.0269999999991"/>
  </r>
  <r>
    <s v="VGSP-348_078,000_EN_CL11"/>
    <x v="0"/>
    <s v="78,000"/>
    <m/>
    <s v="78,500"/>
    <m/>
    <x v="0"/>
    <s v="N"/>
    <n v="-23.052110013838366"/>
    <n v="-47.049826395312195"/>
    <n v="1000.38"/>
    <n v="2.35"/>
    <n v="60"/>
    <m/>
    <n v="0"/>
    <s v="Trator 1.7m"/>
    <m/>
    <s v="Não"/>
    <s v="Não"/>
    <s v="Não"/>
    <s v="Não"/>
    <n v="600.22799999999995"/>
    <n v="600.22799999999995"/>
  </r>
  <r>
    <s v="VGSP-330_078,000_ES_CL4"/>
    <x v="0"/>
    <s v="78,000"/>
    <m/>
    <s v="78,500"/>
    <m/>
    <x v="0"/>
    <s v="S"/>
    <n v="-23.041965630166047"/>
    <n v="-47.006876549773835"/>
    <n v="214.3"/>
    <n v="3.35"/>
    <n v="0"/>
    <m/>
    <n v="0"/>
    <m/>
    <m/>
    <s v="Não"/>
    <s v="Não"/>
    <s v="Não"/>
    <s v="Não"/>
    <n v="0"/>
    <n v="0"/>
  </r>
  <r>
    <s v="VGSP-348_078,000_ES_CL4"/>
    <x v="0"/>
    <s v="78,000"/>
    <m/>
    <s v="78,500"/>
    <m/>
    <x v="0"/>
    <s v="S"/>
    <n v="-23.053413602719548"/>
    <n v="-47.050234073976178"/>
    <n v="1396.64"/>
    <n v="4.6100000000000003"/>
    <n v="0"/>
    <m/>
    <n v="0"/>
    <m/>
    <m/>
    <s v="Não"/>
    <s v="Não"/>
    <s v="Não"/>
    <s v="Não"/>
    <n v="0"/>
    <n v="0"/>
  </r>
  <r>
    <s v="VGSP-330_078,000_ES_CL2"/>
    <x v="0"/>
    <s v="78,000"/>
    <m/>
    <s v="78,500"/>
    <m/>
    <x v="0"/>
    <s v="S"/>
    <n v="-23.04723535477309"/>
    <n v="-47.003492900898742"/>
    <n v="2158.06"/>
    <n v="7.22"/>
    <n v="50"/>
    <m/>
    <n v="0"/>
    <s v="Trator 1.7m"/>
    <m/>
    <s v="Não"/>
    <s v="Não"/>
    <s v="Não"/>
    <s v="Não"/>
    <n v="1079.03"/>
    <n v="1079.03"/>
  </r>
  <r>
    <s v="VGSP-330_078,000_ES_CL3"/>
    <x v="0"/>
    <s v="78,000"/>
    <m/>
    <s v="78,500"/>
    <m/>
    <x v="0"/>
    <s v="S"/>
    <n v="-23.042616757951283"/>
    <n v="-47.006516291345406"/>
    <n v="109.05"/>
    <n v="6.18"/>
    <n v="0"/>
    <m/>
    <n v="0"/>
    <m/>
    <m/>
    <s v="Não"/>
    <s v="Não"/>
    <s v="Não"/>
    <s v="Não"/>
    <n v="0"/>
    <n v="0"/>
  </r>
  <r>
    <s v="VGSP-330_078,000_EN_CL2"/>
    <x v="0"/>
    <s v="78,000"/>
    <m/>
    <s v="78,500"/>
    <m/>
    <x v="0"/>
    <s v="N"/>
    <n v="-23.04706283709945"/>
    <n v="-47.003283621526414"/>
    <n v="2157.71"/>
    <n v="6.38"/>
    <n v="70"/>
    <m/>
    <n v="0"/>
    <s v="Trator 1.7m"/>
    <m/>
    <s v="Não"/>
    <s v="Não"/>
    <s v="Não"/>
    <s v="Não"/>
    <n v="1510.3969999999999"/>
    <n v="1510.3969999999999"/>
  </r>
  <r>
    <s v="VGSP-348_078,000_EN_CL2"/>
    <x v="0"/>
    <s v="78,000"/>
    <m/>
    <s v="78,500"/>
    <m/>
    <x v="0"/>
    <s v="N"/>
    <n v="-23.054550567635573"/>
    <n v="-47.046521337040723"/>
    <n v="819.77"/>
    <n v="5.12"/>
    <n v="0"/>
    <m/>
    <n v="0"/>
    <m/>
    <m/>
    <s v="Não"/>
    <s v="Não"/>
    <s v="Não"/>
    <s v="Não"/>
    <n v="0"/>
    <n v="0"/>
  </r>
  <r>
    <s v="VGSP-348_078,000_CC3"/>
    <x v="95"/>
    <s v="78,000"/>
    <m/>
    <s v="78,500"/>
    <n v="0.5"/>
    <x v="1"/>
    <s v="C"/>
    <n v="-23.053979769313123"/>
    <n v="-47.048316860414964"/>
    <n v="3397.89"/>
    <n v="4.5999999999999996"/>
    <n v="70"/>
    <m/>
    <n v="0"/>
    <s v="Eixo-zero"/>
    <m/>
    <s v="Não"/>
    <s v="Não"/>
    <s v="Não"/>
    <s v="Não"/>
    <n v="2378.5229999999997"/>
    <n v="2378.5229999999997"/>
  </r>
  <r>
    <s v="VGSP-348_078,000_EN_CL4"/>
    <x v="0"/>
    <s v="78,000"/>
    <m/>
    <s v="78,500"/>
    <m/>
    <x v="0"/>
    <s v="N"/>
    <n v="-23.054718397126845"/>
    <n v="-47.044522920266452"/>
    <n v="1119.9000000000001"/>
    <n v="5.97"/>
    <n v="0"/>
    <m/>
    <n v="0"/>
    <m/>
    <m/>
    <s v="Não"/>
    <s v="Não"/>
    <s v="Não"/>
    <s v="Não"/>
    <n v="0"/>
    <n v="0"/>
  </r>
  <r>
    <s v="VGSP-348_078,000_EN_CL8"/>
    <x v="0"/>
    <s v="78,000"/>
    <m/>
    <s v="78,500"/>
    <m/>
    <x v="0"/>
    <s v="N"/>
    <n v="-23.054274170132572"/>
    <n v="-47.046126518597077"/>
    <n v="125.47"/>
    <n v="6.18"/>
    <n v="0"/>
    <m/>
    <n v="0"/>
    <m/>
    <m/>
    <s v="Não"/>
    <s v="Não"/>
    <s v="Não"/>
    <s v="Não"/>
    <n v="0"/>
    <n v="0"/>
  </r>
  <r>
    <s v="VGSP-330_078,000_EN_CL3"/>
    <x v="0"/>
    <s v="78,000"/>
    <m/>
    <s v="78,500"/>
    <m/>
    <x v="0"/>
    <s v="N"/>
    <n v="-23.041829385669161"/>
    <n v="-47.006544538150422"/>
    <n v="182.81"/>
    <n v="2.97"/>
    <n v="60"/>
    <m/>
    <n v="0"/>
    <s v="Trator 1.7m"/>
    <m/>
    <s v="Não"/>
    <s v="Não"/>
    <s v="Não"/>
    <s v="Não"/>
    <n v="109.68599999999999"/>
    <n v="109.68599999999999"/>
  </r>
  <r>
    <s v="VGSP-348_078,000_EN_CL9"/>
    <x v="0"/>
    <s v="78,000"/>
    <m/>
    <s v="78,500"/>
    <m/>
    <x v="0"/>
    <s v="N"/>
    <n v="-23.053589501485984"/>
    <n v="-47.048021551233354"/>
    <n v="18.13"/>
    <n v="5"/>
    <n v="0"/>
    <m/>
    <n v="0"/>
    <m/>
    <m/>
    <s v="Não"/>
    <s v="Não"/>
    <s v="Não"/>
    <s v="Não"/>
    <n v="0"/>
    <n v="0"/>
  </r>
  <r>
    <s v="VGSP-330_078,000_EN_CL1"/>
    <x v="0"/>
    <s v="78,000"/>
    <m/>
    <s v="78,500"/>
    <m/>
    <x v="0"/>
    <s v="N"/>
    <n v="-23.043591278303186"/>
    <n v="-47.00547165074159"/>
    <n v="1403.72"/>
    <n v="7.69"/>
    <n v="60"/>
    <m/>
    <n v="0"/>
    <s v="Trator 1.7m"/>
    <m/>
    <s v="Não"/>
    <s v="Não"/>
    <s v="Não"/>
    <s v="Não"/>
    <n v="842.23199999999997"/>
    <n v="842.23199999999997"/>
  </r>
  <r>
    <s v="VGSP-348_078,000_CC2"/>
    <x v="95"/>
    <s v="78,000"/>
    <m/>
    <s v="78,500"/>
    <n v="0.5"/>
    <x v="1"/>
    <s v="C"/>
    <n v="-23.05550380539924"/>
    <n v="-47.046735689779176"/>
    <n v="10491.32"/>
    <n v="3.95"/>
    <n v="70"/>
    <m/>
    <n v="0"/>
    <s v="Eixo-zero"/>
    <m/>
    <s v="Não"/>
    <s v="Não"/>
    <s v="Não"/>
    <s v="Não"/>
    <n v="7343.9239999999991"/>
    <n v="7343.9239999999991"/>
  </r>
  <r>
    <s v="VGSP-330_078,000_ES_CL1"/>
    <x v="0"/>
    <s v="78,000"/>
    <m/>
    <s v="78,500"/>
    <m/>
    <x v="0"/>
    <s v="S"/>
    <n v="-23.043810299548273"/>
    <n v="-47.005701586961337"/>
    <n v="1387.05"/>
    <n v="8.34"/>
    <n v="40"/>
    <m/>
    <n v="554.82000000000005"/>
    <s v="Trator com braço articulado"/>
    <m/>
    <s v="Não"/>
    <s v="Não"/>
    <s v="Não"/>
    <s v="Sim"/>
    <n v="0"/>
    <m/>
  </r>
  <r>
    <s v="VGSP-348_078,000_ES_CL5"/>
    <x v="0"/>
    <s v="78,000"/>
    <m/>
    <s v="78,500"/>
    <m/>
    <x v="0"/>
    <s v="S"/>
    <n v="-23.052891865226364"/>
    <n v="-47.051925890127471"/>
    <n v="67.86"/>
    <n v="4.63"/>
    <n v="0"/>
    <m/>
    <n v="0"/>
    <m/>
    <m/>
    <s v="Não"/>
    <s v="Não"/>
    <s v="Não"/>
    <s v="Não"/>
    <n v="0"/>
    <n v="0"/>
  </r>
  <r>
    <s v="VGSP-348_078,000_EN_CL1"/>
    <x v="0"/>
    <s v="78,000"/>
    <m/>
    <s v="78,500"/>
    <m/>
    <x v="0"/>
    <s v="N"/>
    <n v="-23.053962420262938"/>
    <n v="-47.047610887222952"/>
    <n v="828.27"/>
    <n v="5.37"/>
    <n v="0"/>
    <m/>
    <n v="0"/>
    <m/>
    <m/>
    <s v="Não"/>
    <s v="Não"/>
    <s v="Não"/>
    <s v="Não"/>
    <n v="0"/>
    <n v="0"/>
  </r>
  <r>
    <s v="VGSP-348_078,000_ES_CL1"/>
    <x v="0"/>
    <s v="78,000"/>
    <m/>
    <s v="78,500"/>
    <m/>
    <x v="0"/>
    <s v="S"/>
    <n v="-23.056004340456148"/>
    <n v="-47.04693552120321"/>
    <n v="1769.83"/>
    <n v="6.55"/>
    <n v="0"/>
    <m/>
    <n v="0"/>
    <m/>
    <m/>
    <s v="Não"/>
    <s v="Não"/>
    <s v="Não"/>
    <s v="Não"/>
    <n v="0"/>
    <n v="0"/>
  </r>
  <r>
    <s v="VGSP-348_078,000_EN_CL3"/>
    <x v="0"/>
    <s v="78,000"/>
    <m/>
    <s v="78,500"/>
    <m/>
    <x v="0"/>
    <s v="N"/>
    <n v="-23.054989893994893"/>
    <n v="-47.044531892589333"/>
    <n v="1874.74"/>
    <n v="7.59"/>
    <n v="0"/>
    <m/>
    <n v="0"/>
    <m/>
    <m/>
    <s v="Não"/>
    <s v="Não"/>
    <s v="Não"/>
    <s v="Não"/>
    <n v="0"/>
    <n v="0"/>
  </r>
  <r>
    <s v="VGSP-348_078,000_EN_CL10"/>
    <x v="0"/>
    <s v="78,000"/>
    <m/>
    <s v="78,500"/>
    <m/>
    <x v="0"/>
    <s v="N"/>
    <n v="-23.053171712856589"/>
    <n v="-47.048530173934637"/>
    <n v="886.56"/>
    <n v="3.38"/>
    <n v="60"/>
    <m/>
    <n v="0"/>
    <s v="Trator 1.7m"/>
    <m/>
    <s v="Não"/>
    <s v="Não"/>
    <s v="Não"/>
    <s v="Não"/>
    <n v="531.93599999999992"/>
    <n v="531.93599999999992"/>
  </r>
  <r>
    <s v="VGSP-348_078,000_EN_CL5"/>
    <x v="0"/>
    <s v="78,000"/>
    <m/>
    <s v="78,500"/>
    <m/>
    <x v="0"/>
    <s v="N"/>
    <n v="-23.054771259046539"/>
    <n v="-47.044339634045876"/>
    <n v="1819.97"/>
    <n v="5.64"/>
    <n v="0"/>
    <m/>
    <n v="0"/>
    <m/>
    <m/>
    <s v="Não"/>
    <s v="Não"/>
    <s v="Não"/>
    <s v="Não"/>
    <n v="0"/>
    <n v="0"/>
  </r>
  <r>
    <s v="VGSP-348_078,000_ES_CL2"/>
    <x v="0"/>
    <s v="78,000"/>
    <m/>
    <s v="78,500"/>
    <m/>
    <x v="0"/>
    <s v="S"/>
    <n v="-23.054070688760671"/>
    <n v="-47.04879443972937"/>
    <n v="752.84"/>
    <n v="4.28"/>
    <n v="0"/>
    <m/>
    <n v="0"/>
    <m/>
    <m/>
    <s v="Não"/>
    <s v="Não"/>
    <s v="Não"/>
    <s v="Não"/>
    <n v="0"/>
    <n v="0"/>
  </r>
  <r>
    <s v="VGSP-348_079,000_ES_CL1"/>
    <x v="0"/>
    <s v="79,000"/>
    <m/>
    <s v="79,500"/>
    <m/>
    <x v="0"/>
    <s v="S"/>
    <n v="-23.047002923887387"/>
    <n v="-47.056810372928922"/>
    <n v="2047.78"/>
    <n v="7.25"/>
    <n v="60"/>
    <m/>
    <n v="0"/>
    <s v="Trator 1.7m"/>
    <m/>
    <s v="Não"/>
    <s v="Não"/>
    <s v="Não"/>
    <s v="Não"/>
    <n v="1228.6679999999999"/>
    <n v="1228.6679999999999"/>
  </r>
  <r>
    <s v="VGSP-348_079,000_ES_CL2"/>
    <x v="0"/>
    <s v="79,000"/>
    <m/>
    <s v="79,500"/>
    <m/>
    <x v="0"/>
    <s v="S"/>
    <n v="-23.05017775376708"/>
    <n v="-47.052989244667017"/>
    <n v="2163.4"/>
    <n v="5.07"/>
    <n v="0"/>
    <m/>
    <n v="0"/>
    <m/>
    <m/>
    <s v="Não"/>
    <s v="Não"/>
    <s v="Não"/>
    <s v="Não"/>
    <n v="0"/>
    <n v="0"/>
  </r>
  <r>
    <s v="VGSP-348_079,000_EN_CL1"/>
    <x v="0"/>
    <s v="79,000"/>
    <m/>
    <s v="79,500"/>
    <m/>
    <x v="0"/>
    <s v="N"/>
    <n v="-23.046567932276723"/>
    <n v="-47.056391011377549"/>
    <n v="2129.14"/>
    <n v="5.28"/>
    <n v="40"/>
    <m/>
    <n v="0"/>
    <s v="Trator 1.7m"/>
    <m/>
    <s v="Não"/>
    <s v="Não"/>
    <s v="Não"/>
    <s v="Não"/>
    <n v="851.65599999999995"/>
    <n v="851.65599999999995"/>
  </r>
  <r>
    <s v="VGSP-330_079,000_EN_CL1"/>
    <x v="0"/>
    <s v="79,000"/>
    <m/>
    <s v="79,500"/>
    <m/>
    <x v="0"/>
    <s v="N"/>
    <n v="-23.034981124858316"/>
    <n v="-47.010100085839952"/>
    <n v="1995.13"/>
    <n v="5.24"/>
    <n v="80"/>
    <m/>
    <n v="0"/>
    <s v="Trator 1.7m"/>
    <m/>
    <s v="Não"/>
    <s v="Não"/>
    <s v="Não"/>
    <s v="Não"/>
    <n v="1596.1040000000003"/>
    <n v="1596.1040000000003"/>
  </r>
  <r>
    <s v="VGSP-348_079,000_EN_CL2"/>
    <x v="0"/>
    <s v="79,000"/>
    <m/>
    <s v="79,500"/>
    <m/>
    <x v="0"/>
    <s v="N"/>
    <n v="-23.049743445366005"/>
    <n v="-47.052557405583535"/>
    <n v="2112.98"/>
    <n v="3.81"/>
    <m/>
    <m/>
    <n v="0"/>
    <m/>
    <m/>
    <s v="Não"/>
    <s v="Não"/>
    <s v="Não"/>
    <s v="Não"/>
    <n v="0"/>
    <n v="0"/>
  </r>
  <r>
    <s v="VGSP-348_079,000_CC2"/>
    <x v="96"/>
    <s v="79,000"/>
    <m/>
    <s v="79,500"/>
    <n v="0.5"/>
    <x v="1"/>
    <s v="C"/>
    <n v="-23.04996204144328"/>
    <n v="-47.052774204834321"/>
    <n v="16277.92"/>
    <n v="3.6"/>
    <n v="70"/>
    <m/>
    <n v="0"/>
    <s v="Eixo-zero"/>
    <m/>
    <s v="Não"/>
    <s v="Não"/>
    <s v="Não"/>
    <s v="Não"/>
    <n v="11394.544"/>
    <n v="11394.544"/>
  </r>
  <r>
    <s v="VGSP-348_079,000_CC1"/>
    <x v="96"/>
    <s v="79,000"/>
    <m/>
    <s v="79,500"/>
    <n v="0.5"/>
    <x v="1"/>
    <s v="C"/>
    <n v="-23.04679101501328"/>
    <n v="-47.056595485229892"/>
    <n v="15772.81"/>
    <n v="6.21"/>
    <n v="70"/>
    <m/>
    <n v="0"/>
    <s v="Eixo-zero"/>
    <m/>
    <s v="Não"/>
    <s v="Não"/>
    <s v="Não"/>
    <s v="Não"/>
    <n v="11040.966999999999"/>
    <n v="11040.966999999999"/>
  </r>
  <r>
    <s v="VGSP-330_079,000_ES_CL1"/>
    <x v="0"/>
    <s v="79,000"/>
    <m/>
    <s v="79,500"/>
    <m/>
    <x v="0"/>
    <s v="S"/>
    <n v="-23.039488069926474"/>
    <n v="-47.008313003159628"/>
    <n v="2278.21"/>
    <n v="7.17"/>
    <n v="50"/>
    <m/>
    <n v="1139.105"/>
    <s v="Trator com braço articulado"/>
    <m/>
    <s v="Não"/>
    <s v="Não"/>
    <s v="Não"/>
    <s v="Sim"/>
    <n v="0"/>
    <m/>
  </r>
  <r>
    <s v="VGSP-330_079,000_EN_CL2"/>
    <x v="0"/>
    <s v="79,000"/>
    <m/>
    <s v="79,500"/>
    <m/>
    <x v="0"/>
    <s v="N"/>
    <n v="-23.039411166789723"/>
    <n v="-47.008036021916823"/>
    <n v="2288.37"/>
    <n v="7.33"/>
    <n v="60"/>
    <m/>
    <n v="0"/>
    <s v="Trator 1.7m"/>
    <m/>
    <s v="Não"/>
    <s v="Não"/>
    <s v="Não"/>
    <s v="Não"/>
    <n v="1373.0219999999999"/>
    <n v="1373.0219999999999"/>
  </r>
  <r>
    <s v="VGSP-330_079,000_ES_CL2"/>
    <x v="0"/>
    <s v="79,000"/>
    <m/>
    <s v="79,500"/>
    <m/>
    <x v="0"/>
    <s v="S"/>
    <n v="-23.035062774396952"/>
    <n v="-47.010359436632278"/>
    <n v="1995.09"/>
    <n v="4.8600000000000003"/>
    <n v="50"/>
    <m/>
    <n v="997.54499999999996"/>
    <s v="Trator com braço articulado"/>
    <m/>
    <s v="Não"/>
    <s v="Não"/>
    <s v="Não"/>
    <s v="Sim"/>
    <n v="0"/>
    <m/>
  </r>
  <r>
    <s v="VGSP-330_080,000_ES_CL1"/>
    <x v="0"/>
    <s v="80,000"/>
    <m/>
    <s v="80,500"/>
    <m/>
    <x v="0"/>
    <s v="S"/>
    <n v="-23.031241312306669"/>
    <n v="-47.011913272717152"/>
    <n v="1627.08"/>
    <n v="8.27"/>
    <n v="65"/>
    <m/>
    <n v="1057.6020000000001"/>
    <s v="Trator com braço articulado"/>
    <m/>
    <s v="Não"/>
    <s v="Não"/>
    <s v="Não"/>
    <s v="Sim"/>
    <n v="0"/>
    <m/>
  </r>
  <r>
    <s v="VGSP-330_080,000_ES_CL2"/>
    <x v="0"/>
    <s v="80,000"/>
    <m/>
    <s v="80,500"/>
    <m/>
    <x v="0"/>
    <s v="S"/>
    <n v="-23.027366432920079"/>
    <n v="-47.014192489815201"/>
    <n v="2286.09"/>
    <n v="6.6"/>
    <n v="60"/>
    <m/>
    <n v="1371.654"/>
    <s v="Trator com braço articulado"/>
    <m/>
    <s v="Não"/>
    <s v="Sim"/>
    <s v="Não"/>
    <s v="Sim"/>
    <n v="0"/>
    <m/>
  </r>
  <r>
    <s v="VGSP-348_080,000_CC4"/>
    <x v="97"/>
    <s v="80,000"/>
    <m/>
    <s v="80,500"/>
    <n v="0.5"/>
    <x v="1"/>
    <s v="C"/>
    <n v="-23.040485839638539"/>
    <n v="-47.065894919268231"/>
    <n v="10405.36"/>
    <n v="3.29"/>
    <n v="70"/>
    <m/>
    <n v="0"/>
    <s v="Eixo-zero"/>
    <m/>
    <s v="Não"/>
    <s v="Não"/>
    <s v="Não"/>
    <s v="Não"/>
    <n v="7283.7519999999995"/>
    <n v="7283.7519999999995"/>
  </r>
  <r>
    <s v="VGSP-348_080,000_CC2"/>
    <x v="97"/>
    <s v="80,000"/>
    <m/>
    <s v="80,500"/>
    <n v="0.5"/>
    <x v="1"/>
    <s v="C"/>
    <n v="-23.041878487491537"/>
    <n v="-47.063274879919852"/>
    <n v="7369.72"/>
    <n v="6.21"/>
    <n v="70"/>
    <m/>
    <n v="0"/>
    <s v="Eixo-zero"/>
    <m/>
    <s v="Não"/>
    <s v="Não"/>
    <s v="Não"/>
    <s v="Não"/>
    <n v="5158.8040000000001"/>
    <n v="5158.8040000000001"/>
  </r>
  <r>
    <s v="VGSP-330_080,000_EN_CL2"/>
    <x v="0"/>
    <s v="80,000"/>
    <m/>
    <s v="80,500"/>
    <m/>
    <x v="0"/>
    <s v="N"/>
    <n v="-23.027273996218764"/>
    <n v="-47.013904839557775"/>
    <n v="2285.09"/>
    <n v="6.01"/>
    <n v="60"/>
    <m/>
    <n v="0"/>
    <s v="Trator 1.7m"/>
    <m/>
    <s v="Não"/>
    <s v="Não"/>
    <s v="Não"/>
    <s v="Não"/>
    <n v="1371.0540000000001"/>
    <n v="1371.0540000000001"/>
  </r>
  <r>
    <s v="VGSP-348_080,000_CC3"/>
    <x v="97"/>
    <s v="80,000"/>
    <m/>
    <s v="80,500"/>
    <n v="0.5"/>
    <x v="1"/>
    <s v="C"/>
    <n v="-23.041242952117521"/>
    <n v="-47.065389899380392"/>
    <n v="660.18"/>
    <n v="3.72"/>
    <n v="70"/>
    <m/>
    <n v="0"/>
    <s v="Trator 1.7m"/>
    <m/>
    <s v="Não"/>
    <s v="Não"/>
    <s v="Não"/>
    <s v="Não"/>
    <n v="462.12599999999992"/>
    <n v="462.12599999999992"/>
  </r>
  <r>
    <s v="VGSP-348_080,000_EN_CL4"/>
    <x v="0"/>
    <s v="80,000"/>
    <m/>
    <s v="80,500"/>
    <m/>
    <x v="0"/>
    <s v="N"/>
    <n v="-23.040218980311277"/>
    <n v="-47.065732274393959"/>
    <n v="1346.38"/>
    <n v="5.69"/>
    <n v="60"/>
    <m/>
    <n v="0"/>
    <s v="Trator 1.7m"/>
    <m/>
    <s v="Não"/>
    <s v="Não"/>
    <s v="Não"/>
    <s v="Não"/>
    <n v="807.82800000000009"/>
    <n v="807.82800000000009"/>
  </r>
  <r>
    <s v="VGSP-348_080,000_EN_CL2"/>
    <x v="0"/>
    <s v="80,000"/>
    <m/>
    <s v="80,500"/>
    <m/>
    <x v="0"/>
    <s v="N"/>
    <n v="-23.043526064283707"/>
    <n v="-47.060180430168764"/>
    <n v="1985.81"/>
    <n v="4.1399999999999997"/>
    <n v="40"/>
    <m/>
    <n v="0"/>
    <s v="Trator 1.7m"/>
    <m/>
    <s v="Não"/>
    <s v="Não"/>
    <s v="Não"/>
    <s v="Não"/>
    <n v="794.32400000000007"/>
    <n v="794.32400000000007"/>
  </r>
  <r>
    <s v="VGSP-348_080,000_ES_CL2"/>
    <x v="0"/>
    <s v="80,000"/>
    <m/>
    <s v="80,500"/>
    <m/>
    <x v="0"/>
    <s v="S"/>
    <n v="-23.044037356133526"/>
    <n v="-47.060482511350124"/>
    <n v="1950.28"/>
    <n v="6.02"/>
    <n v="60"/>
    <m/>
    <n v="0"/>
    <s v="Trator 1.7m"/>
    <m/>
    <s v="Não"/>
    <s v="Não"/>
    <s v="Não"/>
    <s v="Não"/>
    <n v="1170.1679999999999"/>
    <n v="1170.1679999999999"/>
  </r>
  <r>
    <s v="VGSP-330_080,000_EN_CL1"/>
    <x v="0"/>
    <s v="80,000"/>
    <m/>
    <s v="80,500"/>
    <m/>
    <x v="0"/>
    <s v="N"/>
    <n v="-23.031152546299307"/>
    <n v="-47.011634452793842"/>
    <n v="1627.58"/>
    <n v="7.27"/>
    <n v="80"/>
    <m/>
    <n v="0"/>
    <s v="Trator 1.7m"/>
    <m/>
    <s v="Não"/>
    <s v="Não"/>
    <s v="Não"/>
    <s v="Não"/>
    <n v="1302.0640000000001"/>
    <n v="1302.0640000000001"/>
  </r>
  <r>
    <s v="VGSP-348_080,000_ES_CL1"/>
    <x v="0"/>
    <s v="80,000"/>
    <m/>
    <s v="80,500"/>
    <m/>
    <x v="0"/>
    <s v="S"/>
    <n v="-23.042165673141795"/>
    <n v="-47.063365102606063"/>
    <n v="945.06"/>
    <n v="9.43"/>
    <n v="70"/>
    <m/>
    <n v="0"/>
    <s v="Trator 1.7m"/>
    <m/>
    <s v="Não"/>
    <s v="Não"/>
    <s v="Não"/>
    <s v="Não"/>
    <n v="661.54199999999992"/>
    <n v="661.54199999999992"/>
  </r>
  <r>
    <s v="VGSP-348_080,000_EN_CL3"/>
    <x v="0"/>
    <s v="80,000"/>
    <m/>
    <s v="80,500"/>
    <m/>
    <x v="0"/>
    <s v="N"/>
    <n v="-23.040583552888524"/>
    <n v="-47.066648851935611"/>
    <n v="8011.79"/>
    <n v="3.7"/>
    <n v="70"/>
    <m/>
    <n v="0"/>
    <s v="Trator 1.7m"/>
    <m/>
    <s v="Não"/>
    <s v="Não"/>
    <s v="Não"/>
    <s v="Não"/>
    <n v="5608.2529999999997"/>
    <n v="5608.2529999999997"/>
  </r>
  <r>
    <s v="VGSP-348_080,000_EN_CL1"/>
    <x v="0"/>
    <s v="80,000"/>
    <m/>
    <s v="80,500"/>
    <m/>
    <x v="0"/>
    <s v="N"/>
    <n v="-23.041628177473008"/>
    <n v="-47.063103999220012"/>
    <n v="949.42"/>
    <n v="3.65"/>
    <n v="60"/>
    <m/>
    <n v="0"/>
    <s v="Trator 1.7m"/>
    <m/>
    <s v="Não"/>
    <s v="Não"/>
    <s v="Não"/>
    <s v="Não"/>
    <n v="569.65199999999993"/>
    <n v="569.65199999999993"/>
  </r>
  <r>
    <s v="VGSP-348_080,000_CC1"/>
    <x v="97"/>
    <s v="80,000"/>
    <m/>
    <s v="80,500"/>
    <n v="0.5"/>
    <x v="1"/>
    <s v="C"/>
    <n v="-23.04377728557844"/>
    <n v="-47.060326964355447"/>
    <n v="14902.51"/>
    <n v="4.16"/>
    <n v="70"/>
    <m/>
    <n v="0"/>
    <s v="Eixo-zero"/>
    <m/>
    <s v="Não"/>
    <s v="Não"/>
    <s v="Não"/>
    <s v="Não"/>
    <n v="10431.757"/>
    <n v="10431.757"/>
  </r>
  <r>
    <s v="VGSP-348_081,000_CC1"/>
    <x v="98"/>
    <s v="81,000"/>
    <m/>
    <s v="81,500"/>
    <n v="0.5"/>
    <x v="1"/>
    <s v="C"/>
    <n v="-23.039486018044148"/>
    <n v="-47.068144711825965"/>
    <n v="4459.6499999999996"/>
    <n v="2.15"/>
    <n v="70"/>
    <m/>
    <n v="0"/>
    <s v="Trator 1.7m"/>
    <m/>
    <s v="Não"/>
    <s v="Não"/>
    <s v="Não"/>
    <s v="Não"/>
    <n v="3121.7549999999997"/>
    <n v="3121.7549999999997"/>
  </r>
  <r>
    <s v="VGSP-348_081,000_EN_CL3"/>
    <x v="0"/>
    <s v="81,000"/>
    <m/>
    <s v="81,500"/>
    <m/>
    <x v="0"/>
    <s v="N"/>
    <n v="-23.03396386424058"/>
    <n v="-47.070874030527172"/>
    <n v="1701.71"/>
    <n v="5.41"/>
    <n v="40"/>
    <m/>
    <n v="0"/>
    <s v="Trator 1.7m"/>
    <m/>
    <s v="Não"/>
    <s v="Não"/>
    <s v="Não"/>
    <s v="Não"/>
    <n v="680.68400000000008"/>
    <n v="680.68400000000008"/>
  </r>
  <r>
    <s v="VGSP-348_081,000_ES_CL2"/>
    <x v="0"/>
    <s v="81,000"/>
    <m/>
    <s v="81,500"/>
    <m/>
    <x v="0"/>
    <s v="S"/>
    <n v="-23.033869480626564"/>
    <n v="-47.071643482245555"/>
    <n v="2179.6"/>
    <n v="4.47"/>
    <n v="70"/>
    <m/>
    <n v="0"/>
    <s v="Trator 1.7m"/>
    <m/>
    <s v="Não"/>
    <s v="Não"/>
    <s v="Não"/>
    <s v="Não"/>
    <n v="1525.7199999999998"/>
    <n v="1525.7199999999998"/>
  </r>
  <r>
    <s v="VGSP-348_081,000_EN_CL2"/>
    <x v="0"/>
    <s v="81,000"/>
    <m/>
    <s v="81,500"/>
    <m/>
    <x v="0"/>
    <s v="N"/>
    <n v="-23.035882871908925"/>
    <n v="-47.069890978078462"/>
    <n v="251.81"/>
    <n v="3.54"/>
    <n v="40"/>
    <m/>
    <n v="0"/>
    <s v="Trator 1.7m"/>
    <m/>
    <s v="Não"/>
    <s v="Não"/>
    <s v="Não"/>
    <s v="Não"/>
    <n v="100.724"/>
    <n v="100.724"/>
  </r>
  <r>
    <s v="VGSP-348_081,000_ES_CL3"/>
    <x v="0"/>
    <s v="81,000"/>
    <m/>
    <s v="81,500"/>
    <m/>
    <x v="0"/>
    <s v="S"/>
    <n v="-23.036235626247311"/>
    <n v="-47.070590299536285"/>
    <n v="133.80000000000001"/>
    <n v="6.08"/>
    <n v="70"/>
    <m/>
    <n v="0"/>
    <s v="Trator 1.7m"/>
    <m/>
    <s v="Não"/>
    <s v="Não"/>
    <s v="Não"/>
    <s v="Não"/>
    <n v="93.66"/>
    <n v="93.66"/>
  </r>
  <r>
    <s v="VGSP-348_081,000_EN_CL4"/>
    <x v="0"/>
    <s v="81,000"/>
    <m/>
    <s v="81,500"/>
    <m/>
    <x v="0"/>
    <s v="N"/>
    <n v="-23.031765868968485"/>
    <n v="-47.071869602667924"/>
    <n v="3169.54"/>
    <n v="3.76"/>
    <n v="40"/>
    <m/>
    <n v="0"/>
    <s v="Trator 1.7m"/>
    <m/>
    <s v="Não"/>
    <s v="Não"/>
    <s v="Não"/>
    <s v="Não"/>
    <n v="1267.816"/>
    <n v="1267.816"/>
  </r>
  <r>
    <s v="VGSP-348_081,000_EN_CL1"/>
    <x v="0"/>
    <s v="81,000"/>
    <m/>
    <s v="81,500"/>
    <m/>
    <x v="0"/>
    <s v="N"/>
    <n v="-23.037725273551022"/>
    <n v="-47.068728875927327"/>
    <n v="2020.07"/>
    <n v="3.91"/>
    <n v="60"/>
    <m/>
    <n v="0"/>
    <s v="Trator 1.7m"/>
    <m/>
    <s v="Não"/>
    <s v="Não"/>
    <s v="Não"/>
    <s v="Não"/>
    <n v="1212.0419999999999"/>
    <n v="1212.0419999999999"/>
  </r>
  <r>
    <s v="VGSP-330_081,000_ES_CL3"/>
    <x v="0"/>
    <s v="81,000"/>
    <m/>
    <s v="81,500"/>
    <m/>
    <x v="0"/>
    <s v="S"/>
    <n v="-23.018883233329127"/>
    <n v="-47.019793288485388"/>
    <n v="1161.7"/>
    <n v="7.91"/>
    <n v="0"/>
    <m/>
    <n v="0"/>
    <m/>
    <m/>
    <s v="Não"/>
    <s v="Não"/>
    <s v="Não"/>
    <s v="Não"/>
    <n v="0"/>
    <n v="0"/>
  </r>
  <r>
    <s v="VGSP-348_081,000_CC4"/>
    <x v="98"/>
    <s v="81,000"/>
    <m/>
    <s v="81,500"/>
    <n v="0.5"/>
    <x v="1"/>
    <s v="C"/>
    <n v="-23.036019687220012"/>
    <n v="-47.070263826587947"/>
    <n v="665.99"/>
    <n v="4.42"/>
    <n v="70"/>
    <m/>
    <n v="0"/>
    <s v="Eixo-zero"/>
    <m/>
    <s v="Não"/>
    <s v="Não"/>
    <s v="Não"/>
    <s v="Não"/>
    <n v="466.19299999999998"/>
    <n v="466.19299999999998"/>
  </r>
  <r>
    <s v="VGSP-348_081,000_ES_CL1"/>
    <x v="0"/>
    <s v="81,000"/>
    <m/>
    <s v="81,500"/>
    <m/>
    <x v="0"/>
    <s v="S"/>
    <n v="-23.037564581677376"/>
    <n v="-47.069736053797612"/>
    <n v="1532.46"/>
    <n v="3.89"/>
    <n v="70"/>
    <m/>
    <n v="0"/>
    <s v="Trator 1.7m"/>
    <m/>
    <s v="Não"/>
    <s v="Não"/>
    <s v="Não"/>
    <s v="Não"/>
    <n v="1072.722"/>
    <n v="1072.722"/>
  </r>
  <r>
    <s v="VGSP-348_081,000_CC2"/>
    <x v="98"/>
    <s v="81,000"/>
    <m/>
    <s v="81,500"/>
    <n v="0.5"/>
    <x v="1"/>
    <s v="C"/>
    <n v="-23.038029287471982"/>
    <n v="-47.068904013654674"/>
    <n v="14662.25"/>
    <n v="3.63"/>
    <n v="70"/>
    <m/>
    <n v="0"/>
    <s v="Eixo-zero"/>
    <m/>
    <s v="Não"/>
    <s v="Não"/>
    <s v="Não"/>
    <s v="Não"/>
    <n v="10263.574999999999"/>
    <n v="10263.574999999999"/>
  </r>
  <r>
    <s v="VGSP-330_081,000_ES_CL2"/>
    <x v="0"/>
    <s v="81,000"/>
    <m/>
    <s v="81,500"/>
    <m/>
    <x v="0"/>
    <s v="S"/>
    <n v="-23.021301733212042"/>
    <n v="-47.01834409759244"/>
    <n v="512.47"/>
    <n v="3.75"/>
    <n v="0"/>
    <m/>
    <n v="0"/>
    <m/>
    <m/>
    <s v="Não"/>
    <s v="Não"/>
    <s v="Não"/>
    <s v="Não"/>
    <n v="0"/>
    <n v="0"/>
  </r>
  <r>
    <s v="VGSP-330_081,000_EN_CL2"/>
    <x v="0"/>
    <s v="81,000"/>
    <m/>
    <s v="81,500"/>
    <m/>
    <x v="0"/>
    <s v="N"/>
    <n v="-23.020887989409587"/>
    <n v="-47.017952412541753"/>
    <n v="587.9"/>
    <n v="4.16"/>
    <n v="60"/>
    <m/>
    <n v="0"/>
    <s v="Trator 1.7m"/>
    <m/>
    <s v="Não"/>
    <s v="Não"/>
    <s v="Não"/>
    <s v="Não"/>
    <n v="352.73999999999995"/>
    <n v="352.73999999999995"/>
  </r>
  <r>
    <s v="VGSP-330_081,000_EN_CL1"/>
    <x v="0"/>
    <s v="81,000"/>
    <m/>
    <s v="81,500"/>
    <m/>
    <x v="0"/>
    <s v="N"/>
    <n v="-23.023254479331353"/>
    <n v="-47.01645128508811"/>
    <n v="1843.83"/>
    <n v="3.75"/>
    <n v="60"/>
    <m/>
    <n v="0"/>
    <s v="Trator 1.7m"/>
    <m/>
    <s v="Não"/>
    <s v="Não"/>
    <s v="Não"/>
    <s v="Não"/>
    <n v="1106.298"/>
    <n v="1106.298"/>
  </r>
  <r>
    <s v="VGSP-330_081,000_ES_CL1"/>
    <x v="0"/>
    <s v="81,000"/>
    <m/>
    <s v="81,500"/>
    <m/>
    <x v="0"/>
    <s v="S"/>
    <n v="-23.023434074640488"/>
    <n v="-47.016754182376992"/>
    <n v="1783.66"/>
    <n v="6"/>
    <n v="0"/>
    <m/>
    <n v="0"/>
    <m/>
    <m/>
    <s v="Não"/>
    <s v="Não"/>
    <s v="Não"/>
    <s v="Não"/>
    <n v="0"/>
    <n v="0"/>
  </r>
  <r>
    <s v="VGSP-330_081,000_EN_CL3"/>
    <x v="0"/>
    <s v="81,000"/>
    <m/>
    <s v="81,500"/>
    <m/>
    <x v="0"/>
    <s v="N"/>
    <n v="-23.018731522766387"/>
    <n v="-47.019305304590553"/>
    <n v="1317.75"/>
    <n v="7.7"/>
    <n v="60"/>
    <m/>
    <n v="0"/>
    <s v="Trator 1.7m"/>
    <m/>
    <s v="Não"/>
    <s v="Não"/>
    <s v="Não"/>
    <s v="Não"/>
    <n v="790.65"/>
    <n v="790.65"/>
  </r>
  <r>
    <s v="VGSP-348_081,000_CC3"/>
    <x v="98"/>
    <s v="81,000"/>
    <m/>
    <s v="81,500"/>
    <n v="0.5"/>
    <x v="1"/>
    <s v="C"/>
    <n v="-23.033675412136631"/>
    <n v="-47.071391338047697"/>
    <n v="16596.650000000001"/>
    <n v="4.43"/>
    <n v="70"/>
    <m/>
    <n v="0"/>
    <s v="Eixo-zero"/>
    <m/>
    <s v="Não"/>
    <s v="Não"/>
    <s v="Não"/>
    <s v="Não"/>
    <n v="11617.655000000001"/>
    <n v="11617.655000000001"/>
  </r>
  <r>
    <s v="VGSP-348_082,000_EN_CL4"/>
    <x v="0"/>
    <s v="82,000"/>
    <m/>
    <s v="82,500"/>
    <m/>
    <x v="0"/>
    <s v="N"/>
    <n v="-23.023448414004857"/>
    <n v="-47.076139681754803"/>
    <n v="431.43"/>
    <n v="2.4900000000000002"/>
    <n v="70"/>
    <m/>
    <n v="0"/>
    <s v="Trator 1.7m"/>
    <m/>
    <s v="Não"/>
    <s v="Não"/>
    <s v="Não"/>
    <s v="Não"/>
    <n v="302.00099999999998"/>
    <n v="302.00099999999998"/>
  </r>
  <r>
    <s v="VGSP-330_082,000_ES_CL6"/>
    <x v="0"/>
    <s v="82,000"/>
    <m/>
    <s v="82,500"/>
    <m/>
    <x v="0"/>
    <s v="S"/>
    <n v="-23.011760444314987"/>
    <n v="-47.025071354115546"/>
    <n v="20682.77"/>
    <n v="5.25"/>
    <n v="70"/>
    <m/>
    <n v="0"/>
    <s v="Trator 1.7m"/>
    <m/>
    <s v="Não"/>
    <s v="Não"/>
    <s v="Não"/>
    <s v="Não"/>
    <n v="14477.938999999998"/>
    <n v="14477.938999999998"/>
  </r>
  <r>
    <s v="VGSP-330_082,000_EN_CL11"/>
    <x v="0"/>
    <s v="82,000"/>
    <m/>
    <s v="82,500"/>
    <m/>
    <x v="0"/>
    <s v="N"/>
    <n v="-23.009456882034218"/>
    <n v="-47.024037482067705"/>
    <n v="335.27"/>
    <n v="5.27"/>
    <n v="60"/>
    <m/>
    <n v="0"/>
    <s v="Trator 1.7m"/>
    <m/>
    <s v="Não"/>
    <s v="Não"/>
    <s v="Não"/>
    <s v="Não"/>
    <n v="201.16199999999998"/>
    <n v="201.16199999999998"/>
  </r>
  <r>
    <s v="VGSP-348_082,000_EN_CL2"/>
    <x v="0"/>
    <s v="82,000"/>
    <m/>
    <s v="82,500"/>
    <m/>
    <x v="0"/>
    <s v="N"/>
    <n v="-23.026079108297306"/>
    <n v="-47.074715430413214"/>
    <n v="1721.15"/>
    <n v="5.05"/>
    <n v="70"/>
    <m/>
    <n v="0"/>
    <s v="Trator 1.7m"/>
    <m/>
    <s v="Não"/>
    <s v="Não"/>
    <s v="Não"/>
    <s v="Não"/>
    <n v="1204.8050000000001"/>
    <n v="1204.8050000000001"/>
  </r>
  <r>
    <s v="VGSP-330_082,000_ES_CL1"/>
    <x v="0"/>
    <s v="82,000"/>
    <m/>
    <s v="82,500"/>
    <m/>
    <x v="0"/>
    <s v="S"/>
    <n v="-23.01566537952511"/>
    <n v="-47.021815442443007"/>
    <n v="2139.96"/>
    <n v="3.26"/>
    <n v="0"/>
    <m/>
    <n v="0"/>
    <m/>
    <m/>
    <s v="Não"/>
    <s v="Não"/>
    <s v="Não"/>
    <s v="Não"/>
    <n v="0"/>
    <n v="0"/>
  </r>
  <r>
    <s v="VGSP-330_082,000_EN_CL12"/>
    <x v="0"/>
    <s v="82,000"/>
    <m/>
    <s v="82,500"/>
    <m/>
    <x v="0"/>
    <s v="N"/>
    <n v="-23.009342628164319"/>
    <n v="-47.023152833309481"/>
    <n v="504.7"/>
    <n v="2.2799999999999998"/>
    <n v="60"/>
    <m/>
    <n v="0"/>
    <s v="Trator 1.7m"/>
    <m/>
    <s v="Não"/>
    <s v="Não"/>
    <s v="Não"/>
    <s v="Não"/>
    <n v="302.82"/>
    <n v="302.82"/>
  </r>
  <r>
    <s v="VGSP-330_082,000_EN_CL5"/>
    <x v="0"/>
    <s v="82,000"/>
    <m/>
    <s v="82,500"/>
    <m/>
    <x v="0"/>
    <s v="N"/>
    <n v="-23.010353027892503"/>
    <n v="-47.023791729582761"/>
    <n v="278.98"/>
    <n v="3.11"/>
    <n v="60"/>
    <m/>
    <n v="0"/>
    <s v="Trator 1.7m"/>
    <m/>
    <s v="Não"/>
    <s v="Não"/>
    <s v="Não"/>
    <s v="Não"/>
    <n v="167.38800000000001"/>
    <n v="167.38800000000001"/>
  </r>
  <r>
    <s v="VGSP-330_082,000_EN_CL4"/>
    <x v="0"/>
    <s v="82,000"/>
    <m/>
    <s v="82,500"/>
    <m/>
    <x v="0"/>
    <s v="N"/>
    <n v="-23.010447270602967"/>
    <n v="-47.022571092400241"/>
    <n v="1464.48"/>
    <n v="4.43"/>
    <n v="60"/>
    <m/>
    <n v="0"/>
    <s v="Trator 1.7m"/>
    <m/>
    <s v="Não"/>
    <s v="Não"/>
    <s v="Não"/>
    <s v="Não"/>
    <n v="878.68799999999999"/>
    <n v="878.68799999999999"/>
  </r>
  <r>
    <s v="VGSP-348_082,000_EN_CL1"/>
    <x v="0"/>
    <s v="82,000"/>
    <m/>
    <s v="82,500"/>
    <m/>
    <x v="0"/>
    <s v="N"/>
    <n v="-23.030608070641438"/>
    <n v="-47.072449914940982"/>
    <n v="2806.02"/>
    <n v="2.93"/>
    <n v="40"/>
    <m/>
    <n v="0"/>
    <s v="Trator 1.7m"/>
    <m/>
    <s v="Não"/>
    <s v="Não"/>
    <s v="Não"/>
    <s v="Não"/>
    <n v="1122.4080000000001"/>
    <n v="1122.4080000000001"/>
  </r>
  <r>
    <s v="VGSP-330_082,000_ES_CL4"/>
    <x v="0"/>
    <s v="82,000"/>
    <m/>
    <s v="82,500"/>
    <m/>
    <x v="0"/>
    <s v="S"/>
    <n v="-23.011925179863553"/>
    <n v="-47.026151234545246"/>
    <n v="71.959999999999994"/>
    <n v="1.77"/>
    <n v="70"/>
    <m/>
    <n v="0"/>
    <s v="Trator 1.7m"/>
    <m/>
    <s v="Não"/>
    <s v="Não"/>
    <s v="Não"/>
    <s v="Não"/>
    <n v="50.371999999999993"/>
    <n v="50.371999999999993"/>
  </r>
  <r>
    <s v="VGSP-330_082,000_EN_CL6"/>
    <x v="0"/>
    <s v="82,000"/>
    <m/>
    <s v="82,500"/>
    <m/>
    <x v="0"/>
    <s v="N"/>
    <n v="-23.010374493205759"/>
    <n v="-47.02277421443376"/>
    <n v="325.77999999999997"/>
    <n v="4.7300000000000004"/>
    <n v="60"/>
    <m/>
    <n v="0"/>
    <s v="Trator 1.7m"/>
    <m/>
    <s v="Não"/>
    <s v="Não"/>
    <s v="Não"/>
    <s v="Não"/>
    <n v="195.46799999999999"/>
    <n v="195.46799999999999"/>
  </r>
  <r>
    <s v="VGSP-330_082,000_EN_CL3"/>
    <x v="0"/>
    <s v="82,000"/>
    <m/>
    <s v="82,500"/>
    <m/>
    <x v="0"/>
    <s v="N"/>
    <n v="-23.011156631726116"/>
    <n v="-47.023456856263557"/>
    <n v="18472.16"/>
    <n v="4.57"/>
    <n v="60"/>
    <m/>
    <n v="0"/>
    <s v="Trator 1.7m"/>
    <m/>
    <s v="Não"/>
    <s v="Não"/>
    <s v="Não"/>
    <s v="Não"/>
    <n v="11083.296"/>
    <n v="11083.296"/>
  </r>
  <r>
    <s v="VGSP-330_082,000_ES_CL10"/>
    <x v="0"/>
    <s v="82,000"/>
    <m/>
    <s v="82,500"/>
    <m/>
    <x v="0"/>
    <s v="S"/>
    <n v="-23.011257198540747"/>
    <n v="-47.026108018422406"/>
    <n v="709.1"/>
    <n v="2.36"/>
    <n v="70"/>
    <m/>
    <n v="0"/>
    <s v="Trator 1.7m"/>
    <m/>
    <s v="Não"/>
    <s v="Não"/>
    <s v="Não"/>
    <s v="Não"/>
    <n v="496.37"/>
    <n v="496.37"/>
  </r>
  <r>
    <s v="VGSP-330_082,000_ES_CL5"/>
    <x v="0"/>
    <s v="82,000"/>
    <m/>
    <s v="82,500"/>
    <m/>
    <x v="0"/>
    <s v="S"/>
    <n v="-23.011655986997276"/>
    <n v="-47.026270763169016"/>
    <n v="527.32000000000005"/>
    <n v="1.44"/>
    <n v="70"/>
    <m/>
    <n v="0"/>
    <s v="Trator 1.7m"/>
    <m/>
    <s v="Não"/>
    <s v="Não"/>
    <s v="Não"/>
    <s v="Não"/>
    <n v="369.12400000000002"/>
    <n v="369.12400000000002"/>
  </r>
  <r>
    <s v="VGSP-348_082,000_CC2"/>
    <x v="99"/>
    <s v="82,000"/>
    <m/>
    <s v="82,500"/>
    <n v="0.5"/>
    <x v="1"/>
    <s v="C"/>
    <n v="-23.026095266072719"/>
    <n v="-47.07505770032845"/>
    <n v="14287.87"/>
    <n v="5.9"/>
    <n v="70"/>
    <m/>
    <n v="0"/>
    <s v="Eixo-zero"/>
    <m/>
    <s v="Não"/>
    <s v="Não"/>
    <s v="Não"/>
    <s v="Não"/>
    <n v="10001.509"/>
    <n v="10001.509"/>
  </r>
  <r>
    <s v="VGSP-330_082,000_ES_CL2"/>
    <x v="0"/>
    <s v="82,000"/>
    <m/>
    <s v="82,500"/>
    <m/>
    <x v="0"/>
    <s v="S"/>
    <n v="-23.012519406903142"/>
    <n v="-47.024840193121314"/>
    <n v="1782.54"/>
    <n v="5.56"/>
    <n v="70"/>
    <m/>
    <n v="0"/>
    <s v="Trator 1.7m"/>
    <m/>
    <s v="Não"/>
    <s v="Não"/>
    <s v="Não"/>
    <s v="Não"/>
    <n v="1247.7779999999998"/>
    <n v="1247.7779999999998"/>
  </r>
  <r>
    <s v="VGSP-330_082,000_ES_CL9"/>
    <x v="0"/>
    <s v="82,000"/>
    <m/>
    <s v="82,500"/>
    <m/>
    <x v="0"/>
    <s v="S"/>
    <n v="-23.010745271464064"/>
    <n v="-47.025450907812889"/>
    <n v="7967.16"/>
    <n v="7.83"/>
    <n v="70"/>
    <m/>
    <n v="0"/>
    <s v="Trator 1.7m"/>
    <m/>
    <s v="Não"/>
    <s v="Não"/>
    <s v="Não"/>
    <s v="Não"/>
    <n v="5577.0119999999997"/>
    <n v="5577.0119999999997"/>
  </r>
  <r>
    <s v="VGSP-330_082,000_ES_CL3"/>
    <x v="0"/>
    <s v="82,000"/>
    <m/>
    <s v="82,500"/>
    <m/>
    <x v="0"/>
    <s v="S"/>
    <n v="-23.012346775979513"/>
    <n v="-47.024107782602037"/>
    <n v="1037.42"/>
    <n v="6.24"/>
    <n v="70"/>
    <m/>
    <n v="0"/>
    <s v="Trator 1.7m"/>
    <m/>
    <s v="Não"/>
    <s v="Não"/>
    <s v="Não"/>
    <s v="Não"/>
    <n v="726.19399999999996"/>
    <n v="726.19399999999996"/>
  </r>
  <r>
    <s v="VGSP-330_082,000_EN_CL8"/>
    <x v="0"/>
    <s v="82,000"/>
    <m/>
    <s v="82,500"/>
    <m/>
    <x v="0"/>
    <s v="N"/>
    <n v="-23.009559121353313"/>
    <n v="-47.024653934732825"/>
    <n v="3048"/>
    <n v="8.5"/>
    <n v="60"/>
    <m/>
    <n v="0"/>
    <s v="Trator 1.7m"/>
    <m/>
    <s v="Não"/>
    <s v="Não"/>
    <s v="Não"/>
    <s v="Não"/>
    <n v="1828.8"/>
    <n v="1828.8"/>
  </r>
  <r>
    <s v="VGSP-330_082,000_EN_CL1"/>
    <x v="0"/>
    <s v="82,000"/>
    <m/>
    <s v="82,500"/>
    <m/>
    <x v="0"/>
    <s v="N"/>
    <n v="-23.013019935285673"/>
    <n v="-47.022581601018523"/>
    <n v="344.55"/>
    <n v="3.11"/>
    <n v="60"/>
    <m/>
    <n v="0"/>
    <s v="Trator 1.7m"/>
    <m/>
    <s v="Não"/>
    <s v="Não"/>
    <s v="Não"/>
    <s v="Não"/>
    <n v="206.73"/>
    <n v="206.73"/>
  </r>
  <r>
    <s v="VGSP-348_082,000_ES_CL1"/>
    <x v="0"/>
    <s v="82,000"/>
    <m/>
    <s v="82,500"/>
    <m/>
    <x v="0"/>
    <s v="S"/>
    <n v="-23.026190489566414"/>
    <n v="-47.07536097165292"/>
    <n v="1903.22"/>
    <n v="4.46"/>
    <n v="50"/>
    <m/>
    <n v="0"/>
    <s v="Trator 1.7m"/>
    <m/>
    <s v="Não"/>
    <s v="Não"/>
    <s v="Não"/>
    <s v="Não"/>
    <n v="951.61"/>
    <n v="951.61"/>
  </r>
  <r>
    <s v="VGSP-330_082,000_EN_CL2"/>
    <x v="0"/>
    <s v="82,000"/>
    <m/>
    <s v="82,500"/>
    <m/>
    <x v="0"/>
    <s v="N"/>
    <n v="-23.01543768499646"/>
    <n v="-47.02131976451119"/>
    <n v="2037.67"/>
    <n v="4.84"/>
    <n v="60"/>
    <m/>
    <n v="0"/>
    <s v="Trator 1.7m"/>
    <m/>
    <s v="Não"/>
    <s v="Não"/>
    <s v="Não"/>
    <s v="Não"/>
    <n v="1222.6020000000001"/>
    <n v="1222.6020000000001"/>
  </r>
  <r>
    <s v="VGSP-330_082,000_ES_CL8"/>
    <x v="0"/>
    <s v="82,000"/>
    <m/>
    <s v="82,500"/>
    <m/>
    <x v="0"/>
    <s v="S"/>
    <n v="-23.011438953209062"/>
    <n v="-47.026500756922516"/>
    <n v="102.47"/>
    <n v="1.75"/>
    <n v="70"/>
    <m/>
    <n v="0"/>
    <s v="Trator 1.7m"/>
    <m/>
    <s v="Não"/>
    <s v="Não"/>
    <s v="Não"/>
    <s v="Não"/>
    <n v="71.728999999999999"/>
    <n v="71.728999999999999"/>
  </r>
  <r>
    <s v="VGSP-330_082,000_ES_CL7"/>
    <x v="0"/>
    <s v="82,000"/>
    <m/>
    <s v="82,500"/>
    <m/>
    <x v="0"/>
    <s v="S"/>
    <n v="-23.011542232738247"/>
    <n v="-47.026058905262232"/>
    <n v="41.49"/>
    <n v="2.15"/>
    <n v="70"/>
    <m/>
    <n v="0"/>
    <s v="Trator 1.7m"/>
    <m/>
    <s v="Não"/>
    <s v="Não"/>
    <s v="Não"/>
    <s v="Não"/>
    <n v="29.042999999999999"/>
    <n v="29.042999999999999"/>
  </r>
  <r>
    <s v="VGSP-348_082,000_EN_CL3"/>
    <x v="0"/>
    <s v="82,000"/>
    <m/>
    <s v="82,500"/>
    <m/>
    <x v="0"/>
    <s v="N"/>
    <n v="-23.029239614587393"/>
    <n v="-47.073107266901488"/>
    <n v="1285.82"/>
    <n v="3.92"/>
    <n v="40"/>
    <m/>
    <n v="0"/>
    <s v="Trator 1.7m"/>
    <m/>
    <s v="Não"/>
    <s v="Não"/>
    <s v="Não"/>
    <s v="Não"/>
    <n v="514.32799999999997"/>
    <n v="514.32799999999997"/>
  </r>
  <r>
    <s v="VGSP-348_082,000_ES_CL2"/>
    <x v="0"/>
    <s v="82,000"/>
    <m/>
    <s v="82,500"/>
    <m/>
    <x v="0"/>
    <s v="S"/>
    <n v="-23.029884642786804"/>
    <n v="-47.073563984280966"/>
    <n v="1686.76"/>
    <n v="4.4000000000000004"/>
    <n v="70"/>
    <m/>
    <n v="0"/>
    <s v="Trator 1.7m"/>
    <m/>
    <s v="Não"/>
    <s v="Não"/>
    <s v="Não"/>
    <s v="Não"/>
    <n v="1180.732"/>
    <n v="1180.732"/>
  </r>
  <r>
    <s v="VGSP-348_082,000_CC1"/>
    <x v="99"/>
    <s v="82,000"/>
    <m/>
    <s v="82,500"/>
    <n v="0.5"/>
    <x v="1"/>
    <s v="C"/>
    <n v="-23.029734270587003"/>
    <n v="-47.073290435794256"/>
    <n v="12407"/>
    <n v="4.0999999999999996"/>
    <n v="70"/>
    <m/>
    <n v="0"/>
    <s v="Eixo-zero"/>
    <m/>
    <s v="Não"/>
    <s v="Não"/>
    <s v="Não"/>
    <s v="Não"/>
    <n v="8684.9"/>
    <n v="8684.9"/>
  </r>
  <r>
    <s v="VGSP-330_082,000_EN_CL10"/>
    <x v="0"/>
    <s v="82,000"/>
    <m/>
    <s v="82,500"/>
    <m/>
    <x v="0"/>
    <s v="N"/>
    <n v="-23.009603149854193"/>
    <n v="-47.022648105885303"/>
    <n v="1474.73"/>
    <n v="2.58"/>
    <n v="60"/>
    <m/>
    <n v="0"/>
    <s v="Trator 1.7m"/>
    <m/>
    <s v="Não"/>
    <s v="Não"/>
    <s v="Não"/>
    <s v="Não"/>
    <n v="884.83799999999997"/>
    <n v="884.83799999999997"/>
  </r>
  <r>
    <s v="VGSP-330_082,000_EN_CL9"/>
    <x v="0"/>
    <s v="82,000"/>
    <m/>
    <s v="82,500"/>
    <m/>
    <x v="0"/>
    <s v="N"/>
    <n v="-23.009919567271773"/>
    <n v="-47.023400348883683"/>
    <n v="10188.84"/>
    <n v="3.82"/>
    <n v="60"/>
    <m/>
    <n v="0"/>
    <s v="Trator 1.7m"/>
    <m/>
    <s v="Não"/>
    <s v="Não"/>
    <s v="Não"/>
    <s v="Não"/>
    <n v="6113.3040000000001"/>
    <n v="6113.3040000000001"/>
  </r>
  <r>
    <s v="VGSP-330_082,000_EN_CL7"/>
    <x v="0"/>
    <s v="82,000"/>
    <m/>
    <s v="82,500"/>
    <m/>
    <x v="0"/>
    <s v="N"/>
    <n v="-23.010086040703417"/>
    <n v="-47.024353668442942"/>
    <n v="5865.35"/>
    <n v="6.41"/>
    <n v="60"/>
    <m/>
    <n v="0"/>
    <s v="Trator 1.7m"/>
    <m/>
    <s v="Não"/>
    <s v="Não"/>
    <s v="Não"/>
    <s v="Não"/>
    <n v="3519.21"/>
    <n v="3519.21"/>
  </r>
  <r>
    <s v="VGSP-330_082,000_CC2"/>
    <x v="100"/>
    <s v="82,000"/>
    <m/>
    <s v="82,500"/>
    <m/>
    <x v="1"/>
    <s v="C"/>
    <n v="-23.010558996619125"/>
    <n v="-47.024811417891257"/>
    <n v="797.34"/>
    <n v="8.58"/>
    <n v="70"/>
    <m/>
    <n v="0"/>
    <s v="Trator 1.7m"/>
    <m/>
    <s v="Não"/>
    <s v="Não"/>
    <s v="Não"/>
    <s v="Não"/>
    <n v="558.13800000000003"/>
    <n v="558.13800000000003"/>
  </r>
  <r>
    <s v="VGSP-330_082,000_CC1"/>
    <x v="100"/>
    <s v="82,000"/>
    <m/>
    <s v="82,500"/>
    <m/>
    <x v="1"/>
    <s v="C"/>
    <n v="-23.010108234009039"/>
    <n v="-47.025853738678812"/>
    <n v="10516.9"/>
    <n v="9.39"/>
    <n v="70"/>
    <m/>
    <n v="0"/>
    <s v="Trator 1.7m"/>
    <m/>
    <s v="Não"/>
    <s v="Não"/>
    <s v="Não"/>
    <s v="Não"/>
    <n v="7361.829999999999"/>
    <n v="7361.829999999999"/>
  </r>
  <r>
    <s v="VGSP-330_083,000_EN_CL1"/>
    <x v="0"/>
    <s v="83,000"/>
    <m/>
    <s v="83,500"/>
    <m/>
    <x v="0"/>
    <s v="N"/>
    <n v="-23.008279043148899"/>
    <n v="-47.025713961973487"/>
    <n v="8045.78"/>
    <n v="6.92"/>
    <n v="60"/>
    <m/>
    <n v="0"/>
    <s v="Trator 1.7m"/>
    <m/>
    <s v="Não"/>
    <s v="Não"/>
    <s v="Não"/>
    <s v="Não"/>
    <n v="4827.4679999999998"/>
    <n v="4827.4679999999998"/>
  </r>
  <r>
    <s v="VGSP-348_083,000_ES_CL2"/>
    <x v="0"/>
    <s v="83,000"/>
    <m/>
    <s v="83,500"/>
    <m/>
    <x v="0"/>
    <s v="S"/>
    <n v="-23.021480419307753"/>
    <n v="-47.078444438388338"/>
    <n v="1873.52"/>
    <n v="7.77"/>
    <n v="50"/>
    <m/>
    <n v="0"/>
    <s v="Trator 1.7m"/>
    <m/>
    <s v="Não"/>
    <s v="Não"/>
    <s v="Não"/>
    <s v="Não"/>
    <n v="936.76"/>
    <n v="936.76"/>
  </r>
  <r>
    <s v="VGSP-348_083,000_EN_CL1"/>
    <x v="0"/>
    <s v="83,000"/>
    <m/>
    <s v="83,500"/>
    <m/>
    <x v="0"/>
    <s v="N"/>
    <n v="-23.017513062158926"/>
    <n v="-47.081142947652012"/>
    <n v="2323.04"/>
    <n v="5.89"/>
    <n v="30"/>
    <m/>
    <n v="0"/>
    <s v="Trator 1.7m"/>
    <m/>
    <s v="Não"/>
    <s v="Não"/>
    <s v="Não"/>
    <s v="Não"/>
    <n v="696.91199999999992"/>
    <n v="696.91199999999992"/>
  </r>
  <r>
    <s v="VGSP-348_083,000_EN_CL2"/>
    <x v="0"/>
    <s v="83,000"/>
    <m/>
    <s v="83,500"/>
    <m/>
    <x v="0"/>
    <s v="N"/>
    <n v="-23.021178066538319"/>
    <n v="-47.077906248327629"/>
    <n v="1957.15"/>
    <n v="3.6"/>
    <n v="70"/>
    <m/>
    <n v="0"/>
    <s v="Trator 1.7m"/>
    <m/>
    <s v="Não"/>
    <s v="Não"/>
    <s v="Não"/>
    <s v="Não"/>
    <n v="1370.0049999999999"/>
    <n v="1370.0049999999999"/>
  </r>
  <r>
    <s v="VGSP-330_083,000_EN_CL3"/>
    <x v="0"/>
    <s v="83,000"/>
    <m/>
    <s v="83,500"/>
    <m/>
    <x v="0"/>
    <s v="N"/>
    <n v="-23.003552365016876"/>
    <n v="-47.028857582565706"/>
    <n v="1891.07"/>
    <n v="5.16"/>
    <n v="50"/>
    <m/>
    <n v="0"/>
    <s v="Trator 1.7m"/>
    <m/>
    <s v="Não"/>
    <s v="Não"/>
    <s v="Não"/>
    <s v="Não"/>
    <n v="945.53499999999997"/>
    <n v="945.53499999999997"/>
  </r>
  <r>
    <s v="VGSP-330_083,000_ES_CL"/>
    <x v="0"/>
    <s v="83,000"/>
    <m/>
    <s v="83,500"/>
    <m/>
    <x v="0"/>
    <s v="S"/>
    <n v="-23.003737569939744"/>
    <n v="-47.029142200850828"/>
    <n v="1950.31"/>
    <n v="5.59"/>
    <n v="40"/>
    <m/>
    <n v="0"/>
    <s v="Trator 1.7m"/>
    <m/>
    <s v="Não"/>
    <s v="Não"/>
    <s v="Não"/>
    <s v="Não"/>
    <n v="780.12400000000002"/>
    <n v="780.12400000000002"/>
  </r>
  <r>
    <s v="VGSP-330_083,000_EN_CL2"/>
    <x v="0"/>
    <s v="83,000"/>
    <m/>
    <s v="83,500"/>
    <m/>
    <x v="0"/>
    <s v="N"/>
    <n v="-23.007585969841696"/>
    <n v="-47.025959188489729"/>
    <n v="2445.88"/>
    <n v="6.49"/>
    <n v="60"/>
    <m/>
    <n v="0"/>
    <s v="Trator 1.7m"/>
    <m/>
    <s v="Não"/>
    <s v="Não"/>
    <s v="Não"/>
    <s v="Não"/>
    <n v="1467.528"/>
    <n v="1467.528"/>
  </r>
  <r>
    <s v="VGSP-348_083,000_CC2"/>
    <x v="101"/>
    <s v="83,000"/>
    <m/>
    <s v="83,500"/>
    <n v="0.5"/>
    <x v="1"/>
    <s v="C"/>
    <n v="-23.021328900612986"/>
    <n v="-47.078175922883197"/>
    <n v="14349.69"/>
    <n v="4.54"/>
    <n v="70"/>
    <m/>
    <n v="0"/>
    <s v="Eixo-zero"/>
    <m/>
    <s v="Não"/>
    <s v="Não"/>
    <s v="Não"/>
    <s v="Não"/>
    <n v="10044.782999999999"/>
    <n v="10044.782999999999"/>
  </r>
  <r>
    <s v="VGSP-348_083,000_EN_CL3"/>
    <x v="0"/>
    <s v="83,000"/>
    <m/>
    <s v="83,500"/>
    <m/>
    <x v="0"/>
    <s v="N"/>
    <n v="-23.016164865287394"/>
    <n v="-47.082475085456416"/>
    <n v="647.4"/>
    <n v="5.6"/>
    <n v="30"/>
    <m/>
    <n v="0"/>
    <s v="Trator 1.7m"/>
    <m/>
    <s v="Não"/>
    <s v="Não"/>
    <s v="Não"/>
    <s v="Não"/>
    <n v="194.22"/>
    <n v="194.22"/>
  </r>
  <r>
    <s v="VGSP-348_083,000_ES_CL3"/>
    <x v="0"/>
    <s v="83,000"/>
    <m/>
    <s v="83,500"/>
    <m/>
    <x v="0"/>
    <s v="S"/>
    <n v="-23.018190343292506"/>
    <n v="-47.081484929092625"/>
    <n v="1964.63"/>
    <n v="4.33"/>
    <n v="40"/>
    <m/>
    <n v="0"/>
    <s v="Trator 1.7m"/>
    <m/>
    <s v="Não"/>
    <s v="Não"/>
    <s v="Não"/>
    <s v="Não"/>
    <n v="785.85200000000009"/>
    <n v="785.85200000000009"/>
  </r>
  <r>
    <s v="VGSP-348_083,000_ES_CL1"/>
    <x v="0"/>
    <s v="83,000"/>
    <m/>
    <s v="83,500"/>
    <m/>
    <x v="0"/>
    <s v="S"/>
    <n v="-23.023398254053756"/>
    <n v="-47.076893869455404"/>
    <n v="254.56"/>
    <n v="3.63"/>
    <n v="50"/>
    <m/>
    <n v="0"/>
    <s v="Trator 1.7m"/>
    <m/>
    <s v="Não"/>
    <s v="Não"/>
    <s v="Não"/>
    <s v="Não"/>
    <n v="127.28"/>
    <n v="127.28"/>
  </r>
  <r>
    <s v="VGSP-348_083,000_ES_CL4"/>
    <x v="0"/>
    <s v="83,000"/>
    <m/>
    <s v="83,500"/>
    <m/>
    <x v="0"/>
    <s v="S"/>
    <n v="-23.016320184878879"/>
    <n v="-47.083166630017921"/>
    <n v="429.14"/>
    <n v="4.53"/>
    <n v="40"/>
    <m/>
    <n v="0"/>
    <s v="Trator 1.7m"/>
    <m/>
    <s v="Não"/>
    <s v="Não"/>
    <s v="Não"/>
    <s v="Não"/>
    <n v="171.65600000000001"/>
    <n v="171.65600000000001"/>
  </r>
  <r>
    <s v="VGSP-330_083,000_CC2"/>
    <x v="102"/>
    <s v="83,000"/>
    <m/>
    <s v="83,500"/>
    <m/>
    <x v="1"/>
    <s v="C"/>
    <n v="-23.008327906659773"/>
    <n v="-47.026686240333603"/>
    <n v="2798.41"/>
    <n v="6.23"/>
    <n v="70"/>
    <m/>
    <n v="0"/>
    <s v="Trator 1.7m"/>
    <m/>
    <s v="Não"/>
    <s v="Não"/>
    <s v="Não"/>
    <s v="Não"/>
    <n v="1958.8869999999997"/>
    <n v="1958.8869999999997"/>
  </r>
  <r>
    <s v="VGSP-330_083,000_CC1"/>
    <x v="102"/>
    <s v="83,000"/>
    <m/>
    <s v="83,500"/>
    <m/>
    <x v="1"/>
    <s v="C"/>
    <n v="-23.007811557154337"/>
    <n v="-47.026560073694434"/>
    <n v="5063.33"/>
    <n v="6.43"/>
    <n v="70"/>
    <m/>
    <n v="0"/>
    <s v="Trator 1.7m"/>
    <m/>
    <s v="Não"/>
    <s v="Não"/>
    <s v="Não"/>
    <s v="Não"/>
    <n v="3544.3309999999997"/>
    <n v="3544.3309999999997"/>
  </r>
  <r>
    <s v="VGSP-348_083,000_CC3"/>
    <x v="101"/>
    <s v="83,000"/>
    <m/>
    <s v="83,500"/>
    <n v="0.5"/>
    <x v="1"/>
    <s v="C"/>
    <n v="-23.023544808372506"/>
    <n v="-47.076433438195771"/>
    <n v="3756.44"/>
    <n v="2.82"/>
    <n v="70"/>
    <m/>
    <n v="0"/>
    <s v="Eixo-zero"/>
    <m/>
    <s v="Não"/>
    <s v="Não"/>
    <s v="Não"/>
    <s v="Não"/>
    <n v="2629.5079999999998"/>
    <n v="2629.5079999999998"/>
  </r>
  <r>
    <s v="VGSP-348_083,000_CC1"/>
    <x v="101"/>
    <s v="83,000"/>
    <m/>
    <s v="83,500"/>
    <n v="0.5"/>
    <x v="1"/>
    <s v="C"/>
    <n v="-23.017707864413286"/>
    <n v="-47.081451341483415"/>
    <n v="17009.240000000002"/>
    <n v="4.45"/>
    <n v="70"/>
    <m/>
    <n v="0"/>
    <s v="Eixo-zero"/>
    <m/>
    <s v="Não"/>
    <s v="Não"/>
    <s v="Não"/>
    <s v="Não"/>
    <n v="11906.468000000001"/>
    <n v="11906.468000000001"/>
  </r>
  <r>
    <s v="VGSP-348_084,000_CC3"/>
    <x v="103"/>
    <s v="84,000"/>
    <m/>
    <s v="84,500"/>
    <n v="0.5"/>
    <x v="1"/>
    <s v="C"/>
    <n v="-23.011944061556466"/>
    <n v="-47.088361253640784"/>
    <n v="12113.07"/>
    <n v="3.91"/>
    <n v="70"/>
    <m/>
    <n v="0"/>
    <s v="Eixo-zero"/>
    <m/>
    <s v="Não"/>
    <s v="Não"/>
    <s v="Não"/>
    <s v="Não"/>
    <n v="8479.1489999999994"/>
    <n v="8479.1489999999994"/>
  </r>
  <r>
    <s v="VGSP-330_084,000_ES_CL4"/>
    <x v="0"/>
    <s v="84,000"/>
    <m/>
    <s v="84,500"/>
    <m/>
    <x v="0"/>
    <s v="S"/>
    <n v="-22.995470584839001"/>
    <n v="-47.034957611399157"/>
    <n v="1146.75"/>
    <n v="6.95"/>
    <n v="30"/>
    <m/>
    <n v="0"/>
    <s v="Trator 1.7m"/>
    <m/>
    <s v="Não"/>
    <s v="Não"/>
    <s v="Não"/>
    <s v="Não"/>
    <n v="344.02499999999998"/>
    <n v="344.02499999999998"/>
  </r>
  <r>
    <s v="VGSP-348_084,000_ES_CL13"/>
    <x v="0"/>
    <s v="84,000"/>
    <m/>
    <s v="84,500"/>
    <m/>
    <x v="0"/>
    <s v="S"/>
    <n v="-23.011360966248642"/>
    <n v="-47.089730146066756"/>
    <n v="581.83000000000004"/>
    <n v="2.29"/>
    <n v="40"/>
    <m/>
    <n v="0"/>
    <s v="Trator 1.7m"/>
    <m/>
    <s v="Não"/>
    <s v="Não"/>
    <s v="Não"/>
    <s v="Não"/>
    <n v="232.73200000000003"/>
    <n v="232.73200000000003"/>
  </r>
  <r>
    <s v="VGSP-348_084,000_ES_CL9"/>
    <x v="0"/>
    <s v="84,000"/>
    <m/>
    <s v="84,500"/>
    <m/>
    <x v="0"/>
    <s v="S"/>
    <n v="-23.013009935666435"/>
    <n v="-47.08736689569691"/>
    <n v="299.58"/>
    <n v="8.1300000000000008"/>
    <n v="40"/>
    <m/>
    <n v="0"/>
    <s v="Trator 1.7m"/>
    <m/>
    <s v="Não"/>
    <s v="Não"/>
    <s v="Não"/>
    <s v="Não"/>
    <n v="119.83199999999999"/>
    <n v="119.83199999999999"/>
  </r>
  <r>
    <s v="VGSP-348_084,000_ES_CL2"/>
    <x v="0"/>
    <s v="84,000"/>
    <m/>
    <s v="84,500"/>
    <m/>
    <x v="0"/>
    <s v="S"/>
    <n v="-23.016251630121072"/>
    <n v="-47.083477312795715"/>
    <n v="420.12"/>
    <n v="5.49"/>
    <n v="40"/>
    <m/>
    <n v="0"/>
    <s v="Trator 1.7m"/>
    <m/>
    <s v="Não"/>
    <s v="Não"/>
    <s v="Não"/>
    <s v="Não"/>
    <n v="168.048"/>
    <n v="168.048"/>
  </r>
  <r>
    <s v="VGSP-348_084,000_CC1"/>
    <x v="103"/>
    <s v="84,000"/>
    <m/>
    <s v="84,500"/>
    <n v="0.5"/>
    <x v="1"/>
    <s v="C"/>
    <n v="-23.015269466074187"/>
    <n v="-47.083873116547764"/>
    <n v="5018.53"/>
    <n v="3.74"/>
    <n v="70"/>
    <m/>
    <n v="0"/>
    <s v="Eixo-zero"/>
    <m/>
    <s v="Não"/>
    <s v="Não"/>
    <s v="Não"/>
    <s v="Não"/>
    <n v="3512.9709999999995"/>
    <n v="3512.9709999999995"/>
  </r>
  <r>
    <s v="VGSP-348_084,000_ES_CL10"/>
    <x v="0"/>
    <s v="84,000"/>
    <m/>
    <s v="84,500"/>
    <m/>
    <x v="0"/>
    <s v="S"/>
    <n v="-23.014004523915361"/>
    <n v="-47.085981820604808"/>
    <n v="1254.6199999999999"/>
    <n v="7.08"/>
    <n v="40"/>
    <m/>
    <n v="0"/>
    <s v="Trator 1.7m"/>
    <m/>
    <s v="Não"/>
    <s v="Não"/>
    <s v="Não"/>
    <s v="Não"/>
    <n v="501.84799999999996"/>
    <n v="501.84799999999996"/>
  </r>
  <r>
    <s v="VGSP-348_084,000_EN_CL1"/>
    <x v="0"/>
    <s v="84,000"/>
    <m/>
    <s v="84,500"/>
    <m/>
    <x v="0"/>
    <s v="N"/>
    <n v="-23.015419478930198"/>
    <n v="-47.082930262383861"/>
    <n v="59.73"/>
    <n v="4.07"/>
    <n v="30"/>
    <m/>
    <n v="0"/>
    <s v="Trator 1.7m"/>
    <m/>
    <s v="Não"/>
    <s v="Não"/>
    <s v="Não"/>
    <s v="Não"/>
    <n v="17.918999999999997"/>
    <n v="17.918999999999997"/>
  </r>
  <r>
    <s v="VGSP-348_084,000_EN_CL9"/>
    <x v="0"/>
    <s v="84,000"/>
    <m/>
    <s v="84,500"/>
    <m/>
    <x v="0"/>
    <s v="N"/>
    <n v="-23.012665216693971"/>
    <n v="-47.086835332504741"/>
    <n v="280.74"/>
    <n v="2.95"/>
    <n v="20"/>
    <m/>
    <n v="0"/>
    <s v="Trator 1.7m"/>
    <m/>
    <s v="Não"/>
    <s v="Não"/>
    <s v="Não"/>
    <s v="Não"/>
    <n v="56.148000000000003"/>
    <n v="56.148000000000003"/>
  </r>
  <r>
    <s v="VGSP-348_084,000_EN_CL4"/>
    <x v="0"/>
    <s v="84,000"/>
    <m/>
    <s v="84,500"/>
    <m/>
    <x v="0"/>
    <s v="N"/>
    <n v="-23.014538567246099"/>
    <n v="-47.08397923147465"/>
    <n v="423.18"/>
    <n v="2.83"/>
    <n v="30"/>
    <m/>
    <n v="0"/>
    <s v="Trator 1.7m"/>
    <m/>
    <s v="Não"/>
    <s v="Não"/>
    <s v="Não"/>
    <s v="Não"/>
    <n v="126.95399999999999"/>
    <n v="126.95399999999999"/>
  </r>
  <r>
    <s v="VGSP-330_084,000_ES_CL3"/>
    <x v="0"/>
    <s v="84,000"/>
    <m/>
    <s v="84,500"/>
    <m/>
    <x v="0"/>
    <s v="S"/>
    <n v="-22.99704383097427"/>
    <n v="-47.033907881001987"/>
    <n v="5220.51"/>
    <n v="5.14"/>
    <n v="30"/>
    <m/>
    <n v="0"/>
    <s v="Trator 1.7m"/>
    <m/>
    <s v="Não"/>
    <s v="Não"/>
    <s v="Não"/>
    <s v="Não"/>
    <n v="1566.153"/>
    <n v="1566.153"/>
  </r>
  <r>
    <s v="VGSP-348_084,000_EN_CL8"/>
    <x v="0"/>
    <s v="84,000"/>
    <m/>
    <s v="84,500"/>
    <m/>
    <x v="0"/>
    <s v="N"/>
    <n v="-23.013548518341942"/>
    <n v="-47.085584986277986"/>
    <n v="1053.8"/>
    <n v="2.4900000000000002"/>
    <n v="30"/>
    <m/>
    <n v="0"/>
    <s v="Trator 1.7m"/>
    <m/>
    <s v="Não"/>
    <s v="Não"/>
    <s v="Não"/>
    <s v="Não"/>
    <n v="316.14"/>
    <n v="316.14"/>
  </r>
  <r>
    <s v="VGSP-348_084,000_EN_CL3"/>
    <x v="0"/>
    <s v="84,000"/>
    <m/>
    <s v="84,500"/>
    <m/>
    <x v="0"/>
    <s v="N"/>
    <n v="-23.015070240303441"/>
    <n v="-47.083349680832917"/>
    <n v="1928.05"/>
    <n v="4.33"/>
    <n v="30"/>
    <m/>
    <n v="0"/>
    <s v="Trator 1.7m"/>
    <m/>
    <s v="Não"/>
    <s v="Não"/>
    <s v="Não"/>
    <s v="Não"/>
    <n v="578.41499999999996"/>
    <n v="578.41499999999996"/>
  </r>
  <r>
    <s v="VGSP-348_084,000_ES_CL1"/>
    <x v="0"/>
    <s v="84,000"/>
    <m/>
    <s v="84,500"/>
    <m/>
    <x v="0"/>
    <s v="S"/>
    <n v="-23.015955724377598"/>
    <n v="-47.083806966285614"/>
    <n v="344.81"/>
    <n v="6.17"/>
    <n v="40"/>
    <m/>
    <n v="0"/>
    <s v="Trator 1.7m"/>
    <m/>
    <s v="Não"/>
    <s v="Não"/>
    <s v="Não"/>
    <s v="Não"/>
    <n v="137.92400000000001"/>
    <n v="137.92400000000001"/>
  </r>
  <r>
    <s v="VGSP-348_084,000_ES_CL12"/>
    <x v="0"/>
    <s v="84,000"/>
    <m/>
    <s v="84,500"/>
    <m/>
    <x v="0"/>
    <s v="S"/>
    <n v="-23.011698210228442"/>
    <n v="-47.089399019747162"/>
    <n v="291.02"/>
    <n v="3.02"/>
    <n v="40"/>
    <m/>
    <n v="0"/>
    <s v="Trator 1.7m"/>
    <m/>
    <s v="Não"/>
    <s v="Não"/>
    <s v="Não"/>
    <s v="Não"/>
    <n v="116.408"/>
    <n v="116.408"/>
  </r>
  <r>
    <s v="VGSP-348_084,000_ES_CL11"/>
    <x v="0"/>
    <s v="84,000"/>
    <m/>
    <s v="84,500"/>
    <m/>
    <x v="0"/>
    <s v="S"/>
    <n v="-23.012163659725832"/>
    <n v="-47.088636030181235"/>
    <n v="742.24"/>
    <n v="4.34"/>
    <n v="40"/>
    <m/>
    <n v="0"/>
    <s v="Trator 1.7m"/>
    <m/>
    <s v="Não"/>
    <s v="Não"/>
    <s v="Não"/>
    <s v="Não"/>
    <n v="296.89600000000002"/>
    <n v="296.89600000000002"/>
  </r>
  <r>
    <s v="VGSP-348_084,000_ES_CL6"/>
    <x v="0"/>
    <s v="84,000"/>
    <m/>
    <s v="84,500"/>
    <m/>
    <x v="0"/>
    <s v="S"/>
    <n v="-23.01493910290079"/>
    <n v="-47.084731219926624"/>
    <n v="36.64"/>
    <n v="6.31"/>
    <n v="40"/>
    <m/>
    <n v="0"/>
    <s v="Trator 1.7m"/>
    <m/>
    <s v="Não"/>
    <s v="Não"/>
    <s v="Não"/>
    <s v="Não"/>
    <n v="14.656000000000001"/>
    <n v="14.656000000000001"/>
  </r>
  <r>
    <s v="VGSP-348_084,000_ES_CL8"/>
    <x v="0"/>
    <s v="84,000"/>
    <m/>
    <s v="84,500"/>
    <m/>
    <x v="0"/>
    <s v="S"/>
    <n v="-23.014127868824069"/>
    <n v="-47.08605898546157"/>
    <n v="460.46"/>
    <n v="6.45"/>
    <n v="40"/>
    <m/>
    <n v="0"/>
    <s v="Trator 1.7m"/>
    <m/>
    <s v="Não"/>
    <s v="Não"/>
    <s v="Não"/>
    <s v="Não"/>
    <n v="184.184"/>
    <n v="184.184"/>
  </r>
  <r>
    <s v="VGSP-348_084,000_ES_CL7"/>
    <x v="0"/>
    <s v="84,000"/>
    <m/>
    <s v="84,500"/>
    <m/>
    <x v="0"/>
    <s v="S"/>
    <n v="-23.01477972677537"/>
    <n v="-47.08523042356817"/>
    <n v="391.46"/>
    <n v="6.36"/>
    <n v="40"/>
    <m/>
    <n v="0"/>
    <s v="Trator 1.7m"/>
    <m/>
    <s v="Não"/>
    <s v="Não"/>
    <s v="Não"/>
    <s v="Não"/>
    <n v="156.584"/>
    <n v="156.584"/>
  </r>
  <r>
    <s v="VGSP-348_084,000_CC4"/>
    <x v="103"/>
    <s v="84,000"/>
    <m/>
    <s v="84,500"/>
    <n v="0.5"/>
    <x v="1"/>
    <s v="C"/>
    <n v="-23.013773025689357"/>
    <n v="-47.085793455031471"/>
    <n v="7693.93"/>
    <n v="4.6100000000000003"/>
    <n v="70"/>
    <m/>
    <n v="0"/>
    <s v="Eixo-zero"/>
    <m/>
    <s v="Não"/>
    <s v="Não"/>
    <s v="Não"/>
    <s v="Não"/>
    <n v="5385.7510000000002"/>
    <n v="5385.7510000000002"/>
  </r>
  <r>
    <s v="VGSP-348_084,000_EN_CL10"/>
    <x v="0"/>
    <s v="84,000"/>
    <m/>
    <s v="84,500"/>
    <m/>
    <x v="0"/>
    <s v="N"/>
    <n v="-23.013164291271767"/>
    <n v="-47.085909207835272"/>
    <n v="442.44"/>
    <n v="2.2599999999999998"/>
    <n v="30"/>
    <m/>
    <n v="0"/>
    <s v="Trator 1.7m"/>
    <m/>
    <s v="Não"/>
    <s v="Não"/>
    <s v="Não"/>
    <s v="Não"/>
    <n v="132.732"/>
    <n v="132.732"/>
  </r>
  <r>
    <s v="VGSP-348_084,000_ES_CL14"/>
    <x v="0"/>
    <s v="84,000"/>
    <m/>
    <s v="84,500"/>
    <m/>
    <x v="0"/>
    <s v="S"/>
    <n v="-23.011154062751665"/>
    <n v="-47.090155480423398"/>
    <n v="0.59"/>
    <n v="3.66"/>
    <m/>
    <m/>
    <n v="0"/>
    <m/>
    <m/>
    <s v="Não"/>
    <s v="Não"/>
    <s v="Não"/>
    <s v="Não"/>
    <n v="0"/>
    <n v="0"/>
  </r>
  <r>
    <s v="VGSP-348_084,000_CC2"/>
    <x v="103"/>
    <s v="84,000"/>
    <m/>
    <s v="84,500"/>
    <n v="0.5"/>
    <x v="1"/>
    <s v="C"/>
    <n v="-23.014629540999856"/>
    <n v="-47.084630579326671"/>
    <n v="248.82"/>
    <n v="2.19"/>
    <n v="70"/>
    <m/>
    <n v="0"/>
    <s v="Trator 1.7m"/>
    <m/>
    <s v="Não"/>
    <s v="Não"/>
    <s v="Não"/>
    <s v="Não"/>
    <n v="174.17399999999998"/>
    <n v="174.17399999999998"/>
  </r>
  <r>
    <s v="VGSP-348_084,000_ES_CL3"/>
    <x v="0"/>
    <s v="84,000"/>
    <m/>
    <s v="84,500"/>
    <m/>
    <x v="0"/>
    <s v="S"/>
    <n v="-23.015485113654403"/>
    <n v="-47.084082456894059"/>
    <n v="719.19"/>
    <n v="6.98"/>
    <n v="40"/>
    <m/>
    <n v="0"/>
    <s v="Trator 1.7m"/>
    <m/>
    <s v="Não"/>
    <s v="Não"/>
    <s v="Não"/>
    <s v="Não"/>
    <n v="287.67600000000004"/>
    <n v="287.67600000000004"/>
  </r>
  <r>
    <s v="VGSP-330_084,000_ES_CL1"/>
    <x v="0"/>
    <s v="84,000"/>
    <m/>
    <s v="84,500"/>
    <m/>
    <x v="0"/>
    <s v="S"/>
    <n v="-22.999917653768389"/>
    <n v="-47.031764765508541"/>
    <n v="2061.79"/>
    <n v="5.33"/>
    <n v="40"/>
    <m/>
    <n v="0"/>
    <s v="Trator 1.7m"/>
    <m/>
    <s v="Não"/>
    <s v="Não"/>
    <s v="Não"/>
    <s v="Não"/>
    <n v="824.71600000000001"/>
    <n v="824.71600000000001"/>
  </r>
  <r>
    <s v="VGSP-330_084,000_EN_CL1"/>
    <x v="0"/>
    <s v="84,000"/>
    <m/>
    <s v="84,500"/>
    <m/>
    <x v="0"/>
    <s v="N"/>
    <n v="-22.99978122390214"/>
    <n v="-47.031430640138879"/>
    <n v="2065.09"/>
    <n v="7.23"/>
    <n v="50"/>
    <m/>
    <n v="0"/>
    <s v="Trator 1.7m"/>
    <m/>
    <s v="Não"/>
    <s v="Não"/>
    <s v="Não"/>
    <s v="Não"/>
    <n v="1032.5450000000001"/>
    <n v="1032.5450000000001"/>
  </r>
  <r>
    <s v="VGSP-330_084,000_EN_CL2"/>
    <x v="0"/>
    <s v="84,000"/>
    <m/>
    <s v="84,500"/>
    <m/>
    <x v="0"/>
    <s v="N"/>
    <n v="-22.99605975122871"/>
    <n v="-47.034108919456337"/>
    <n v="1912.44"/>
    <n v="5.19"/>
    <n v="0"/>
    <m/>
    <n v="0"/>
    <m/>
    <m/>
    <s v="Não"/>
    <s v="Não"/>
    <s v="Não"/>
    <s v="Não"/>
    <n v="0"/>
    <n v="0"/>
  </r>
  <r>
    <s v="VGSP-348_084,000_EN_CL12"/>
    <x v="0"/>
    <s v="84,000"/>
    <m/>
    <s v="84,500"/>
    <m/>
    <x v="0"/>
    <s v="N"/>
    <n v="-23.012790829816531"/>
    <n v="-47.086384861073952"/>
    <n v="2.5099999999999998"/>
    <n v="3.74"/>
    <m/>
    <m/>
    <n v="0"/>
    <m/>
    <m/>
    <s v="Não"/>
    <s v="Não"/>
    <s v="Não"/>
    <s v="Não"/>
    <n v="0"/>
    <n v="0"/>
  </r>
  <r>
    <s v="VGSP-348_084,000_EN_CL2"/>
    <x v="0"/>
    <s v="84,000"/>
    <m/>
    <s v="84,500"/>
    <m/>
    <x v="0"/>
    <s v="N"/>
    <n v="-23.015028776314804"/>
    <n v="-47.083693693222735"/>
    <n v="869.22"/>
    <n v="2.98"/>
    <n v="30"/>
    <m/>
    <n v="0"/>
    <s v="Trator 1.7m"/>
    <m/>
    <s v="Não"/>
    <s v="Não"/>
    <s v="Não"/>
    <s v="Não"/>
    <n v="260.76600000000002"/>
    <n v="260.76600000000002"/>
  </r>
  <r>
    <s v="VGSP-348_084,000_ES_CL4"/>
    <x v="0"/>
    <s v="84,000"/>
    <m/>
    <s v="84,500"/>
    <m/>
    <x v="0"/>
    <s v="S"/>
    <n v="-23.015451075429617"/>
    <n v="-47.084400169702874"/>
    <n v="373.26"/>
    <n v="7.03"/>
    <n v="40"/>
    <m/>
    <n v="0"/>
    <s v="Trator 1.7m"/>
    <m/>
    <s v="Não"/>
    <s v="Não"/>
    <s v="Não"/>
    <s v="Não"/>
    <n v="149.304"/>
    <n v="149.304"/>
  </r>
  <r>
    <s v="VGSP-348_084,000_EN_CL11"/>
    <x v="0"/>
    <s v="84,000"/>
    <m/>
    <s v="84,500"/>
    <m/>
    <x v="0"/>
    <s v="N"/>
    <n v="-23.011654934940857"/>
    <n v="-47.088142268570223"/>
    <n v="1682.9"/>
    <n v="4.33"/>
    <n v="20"/>
    <m/>
    <n v="0"/>
    <s v="Trator 1.7m"/>
    <m/>
    <s v="Não"/>
    <s v="Não"/>
    <s v="Não"/>
    <s v="Não"/>
    <n v="336.58000000000004"/>
    <n v="336.58000000000004"/>
  </r>
  <r>
    <s v="VGSP-348_084,000_ES_CL5"/>
    <x v="0"/>
    <s v="84,000"/>
    <m/>
    <s v="84,500"/>
    <m/>
    <x v="0"/>
    <s v="S"/>
    <n v="-23.015161799428103"/>
    <n v="-47.084818893176497"/>
    <n v="140.35"/>
    <n v="5.45"/>
    <n v="40"/>
    <m/>
    <n v="0"/>
    <s v="Trator 1.7m"/>
    <m/>
    <s v="Não"/>
    <s v="Não"/>
    <s v="Não"/>
    <s v="Não"/>
    <n v="56.14"/>
    <n v="56.14"/>
  </r>
  <r>
    <s v="VGSP-348_084,000_EN_CL5"/>
    <x v="0"/>
    <s v="84,000"/>
    <m/>
    <s v="84,500"/>
    <m/>
    <x v="0"/>
    <s v="N"/>
    <n v="-23.014312529979296"/>
    <n v="-47.084545278008314"/>
    <n v="30.01"/>
    <n v="2.17"/>
    <n v="30"/>
    <m/>
    <n v="0"/>
    <s v="Trator 1.7m"/>
    <m/>
    <s v="Não"/>
    <s v="Não"/>
    <s v="Não"/>
    <s v="Não"/>
    <n v="9.0030000000000001"/>
    <n v="9.0030000000000001"/>
  </r>
  <r>
    <s v="VGSP-348_084,000_EN_CL6"/>
    <x v="0"/>
    <s v="84,000"/>
    <m/>
    <s v="84,500"/>
    <m/>
    <x v="0"/>
    <s v="N"/>
    <n v="-23.014110376109379"/>
    <n v="-47.084498815836085"/>
    <n v="81.23"/>
    <n v="2.36"/>
    <n v="30"/>
    <m/>
    <n v="0"/>
    <s v="Trator 1.7m"/>
    <m/>
    <s v="Não"/>
    <s v="Não"/>
    <s v="Não"/>
    <s v="Não"/>
    <n v="24.369"/>
    <n v="24.369"/>
  </r>
  <r>
    <s v="VGSP-348_084,000_EN_CL7"/>
    <x v="0"/>
    <s v="84,000"/>
    <m/>
    <s v="84,500"/>
    <m/>
    <x v="0"/>
    <s v="N"/>
    <n v="-23.013703950342968"/>
    <n v="-47.085083715134736"/>
    <n v="472.59"/>
    <n v="2.4700000000000002"/>
    <n v="30"/>
    <m/>
    <n v="0"/>
    <s v="Trator 1.7m"/>
    <m/>
    <s v="Não"/>
    <s v="Não"/>
    <s v="Não"/>
    <s v="Não"/>
    <n v="141.77699999999999"/>
    <n v="141.77699999999999"/>
  </r>
  <r>
    <s v="VGSP-330_084,000_ES_CL2"/>
    <x v="0"/>
    <s v="84,000"/>
    <m/>
    <s v="84,500"/>
    <m/>
    <x v="0"/>
    <s v="S"/>
    <n v="-22.997805979680219"/>
    <n v="-47.033476233251861"/>
    <n v="296.39999999999998"/>
    <n v="8.3800000000000008"/>
    <n v="30"/>
    <m/>
    <n v="0"/>
    <s v="Trator 1.7m"/>
    <m/>
    <s v="Não"/>
    <s v="Não"/>
    <s v="Não"/>
    <s v="Não"/>
    <n v="88.919999999999987"/>
    <n v="88.919999999999987"/>
  </r>
  <r>
    <s v="VGSP-348_085,000_EN_CL3"/>
    <x v="0"/>
    <s v="85,000"/>
    <m/>
    <s v="85,500"/>
    <m/>
    <x v="0"/>
    <s v="N"/>
    <n v="-23.008568331624367"/>
    <n v="-47.092591195489796"/>
    <n v="418.77"/>
    <n v="2.89"/>
    <n v="20"/>
    <m/>
    <n v="0"/>
    <s v="Trator 1.7m"/>
    <m/>
    <s v="Não"/>
    <s v="Não"/>
    <s v="Não"/>
    <s v="Não"/>
    <n v="83.754000000000005"/>
    <n v="83.754000000000005"/>
  </r>
  <r>
    <s v="VGSP-348_085,000_ES_CL4"/>
    <x v="0"/>
    <s v="85,000"/>
    <m/>
    <s v="85,500"/>
    <m/>
    <x v="0"/>
    <s v="S"/>
    <n v="-23.007283095092063"/>
    <n v="-47.095174450696859"/>
    <n v="1839.44"/>
    <n v="5.99"/>
    <n v="90"/>
    <m/>
    <n v="0"/>
    <s v="Trator 1.7m"/>
    <m/>
    <s v="Não"/>
    <s v="Não"/>
    <s v="Não"/>
    <s v="Não"/>
    <n v="1655.4960000000001"/>
    <n v="1655.4960000000001"/>
  </r>
  <r>
    <s v="VGSP-330_085,000_ES_CL4"/>
    <x v="0"/>
    <s v="85,000"/>
    <m/>
    <s v="85,500"/>
    <m/>
    <x v="0"/>
    <s v="S"/>
    <n v="-22.98850652710734"/>
    <n v="-47.039818327459557"/>
    <n v="2049.4299999999998"/>
    <n v="4.22"/>
    <n v="0"/>
    <m/>
    <n v="0"/>
    <m/>
    <m/>
    <s v="Não"/>
    <s v="Não"/>
    <s v="Não"/>
    <s v="Não"/>
    <n v="0"/>
    <n v="0"/>
  </r>
  <r>
    <s v="VGSP-330_085,000_ES_CL1"/>
    <x v="0"/>
    <s v="85,000"/>
    <m/>
    <s v="85,500"/>
    <m/>
    <x v="0"/>
    <s v="S"/>
    <n v="-22.99400353462411"/>
    <n v="-47.036003544922842"/>
    <n v="439.44"/>
    <n v="5.49"/>
    <n v="30"/>
    <m/>
    <n v="0"/>
    <s v="Trator 1.7m"/>
    <m/>
    <s v="Não"/>
    <s v="Não"/>
    <s v="Não"/>
    <s v="Não"/>
    <n v="131.83199999999999"/>
    <n v="131.83199999999999"/>
  </r>
  <r>
    <s v="VGSP-330_085,000_ES_CL2"/>
    <x v="0"/>
    <s v="85,000"/>
    <m/>
    <s v="85,500"/>
    <m/>
    <x v="0"/>
    <s v="S"/>
    <n v="-22.99331658823807"/>
    <n v="-47.036473647623382"/>
    <n v="541.54"/>
    <n v="3.07"/>
    <n v="30"/>
    <m/>
    <n v="0"/>
    <s v="Trator 1.7m"/>
    <m/>
    <s v="Não"/>
    <s v="Não"/>
    <s v="Não"/>
    <s v="Não"/>
    <n v="162.46199999999999"/>
    <n v="162.46199999999999"/>
  </r>
  <r>
    <s v="VGSP-330_085,000_ES_CL3"/>
    <x v="0"/>
    <s v="85,000"/>
    <m/>
    <s v="85,500"/>
    <m/>
    <x v="0"/>
    <s v="S"/>
    <n v="-22.991491437772449"/>
    <n v="-47.03770807611069"/>
    <n v="1111.8499999999999"/>
    <n v="3.32"/>
    <n v="30"/>
    <m/>
    <n v="0"/>
    <s v="Trator 1.7m"/>
    <m/>
    <s v="Não"/>
    <s v="Não"/>
    <s v="Não"/>
    <s v="Não"/>
    <n v="333.55499999999995"/>
    <n v="333.55499999999995"/>
  </r>
  <r>
    <s v="VGSP-330_085,000_EN_CL4"/>
    <x v="0"/>
    <s v="85,000"/>
    <m/>
    <s v="85,500"/>
    <m/>
    <x v="0"/>
    <s v="N"/>
    <n v="-22.987258346938049"/>
    <n v="-47.04026442001684"/>
    <n v="893.1"/>
    <n v="4.1100000000000003"/>
    <n v="60"/>
    <m/>
    <n v="0"/>
    <s v="Trator 1.7m"/>
    <m/>
    <s v="Não"/>
    <s v="Não"/>
    <s v="Não"/>
    <s v="Não"/>
    <n v="535.86"/>
    <n v="535.86"/>
  </r>
  <r>
    <s v="VGSP-348_085,000_ES_CL1"/>
    <x v="0"/>
    <s v="85,000"/>
    <m/>
    <s v="85,500"/>
    <m/>
    <x v="0"/>
    <s v="S"/>
    <n v="-23.011013041649214"/>
    <n v="-47.090234202699634"/>
    <n v="191.07"/>
    <n v="4.09"/>
    <n v="40"/>
    <m/>
    <n v="0"/>
    <s v="Trator 1.7m"/>
    <m/>
    <s v="Não"/>
    <s v="Não"/>
    <s v="Não"/>
    <s v="Não"/>
    <n v="76.427999999999997"/>
    <n v="76.427999999999997"/>
  </r>
  <r>
    <s v="VGSP-348_085,000_ES_CL6"/>
    <x v="0"/>
    <s v="85,000"/>
    <m/>
    <s v="85,500"/>
    <m/>
    <x v="0"/>
    <s v="S"/>
    <n v="-23.008785178105548"/>
    <n v="-47.092828572678698"/>
    <n v="3377.54"/>
    <n v="3.87"/>
    <n v="70"/>
    <m/>
    <n v="0"/>
    <s v="Eixo-zero"/>
    <m/>
    <s v="Não"/>
    <s v="Não"/>
    <s v="Não"/>
    <s v="Não"/>
    <n v="2364.2779999999998"/>
    <n v="2364.2779999999998"/>
  </r>
  <r>
    <s v="VGSP-348_085,000_EN_CL1"/>
    <x v="0"/>
    <s v="85,000"/>
    <m/>
    <s v="85,500"/>
    <m/>
    <x v="0"/>
    <s v="N"/>
    <n v="-23.0101221355647"/>
    <n v="-47.090391181810219"/>
    <n v="607.5"/>
    <n v="5.44"/>
    <n v="20"/>
    <m/>
    <n v="0"/>
    <s v="Trator 1.7m"/>
    <m/>
    <s v="Não"/>
    <s v="Não"/>
    <s v="Não"/>
    <s v="Não"/>
    <n v="121.5"/>
    <n v="121.5"/>
  </r>
  <r>
    <s v="VGSP-330_085,000_EN_CL3"/>
    <x v="0"/>
    <s v="85,000"/>
    <m/>
    <s v="85,500"/>
    <m/>
    <x v="0"/>
    <s v="N"/>
    <n v="-22.987977846446441"/>
    <n v="-47.039783270603998"/>
    <n v="33.29"/>
    <n v="5.6"/>
    <n v="0"/>
    <m/>
    <n v="0"/>
    <m/>
    <m/>
    <s v="Não"/>
    <s v="Não"/>
    <s v="Não"/>
    <s v="Não"/>
    <n v="0"/>
    <n v="0"/>
  </r>
  <r>
    <s v="VGSP-348_085,000_ES_CL3"/>
    <x v="0"/>
    <s v="85,000"/>
    <m/>
    <s v="85,500"/>
    <m/>
    <x v="0"/>
    <s v="S"/>
    <n v="-23.010449118723102"/>
    <n v="-47.091013580084329"/>
    <n v="449.51"/>
    <n v="4.43"/>
    <n v="40"/>
    <m/>
    <n v="0"/>
    <s v="Trator 1.7m"/>
    <m/>
    <s v="Não"/>
    <s v="Não"/>
    <s v="Não"/>
    <s v="Não"/>
    <n v="179.804"/>
    <n v="179.804"/>
  </r>
  <r>
    <s v="VGSP-348_085,000_ES_CL2"/>
    <x v="0"/>
    <s v="85,000"/>
    <m/>
    <s v="85,500"/>
    <m/>
    <x v="0"/>
    <s v="S"/>
    <n v="-23.01081464662327"/>
    <n v="-47.090496415721105"/>
    <n v="213.79"/>
    <n v="4.67"/>
    <n v="40"/>
    <m/>
    <n v="0"/>
    <s v="Trator 1.7m"/>
    <m/>
    <s v="Não"/>
    <s v="Não"/>
    <s v="Não"/>
    <s v="Não"/>
    <n v="85.516000000000005"/>
    <n v="85.516000000000005"/>
  </r>
  <r>
    <s v="VGSP-348_085,000_ES_CL5"/>
    <x v="0"/>
    <s v="85,000"/>
    <m/>
    <s v="85,500"/>
    <m/>
    <x v="0"/>
    <s v="S"/>
    <n v="-23.008971783738417"/>
    <n v="-47.093072370855978"/>
    <n v="447.47"/>
    <n v="7.73"/>
    <n v="40"/>
    <m/>
    <n v="0"/>
    <s v="Trator 1.7m"/>
    <m/>
    <s v="Não"/>
    <s v="Não"/>
    <s v="Não"/>
    <s v="Não"/>
    <n v="178.98800000000003"/>
    <n v="178.98800000000003"/>
  </r>
  <r>
    <s v="VGSP-348_085,000_CC"/>
    <x v="104"/>
    <s v="85,000"/>
    <m/>
    <s v="85,500"/>
    <n v="0.5"/>
    <x v="1"/>
    <s v="C"/>
    <n v="-23.010339933165778"/>
    <n v="-47.090634812401916"/>
    <n v="5082.42"/>
    <n v="4.54"/>
    <n v="70"/>
    <m/>
    <n v="0"/>
    <s v="Eixo-zero"/>
    <m/>
    <s v="Não"/>
    <s v="Não"/>
    <s v="Não"/>
    <s v="Não"/>
    <n v="3557.694"/>
    <n v="3557.694"/>
  </r>
  <r>
    <s v="VGSP-330_085,000_EN_CL2"/>
    <x v="0"/>
    <s v="85,000"/>
    <m/>
    <s v="85,500"/>
    <m/>
    <x v="0"/>
    <s v="N"/>
    <n v="-22.989031649083749"/>
    <n v="-47.039044804320845"/>
    <n v="1266.55"/>
    <n v="7.42"/>
    <n v="60"/>
    <m/>
    <n v="0"/>
    <s v="Trator 1.7m"/>
    <m/>
    <s v="Não"/>
    <s v="Não"/>
    <s v="Não"/>
    <s v="Não"/>
    <n v="759.93"/>
    <n v="759.93"/>
  </r>
  <r>
    <s v="VGSP-330_085,000_EN_CL1"/>
    <x v="0"/>
    <s v="85,000"/>
    <m/>
    <s v="85,500"/>
    <m/>
    <x v="0"/>
    <s v="N"/>
    <n v="-22.992240422391241"/>
    <n v="-47.03680189855173"/>
    <n v="2129.02"/>
    <n v="5.52"/>
    <n v="0"/>
    <m/>
    <n v="0"/>
    <m/>
    <m/>
    <s v="Não"/>
    <s v="Não"/>
    <s v="Não"/>
    <s v="Não"/>
    <n v="0"/>
    <n v="0"/>
  </r>
  <r>
    <s v="VGSP-348_085,000_EN_CL2"/>
    <x v="0"/>
    <s v="85,000"/>
    <m/>
    <s v="85,500"/>
    <m/>
    <x v="0"/>
    <s v="N"/>
    <n v="-23.006864995626579"/>
    <n v="-47.094714420316166"/>
    <n v="1890.09"/>
    <n v="5.86"/>
    <n v="90"/>
    <m/>
    <n v="0"/>
    <s v="Trator 1.7m"/>
    <m/>
    <s v="Não"/>
    <s v="Não"/>
    <s v="Não"/>
    <s v="Não"/>
    <n v="1701.0809999999999"/>
    <n v="1701.0809999999999"/>
  </r>
  <r>
    <s v="VGSP-348_085,000_ES_CL7"/>
    <x v="0"/>
    <s v="85,000"/>
    <m/>
    <s v="85,500"/>
    <m/>
    <x v="0"/>
    <s v="S"/>
    <n v="-23.007092544800695"/>
    <n v="-47.094932157190676"/>
    <n v="13719.03"/>
    <n v="5.22"/>
    <n v="80"/>
    <m/>
    <n v="0"/>
    <s v="Trator 1.7m"/>
    <m/>
    <s v="Não"/>
    <s v="Não"/>
    <s v="Não"/>
    <s v="Não"/>
    <n v="10975.224000000002"/>
    <n v="10975.224000000002"/>
  </r>
  <r>
    <s v="VGSP-348_086,000_EN_CL2"/>
    <x v="0"/>
    <s v="86,000"/>
    <m/>
    <s v="86,500"/>
    <m/>
    <x v="0"/>
    <s v="N"/>
    <n v="-23.002203843273797"/>
    <n v="-47.098820486524964"/>
    <n v="1938.51"/>
    <n v="2.83"/>
    <n v="70"/>
    <m/>
    <n v="0"/>
    <s v="Trator 1.7m"/>
    <m/>
    <s v="Não"/>
    <s v="Não"/>
    <s v="Não"/>
    <s v="Não"/>
    <n v="1356.9569999999999"/>
    <n v="1356.9569999999999"/>
  </r>
  <r>
    <s v="VGSP-348_086,000_ES_CL4"/>
    <x v="0"/>
    <s v="86,000"/>
    <m/>
    <s v="86,500"/>
    <m/>
    <x v="0"/>
    <s v="S"/>
    <n v="-23.002608178315608"/>
    <n v="-47.099580636736569"/>
    <n v="603.62"/>
    <n v="4.25"/>
    <n v="70"/>
    <m/>
    <n v="0"/>
    <s v="Trator 1.7m"/>
    <m/>
    <s v="Não"/>
    <s v="Não"/>
    <s v="Não"/>
    <s v="Não"/>
    <n v="422.53399999999999"/>
    <n v="422.53399999999999"/>
  </r>
  <r>
    <s v="VGSP-330_086,000_ES_CL2"/>
    <x v="0"/>
    <s v="86,000"/>
    <m/>
    <s v="86,500"/>
    <m/>
    <x v="0"/>
    <s v="S"/>
    <n v="-22.982881474048359"/>
    <n v="-47.044125353470193"/>
    <n v="53.99"/>
    <n v="5.51"/>
    <n v="0"/>
    <m/>
    <n v="0"/>
    <m/>
    <m/>
    <s v="Não"/>
    <s v="Não"/>
    <s v="Não"/>
    <s v="Não"/>
    <n v="0"/>
    <n v="0"/>
  </r>
  <r>
    <s v="VGSP-330_086,000_ES_CL1"/>
    <x v="0"/>
    <s v="86,000"/>
    <m/>
    <s v="86,500"/>
    <m/>
    <x v="0"/>
    <s v="S"/>
    <n v="-22.984714607542038"/>
    <n v="-47.042582755995561"/>
    <n v="2006.64"/>
    <n v="7.88"/>
    <n v="0"/>
    <m/>
    <n v="0"/>
    <m/>
    <m/>
    <s v="Não"/>
    <s v="Não"/>
    <s v="Não"/>
    <s v="Não"/>
    <n v="0"/>
    <n v="0"/>
  </r>
  <r>
    <s v="VGSP-348_086,000_ES_CL3"/>
    <x v="0"/>
    <s v="86,000"/>
    <m/>
    <s v="86,500"/>
    <m/>
    <x v="0"/>
    <s v="S"/>
    <n v="-23.000412166854815"/>
    <n v="-47.101202912132422"/>
    <n v="1782.86"/>
    <n v="5.48"/>
    <n v="80"/>
    <m/>
    <n v="0"/>
    <s v="Trator 1.7m"/>
    <m/>
    <s v="Não"/>
    <s v="Não"/>
    <s v="Não"/>
    <s v="Não"/>
    <n v="1426.288"/>
    <n v="1426.288"/>
  </r>
  <r>
    <s v="VGSP-348_086,000_ES_CL1"/>
    <x v="0"/>
    <s v="86,000"/>
    <m/>
    <s v="86,500"/>
    <m/>
    <x v="0"/>
    <s v="S"/>
    <n v="-23.004776503476293"/>
    <n v="-47.09756390082228"/>
    <n v="1130.06"/>
    <n v="5.77"/>
    <n v="70"/>
    <m/>
    <n v="0"/>
    <s v="Trator 1.7m"/>
    <m/>
    <s v="Não"/>
    <s v="Não"/>
    <s v="Não"/>
    <s v="Não"/>
    <n v="791.04199999999992"/>
    <n v="791.04199999999992"/>
  </r>
  <r>
    <s v="VGSP-330_086,000_ES_CL8"/>
    <x v="0"/>
    <s v="86,000"/>
    <m/>
    <s v="86,500"/>
    <m/>
    <x v="0"/>
    <s v="S"/>
    <n v="-22.980586345755171"/>
    <n v="-47.045560597589137"/>
    <n v="1218.7"/>
    <n v="3.25"/>
    <n v="0"/>
    <m/>
    <n v="0"/>
    <m/>
    <m/>
    <s v="Não"/>
    <s v="Não"/>
    <s v="Não"/>
    <s v="Não"/>
    <n v="0"/>
    <n v="0"/>
  </r>
  <r>
    <s v="VGSP-348_086,000_EN_CL1"/>
    <x v="0"/>
    <s v="86,000"/>
    <m/>
    <s v="86,500"/>
    <m/>
    <x v="0"/>
    <s v="N"/>
    <n v="-23.004359678127223"/>
    <n v="-47.097119842910388"/>
    <n v="1087.2"/>
    <n v="6.06"/>
    <n v="70"/>
    <m/>
    <n v="0"/>
    <s v="Trator 1.7m"/>
    <m/>
    <s v="Não"/>
    <s v="Não"/>
    <s v="Não"/>
    <s v="Não"/>
    <n v="761.04"/>
    <n v="761.04"/>
  </r>
  <r>
    <s v="VGSP-330_086,000_EN_CL1"/>
    <x v="0"/>
    <s v="86,000"/>
    <m/>
    <s v="86,500"/>
    <m/>
    <x v="0"/>
    <s v="N"/>
    <n v="-22.984530430187402"/>
    <n v="-47.042015213885165"/>
    <n v="1948.48"/>
    <n v="4.83"/>
    <n v="60"/>
    <m/>
    <n v="0"/>
    <s v="Trator 1.7m"/>
    <m/>
    <s v="Não"/>
    <s v="Não"/>
    <s v="Não"/>
    <s v="Não"/>
    <n v="1169.088"/>
    <n v="1169.088"/>
  </r>
  <r>
    <s v="VGSP-330_086,000_EN_CL6"/>
    <x v="0"/>
    <s v="86,000"/>
    <m/>
    <s v="86,500"/>
    <m/>
    <x v="0"/>
    <s v="N"/>
    <n v="-22.982906556774861"/>
    <n v="-47.043146094714047"/>
    <n v="613.04999999999995"/>
    <n v="4.5199999999999996"/>
    <n v="60"/>
    <m/>
    <n v="0"/>
    <s v="Trator 1.7m"/>
    <m/>
    <s v="Não"/>
    <s v="Não"/>
    <s v="Não"/>
    <s v="Não"/>
    <n v="367.83"/>
    <n v="367.83"/>
  </r>
  <r>
    <s v="VGSP-330_086,000_EN_CL3"/>
    <x v="0"/>
    <s v="86,000"/>
    <m/>
    <s v="86,500"/>
    <m/>
    <x v="0"/>
    <s v="N"/>
    <n v="-22.981811700457872"/>
    <n v="-47.044094944512402"/>
    <n v="2496.1"/>
    <n v="4.22"/>
    <n v="80"/>
    <m/>
    <n v="0"/>
    <s v="Trator 1.7m"/>
    <m/>
    <s v="Não"/>
    <s v="Não"/>
    <s v="Não"/>
    <s v="Não"/>
    <n v="1996.88"/>
    <n v="1996.88"/>
  </r>
  <r>
    <s v="VGSP-330_086,000_EN_CL8"/>
    <x v="0"/>
    <s v="86,000"/>
    <m/>
    <s v="86,500"/>
    <m/>
    <x v="0"/>
    <s v="N"/>
    <n v="-22.980138103035099"/>
    <n v="-47.044898494994996"/>
    <n v="1626.07"/>
    <n v="3.66"/>
    <n v="80"/>
    <m/>
    <n v="0"/>
    <s v="Trator 1.7m"/>
    <m/>
    <s v="Não"/>
    <s v="Não"/>
    <s v="Não"/>
    <s v="Não"/>
    <n v="1300.856"/>
    <n v="1300.856"/>
  </r>
  <r>
    <s v="VGSP-330_086,000_EN_CL10"/>
    <x v="0"/>
    <s v="86,000"/>
    <m/>
    <s v="86,500"/>
    <m/>
    <x v="0"/>
    <s v="N"/>
    <n v="-22.979302953126471"/>
    <n v="-47.045403388981924"/>
    <n v="1917.58"/>
    <n v="4.1100000000000003"/>
    <n v="80"/>
    <m/>
    <n v="0"/>
    <s v="Trator 1.7m"/>
    <m/>
    <s v="Não"/>
    <s v="Não"/>
    <s v="Não"/>
    <s v="Não"/>
    <n v="1534.0640000000001"/>
    <n v="1534.0640000000001"/>
  </r>
  <r>
    <s v="VGSP-330_086,000_EN_CL9"/>
    <x v="0"/>
    <s v="86,000"/>
    <m/>
    <s v="86,500"/>
    <m/>
    <x v="0"/>
    <s v="N"/>
    <n v="-22.978816311949291"/>
    <n v="-47.045745380569841"/>
    <n v="180.44"/>
    <n v="4.7699999999999996"/>
    <n v="80"/>
    <m/>
    <n v="0"/>
    <s v="Trator 1.7m"/>
    <m/>
    <s v="Não"/>
    <s v="Não"/>
    <s v="Não"/>
    <s v="Não"/>
    <n v="144.352"/>
    <n v="144.352"/>
  </r>
  <r>
    <s v="VGSP-330_086,000_ES_CL10"/>
    <x v="0"/>
    <s v="86,000"/>
    <m/>
    <s v="86,500"/>
    <m/>
    <x v="0"/>
    <s v="S"/>
    <n v="-22.97899438512821"/>
    <n v="-47.0464329269929"/>
    <n v="428.34"/>
    <n v="3.41"/>
    <n v="0"/>
    <m/>
    <n v="0"/>
    <m/>
    <m/>
    <s v="Não"/>
    <s v="Não"/>
    <s v="Não"/>
    <s v="Não"/>
    <n v="0"/>
    <n v="0"/>
  </r>
  <r>
    <s v="VGSP-330_086,000_EN_CL11"/>
    <x v="0"/>
    <s v="86,000"/>
    <m/>
    <s v="86,500"/>
    <m/>
    <x v="0"/>
    <s v="N"/>
    <n v="-22.979777115789961"/>
    <n v="-47.04536702339756"/>
    <n v="2499.37"/>
    <n v="3.46"/>
    <n v="80"/>
    <m/>
    <n v="0"/>
    <s v="Trator 1.7m"/>
    <m/>
    <s v="Não"/>
    <s v="Não"/>
    <s v="Não"/>
    <s v="Não"/>
    <n v="1999.4960000000001"/>
    <n v="1999.4960000000001"/>
  </r>
  <r>
    <s v="VGSP-330_086,000_ES_CL6"/>
    <x v="0"/>
    <s v="86,000"/>
    <m/>
    <s v="86,500"/>
    <m/>
    <x v="0"/>
    <s v="S"/>
    <n v="-22.982910781583151"/>
    <n v="-47.043932637408993"/>
    <n v="39.619999999999997"/>
    <n v="7"/>
    <n v="0"/>
    <m/>
    <n v="0"/>
    <m/>
    <m/>
    <s v="Não"/>
    <s v="Não"/>
    <s v="Não"/>
    <s v="Não"/>
    <n v="0"/>
    <n v="0"/>
  </r>
  <r>
    <s v="VGSP-330_086,000_ES_CL9"/>
    <x v="0"/>
    <s v="86,000"/>
    <m/>
    <s v="86,500"/>
    <m/>
    <x v="0"/>
    <s v="S"/>
    <n v="-22.97968108990667"/>
    <n v="-47.046079950505977"/>
    <n v="2223.2199999999998"/>
    <n v="4.0999999999999996"/>
    <n v="0"/>
    <m/>
    <n v="0"/>
    <m/>
    <m/>
    <s v="Não"/>
    <s v="Não"/>
    <s v="Não"/>
    <s v="Não"/>
    <n v="0"/>
    <n v="0"/>
  </r>
  <r>
    <s v="VGSP-348_086,000_CC3"/>
    <x v="105"/>
    <s v="86,000"/>
    <m/>
    <s v="86,500"/>
    <n v="0.5"/>
    <x v="1"/>
    <s v="C"/>
    <n v="-23.002369552154072"/>
    <n v="-47.099172310817835"/>
    <n v="4420.3900000000003"/>
    <n v="1.86"/>
    <n v="80"/>
    <m/>
    <n v="0"/>
    <s v="Trator 1.7m"/>
    <m/>
    <s v="Não"/>
    <s v="Não"/>
    <s v="Não"/>
    <s v="Não"/>
    <n v="3536.3120000000004"/>
    <n v="3536.3120000000004"/>
  </r>
  <r>
    <s v="VGSP-330_086,000_ES_CL11"/>
    <x v="0"/>
    <s v="86,000"/>
    <m/>
    <s v="86,500"/>
    <m/>
    <x v="0"/>
    <s v="S"/>
    <n v="-22.979907817833581"/>
    <n v="-47.045702907073313"/>
    <n v="1671.29"/>
    <n v="3.46"/>
    <n v="0"/>
    <m/>
    <n v="0"/>
    <m/>
    <m/>
    <s v="Sim"/>
    <s v="Não"/>
    <s v="Não"/>
    <s v="Não"/>
    <n v="0"/>
    <m/>
  </r>
  <r>
    <s v="VGSP-348_086,000_EN_CL3"/>
    <x v="0"/>
    <s v="86,000"/>
    <m/>
    <s v="86,500"/>
    <m/>
    <x v="0"/>
    <s v="N"/>
    <n v="-23.002003727096771"/>
    <n v="-47.098772338264112"/>
    <n v="533.27"/>
    <n v="3.56"/>
    <n v="70"/>
    <m/>
    <n v="0"/>
    <s v="Trator 1.7m"/>
    <m/>
    <s v="Não"/>
    <s v="Não"/>
    <s v="Não"/>
    <s v="Não"/>
    <n v="373.28899999999999"/>
    <n v="373.28899999999999"/>
  </r>
  <r>
    <s v="VGSP-348_086,000_CC1"/>
    <x v="105"/>
    <s v="86,000"/>
    <m/>
    <s v="86,500"/>
    <n v="0.5"/>
    <x v="1"/>
    <s v="C"/>
    <n v="-23.004531707707471"/>
    <n v="-47.097369491846834"/>
    <n v="8617.9"/>
    <n v="5.16"/>
    <n v="80"/>
    <m/>
    <n v="0"/>
    <s v="Trator 1.7m"/>
    <m/>
    <s v="Não"/>
    <s v="Não"/>
    <s v="Não"/>
    <s v="Não"/>
    <n v="6894.32"/>
    <n v="6894.32"/>
  </r>
  <r>
    <s v="VGSP-330_086,000_ES_CL7"/>
    <x v="0"/>
    <s v="86,000"/>
    <m/>
    <s v="86,500"/>
    <m/>
    <x v="0"/>
    <s v="S"/>
    <n v="-22.981532423173441"/>
    <n v="-47.044970809255723"/>
    <n v="1346.2"/>
    <n v="6.42"/>
    <n v="0"/>
    <m/>
    <n v="0"/>
    <m/>
    <m/>
    <s v="Não"/>
    <s v="Não"/>
    <s v="Não"/>
    <s v="Não"/>
    <n v="0"/>
    <n v="0"/>
  </r>
  <r>
    <s v="VGSP-330_086,000_ES_CL4"/>
    <x v="0"/>
    <s v="86,000"/>
    <m/>
    <s v="86,500"/>
    <m/>
    <x v="0"/>
    <s v="S"/>
    <n v="-22.981987805703291"/>
    <n v="-47.044400511401832"/>
    <n v="1472.46"/>
    <n v="5.89"/>
    <n v="0"/>
    <m/>
    <n v="0"/>
    <m/>
    <m/>
    <s v="Sim"/>
    <s v="Não"/>
    <s v="Não"/>
    <s v="Não"/>
    <n v="0"/>
    <m/>
  </r>
  <r>
    <s v="VGSP-348_086,000_EN_CL4"/>
    <x v="0"/>
    <s v="86,000"/>
    <m/>
    <s v="86,500"/>
    <m/>
    <x v="0"/>
    <s v="N"/>
    <n v="-23.000037787061"/>
    <n v="-47.100708285724018"/>
    <n v="1864.38"/>
    <n v="2.54"/>
    <n v="45"/>
    <m/>
    <n v="838.97100000000012"/>
    <s v="Trator com braço articulado"/>
    <m/>
    <s v="Não"/>
    <s v="Sim"/>
    <s v="Não"/>
    <s v="Não"/>
    <n v="0"/>
    <m/>
  </r>
  <r>
    <s v="VGSP-330_086,000_EN_CL5"/>
    <x v="0"/>
    <s v="86,000"/>
    <m/>
    <s v="86,500"/>
    <m/>
    <x v="0"/>
    <s v="N"/>
    <n v="-22.98203237200245"/>
    <n v="-47.043692888028787"/>
    <n v="2632.33"/>
    <n v="5.44"/>
    <n v="80"/>
    <m/>
    <n v="0"/>
    <s v="Trator 1.7m"/>
    <m/>
    <s v="Não"/>
    <s v="Não"/>
    <s v="Não"/>
    <s v="Não"/>
    <n v="2105.864"/>
    <n v="2105.864"/>
  </r>
  <r>
    <s v="VGSP-330_086,000_EN_CL7"/>
    <x v="0"/>
    <s v="86,000"/>
    <m/>
    <s v="86,500"/>
    <m/>
    <x v="0"/>
    <s v="N"/>
    <n v="-22.981086021191931"/>
    <n v="-47.04430780914096"/>
    <n v="1400.91"/>
    <n v="5.84"/>
    <n v="60"/>
    <m/>
    <n v="0"/>
    <s v="Trator 1.7m"/>
    <m/>
    <s v="Não"/>
    <s v="Não"/>
    <s v="Não"/>
    <s v="Não"/>
    <n v="840.54600000000005"/>
    <n v="840.54600000000005"/>
  </r>
  <r>
    <s v="VGSP-330_086,000_ES_CL3"/>
    <x v="0"/>
    <s v="86,000"/>
    <m/>
    <s v="86,500"/>
    <m/>
    <x v="0"/>
    <s v="S"/>
    <n v="-22.983693864370519"/>
    <n v="-47.043212582824331"/>
    <n v="1415.18"/>
    <n v="7.97"/>
    <n v="0"/>
    <m/>
    <n v="0"/>
    <m/>
    <m/>
    <s v="Sim"/>
    <s v="Não"/>
    <s v="Não"/>
    <s v="Não"/>
    <n v="0"/>
    <m/>
  </r>
  <r>
    <s v="VGSP-330_086,000_EN_CL2"/>
    <x v="0"/>
    <s v="86,000"/>
    <m/>
    <s v="86,500"/>
    <m/>
    <x v="0"/>
    <s v="N"/>
    <n v="-22.982561732975149"/>
    <n v="-47.043225141188188"/>
    <n v="9.4499999999999993"/>
    <n v="4.26"/>
    <m/>
    <m/>
    <n v="0"/>
    <m/>
    <m/>
    <s v="Não"/>
    <s v="Não"/>
    <s v="Não"/>
    <s v="Não"/>
    <n v="0"/>
    <n v="0"/>
  </r>
  <r>
    <s v="VGSP-348_086,000_ES_CL2"/>
    <x v="0"/>
    <s v="86,000"/>
    <m/>
    <s v="86,500"/>
    <m/>
    <x v="0"/>
    <s v="S"/>
    <n v="-23.002826890405437"/>
    <n v="-47.099273284609147"/>
    <n v="1594.38"/>
    <n v="1.96"/>
    <n v="70"/>
    <m/>
    <n v="0"/>
    <s v="Trator 1.7m"/>
    <m/>
    <s v="Não"/>
    <s v="Não"/>
    <s v="Não"/>
    <s v="Não"/>
    <n v="1116.066"/>
    <n v="1116.066"/>
  </r>
  <r>
    <s v="VGSP-330_086,000_ES_CL5"/>
    <x v="0"/>
    <s v="86,000"/>
    <m/>
    <s v="86,500"/>
    <m/>
    <x v="0"/>
    <s v="S"/>
    <n v="-22.982383073631681"/>
    <n v="-47.044374856039148"/>
    <n v="2247.02"/>
    <n v="5.26"/>
    <n v="0"/>
    <m/>
    <n v="0"/>
    <m/>
    <m/>
    <s v="Não"/>
    <s v="Não"/>
    <s v="Não"/>
    <s v="Não"/>
    <n v="0"/>
    <n v="0"/>
  </r>
  <r>
    <s v="VGSP-330_086,000_EN_CL4"/>
    <x v="0"/>
    <s v="86,000"/>
    <m/>
    <s v="86,500"/>
    <m/>
    <x v="0"/>
    <s v="N"/>
    <n v="-22.98406806619467"/>
    <n v="-47.042538562813469"/>
    <n v="4090.55"/>
    <n v="5.91"/>
    <n v="60"/>
    <m/>
    <n v="0"/>
    <s v="Trator 1.7m"/>
    <m/>
    <s v="Não"/>
    <s v="Não"/>
    <s v="Não"/>
    <s v="Não"/>
    <n v="2454.33"/>
    <n v="2454.33"/>
  </r>
  <r>
    <s v="VGSP-348_086,000_CC2"/>
    <x v="105"/>
    <s v="86,000"/>
    <m/>
    <s v="86,500"/>
    <n v="0.5"/>
    <x v="1"/>
    <s v="C"/>
    <n v="-23.000231433253383"/>
    <n v="-47.100953099479391"/>
    <n v="13742.6"/>
    <n v="3"/>
    <n v="80"/>
    <m/>
    <n v="0"/>
    <s v="Trator 1.7m"/>
    <m/>
    <s v="Não"/>
    <s v="Não"/>
    <s v="Não"/>
    <s v="Não"/>
    <n v="10994.080000000002"/>
    <n v="10994.080000000002"/>
  </r>
  <r>
    <s v="VGSP-348_087,000_CC5"/>
    <x v="106"/>
    <s v="87,000"/>
    <m/>
    <s v="87,500"/>
    <n v="0.5"/>
    <x v="1"/>
    <s v="C"/>
    <n v="-22.992929744870029"/>
    <n v="-47.109599797219339"/>
    <n v="6989.84"/>
    <n v="2.72"/>
    <n v="80"/>
    <m/>
    <n v="0"/>
    <s v="Trator 1.7m"/>
    <m/>
    <s v="Não"/>
    <s v="Não"/>
    <s v="Não"/>
    <s v="Não"/>
    <n v="5591.8720000000003"/>
    <n v="5591.8720000000003"/>
  </r>
  <r>
    <s v="VGSP-348_087,000_ES_CL1"/>
    <x v="0"/>
    <s v="87,000"/>
    <m/>
    <s v="87,500"/>
    <m/>
    <x v="0"/>
    <s v="S"/>
    <n v="-22.997392320560131"/>
    <n v="-47.104321741659319"/>
    <n v="1943.79"/>
    <n v="4.91"/>
    <n v="85"/>
    <m/>
    <n v="0"/>
    <s v="Trator 1.7m"/>
    <m/>
    <s v="Não"/>
    <s v="Não"/>
    <s v="Não"/>
    <s v="Não"/>
    <n v="1652.2214999999999"/>
    <n v="1652.2214999999999"/>
  </r>
  <r>
    <s v="VGSP-348_087,000_ES_CL5"/>
    <x v="0"/>
    <s v="87,000"/>
    <m/>
    <s v="87,500"/>
    <m/>
    <x v="0"/>
    <s v="S"/>
    <n v="-22.995574224881"/>
    <n v="-47.109737485166399"/>
    <n v="9057.89"/>
    <n v="4.01"/>
    <n v="50"/>
    <m/>
    <n v="0"/>
    <s v="Trator 1.7m"/>
    <m/>
    <s v="Não"/>
    <s v="Não"/>
    <s v="Não"/>
    <s v="Não"/>
    <n v="4528.9449999999997"/>
    <n v="4528.9449999999997"/>
  </r>
  <r>
    <s v="VGSP-348_087,000_ES_CL7"/>
    <x v="0"/>
    <s v="87,000"/>
    <m/>
    <s v="87,500"/>
    <m/>
    <x v="0"/>
    <s v="S"/>
    <n v="-22.99294594402847"/>
    <n v="-47.110762607762659"/>
    <n v="7190.48"/>
    <n v="4.53"/>
    <n v="50"/>
    <m/>
    <n v="0"/>
    <s v="Trator 1.7m"/>
    <m/>
    <s v="Não"/>
    <s v="Não"/>
    <s v="Não"/>
    <s v="Não"/>
    <n v="3595.24"/>
    <n v="3595.24"/>
  </r>
  <r>
    <s v="VGSP-348_087,000_CC4"/>
    <x v="106"/>
    <s v="87,000"/>
    <m/>
    <s v="87,500"/>
    <n v="0.5"/>
    <x v="1"/>
    <s v="C"/>
    <n v="-22.994029116996291"/>
    <n v="-47.109769090128189"/>
    <n v="21310.27"/>
    <n v="4.5599999999999996"/>
    <n v="50"/>
    <m/>
    <n v="0"/>
    <s v="Trator 1.7m"/>
    <m/>
    <s v="Não"/>
    <s v="Não"/>
    <s v="Não"/>
    <s v="Não"/>
    <n v="10655.135"/>
    <n v="10655.135"/>
  </r>
  <r>
    <s v="VGSP-348_087,000_ES_CL6"/>
    <x v="0"/>
    <s v="87,000"/>
    <m/>
    <s v="87,500"/>
    <m/>
    <x v="0"/>
    <s v="S"/>
    <n v="-22.99351695363049"/>
    <n v="-47.109580046982522"/>
    <n v="1725.99"/>
    <n v="3.19"/>
    <n v="50"/>
    <m/>
    <n v="0"/>
    <s v="Trator 1.7m"/>
    <m/>
    <s v="Não"/>
    <s v="Não"/>
    <s v="Não"/>
    <s v="Não"/>
    <n v="862.995"/>
    <n v="862.995"/>
  </r>
  <r>
    <s v="VGSP-348_087,000_ES_CL8"/>
    <x v="0"/>
    <s v="87,000"/>
    <m/>
    <s v="87,500"/>
    <m/>
    <x v="0"/>
    <s v="S"/>
    <n v="-22.994212588437499"/>
    <n v="-47.110654089782052"/>
    <n v="2041.86"/>
    <n v="4.1900000000000004"/>
    <n v="50"/>
    <m/>
    <n v="0"/>
    <s v="Trator 1.7m"/>
    <m/>
    <s v="Não"/>
    <s v="Não"/>
    <s v="Não"/>
    <s v="Não"/>
    <n v="1020.93"/>
    <n v="1020.93"/>
  </r>
  <r>
    <s v="VGSP-348_087,000_EN_CL6"/>
    <x v="0"/>
    <s v="87,000"/>
    <m/>
    <s v="87,500"/>
    <m/>
    <x v="0"/>
    <s v="N"/>
    <n v="-22.995570178413789"/>
    <n v="-47.105384777257143"/>
    <n v="2448.63"/>
    <n v="2.82"/>
    <n v="50"/>
    <m/>
    <n v="0"/>
    <s v="Trator 1.7m"/>
    <m/>
    <s v="Não"/>
    <s v="Não"/>
    <s v="Não"/>
    <s v="Não"/>
    <n v="1224.3150000000001"/>
    <n v="1224.3150000000001"/>
  </r>
  <r>
    <s v="VGSP-348_087,000_EN_CL7"/>
    <x v="0"/>
    <s v="87,000"/>
    <m/>
    <s v="87,500"/>
    <m/>
    <x v="0"/>
    <s v="N"/>
    <n v="-22.99015608927704"/>
    <n v="-47.10775983417507"/>
    <n v="12670.94"/>
    <n v="4.4400000000000004"/>
    <n v="50"/>
    <m/>
    <n v="0"/>
    <s v="Trator 1.7m"/>
    <m/>
    <s v="Não"/>
    <s v="Não"/>
    <s v="Não"/>
    <s v="Não"/>
    <n v="6335.47"/>
    <n v="6335.47"/>
  </r>
  <r>
    <s v="VGSP-330_087,000_ES_CL5"/>
    <x v="0"/>
    <s v="87,000"/>
    <m/>
    <s v="87,500"/>
    <m/>
    <x v="0"/>
    <s v="S"/>
    <n v="-22.97482806588944"/>
    <n v="-47.048896234405206"/>
    <n v="98.29"/>
    <n v="7.15"/>
    <n v="0"/>
    <m/>
    <n v="0"/>
    <m/>
    <m/>
    <s v="Não"/>
    <s v="Não"/>
    <s v="Não"/>
    <s v="Não"/>
    <n v="0"/>
    <n v="0"/>
  </r>
  <r>
    <s v="VGSP-330_087,000_ES_CL2"/>
    <x v="0"/>
    <s v="87,000"/>
    <m/>
    <s v="87,500"/>
    <m/>
    <x v="0"/>
    <s v="S"/>
    <n v="-22.976859526474811"/>
    <n v="-47.047450291673833"/>
    <n v="4482.95"/>
    <n v="4.17"/>
    <n v="0"/>
    <m/>
    <n v="0"/>
    <m/>
    <m/>
    <s v="Sim"/>
    <s v="Não"/>
    <s v="Não"/>
    <s v="Não"/>
    <n v="0"/>
    <m/>
  </r>
  <r>
    <s v="VGSP-348_087,000_ES_CL4"/>
    <x v="0"/>
    <s v="87,000"/>
    <m/>
    <s v="87,500"/>
    <m/>
    <x v="0"/>
    <s v="S"/>
    <n v="-22.996192114789292"/>
    <n v="-47.105758491162632"/>
    <n v="3364.89"/>
    <n v="2.65"/>
    <n v="30"/>
    <m/>
    <n v="0"/>
    <s v="Trator 1.7m"/>
    <m/>
    <s v="Não"/>
    <s v="Não"/>
    <s v="Não"/>
    <s v="Não"/>
    <n v="1009.4669999999999"/>
    <n v="1009.4669999999999"/>
  </r>
  <r>
    <s v="VGSP-348_087,000_EN_CL1"/>
    <x v="0"/>
    <s v="87,000"/>
    <m/>
    <s v="87,500"/>
    <m/>
    <x v="0"/>
    <s v="N"/>
    <n v="-22.99655142422321"/>
    <n v="-47.104013643417687"/>
    <n v="2253.1999999999998"/>
    <n v="3.23"/>
    <n v="45"/>
    <m/>
    <n v="1013.9399999999999"/>
    <s v="Trator com braço articulado"/>
    <m/>
    <s v="Não"/>
    <s v="Sim"/>
    <s v="Não"/>
    <s v="Não"/>
    <n v="0"/>
    <m/>
  </r>
  <r>
    <s v="VGSP-330_087,000_ES_CL4"/>
    <x v="0"/>
    <s v="87,000"/>
    <m/>
    <s v="87,500"/>
    <m/>
    <x v="0"/>
    <s v="S"/>
    <n v="-22.97076623285815"/>
    <n v="-47.050902570258692"/>
    <n v="120.95"/>
    <n v="7"/>
    <n v="0"/>
    <m/>
    <n v="0"/>
    <m/>
    <m/>
    <s v="Sim"/>
    <s v="Não"/>
    <s v="Não"/>
    <s v="Não"/>
    <n v="0"/>
    <m/>
  </r>
  <r>
    <s v="VGSP-330_087,000_ES_CL3"/>
    <x v="0"/>
    <s v="87,000"/>
    <m/>
    <s v="87,500"/>
    <m/>
    <x v="0"/>
    <s v="S"/>
    <n v="-22.972821325312911"/>
    <n v="-47.04974112220448"/>
    <n v="3085.18"/>
    <n v="4.6399999999999997"/>
    <n v="0"/>
    <m/>
    <n v="0"/>
    <m/>
    <m/>
    <s v="Sim"/>
    <s v="Não"/>
    <s v="Não"/>
    <s v="Não"/>
    <n v="0"/>
    <m/>
  </r>
  <r>
    <s v="VGSP-348_087,000_EN_CL5"/>
    <x v="0"/>
    <s v="87,000"/>
    <m/>
    <s v="87,500"/>
    <m/>
    <x v="0"/>
    <s v="N"/>
    <n v="-22.99142135094289"/>
    <n v="-47.107787338988253"/>
    <n v="1665.77"/>
    <n v="6.46"/>
    <n v="50"/>
    <m/>
    <n v="0"/>
    <s v="Trator 1.7m"/>
    <m/>
    <s v="Não"/>
    <s v="Não"/>
    <s v="Não"/>
    <s v="Não"/>
    <n v="832.88499999999999"/>
    <n v="832.88499999999999"/>
  </r>
  <r>
    <s v="VGSP-348_087,000_EN_CL3"/>
    <x v="0"/>
    <s v="87,000"/>
    <m/>
    <s v="87,500"/>
    <m/>
    <x v="0"/>
    <s v="N"/>
    <n v="-22.98958088176267"/>
    <n v="-47.107134226640433"/>
    <n v="1899.71"/>
    <n v="4.3899999999999997"/>
    <n v="50"/>
    <m/>
    <n v="0"/>
    <s v="Trator 1.7m"/>
    <m/>
    <s v="Não"/>
    <s v="Não"/>
    <s v="Não"/>
    <s v="Não"/>
    <n v="949.85500000000002"/>
    <n v="949.85500000000002"/>
  </r>
  <r>
    <s v="VGSP-348_087,000_EN_CL2"/>
    <x v="0"/>
    <s v="87,000"/>
    <m/>
    <s v="87,500"/>
    <m/>
    <x v="0"/>
    <s v="N"/>
    <n v="-22.993531237601061"/>
    <n v="-47.107202815432863"/>
    <n v="1545.99"/>
    <n v="7.12"/>
    <n v="50"/>
    <m/>
    <n v="0"/>
    <s v="Trator 1.7m"/>
    <m/>
    <s v="Não"/>
    <s v="Não"/>
    <s v="Não"/>
    <s v="Não"/>
    <n v="772.995"/>
    <n v="772.995"/>
  </r>
  <r>
    <s v="VGSP-330_087,000_ES_CL1"/>
    <x v="0"/>
    <s v="87,000"/>
    <m/>
    <s v="87,500"/>
    <m/>
    <x v="0"/>
    <s v="S"/>
    <n v="-22.976967336580561"/>
    <n v="-47.047605254627634"/>
    <n v="2064.81"/>
    <n v="3.89"/>
    <n v="0"/>
    <m/>
    <n v="0"/>
    <m/>
    <m/>
    <s v="Não"/>
    <s v="Não"/>
    <s v="Não"/>
    <s v="Não"/>
    <n v="0"/>
    <n v="0"/>
  </r>
  <r>
    <s v="VGSP-330_087,000_ES_CL6"/>
    <x v="0"/>
    <s v="87,000"/>
    <m/>
    <s v="87,500"/>
    <m/>
    <x v="0"/>
    <s v="S"/>
    <n v="-22.972828627838862"/>
    <n v="-47.049949564212149"/>
    <n v="1878.69"/>
    <n v="6.38"/>
    <n v="0"/>
    <m/>
    <n v="0"/>
    <m/>
    <m/>
    <s v="Não"/>
    <s v="Não"/>
    <s v="Não"/>
    <s v="Não"/>
    <n v="0"/>
    <n v="0"/>
  </r>
  <r>
    <s v="VGSP-348_087,000_ES_CL3"/>
    <x v="0"/>
    <s v="87,000"/>
    <m/>
    <s v="87,500"/>
    <m/>
    <x v="0"/>
    <s v="S"/>
    <n v="-22.99610596196062"/>
    <n v="-47.108732460351568"/>
    <n v="11427.64"/>
    <n v="3.14"/>
    <n v="50"/>
    <m/>
    <n v="0"/>
    <s v="Trator 1.7m"/>
    <m/>
    <s v="Não"/>
    <s v="Não"/>
    <s v="Não"/>
    <s v="Não"/>
    <n v="5713.82"/>
    <n v="5713.82"/>
  </r>
  <r>
    <s v="VGSP-348_087,000_CC3"/>
    <x v="106"/>
    <s v="87,000"/>
    <m/>
    <s v="87,500"/>
    <n v="0.5"/>
    <x v="1"/>
    <s v="C"/>
    <n v="-22.995241955142401"/>
    <n v="-47.107826544131832"/>
    <n v="31740.16"/>
    <n v="4.18"/>
    <n v="50"/>
    <m/>
    <n v="0"/>
    <s v="Trator 1.7m"/>
    <m/>
    <s v="Não"/>
    <s v="Não"/>
    <s v="Não"/>
    <s v="Não"/>
    <n v="15870.08"/>
    <n v="15870.08"/>
  </r>
  <r>
    <s v="VGSP-330_087,000_EN_CL1"/>
    <x v="0"/>
    <s v="87,000"/>
    <m/>
    <s v="87,500"/>
    <m/>
    <x v="0"/>
    <s v="N"/>
    <n v="-22.976640685528011"/>
    <n v="-47.047160281351424"/>
    <n v="6757.99"/>
    <n v="4.7"/>
    <n v="80"/>
    <m/>
    <n v="0"/>
    <s v="Trator 1.7m"/>
    <m/>
    <s v="Não"/>
    <s v="Não"/>
    <s v="Não"/>
    <s v="Não"/>
    <n v="5406.3919999999998"/>
    <n v="5406.3919999999998"/>
  </r>
  <r>
    <s v="VGSP-348_087,000_ES_CL2"/>
    <x v="0"/>
    <s v="87,000"/>
    <m/>
    <s v="87,500"/>
    <m/>
    <x v="0"/>
    <s v="S"/>
    <n v="-22.996321271538829"/>
    <n v="-47.107671202811197"/>
    <n v="1133.01"/>
    <n v="3.64"/>
    <n v="50"/>
    <m/>
    <n v="0"/>
    <s v="Trator 1.7m"/>
    <m/>
    <s v="Não"/>
    <s v="Não"/>
    <s v="Não"/>
    <s v="Não"/>
    <n v="566.505"/>
    <n v="566.505"/>
  </r>
  <r>
    <s v="VGSP-330_087,000_EN_CL4"/>
    <x v="0"/>
    <s v="87,000"/>
    <m/>
    <s v="87,500"/>
    <m/>
    <x v="0"/>
    <s v="N"/>
    <n v="-22.97653027446696"/>
    <n v="-47.047033167915657"/>
    <n v="2355.59"/>
    <n v="5.36"/>
    <n v="80"/>
    <m/>
    <n v="0"/>
    <s v="Trator 1.7m"/>
    <m/>
    <s v="Não"/>
    <s v="Não"/>
    <s v="Não"/>
    <s v="Não"/>
    <n v="1884.4720000000002"/>
    <n v="1884.4720000000002"/>
  </r>
  <r>
    <s v="VGSP-330_087,000_EN_CL2"/>
    <x v="0"/>
    <s v="87,000"/>
    <m/>
    <s v="87,500"/>
    <m/>
    <x v="0"/>
    <s v="N"/>
    <n v="-22.972667569602422"/>
    <n v="-47.049432970685992"/>
    <n v="4700.16"/>
    <n v="4.18"/>
    <n v="60"/>
    <m/>
    <n v="0"/>
    <s v="Trator 1.7m"/>
    <m/>
    <s v="Não"/>
    <s v="Não"/>
    <s v="Não"/>
    <s v="Não"/>
    <n v="2820.096"/>
    <n v="2820.096"/>
  </r>
  <r>
    <s v="VGSP-330_087,000_EN_CL3"/>
    <x v="0"/>
    <s v="87,000"/>
    <m/>
    <s v="87,500"/>
    <m/>
    <x v="0"/>
    <s v="N"/>
    <n v="-22.972440818375279"/>
    <n v="-47.049379700431828"/>
    <n v="1748.02"/>
    <n v="4.83"/>
    <n v="60"/>
    <m/>
    <n v="0"/>
    <s v="Trator 1.7m"/>
    <m/>
    <s v="Não"/>
    <s v="Não"/>
    <s v="Não"/>
    <s v="Não"/>
    <n v="1048.8119999999999"/>
    <n v="1048.8119999999999"/>
  </r>
  <r>
    <s v="VGSP-348_087,000_CC1"/>
    <x v="106"/>
    <s v="87,000"/>
    <m/>
    <s v="87,500"/>
    <n v="0.5"/>
    <x v="1"/>
    <s v="C"/>
    <n v="-22.996953993152712"/>
    <n v="-47.10417015547911"/>
    <n v="16052.9"/>
    <n v="2.7"/>
    <n v="80"/>
    <m/>
    <n v="0"/>
    <s v="Eixo-zero"/>
    <m/>
    <s v="Não"/>
    <s v="Não"/>
    <s v="Não"/>
    <s v="Não"/>
    <n v="12842.32"/>
    <n v="12842.32"/>
  </r>
  <r>
    <s v="VGSP-348_087,000_CC6"/>
    <x v="106"/>
    <s v="87,000"/>
    <m/>
    <s v="87,500"/>
    <n v="0.5"/>
    <x v="1"/>
    <s v="C"/>
    <n v="-22.992457317277282"/>
    <n v="-47.109041006477469"/>
    <n v="15869.52"/>
    <n v="3.73"/>
    <n v="50"/>
    <m/>
    <n v="0"/>
    <s v="Trator 1.7m"/>
    <m/>
    <s v="Não"/>
    <s v="Não"/>
    <s v="Não"/>
    <s v="Não"/>
    <n v="7934.76"/>
    <n v="7934.76"/>
  </r>
  <r>
    <s v="VGSP-348_087,000_EN_CL4"/>
    <x v="0"/>
    <s v="87,000"/>
    <m/>
    <s v="87,500"/>
    <m/>
    <x v="0"/>
    <s v="N"/>
    <n v="-22.9935383204906"/>
    <n v="-47.107683279703849"/>
    <n v="16628.82"/>
    <n v="6.52"/>
    <n v="50"/>
    <m/>
    <n v="0"/>
    <s v="Trator 1.7m"/>
    <m/>
    <s v="Não"/>
    <s v="Não"/>
    <s v="Não"/>
    <s v="Não"/>
    <n v="8314.41"/>
    <n v="8314.41"/>
  </r>
  <r>
    <s v="VGSP-348_087,000_CC2"/>
    <x v="106"/>
    <s v="87,000"/>
    <m/>
    <s v="87,500"/>
    <n v="0.5"/>
    <x v="1"/>
    <s v="C"/>
    <n v="-22.994587049829359"/>
    <n v="-47.107393348087832"/>
    <n v="9602.91"/>
    <n v="5.12"/>
    <n v="80"/>
    <m/>
    <n v="0"/>
    <s v="Trator 1.7m"/>
    <m/>
    <s v="Não"/>
    <s v="Não"/>
    <s v="Não"/>
    <s v="Não"/>
    <n v="7682.3280000000004"/>
    <n v="7682.3280000000004"/>
  </r>
  <r>
    <s v="VGSP-348_088,000_ES_CL4"/>
    <x v="0"/>
    <s v="88,000"/>
    <m/>
    <s v="88,500"/>
    <m/>
    <x v="0"/>
    <s v="S"/>
    <n v="-22.99203369276696"/>
    <n v="-47.110511462177307"/>
    <n v="121.63"/>
    <n v="4.5199999999999996"/>
    <n v="50"/>
    <m/>
    <n v="0"/>
    <s v="Trator 1.7m"/>
    <m/>
    <s v="Não"/>
    <s v="Não"/>
    <s v="Não"/>
    <s v="Não"/>
    <n v="60.814999999999998"/>
    <n v="60.814999999999998"/>
  </r>
  <r>
    <s v="VGSP-348_088,000_CC1"/>
    <x v="107"/>
    <s v="88,000"/>
    <m/>
    <s v="88,500"/>
    <n v="0.5"/>
    <x v="1"/>
    <s v="C"/>
    <n v="-22.991376200917902"/>
    <n v="-47.109050857514177"/>
    <n v="23053.05"/>
    <n v="3.19"/>
    <n v="50"/>
    <m/>
    <n v="0"/>
    <s v="Trator 1.7m"/>
    <m/>
    <s v="Não"/>
    <s v="Não"/>
    <s v="Não"/>
    <s v="Não"/>
    <n v="11526.525"/>
    <n v="11526.525"/>
  </r>
  <r>
    <s v="VGSP-348_088,000_CC3"/>
    <x v="107"/>
    <s v="88,000"/>
    <m/>
    <s v="88,500"/>
    <n v="0.5"/>
    <x v="1"/>
    <s v="C"/>
    <n v="-22.989817242447788"/>
    <n v="-47.111175072608752"/>
    <n v="12983.48"/>
    <n v="5.31"/>
    <n v="80"/>
    <m/>
    <n v="0"/>
    <s v="Trator 1.7m"/>
    <m/>
    <s v="Não"/>
    <s v="Não"/>
    <s v="Não"/>
    <s v="Não"/>
    <n v="10386.784"/>
    <n v="10386.784"/>
  </r>
  <r>
    <s v="VGSP-348_088,000_EN_CL4"/>
    <x v="0"/>
    <s v="88,000"/>
    <m/>
    <s v="88,500"/>
    <m/>
    <x v="0"/>
    <s v="N"/>
    <n v="-22.988512904629822"/>
    <n v="-47.108654563877089"/>
    <n v="2612.98"/>
    <n v="6.85"/>
    <n v="50"/>
    <m/>
    <n v="0"/>
    <s v="Trator 1.7m"/>
    <m/>
    <s v="Não"/>
    <s v="Não"/>
    <s v="Não"/>
    <s v="Não"/>
    <n v="1306.49"/>
    <n v="1306.49"/>
  </r>
  <r>
    <s v="VGSP-330_088,000_EN_CL3"/>
    <x v="0"/>
    <s v="88,000"/>
    <m/>
    <s v="88,500"/>
    <m/>
    <x v="0"/>
    <s v="N"/>
    <n v="-22.96760994573561"/>
    <n v="-47.052273107914651"/>
    <n v="2863.53"/>
    <n v="3.38"/>
    <n v="60"/>
    <m/>
    <n v="0"/>
    <s v="Trator 1.7m"/>
    <m/>
    <s v="Não"/>
    <s v="Não"/>
    <s v="Não"/>
    <s v="Não"/>
    <n v="1718.1180000000002"/>
    <n v="1718.1180000000002"/>
  </r>
  <r>
    <s v="VGSP-348_088,000_CC4"/>
    <x v="107"/>
    <s v="88,000"/>
    <m/>
    <s v="88,500"/>
    <n v="0.5"/>
    <x v="1"/>
    <s v="C"/>
    <n v="-22.987581218419699"/>
    <n v="-47.111423892854191"/>
    <n v="374.45"/>
    <n v="5.26"/>
    <n v="50"/>
    <m/>
    <n v="0"/>
    <s v="Trator 1.7m"/>
    <m/>
    <s v="Não"/>
    <s v="Não"/>
    <s v="Não"/>
    <s v="Não"/>
    <n v="187.22499999999999"/>
    <n v="187.22499999999999"/>
  </r>
  <r>
    <s v="VGSP-348_088,000_ES_CL3"/>
    <x v="0"/>
    <s v="88,000"/>
    <m/>
    <s v="88,500"/>
    <m/>
    <x v="0"/>
    <s v="S"/>
    <n v="-22.989823932917801"/>
    <n v="-47.111645756015683"/>
    <n v="1949.12"/>
    <n v="9.5299999999999994"/>
    <n v="50"/>
    <m/>
    <n v="0"/>
    <s v="Trator 1.7m"/>
    <m/>
    <s v="Não"/>
    <s v="Não"/>
    <s v="Não"/>
    <s v="Não"/>
    <n v="974.56"/>
    <n v="974.56"/>
  </r>
  <r>
    <s v="VGSP-330_088,000_ES_CL1"/>
    <x v="0"/>
    <s v="88,000"/>
    <m/>
    <s v="88,500"/>
    <m/>
    <x v="0"/>
    <s v="S"/>
    <n v="-22.968874061450361"/>
    <n v="-47.052171567314424"/>
    <n v="2071.69"/>
    <n v="5.28"/>
    <n v="0"/>
    <m/>
    <n v="0"/>
    <m/>
    <m/>
    <s v="Não"/>
    <s v="Não"/>
    <s v="Não"/>
    <s v="Não"/>
    <n v="0"/>
    <n v="0"/>
  </r>
  <r>
    <s v="VGSP-330_088,000_ES_CL4"/>
    <x v="0"/>
    <s v="88,000"/>
    <m/>
    <s v="88,500"/>
    <m/>
    <x v="0"/>
    <s v="S"/>
    <n v="-22.968839987326589"/>
    <n v="-47.052033501340098"/>
    <n v="3234.86"/>
    <n v="5.21"/>
    <n v="0"/>
    <m/>
    <n v="0"/>
    <m/>
    <m/>
    <s v="Sim"/>
    <s v="Não"/>
    <s v="Não"/>
    <s v="Não"/>
    <n v="0"/>
    <m/>
  </r>
  <r>
    <s v="VGSP-348_088,000_EN_CL6"/>
    <x v="0"/>
    <s v="88,000"/>
    <m/>
    <s v="88,500"/>
    <m/>
    <x v="0"/>
    <s v="N"/>
    <n v="-22.9849054248069"/>
    <n v="-47.111179978868712"/>
    <n v="2045.09"/>
    <n v="3.55"/>
    <n v="50"/>
    <m/>
    <n v="0"/>
    <s v="Trator 1.7m"/>
    <m/>
    <s v="Não"/>
    <s v="Não"/>
    <s v="Não"/>
    <s v="Não"/>
    <n v="1022.545"/>
    <n v="1022.545"/>
  </r>
  <r>
    <s v="VGSP-348_088,000_EN_CL3"/>
    <x v="0"/>
    <s v="88,000"/>
    <m/>
    <s v="88,500"/>
    <m/>
    <x v="0"/>
    <s v="N"/>
    <n v="-22.987373147004028"/>
    <n v="-47.11090168783609"/>
    <n v="244.98"/>
    <n v="8.1999999999999993"/>
    <n v="50"/>
    <m/>
    <n v="0"/>
    <s v="Trator 1.7m"/>
    <m/>
    <s v="Não"/>
    <s v="Não"/>
    <s v="Não"/>
    <s v="Não"/>
    <n v="122.49"/>
    <n v="122.49"/>
  </r>
  <r>
    <s v="VGSP-348_088,000_EN_CL2"/>
    <x v="0"/>
    <s v="88,000"/>
    <m/>
    <s v="88,500"/>
    <m/>
    <x v="0"/>
    <s v="N"/>
    <n v="-22.987495731283051"/>
    <n v="-47.111114747095748"/>
    <n v="365.99"/>
    <n v="4.82"/>
    <n v="50"/>
    <m/>
    <n v="0"/>
    <s v="Trator 1.7m"/>
    <m/>
    <s v="Não"/>
    <s v="Não"/>
    <s v="Não"/>
    <s v="Não"/>
    <n v="182.995"/>
    <n v="182.995"/>
  </r>
  <r>
    <s v="VGSP-348_088,000_CC2"/>
    <x v="107"/>
    <s v="88,000"/>
    <m/>
    <s v="88,500"/>
    <n v="0.5"/>
    <x v="1"/>
    <s v="C"/>
    <n v="-22.990428819909461"/>
    <n v="-47.110061519821393"/>
    <n v="19629.330000000002"/>
    <n v="3.57"/>
    <n v="50"/>
    <m/>
    <n v="0"/>
    <s v="Trator 1.7m"/>
    <m/>
    <s v="Não"/>
    <s v="Não"/>
    <s v="Não"/>
    <s v="Não"/>
    <n v="9814.6650000000009"/>
    <n v="9814.6650000000009"/>
  </r>
  <r>
    <s v="VGSP-348_088,000_CC5"/>
    <x v="107"/>
    <s v="88,000"/>
    <m/>
    <s v="88,500"/>
    <n v="0.5"/>
    <x v="1"/>
    <s v="C"/>
    <n v="-22.98933531450346"/>
    <n v="-47.110290561269487"/>
    <n v="22411.52"/>
    <n v="3.07"/>
    <n v="50"/>
    <m/>
    <n v="0"/>
    <s v="Trator 1.7m"/>
    <m/>
    <s v="Não"/>
    <s v="Não"/>
    <s v="Não"/>
    <s v="Não"/>
    <n v="11205.76"/>
    <n v="11205.76"/>
  </r>
  <r>
    <s v="VGSP-348_088,000_EN_CL1"/>
    <x v="0"/>
    <s v="88,000"/>
    <m/>
    <s v="88,500"/>
    <m/>
    <x v="0"/>
    <s v="N"/>
    <n v="-22.989470529448081"/>
    <n v="-47.108430111046971"/>
    <n v="13786.32"/>
    <n v="5.18"/>
    <n v="50"/>
    <m/>
    <n v="0"/>
    <s v="Trator 1.7m"/>
    <m/>
    <s v="Não"/>
    <s v="Não"/>
    <s v="Não"/>
    <s v="Não"/>
    <n v="6893.16"/>
    <n v="6893.16"/>
  </r>
  <r>
    <s v="VGSP-330_088,000_EN_CL7"/>
    <x v="0"/>
    <s v="88,000"/>
    <m/>
    <s v="88,500"/>
    <m/>
    <x v="0"/>
    <s v="N"/>
    <n v="-22.962741982465719"/>
    <n v="-47.055101970129819"/>
    <n v="22.54"/>
    <n v="2"/>
    <n v="0"/>
    <m/>
    <n v="0"/>
    <m/>
    <m/>
    <s v="Não"/>
    <s v="Não"/>
    <s v="Não"/>
    <s v="Não"/>
    <n v="0"/>
    <n v="0"/>
  </r>
  <r>
    <s v="VGSP-330_088,000_EN_CL4"/>
    <x v="0"/>
    <s v="88,000"/>
    <m/>
    <s v="88,500"/>
    <m/>
    <x v="0"/>
    <s v="N"/>
    <n v="-22.9652926124425"/>
    <n v="-47.053606917791889"/>
    <n v="2833.15"/>
    <n v="4.16"/>
    <n v="0"/>
    <m/>
    <n v="0"/>
    <m/>
    <m/>
    <s v="Não"/>
    <s v="Não"/>
    <s v="Não"/>
    <s v="Não"/>
    <n v="0"/>
    <n v="0"/>
  </r>
  <r>
    <s v="VGSP-330_088,000_EN_CL5"/>
    <x v="0"/>
    <s v="88,000"/>
    <m/>
    <s v="88,500"/>
    <m/>
    <x v="0"/>
    <s v="N"/>
    <n v="-22.96456932593734"/>
    <n v="-47.053847704354929"/>
    <n v="1989.03"/>
    <n v="4.09"/>
    <n v="0"/>
    <m/>
    <n v="0"/>
    <m/>
    <m/>
    <s v="Não"/>
    <s v="Não"/>
    <s v="Não"/>
    <s v="Não"/>
    <n v="0"/>
    <n v="0"/>
  </r>
  <r>
    <s v="VGSP-330_088,000_EN_CL1"/>
    <x v="0"/>
    <s v="88,000"/>
    <m/>
    <s v="88,500"/>
    <m/>
    <x v="0"/>
    <s v="N"/>
    <n v="-22.969964821172919"/>
    <n v="-47.051005710123363"/>
    <n v="1270.8599999999999"/>
    <n v="4.6500000000000004"/>
    <n v="60"/>
    <m/>
    <n v="0"/>
    <s v="Trator 1.7m"/>
    <m/>
    <s v="Não"/>
    <s v="Não"/>
    <s v="Não"/>
    <s v="Não"/>
    <n v="762.51599999999996"/>
    <n v="762.51599999999996"/>
  </r>
  <r>
    <s v="VGSP-330_088,000_EN_CL2"/>
    <x v="0"/>
    <s v="88,000"/>
    <m/>
    <s v="88,500"/>
    <m/>
    <x v="0"/>
    <s v="N"/>
    <n v="-22.96882160777438"/>
    <n v="-47.051409669806588"/>
    <n v="1866.43"/>
    <n v="4.18"/>
    <n v="60"/>
    <m/>
    <n v="0"/>
    <s v="Trator 1.7m"/>
    <m/>
    <s v="Não"/>
    <s v="Não"/>
    <s v="Não"/>
    <s v="Não"/>
    <n v="1119.8579999999999"/>
    <n v="1119.8579999999999"/>
  </r>
  <r>
    <s v="VGSP-330_088,000_EN_CL6"/>
    <x v="0"/>
    <s v="88,000"/>
    <m/>
    <s v="88,500"/>
    <m/>
    <x v="0"/>
    <s v="N"/>
    <n v="-22.966634554928781"/>
    <n v="-47.052584632429927"/>
    <n v="116.27"/>
    <n v="4.6399999999999997"/>
    <n v="60"/>
    <m/>
    <n v="0"/>
    <s v="Trator 1.7m"/>
    <m/>
    <s v="Não"/>
    <s v="Não"/>
    <s v="Não"/>
    <s v="Não"/>
    <n v="69.762"/>
    <n v="69.762"/>
  </r>
  <r>
    <s v="VGSP-348_088,000_CC6"/>
    <x v="107"/>
    <s v="88,000"/>
    <m/>
    <s v="88,500"/>
    <n v="0.5"/>
    <x v="1"/>
    <s v="C"/>
    <n v="-22.984989556462509"/>
    <n v="-47.111559408701638"/>
    <n v="13827.75"/>
    <n v="4.24"/>
    <n v="80"/>
    <m/>
    <n v="0"/>
    <s v="Trator 1.7m"/>
    <m/>
    <s v="Não"/>
    <s v="Não"/>
    <s v="Não"/>
    <s v="Não"/>
    <n v="11062.2"/>
    <n v="11062.2"/>
  </r>
  <r>
    <s v="VGSP-348_088,000_EN_CL5"/>
    <x v="0"/>
    <s v="88,000"/>
    <m/>
    <s v="88,500"/>
    <m/>
    <x v="0"/>
    <s v="N"/>
    <n v="-22.986854663519011"/>
    <n v="-47.111174024544553"/>
    <n v="571.87"/>
    <n v="3.94"/>
    <n v="50"/>
    <m/>
    <n v="0"/>
    <s v="Trator 1.7m"/>
    <m/>
    <s v="Não"/>
    <s v="Não"/>
    <s v="Não"/>
    <s v="Não"/>
    <n v="285.935"/>
    <n v="285.935"/>
  </r>
  <r>
    <s v="VGSP-348_088,000_ES_CL1"/>
    <x v="0"/>
    <s v="88,000"/>
    <m/>
    <s v="88,500"/>
    <m/>
    <x v="0"/>
    <s v="S"/>
    <n v="-22.991469914353829"/>
    <n v="-47.111198343710008"/>
    <n v="3036.98"/>
    <n v="8.5500000000000007"/>
    <n v="50"/>
    <m/>
    <n v="0"/>
    <s v="Trator 1.7m"/>
    <m/>
    <s v="Não"/>
    <s v="Não"/>
    <s v="Não"/>
    <s v="Não"/>
    <n v="1518.49"/>
    <n v="1518.49"/>
  </r>
  <r>
    <s v="VGSP-348_088,000_ES_CL5"/>
    <x v="0"/>
    <s v="88,000"/>
    <m/>
    <s v="88,500"/>
    <m/>
    <x v="0"/>
    <s v="S"/>
    <n v="-22.985135928872388"/>
    <n v="-47.111895514508333"/>
    <n v="2259.34"/>
    <n v="6.32"/>
    <n v="50"/>
    <m/>
    <n v="0"/>
    <s v="Trator 1.7m"/>
    <m/>
    <s v="Não"/>
    <s v="Não"/>
    <s v="Não"/>
    <s v="Não"/>
    <n v="1129.67"/>
    <n v="1129.67"/>
  </r>
  <r>
    <s v="VGSP-330_088,000_ES_CL2"/>
    <x v="0"/>
    <s v="88,000"/>
    <m/>
    <s v="88,500"/>
    <m/>
    <x v="0"/>
    <s v="S"/>
    <n v="-22.964459794026421"/>
    <n v="-47.05466508827471"/>
    <n v="3091.95"/>
    <n v="5.93"/>
    <n v="0"/>
    <m/>
    <n v="0"/>
    <m/>
    <m/>
    <s v="Não"/>
    <s v="Não"/>
    <s v="Não"/>
    <s v="Não"/>
    <n v="0"/>
    <n v="0"/>
  </r>
  <r>
    <s v="VGSP-330_088,000_ES_CL3"/>
    <x v="0"/>
    <s v="88,000"/>
    <m/>
    <s v="88,500"/>
    <m/>
    <x v="0"/>
    <s v="S"/>
    <n v="-22.964629737491649"/>
    <n v="-47.054383082399347"/>
    <n v="2267.7600000000002"/>
    <n v="5.55"/>
    <n v="0"/>
    <m/>
    <n v="0"/>
    <m/>
    <m/>
    <s v="Sim"/>
    <s v="Não"/>
    <s v="Não"/>
    <s v="Não"/>
    <n v="0"/>
    <m/>
  </r>
  <r>
    <s v="VGSP-348_088,000_ES_CL2"/>
    <x v="0"/>
    <s v="88,000"/>
    <m/>
    <s v="88,500"/>
    <m/>
    <x v="0"/>
    <s v="S"/>
    <n v="-22.99197822834957"/>
    <n v="-47.110294108757493"/>
    <n v="0.69"/>
    <n v="2.2000000000000002"/>
    <m/>
    <m/>
    <n v="0"/>
    <m/>
    <m/>
    <s v="Não"/>
    <s v="Não"/>
    <s v="Não"/>
    <s v="Não"/>
    <n v="0"/>
    <n v="0"/>
  </r>
  <r>
    <s v="VGSP-330_089,000_ES_CL2"/>
    <x v="0"/>
    <s v="89,000"/>
    <m/>
    <s v="89,500"/>
    <m/>
    <x v="0"/>
    <s v="S"/>
    <n v="-22.961094653236199"/>
    <n v="-47.05640019305779"/>
    <n v="2556.88"/>
    <n v="6.12"/>
    <n v="0"/>
    <m/>
    <n v="0"/>
    <m/>
    <m/>
    <s v="Sim"/>
    <s v="Não"/>
    <s v="Não"/>
    <s v="Não"/>
    <n v="0"/>
    <m/>
  </r>
  <r>
    <s v="VGSP-348_089,000_CC2"/>
    <x v="108"/>
    <s v="89,000"/>
    <m/>
    <s v="89,500"/>
    <n v="0.5"/>
    <x v="1"/>
    <s v="C"/>
    <n v="-22.978195109508249"/>
    <n v="-47.112219683511903"/>
    <n v="1097.54"/>
    <n v="6.68"/>
    <n v="80"/>
    <m/>
    <n v="0"/>
    <s v="Eixo-zero"/>
    <m/>
    <s v="Não"/>
    <s v="Não"/>
    <s v="Não"/>
    <s v="Não"/>
    <n v="878.03200000000004"/>
    <n v="878.03200000000004"/>
  </r>
  <r>
    <s v="VGSP-348_089,000_EN_CL1"/>
    <x v="0"/>
    <s v="89,000"/>
    <m/>
    <s v="89,500"/>
    <m/>
    <x v="0"/>
    <s v="N"/>
    <n v="-22.977481493854722"/>
    <n v="-47.11190986926016"/>
    <n v="195.9"/>
    <n v="4.3600000000000003"/>
    <m/>
    <m/>
    <n v="0"/>
    <m/>
    <m/>
    <s v="Não"/>
    <s v="Não"/>
    <s v="Não"/>
    <s v="Não"/>
    <n v="0"/>
    <n v="0"/>
  </r>
  <r>
    <s v="VGSP-348_089,000_EN_CL3"/>
    <x v="0"/>
    <s v="89,000"/>
    <m/>
    <s v="89,500"/>
    <m/>
    <x v="0"/>
    <s v="N"/>
    <n v="-22.978104308490568"/>
    <n v="-47.111934289114608"/>
    <n v="165.82"/>
    <n v="3.33"/>
    <n v="80"/>
    <m/>
    <n v="0"/>
    <s v="Trator 1.7m"/>
    <m/>
    <s v="Não"/>
    <s v="Não"/>
    <s v="Não"/>
    <s v="Não"/>
    <n v="132.65600000000001"/>
    <n v="132.65600000000001"/>
  </r>
  <r>
    <s v="VGSP-330_089,000_EN_CL5"/>
    <x v="0"/>
    <s v="89,000"/>
    <m/>
    <s v="89,500"/>
    <m/>
    <x v="0"/>
    <s v="N"/>
    <n v="-22.955236432007599"/>
    <n v="-47.059173435500107"/>
    <n v="1145.8900000000001"/>
    <n v="3.89"/>
    <n v="20"/>
    <m/>
    <n v="0"/>
    <s v="Trator 1.7m"/>
    <m/>
    <s v="Não"/>
    <s v="Não"/>
    <s v="Não"/>
    <s v="Não"/>
    <n v="229.17800000000003"/>
    <n v="229.17800000000003"/>
  </r>
  <r>
    <s v="VGSP-330_089,000_ES_CL5"/>
    <x v="0"/>
    <s v="89,000"/>
    <m/>
    <s v="89,500"/>
    <m/>
    <x v="0"/>
    <s v="S"/>
    <n v="-22.957500293709082"/>
    <n v="-47.058698689905455"/>
    <n v="1665.63"/>
    <n v="7.69"/>
    <n v="40"/>
    <m/>
    <n v="0"/>
    <s v="Eixo-zero"/>
    <m/>
    <s v="Não"/>
    <s v="Não"/>
    <s v="Não"/>
    <s v="Não"/>
    <n v="666.25200000000007"/>
    <n v="666.25200000000007"/>
  </r>
  <r>
    <s v="VGSP-348_089,000_EN_CL2"/>
    <x v="0"/>
    <s v="89,000"/>
    <m/>
    <s v="89,500"/>
    <m/>
    <x v="0"/>
    <s v="N"/>
    <n v="-22.975939416134601"/>
    <n v="-47.113047981012791"/>
    <n v="2175.25"/>
    <n v="7.75"/>
    <n v="80"/>
    <m/>
    <n v="0"/>
    <s v="Trator 1.7m"/>
    <m/>
    <s v="Não"/>
    <s v="Não"/>
    <s v="Não"/>
    <s v="Não"/>
    <n v="1740.2"/>
    <n v="1740.2"/>
  </r>
  <r>
    <s v="VGSP-330_089,000_ES_CL1"/>
    <x v="0"/>
    <s v="89,000"/>
    <m/>
    <s v="89,500"/>
    <m/>
    <x v="0"/>
    <s v="S"/>
    <n v="-22.96274710134643"/>
    <n v="-47.055663283410823"/>
    <n v="702.6"/>
    <n v="7.28"/>
    <n v="0"/>
    <m/>
    <n v="0"/>
    <m/>
    <m/>
    <s v="Não"/>
    <s v="Não"/>
    <s v="Não"/>
    <s v="Não"/>
    <n v="0"/>
    <n v="0"/>
  </r>
  <r>
    <s v="VGSP-330_089,000_ES_CL4"/>
    <x v="0"/>
    <s v="89,000"/>
    <m/>
    <s v="89,500"/>
    <m/>
    <x v="0"/>
    <s v="S"/>
    <n v="-22.96075884818611"/>
    <n v="-47.056765550341311"/>
    <n v="1631.06"/>
    <n v="6.07"/>
    <n v="0"/>
    <m/>
    <n v="0"/>
    <m/>
    <m/>
    <s v="Não"/>
    <s v="Não"/>
    <s v="Não"/>
    <s v="Não"/>
    <n v="0"/>
    <n v="0"/>
  </r>
  <r>
    <s v="VGSP-330_089,000_EN_CL4"/>
    <x v="0"/>
    <s v="89,000"/>
    <m/>
    <s v="89,500"/>
    <m/>
    <x v="0"/>
    <s v="N"/>
    <n v="-22.960606796110071"/>
    <n v="-47.0562877074751"/>
    <n v="4003.57"/>
    <n v="5.72"/>
    <n v="0"/>
    <m/>
    <n v="0"/>
    <m/>
    <m/>
    <s v="Não"/>
    <s v="Não"/>
    <s v="Não"/>
    <s v="Não"/>
    <n v="0"/>
    <n v="0"/>
  </r>
  <r>
    <s v="VGSP-330_089,000_ES_CL6"/>
    <x v="0"/>
    <s v="89,000"/>
    <m/>
    <s v="89,500"/>
    <m/>
    <x v="0"/>
    <s v="S"/>
    <n v="-22.956433616176739"/>
    <n v="-47.059061197803068"/>
    <n v="2336.9"/>
    <n v="6.97"/>
    <n v="40"/>
    <m/>
    <n v="0"/>
    <s v="Eixo-zero"/>
    <m/>
    <s v="Não"/>
    <s v="Não"/>
    <s v="Não"/>
    <s v="Não"/>
    <n v="934.7600000000001"/>
    <n v="934.7600000000001"/>
  </r>
  <r>
    <s v="VGSP-348_089,000_ES_CL1"/>
    <x v="0"/>
    <s v="89,000"/>
    <m/>
    <s v="89,500"/>
    <m/>
    <x v="0"/>
    <s v="S"/>
    <n v="-22.97619571380773"/>
    <n v="-47.113616372876983"/>
    <n v="1902.11"/>
    <n v="2.91"/>
    <n v="80"/>
    <m/>
    <n v="0"/>
    <s v="Trator 1.7m"/>
    <m/>
    <s v="Não"/>
    <s v="Não"/>
    <s v="Não"/>
    <s v="Não"/>
    <n v="1521.6880000000001"/>
    <n v="1521.6880000000001"/>
  </r>
  <r>
    <s v="VGSP-348_089,000_ES_CL3"/>
    <x v="0"/>
    <s v="89,000"/>
    <m/>
    <s v="89,500"/>
    <m/>
    <x v="0"/>
    <s v="S"/>
    <n v="-22.980519424891"/>
    <n v="-47.11213862607265"/>
    <n v="1839.78"/>
    <n v="6.14"/>
    <n v="50"/>
    <m/>
    <n v="0"/>
    <s v="Trator 1.7m"/>
    <m/>
    <s v="Não"/>
    <s v="Não"/>
    <s v="Não"/>
    <s v="Não"/>
    <n v="919.89"/>
    <n v="919.89"/>
  </r>
  <r>
    <s v="VGSP-348_089,000_EN_CL4"/>
    <x v="0"/>
    <s v="89,000"/>
    <m/>
    <s v="89,500"/>
    <m/>
    <x v="0"/>
    <s v="N"/>
    <n v="-22.980431209828861"/>
    <n v="-47.111500578997557"/>
    <n v="1935.32"/>
    <n v="4.08"/>
    <n v="50"/>
    <m/>
    <n v="0"/>
    <s v="Trator 1.7m"/>
    <m/>
    <s v="Não"/>
    <s v="Não"/>
    <s v="Não"/>
    <s v="Não"/>
    <n v="967.66"/>
    <n v="967.66"/>
  </r>
  <r>
    <s v="VGSP-330_089,000_EN_CL2"/>
    <x v="0"/>
    <s v="89,000"/>
    <m/>
    <s v="89,500"/>
    <m/>
    <x v="0"/>
    <s v="N"/>
    <n v="-22.95688877287953"/>
    <n v="-47.058138085718717"/>
    <n v="1973.33"/>
    <n v="3.42"/>
    <n v="20"/>
    <m/>
    <n v="0"/>
    <s v="Trator 1.7m"/>
    <m/>
    <s v="Não"/>
    <s v="Não"/>
    <s v="Não"/>
    <s v="Não"/>
    <n v="394.666"/>
    <n v="394.666"/>
  </r>
  <r>
    <s v="VGSP-330_089,000_ES_CL7"/>
    <x v="0"/>
    <s v="89,000"/>
    <m/>
    <s v="89,500"/>
    <m/>
    <x v="0"/>
    <s v="S"/>
    <n v="-22.955822277474919"/>
    <n v="-47.059626296099644"/>
    <n v="3269.37"/>
    <n v="6.1"/>
    <n v="40"/>
    <m/>
    <n v="0"/>
    <s v="Eixo-zero"/>
    <m/>
    <s v="Não"/>
    <s v="Não"/>
    <s v="Não"/>
    <s v="Não"/>
    <n v="1307.748"/>
    <n v="1307.748"/>
  </r>
  <r>
    <s v="VGSP-330_089,000_ES_CL3"/>
    <x v="0"/>
    <s v="89,000"/>
    <m/>
    <s v="89,500"/>
    <m/>
    <x v="0"/>
    <s v="S"/>
    <n v="-22.95900386749042"/>
    <n v="-47.057606708700426"/>
    <n v="42.26"/>
    <n v="8.1"/>
    <n v="0"/>
    <m/>
    <n v="0"/>
    <m/>
    <m/>
    <s v="Não"/>
    <s v="Não"/>
    <s v="Não"/>
    <s v="Não"/>
    <n v="0"/>
    <n v="0"/>
  </r>
  <r>
    <s v="VGSP-330_089,000_EN_CL3"/>
    <x v="0"/>
    <s v="89,000"/>
    <m/>
    <s v="89,500"/>
    <m/>
    <x v="0"/>
    <s v="N"/>
    <n v="-22.957192293418341"/>
    <n v="-47.058219327802313"/>
    <n v="5708.41"/>
    <n v="4.47"/>
    <n v="20"/>
    <m/>
    <n v="0"/>
    <s v="Trator 1.7m"/>
    <m/>
    <s v="Não"/>
    <s v="Não"/>
    <s v="Não"/>
    <s v="Não"/>
    <n v="1141.682"/>
    <n v="1141.682"/>
  </r>
  <r>
    <s v="VGSP-348_089,000_CC1"/>
    <x v="108"/>
    <s v="89,000"/>
    <m/>
    <s v="89,500"/>
    <n v="0.5"/>
    <x v="1"/>
    <s v="C"/>
    <n v="-22.980480600669878"/>
    <n v="-47.11181327859034"/>
    <n v="12230.87"/>
    <n v="5.74"/>
    <n v="80"/>
    <m/>
    <n v="0"/>
    <s v="Trator 1.7m"/>
    <m/>
    <s v="Não"/>
    <s v="Não"/>
    <s v="Não"/>
    <s v="Não"/>
    <n v="9784.6960000000017"/>
    <n v="9784.6960000000017"/>
  </r>
  <r>
    <s v="VGSP-348_089,000_ES_CL2"/>
    <x v="0"/>
    <s v="89,000"/>
    <m/>
    <s v="89,500"/>
    <m/>
    <x v="0"/>
    <s v="S"/>
    <n v="-22.978297355297389"/>
    <n v="-47.112534529789613"/>
    <n v="165.88"/>
    <n v="9.24"/>
    <n v="80"/>
    <m/>
    <n v="0"/>
    <s v="Trator 1.7m"/>
    <m/>
    <s v="Não"/>
    <s v="Não"/>
    <s v="Não"/>
    <s v="Não"/>
    <n v="132.70400000000001"/>
    <n v="132.70400000000001"/>
  </r>
  <r>
    <s v="VGSP-330_089,000_EN_CL1"/>
    <x v="0"/>
    <s v="89,000"/>
    <m/>
    <s v="89,500"/>
    <m/>
    <x v="0"/>
    <s v="N"/>
    <n v="-22.960737803824831"/>
    <n v="-47.056045322732302"/>
    <n v="1849.34"/>
    <n v="5.45"/>
    <n v="0"/>
    <m/>
    <n v="0"/>
    <m/>
    <m/>
    <s v="Não"/>
    <s v="Não"/>
    <s v="Não"/>
    <s v="Não"/>
    <n v="0"/>
    <n v="0"/>
  </r>
  <r>
    <s v="VGSP-348_089,000_CC3"/>
    <x v="108"/>
    <s v="89,000"/>
    <m/>
    <s v="89,500"/>
    <n v="0.5"/>
    <x v="1"/>
    <s v="C"/>
    <n v="-22.97600844632046"/>
    <n v="-47.113372266367413"/>
    <n v="14181.28"/>
    <n v="4.91"/>
    <n v="80"/>
    <m/>
    <n v="0"/>
    <s v="Trator 1.7m"/>
    <m/>
    <s v="Não"/>
    <s v="Não"/>
    <s v="Não"/>
    <s v="Não"/>
    <n v="11345.024000000001"/>
    <n v="11345.024000000001"/>
  </r>
  <r>
    <s v="VGSP-348_090,000_CC2"/>
    <x v="109"/>
    <s v="90,000"/>
    <m/>
    <s v="90,500"/>
    <n v="0.5"/>
    <x v="1"/>
    <s v="C"/>
    <n v="-22.968398871912239"/>
    <n v="-47.11806717352205"/>
    <n v="14641.72"/>
    <n v="5.19"/>
    <n v="80"/>
    <m/>
    <n v="0"/>
    <s v="Trator 1.7m"/>
    <m/>
    <s v="Não"/>
    <s v="Não"/>
    <s v="Não"/>
    <s v="Não"/>
    <n v="11713.376"/>
    <n v="11713.376"/>
  </r>
  <r>
    <s v="VGSP-330_090,000_ES_CL7"/>
    <x v="0"/>
    <s v="90,000"/>
    <m/>
    <s v="90,500"/>
    <m/>
    <x v="0"/>
    <s v="S"/>
    <n v="-22.951263161496659"/>
    <n v="-47.062001616219931"/>
    <n v="394.29"/>
    <n v="4.2699999999999996"/>
    <n v="40"/>
    <m/>
    <n v="0"/>
    <s v="Eixo-zero"/>
    <m/>
    <s v="Não"/>
    <s v="Não"/>
    <s v="Não"/>
    <s v="Não"/>
    <n v="157.71600000000001"/>
    <n v="157.71600000000001"/>
  </r>
  <r>
    <s v="VGSP-330_090,000_ES_CL6"/>
    <x v="0"/>
    <s v="90,000"/>
    <m/>
    <s v="90,500"/>
    <m/>
    <x v="0"/>
    <s v="S"/>
    <n v="-22.949586462915029"/>
    <n v="-47.062954039458546"/>
    <n v="1660.71"/>
    <n v="4.1500000000000004"/>
    <n v="40"/>
    <m/>
    <n v="0"/>
    <s v="Eixo-zero"/>
    <m/>
    <s v="Não"/>
    <s v="Não"/>
    <s v="Não"/>
    <s v="Não"/>
    <n v="664.28400000000011"/>
    <n v="664.28400000000011"/>
  </r>
  <r>
    <s v="VGSP-330_090,000_EN_CL3"/>
    <x v="0"/>
    <s v="90,000"/>
    <m/>
    <s v="90,500"/>
    <m/>
    <x v="0"/>
    <s v="N"/>
    <n v="-22.953961720929559"/>
    <n v="-47.059867423250658"/>
    <n v="1531.83"/>
    <n v="6.08"/>
    <n v="20"/>
    <m/>
    <n v="0"/>
    <s v="Trator 1.7m"/>
    <m/>
    <s v="Não"/>
    <s v="Não"/>
    <s v="Não"/>
    <s v="Não"/>
    <n v="306.36599999999999"/>
    <n v="306.36599999999999"/>
  </r>
  <r>
    <s v="VGSP-330_090,000_EN_CL5"/>
    <x v="0"/>
    <s v="90,000"/>
    <m/>
    <s v="90,500"/>
    <m/>
    <x v="0"/>
    <s v="N"/>
    <n v="-22.952262146125491"/>
    <n v="-47.060816960501185"/>
    <n v="1560.05"/>
    <n v="7.01"/>
    <n v="20"/>
    <m/>
    <n v="0"/>
    <s v="Trator 1.7m"/>
    <m/>
    <s v="Não"/>
    <s v="Não"/>
    <s v="Não"/>
    <s v="Não"/>
    <n v="312.01"/>
    <n v="312.01"/>
  </r>
  <r>
    <s v="VGSP-330_090,000_ES_CL10"/>
    <x v="0"/>
    <s v="90,000"/>
    <m/>
    <s v="90,500"/>
    <m/>
    <x v="0"/>
    <s v="S"/>
    <n v="-22.947639612196721"/>
    <n v="-47.064321403733892"/>
    <n v="712.31"/>
    <n v="5.67"/>
    <n v="40"/>
    <m/>
    <n v="0"/>
    <s v="Eixo-zero"/>
    <m/>
    <s v="Não"/>
    <s v="Não"/>
    <s v="Não"/>
    <s v="Não"/>
    <n v="284.92399999999998"/>
    <n v="284.92399999999998"/>
  </r>
  <r>
    <s v="VGSP-348_090,000_CC1"/>
    <x v="109"/>
    <s v="90,000"/>
    <m/>
    <s v="90,500"/>
    <n v="0.5"/>
    <x v="1"/>
    <s v="C"/>
    <n v="-22.972180149914351"/>
    <n v="-47.115633772789259"/>
    <n v="14585.57"/>
    <n v="3.66"/>
    <n v="80"/>
    <m/>
    <n v="0"/>
    <s v="Trator 1.7m"/>
    <m/>
    <s v="Não"/>
    <s v="Não"/>
    <s v="Não"/>
    <s v="Não"/>
    <n v="11668.456"/>
    <n v="11668.456"/>
  </r>
  <r>
    <s v="VGSP-348_090,000_EN_CL2"/>
    <x v="0"/>
    <s v="90,000"/>
    <m/>
    <s v="90,500"/>
    <m/>
    <x v="0"/>
    <s v="N"/>
    <n v="-22.971990124414361"/>
    <n v="-47.115389573400883"/>
    <n v="1957.14"/>
    <n v="4.3899999999999997"/>
    <n v="80"/>
    <m/>
    <n v="0"/>
    <s v="Trator 1.7m"/>
    <m/>
    <s v="Não"/>
    <s v="Não"/>
    <s v="Não"/>
    <s v="Não"/>
    <n v="1565.7120000000002"/>
    <n v="1565.7120000000002"/>
  </r>
  <r>
    <s v="VGSP-330_090,000_ES_CL11"/>
    <x v="0"/>
    <s v="90,000"/>
    <m/>
    <s v="90,500"/>
    <m/>
    <x v="0"/>
    <s v="S"/>
    <n v="-22.947408396746599"/>
    <n v="-47.064244661038799"/>
    <n v="1036.6500000000001"/>
    <n v="4.59"/>
    <n v="40"/>
    <m/>
    <n v="0"/>
    <s v="Eixo-zero"/>
    <m/>
    <s v="Não"/>
    <s v="Não"/>
    <s v="Não"/>
    <s v="Não"/>
    <n v="414.66000000000008"/>
    <n v="414.66000000000008"/>
  </r>
  <r>
    <s v="VGSP-330_090,000_EN_CL4"/>
    <x v="0"/>
    <s v="90,000"/>
    <m/>
    <s v="90,500"/>
    <m/>
    <x v="0"/>
    <s v="N"/>
    <n v="-22.95353360735653"/>
    <n v="-47.060330175788991"/>
    <n v="1644.34"/>
    <n v="5.84"/>
    <n v="20"/>
    <m/>
    <n v="0"/>
    <s v="Trator 1.7m"/>
    <m/>
    <s v="Não"/>
    <s v="Não"/>
    <s v="Não"/>
    <s v="Não"/>
    <n v="328.86799999999999"/>
    <n v="328.86799999999999"/>
  </r>
  <r>
    <s v="VGSP-330_090,000_ES_CL2"/>
    <x v="0"/>
    <s v="90,000"/>
    <m/>
    <s v="90,500"/>
    <m/>
    <x v="0"/>
    <s v="S"/>
    <n v="-22.954604967708011"/>
    <n v="-47.060349283433027"/>
    <n v="1450.47"/>
    <n v="2.96"/>
    <n v="40"/>
    <m/>
    <n v="0"/>
    <s v="Eixo-zero"/>
    <m/>
    <s v="Não"/>
    <s v="Não"/>
    <s v="Não"/>
    <s v="Não"/>
    <n v="580.18799999999999"/>
    <n v="580.18799999999999"/>
  </r>
  <r>
    <s v="VGSP-330_090,000_ES_CL3"/>
    <x v="0"/>
    <s v="90,000"/>
    <m/>
    <s v="90,500"/>
    <m/>
    <x v="0"/>
    <s v="S"/>
    <n v="-22.953636851029341"/>
    <n v="-47.060650480081556"/>
    <n v="2063.12"/>
    <n v="5.08"/>
    <n v="40"/>
    <m/>
    <n v="0"/>
    <s v="Eixo-zero"/>
    <m/>
    <s v="Não"/>
    <s v="Não"/>
    <s v="Não"/>
    <s v="Não"/>
    <n v="825.24800000000005"/>
    <n v="825.24800000000005"/>
  </r>
  <r>
    <s v="VGSP-330_090,000_EN_CL2"/>
    <x v="0"/>
    <s v="90,000"/>
    <m/>
    <s v="90,500"/>
    <m/>
    <x v="0"/>
    <s v="N"/>
    <n v="-22.95461826709538"/>
    <n v="-47.059463939594373"/>
    <n v="618.23"/>
    <n v="1.3"/>
    <n v="20"/>
    <m/>
    <n v="0"/>
    <s v="Trator 1.7m"/>
    <m/>
    <s v="Não"/>
    <s v="Não"/>
    <s v="Não"/>
    <s v="Não"/>
    <n v="123.64600000000002"/>
    <n v="123.64600000000002"/>
  </r>
  <r>
    <s v="VGSP-330_090,000_EN_CL1"/>
    <x v="0"/>
    <s v="90,000"/>
    <m/>
    <s v="90,500"/>
    <m/>
    <x v="0"/>
    <s v="N"/>
    <n v="-22.954729568740529"/>
    <n v="-47.059638877547577"/>
    <n v="192.25"/>
    <n v="1.92"/>
    <n v="20"/>
    <m/>
    <n v="0"/>
    <s v="Trator 1.7m"/>
    <m/>
    <s v="Não"/>
    <s v="Não"/>
    <s v="Não"/>
    <s v="Não"/>
    <n v="38.450000000000003"/>
    <n v="38.450000000000003"/>
  </r>
  <r>
    <s v="VGSP-330_090,000_ES_CL1"/>
    <x v="0"/>
    <s v="90,000"/>
    <m/>
    <s v="90,500"/>
    <m/>
    <x v="0"/>
    <s v="S"/>
    <n v="-22.954923542811891"/>
    <n v="-47.059925067663343"/>
    <n v="39.44"/>
    <n v="2.39"/>
    <n v="0"/>
    <m/>
    <n v="0"/>
    <m/>
    <m/>
    <s v="Não"/>
    <s v="Não"/>
    <s v="Não"/>
    <s v="Não"/>
    <n v="0"/>
    <n v="0"/>
  </r>
  <r>
    <s v="VGSP-330_090,000_ES_CL9"/>
    <x v="0"/>
    <s v="90,000"/>
    <m/>
    <s v="90,500"/>
    <m/>
    <x v="0"/>
    <s v="S"/>
    <n v="-22.94867459001015"/>
    <n v="-47.06383893904902"/>
    <n v="70.97"/>
    <n v="6.45"/>
    <n v="40"/>
    <m/>
    <n v="0"/>
    <s v="Eixo-zero"/>
    <m/>
    <s v="Não"/>
    <s v="Não"/>
    <s v="Não"/>
    <s v="Não"/>
    <n v="28.388000000000002"/>
    <n v="28.388000000000002"/>
  </r>
  <r>
    <s v="VGSP-348_090,000_ES_CL1"/>
    <x v="0"/>
    <s v="90,000"/>
    <m/>
    <s v="90,500"/>
    <m/>
    <x v="0"/>
    <s v="S"/>
    <n v="-22.968589593345062"/>
    <n v="-47.118302672059237"/>
    <n v="1949.04"/>
    <n v="5.56"/>
    <n v="80"/>
    <m/>
    <n v="0"/>
    <s v="Trator 1.7m"/>
    <m/>
    <s v="Não"/>
    <s v="Não"/>
    <s v="Não"/>
    <s v="Não"/>
    <n v="1559.232"/>
    <n v="1559.232"/>
  </r>
  <r>
    <s v="VGSP-330_090,000_ES_CL8"/>
    <x v="0"/>
    <s v="90,000"/>
    <m/>
    <s v="90,500"/>
    <m/>
    <x v="0"/>
    <s v="S"/>
    <n v="-22.9489004094387"/>
    <n v="-47.063565097273909"/>
    <n v="622.25"/>
    <n v="4.4400000000000004"/>
    <n v="40"/>
    <m/>
    <n v="0"/>
    <s v="Eixo-zero"/>
    <m/>
    <s v="Não"/>
    <s v="Não"/>
    <s v="Não"/>
    <s v="Não"/>
    <n v="248.9"/>
    <n v="248.9"/>
  </r>
  <r>
    <s v="VGSP-348_090,000_EN_CL1"/>
    <x v="0"/>
    <s v="90,000"/>
    <m/>
    <s v="90,500"/>
    <m/>
    <x v="0"/>
    <s v="N"/>
    <n v="-22.968200137628369"/>
    <n v="-47.117824668863904"/>
    <n v="1954.81"/>
    <n v="3.96"/>
    <n v="80"/>
    <m/>
    <n v="0"/>
    <s v="Trator 1.7m"/>
    <m/>
    <s v="Não"/>
    <s v="Não"/>
    <s v="Não"/>
    <s v="Não"/>
    <n v="1563.848"/>
    <n v="1563.848"/>
  </r>
  <r>
    <s v="VGSP-330_090,000_ES_CL5"/>
    <x v="0"/>
    <s v="90,000"/>
    <m/>
    <s v="90,500"/>
    <m/>
    <x v="0"/>
    <s v="S"/>
    <n v="-22.950102324619891"/>
    <n v="-47.062969892067038"/>
    <n v="894.83"/>
    <n v="5.04"/>
    <n v="40"/>
    <m/>
    <n v="0"/>
    <s v="Eixo-zero"/>
    <m/>
    <s v="Não"/>
    <s v="Não"/>
    <s v="Não"/>
    <s v="Não"/>
    <n v="357.93200000000002"/>
    <n v="357.93200000000002"/>
  </r>
  <r>
    <s v="VGSP-348_090,000_ES_CL2"/>
    <x v="0"/>
    <s v="90,000"/>
    <m/>
    <s v="90,500"/>
    <m/>
    <x v="0"/>
    <s v="S"/>
    <n v="-22.972347350672401"/>
    <n v="-47.115895635473727"/>
    <n v="2013.79"/>
    <n v="3.61"/>
    <n v="80"/>
    <m/>
    <n v="0"/>
    <s v="Trator 1.7m"/>
    <m/>
    <s v="Não"/>
    <s v="Não"/>
    <s v="Não"/>
    <s v="Não"/>
    <n v="1611.0320000000002"/>
    <n v="1611.0320000000002"/>
  </r>
  <r>
    <s v="VGSP-330_090,000_EN_CL6"/>
    <x v="0"/>
    <s v="90,000"/>
    <m/>
    <s v="90,500"/>
    <m/>
    <x v="0"/>
    <s v="N"/>
    <n v="-22.949140924896199"/>
    <n v="-47.062625439984771"/>
    <n v="1581.88"/>
    <n v="4.34"/>
    <n v="30"/>
    <m/>
    <n v="0"/>
    <s v="Eixo-zero"/>
    <m/>
    <s v="Não"/>
    <s v="Não"/>
    <s v="Não"/>
    <s v="Não"/>
    <n v="474.56400000000002"/>
    <n v="474.56400000000002"/>
  </r>
  <r>
    <s v="VGSP-330_090,000_EN_CL7"/>
    <x v="0"/>
    <s v="90,000"/>
    <m/>
    <s v="90,500"/>
    <m/>
    <x v="0"/>
    <s v="N"/>
    <n v="-22.94873277714975"/>
    <n v="-47.063065494781945"/>
    <n v="4048.24"/>
    <n v="4.03"/>
    <n v="30"/>
    <m/>
    <n v="0"/>
    <s v="Eixo-zero"/>
    <m/>
    <s v="Não"/>
    <s v="Não"/>
    <s v="Não"/>
    <s v="Não"/>
    <n v="1214.472"/>
    <n v="1214.472"/>
  </r>
  <r>
    <s v="VGSP-330_090,000_EN_CL9"/>
    <x v="0"/>
    <s v="90,000"/>
    <m/>
    <s v="90,500"/>
    <m/>
    <x v="0"/>
    <s v="N"/>
    <n v="-22.947338102594191"/>
    <n v="-47.063674796256656"/>
    <n v="939.19"/>
    <n v="3.82"/>
    <n v="30"/>
    <m/>
    <n v="0"/>
    <s v="Eixo-zero"/>
    <m/>
    <s v="Não"/>
    <s v="Não"/>
    <s v="Não"/>
    <s v="Não"/>
    <n v="281.75700000000001"/>
    <n v="281.75700000000001"/>
  </r>
  <r>
    <s v="VGSP-330_090,000_ES_CL4"/>
    <x v="0"/>
    <s v="90,000"/>
    <m/>
    <s v="90,500"/>
    <m/>
    <x v="0"/>
    <s v="S"/>
    <n v="-22.952664405693589"/>
    <n v="-47.061421046874514"/>
    <n v="1697.97"/>
    <n v="5.0999999999999996"/>
    <n v="40"/>
    <m/>
    <n v="0"/>
    <s v="Eixo-zero"/>
    <m/>
    <s v="Não"/>
    <s v="Não"/>
    <s v="Não"/>
    <s v="Não"/>
    <n v="679.1880000000001"/>
    <n v="679.1880000000001"/>
  </r>
  <r>
    <s v="VGSP-330_090,000_EN_CL8"/>
    <x v="0"/>
    <s v="90,000"/>
    <m/>
    <s v="90,500"/>
    <m/>
    <x v="0"/>
    <s v="N"/>
    <n v="-22.951184784705941"/>
    <n v="-47.061657246428432"/>
    <n v="569.6"/>
    <n v="6.75"/>
    <n v="20"/>
    <m/>
    <n v="0"/>
    <s v="Trator 1.7m"/>
    <m/>
    <s v="Não"/>
    <s v="Não"/>
    <s v="Não"/>
    <s v="Não"/>
    <n v="113.92000000000002"/>
    <n v="113.92000000000002"/>
  </r>
  <r>
    <s v="VGSP-330_091,000_ES_CL6"/>
    <x v="0"/>
    <s v="91,000"/>
    <m/>
    <s v="91,500"/>
    <m/>
    <x v="0"/>
    <s v="S"/>
    <n v="-22.93956453577298"/>
    <n v="-47.068904390640405"/>
    <n v="547.36"/>
    <n v="3.3"/>
    <n v="60"/>
    <m/>
    <n v="0"/>
    <s v="Trator 1.7m"/>
    <m/>
    <s v="Não"/>
    <s v="Não"/>
    <s v="Não"/>
    <s v="Não"/>
    <n v="328.416"/>
    <n v="328.416"/>
  </r>
  <r>
    <s v="VGSP-348_091,000_CC2"/>
    <x v="110"/>
    <s v="91,000"/>
    <m/>
    <s v="91,500"/>
    <n v="0.5"/>
    <x v="1"/>
    <s v="C"/>
    <n v="-22.96134185845721"/>
    <n v="-47.123757598618518"/>
    <n v="14745.23"/>
    <n v="3.12"/>
    <n v="80"/>
    <m/>
    <n v="0"/>
    <s v="Trator 1.7m"/>
    <m/>
    <s v="Não"/>
    <s v="Não"/>
    <s v="Não"/>
    <s v="Não"/>
    <n v="11796.184000000001"/>
    <n v="11796.184000000001"/>
  </r>
  <r>
    <s v="VGSP-348_091,000_EN_CL2"/>
    <x v="0"/>
    <s v="91,000"/>
    <m/>
    <s v="91,500"/>
    <m/>
    <x v="0"/>
    <s v="N"/>
    <n v="-22.961226155239292"/>
    <n v="-47.123463713926022"/>
    <n v="1863.82"/>
    <n v="4.25"/>
    <n v="80"/>
    <m/>
    <n v="0"/>
    <s v="Trator 1.7m"/>
    <m/>
    <s v="Não"/>
    <s v="Não"/>
    <s v="Não"/>
    <s v="Não"/>
    <n v="1491.056"/>
    <n v="1491.056"/>
  </r>
  <r>
    <s v="VGSP-348_091,000_ES_CL2"/>
    <x v="0"/>
    <s v="91,000"/>
    <m/>
    <s v="91,500"/>
    <m/>
    <x v="0"/>
    <s v="S"/>
    <n v="-22.961521607811591"/>
    <n v="-47.124009971768487"/>
    <n v="1876.42"/>
    <n v="2.1800000000000002"/>
    <n v="80"/>
    <m/>
    <n v="0"/>
    <s v="Trator 1.7m"/>
    <m/>
    <s v="Não"/>
    <s v="Não"/>
    <s v="Não"/>
    <s v="Não"/>
    <n v="1501.1360000000002"/>
    <n v="1501.1360000000002"/>
  </r>
  <r>
    <s v="VGSP-330_091,000_EN_CL2"/>
    <x v="0"/>
    <s v="91,000"/>
    <m/>
    <s v="91,500"/>
    <m/>
    <x v="0"/>
    <s v="N"/>
    <n v="-22.94467588979315"/>
    <n v="-47.065166840540975"/>
    <n v="1984.75"/>
    <n v="6.51"/>
    <n v="30"/>
    <m/>
    <n v="0"/>
    <s v="Eixo-zero"/>
    <m/>
    <s v="Não"/>
    <s v="Não"/>
    <s v="Não"/>
    <s v="Não"/>
    <n v="595.42499999999995"/>
    <n v="595.42499999999995"/>
  </r>
  <r>
    <s v="VGSP-348_091,000_ES_CL3"/>
    <x v="0"/>
    <s v="91,000"/>
    <m/>
    <s v="91,500"/>
    <m/>
    <x v="0"/>
    <s v="S"/>
    <n v="-22.964094333226349"/>
    <n v="-47.121941563354831"/>
    <n v="968.33"/>
    <n v="3.96"/>
    <n v="80"/>
    <m/>
    <n v="0"/>
    <s v="Trator 1.7m"/>
    <m/>
    <s v="Não"/>
    <s v="Não"/>
    <s v="Não"/>
    <s v="Não"/>
    <n v="774.6640000000001"/>
    <n v="774.6640000000001"/>
  </r>
  <r>
    <s v="VGSP-348_091,000_CC1"/>
    <x v="110"/>
    <s v="91,000"/>
    <m/>
    <s v="91,500"/>
    <n v="0.5"/>
    <x v="1"/>
    <s v="C"/>
    <n v="-22.96575077545328"/>
    <n v="-47.120177860931413"/>
    <n v="7213.45"/>
    <n v="5.14"/>
    <n v="80"/>
    <m/>
    <n v="0"/>
    <s v="Trator 1.7m"/>
    <m/>
    <s v="Não"/>
    <s v="Não"/>
    <s v="Não"/>
    <s v="Não"/>
    <n v="5770.76"/>
    <n v="5770.76"/>
  </r>
  <r>
    <s v="VGSP-348_091,000_EN_CL3"/>
    <x v="0"/>
    <s v="91,000"/>
    <m/>
    <s v="91,500"/>
    <m/>
    <x v="0"/>
    <s v="N"/>
    <n v="-22.96380017582176"/>
    <n v="-47.121400738105208"/>
    <n v="978.97"/>
    <n v="4.18"/>
    <n v="80"/>
    <m/>
    <n v="0"/>
    <s v="Trator 1.7m"/>
    <m/>
    <s v="Não"/>
    <s v="Não"/>
    <s v="Não"/>
    <s v="Não"/>
    <n v="783.17600000000004"/>
    <n v="783.17600000000004"/>
  </r>
  <r>
    <s v="VGSP-348_091,000_CC3"/>
    <x v="110"/>
    <s v="91,000"/>
    <m/>
    <s v="91,500"/>
    <n v="0.5"/>
    <x v="1"/>
    <s v="C"/>
    <n v="-22.963962027325461"/>
    <n v="-47.121657425015243"/>
    <n v="7555.81"/>
    <n v="3.9"/>
    <n v="80"/>
    <m/>
    <n v="0"/>
    <s v="Trator 1.7m"/>
    <m/>
    <s v="Não"/>
    <s v="Não"/>
    <s v="Não"/>
    <s v="Não"/>
    <n v="6044.648000000001"/>
    <n v="6044.648000000001"/>
  </r>
  <r>
    <s v="VGSP-330_091,000_EN_CL3"/>
    <x v="0"/>
    <s v="91,000"/>
    <m/>
    <s v="91,500"/>
    <m/>
    <x v="0"/>
    <s v="N"/>
    <n v="-22.942250583580311"/>
    <n v="-47.066517061892938"/>
    <n v="549.59"/>
    <n v="7.93"/>
    <n v="40"/>
    <m/>
    <n v="0"/>
    <s v="Eixo-zero"/>
    <m/>
    <s v="Não"/>
    <s v="Não"/>
    <s v="Não"/>
    <s v="Não"/>
    <n v="219.83600000000001"/>
    <n v="219.83600000000001"/>
  </r>
  <r>
    <s v="VGSP-330_091,000_ES_CL1"/>
    <x v="0"/>
    <s v="91,000"/>
    <m/>
    <s v="91,500"/>
    <m/>
    <x v="0"/>
    <s v="S"/>
    <n v="-22.945590715777431"/>
    <n v="-47.065445951240648"/>
    <n v="1332.08"/>
    <n v="4.34"/>
    <n v="40"/>
    <m/>
    <n v="0"/>
    <s v="Eixo-zero"/>
    <m/>
    <s v="Não"/>
    <s v="Não"/>
    <s v="Não"/>
    <s v="Não"/>
    <n v="532.83199999999999"/>
    <n v="532.83199999999999"/>
  </r>
  <r>
    <s v="VGSP-348_091,000_EN_CL1"/>
    <x v="0"/>
    <s v="91,000"/>
    <m/>
    <s v="91,500"/>
    <m/>
    <x v="0"/>
    <s v="N"/>
    <n v="-22.965582975502489"/>
    <n v="-47.119903759399783"/>
    <n v="925.72"/>
    <n v="5.18"/>
    <n v="80"/>
    <m/>
    <n v="0"/>
    <s v="Trator 1.7m"/>
    <m/>
    <s v="Não"/>
    <s v="Não"/>
    <s v="Não"/>
    <s v="Não"/>
    <n v="740.57600000000002"/>
    <n v="740.57600000000002"/>
  </r>
  <r>
    <s v="VGSP-330_091,000_EN_CL6"/>
    <x v="0"/>
    <s v="91,000"/>
    <m/>
    <s v="91,500"/>
    <m/>
    <x v="0"/>
    <s v="N"/>
    <n v="-22.94026267174409"/>
    <n v="-47.067650105077114"/>
    <n v="1754.6"/>
    <n v="4.33"/>
    <n v="40"/>
    <m/>
    <n v="0"/>
    <s v="Eixo-zero"/>
    <m/>
    <s v="Não"/>
    <s v="Não"/>
    <s v="Não"/>
    <s v="Não"/>
    <n v="701.84"/>
    <n v="701.84"/>
  </r>
  <r>
    <s v="VGSP-330_091,000_EN_CL4"/>
    <x v="0"/>
    <s v="91,000"/>
    <m/>
    <s v="91,500"/>
    <m/>
    <x v="0"/>
    <s v="N"/>
    <n v="-22.940698132770311"/>
    <n v="-47.067613241194394"/>
    <n v="6658.41"/>
    <n v="4.3"/>
    <n v="40"/>
    <m/>
    <n v="0"/>
    <s v="Eixo-zero"/>
    <m/>
    <s v="Não"/>
    <s v="Não"/>
    <s v="Não"/>
    <s v="Não"/>
    <n v="2663.364"/>
    <n v="2663.364"/>
  </r>
  <r>
    <s v="VGSP-330_091,000_EN_CL1"/>
    <x v="0"/>
    <s v="91,000"/>
    <m/>
    <s v="91,500"/>
    <m/>
    <x v="0"/>
    <s v="N"/>
    <n v="-22.945586369289401"/>
    <n v="-47.064831819493214"/>
    <n v="2324.48"/>
    <n v="4.6900000000000004"/>
    <n v="30"/>
    <m/>
    <n v="0"/>
    <s v="Eixo-zero"/>
    <m/>
    <s v="Não"/>
    <s v="Não"/>
    <s v="Não"/>
    <s v="Não"/>
    <n v="697.34399999999994"/>
    <n v="697.34399999999994"/>
  </r>
  <r>
    <s v="VGSP-330_091,000_ES_CL4"/>
    <x v="0"/>
    <s v="91,000"/>
    <m/>
    <s v="91,500"/>
    <m/>
    <x v="0"/>
    <s v="S"/>
    <n v="-22.943624827213551"/>
    <n v="-47.06658655596523"/>
    <n v="669.5"/>
    <n v="7.25"/>
    <n v="40"/>
    <m/>
    <n v="0"/>
    <s v="Eixo-zero"/>
    <m/>
    <s v="Não"/>
    <s v="Não"/>
    <s v="Não"/>
    <s v="Não"/>
    <n v="267.8"/>
    <n v="267.8"/>
  </r>
  <r>
    <s v="VGSP-348_091,000_ES_CL1"/>
    <x v="0"/>
    <s v="91,000"/>
    <m/>
    <s v="91,500"/>
    <m/>
    <x v="0"/>
    <s v="S"/>
    <n v="-22.965967428183269"/>
    <n v="-47.120393428122867"/>
    <n v="940.56"/>
    <n v="4.53"/>
    <n v="80"/>
    <m/>
    <n v="0"/>
    <s v="Trator 1.7m"/>
    <m/>
    <s v="Não"/>
    <s v="Não"/>
    <s v="Não"/>
    <s v="Não"/>
    <n v="752.44799999999998"/>
    <n v="752.44799999999998"/>
  </r>
  <r>
    <s v="VGSP-330_091,000_ES_CL2"/>
    <x v="0"/>
    <s v="91,000"/>
    <m/>
    <s v="91,500"/>
    <m/>
    <x v="0"/>
    <s v="S"/>
    <n v="-22.94081953070987"/>
    <n v="-47.067977737764913"/>
    <n v="5120.21"/>
    <n v="4.32"/>
    <n v="60"/>
    <m/>
    <n v="0"/>
    <s v="Trator 1.7m"/>
    <m/>
    <s v="Não"/>
    <s v="Não"/>
    <s v="Não"/>
    <s v="Não"/>
    <n v="3072.1259999999997"/>
    <n v="3072.1259999999997"/>
  </r>
  <r>
    <s v="VGSP-330_091,000_ES_CL5"/>
    <x v="0"/>
    <s v="91,000"/>
    <m/>
    <s v="91,500"/>
    <m/>
    <x v="0"/>
    <s v="S"/>
    <n v="-22.941587559930891"/>
    <n v="-47.06773944853078"/>
    <n v="1375.25"/>
    <n v="6.31"/>
    <n v="60"/>
    <m/>
    <n v="0"/>
    <s v="Trator 1.7m"/>
    <m/>
    <s v="Não"/>
    <s v="Não"/>
    <s v="Não"/>
    <s v="Não"/>
    <n v="825.15"/>
    <n v="825.15"/>
  </r>
  <r>
    <s v="VGSP-330_091,000_ES_CL3"/>
    <x v="0"/>
    <s v="91,000"/>
    <m/>
    <s v="91,500"/>
    <m/>
    <x v="0"/>
    <s v="S"/>
    <n v="-22.94486954925555"/>
    <n v="-47.065665731637687"/>
    <n v="5228.01"/>
    <n v="4.6900000000000004"/>
    <n v="40"/>
    <m/>
    <n v="0"/>
    <s v="Eixo-zero"/>
    <m/>
    <s v="Não"/>
    <s v="Não"/>
    <s v="Não"/>
    <s v="Não"/>
    <n v="2091.2040000000002"/>
    <n v="2091.2040000000002"/>
  </r>
  <r>
    <s v="VGSP-330_091,000_EN_CL5"/>
    <x v="0"/>
    <s v="91,000"/>
    <m/>
    <s v="91,500"/>
    <m/>
    <x v="0"/>
    <s v="N"/>
    <n v="-22.94339137926557"/>
    <n v="-47.066095143128074"/>
    <n v="1808.82"/>
    <n v="7.38"/>
    <n v="30"/>
    <m/>
    <n v="0"/>
    <s v="Eixo-zero"/>
    <m/>
    <s v="Não"/>
    <s v="Não"/>
    <s v="Não"/>
    <s v="Não"/>
    <n v="542.64599999999996"/>
    <n v="542.64599999999996"/>
  </r>
  <r>
    <s v="VGSP-330_092,000_ES_CL14"/>
    <x v="0"/>
    <s v="92,000"/>
    <m/>
    <s v="92,500"/>
    <m/>
    <x v="0"/>
    <s v="S"/>
    <n v="-22.932811128522228"/>
    <n v="-47.07508976042989"/>
    <n v="7752.65"/>
    <n v="5.36"/>
    <n v="50"/>
    <m/>
    <n v="0"/>
    <s v="Trator 1.7m"/>
    <m/>
    <s v="Não"/>
    <s v="Não"/>
    <s v="Não"/>
    <s v="Não"/>
    <n v="3876.3249999999998"/>
    <n v="3876.3249999999998"/>
  </r>
  <r>
    <s v="VGSP-330_092,000_EN_CL9"/>
    <x v="0"/>
    <s v="92,000"/>
    <m/>
    <s v="92,500"/>
    <m/>
    <x v="0"/>
    <s v="N"/>
    <n v="-22.931903143390389"/>
    <n v="-47.074479923671028"/>
    <n v="3756.97"/>
    <n v="4.83"/>
    <n v="50"/>
    <m/>
    <n v="0"/>
    <s v="Trator 1.7m"/>
    <m/>
    <s v="Não"/>
    <s v="Não"/>
    <s v="Não"/>
    <s v="Não"/>
    <n v="1878.4849999999999"/>
    <n v="1878.4849999999999"/>
  </r>
  <r>
    <s v="VGSP-330_092,000_EN_CL11"/>
    <x v="0"/>
    <s v="92,000"/>
    <m/>
    <s v="92,500"/>
    <m/>
    <x v="0"/>
    <s v="N"/>
    <n v="-22.931425277184442"/>
    <n v="-47.072400660664805"/>
    <n v="876.46"/>
    <n v="8.5299999999999994"/>
    <n v="50"/>
    <m/>
    <n v="0"/>
    <s v="Trator 1.7m"/>
    <m/>
    <s v="Não"/>
    <s v="Não"/>
    <s v="Não"/>
    <s v="Não"/>
    <n v="438.23"/>
    <n v="438.23"/>
  </r>
  <r>
    <s v="VGSP-330_092,000_EN_CL6"/>
    <x v="0"/>
    <s v="92,000"/>
    <m/>
    <s v="92,500"/>
    <m/>
    <x v="0"/>
    <s v="N"/>
    <n v="-22.932498622901981"/>
    <n v="-47.072947138854971"/>
    <n v="971.02"/>
    <n v="3.6"/>
    <n v="50"/>
    <m/>
    <n v="0"/>
    <s v="Trator 1.7m"/>
    <m/>
    <s v="Não"/>
    <s v="Não"/>
    <s v="Não"/>
    <s v="Não"/>
    <n v="485.51"/>
    <n v="485.51"/>
  </r>
  <r>
    <s v="VGSP-330_092,000_EN_CL7"/>
    <x v="0"/>
    <s v="92,000"/>
    <m/>
    <s v="92,500"/>
    <m/>
    <x v="0"/>
    <s v="N"/>
    <n v="-22.932155045871049"/>
    <n v="-47.073481748438518"/>
    <n v="12860.84"/>
    <n v="5.34"/>
    <n v="50"/>
    <m/>
    <n v="0"/>
    <s v="Trator 1.7m"/>
    <m/>
    <s v="Não"/>
    <s v="Não"/>
    <s v="Não"/>
    <s v="Não"/>
    <n v="6430.42"/>
    <n v="6430.42"/>
  </r>
  <r>
    <s v="VGSP-330_092,000_EN_CL8"/>
    <x v="0"/>
    <s v="92,000"/>
    <m/>
    <s v="92,500"/>
    <m/>
    <x v="0"/>
    <s v="N"/>
    <n v="-22.932025308114181"/>
    <n v="-47.074154830809398"/>
    <n v="3240.85"/>
    <n v="5.84"/>
    <n v="50"/>
    <m/>
    <n v="0"/>
    <s v="Trator 1.7m"/>
    <m/>
    <s v="Não"/>
    <s v="Não"/>
    <s v="Não"/>
    <s v="Não"/>
    <n v="1620.425"/>
    <n v="1620.425"/>
  </r>
  <r>
    <s v="VGSP-330_092,000_ES_CL5"/>
    <x v="0"/>
    <s v="92,000"/>
    <m/>
    <s v="92,500"/>
    <m/>
    <x v="0"/>
    <s v="S"/>
    <n v="-22.934748209622761"/>
    <n v="-47.072668382441449"/>
    <n v="1197.47"/>
    <n v="7.21"/>
    <n v="50"/>
    <m/>
    <n v="0"/>
    <s v="Trator 1.7m"/>
    <m/>
    <s v="Não"/>
    <s v="Não"/>
    <s v="Não"/>
    <s v="Não"/>
    <n v="598.73500000000001"/>
    <n v="598.73500000000001"/>
  </r>
  <r>
    <s v="VGSP-330_092,000_EN_CL2"/>
    <x v="0"/>
    <s v="92,000"/>
    <m/>
    <s v="92,500"/>
    <m/>
    <x v="0"/>
    <s v="N"/>
    <n v="-22.937723439939859"/>
    <n v="-47.069075255609228"/>
    <n v="783.16"/>
    <n v="5.42"/>
    <n v="40"/>
    <m/>
    <n v="0"/>
    <s v="Eixo-zero"/>
    <m/>
    <s v="Não"/>
    <s v="Não"/>
    <s v="Não"/>
    <s v="Não"/>
    <n v="313.26400000000001"/>
    <n v="313.26400000000001"/>
  </r>
  <r>
    <s v="VGSP-330_092,000_EN_CL10"/>
    <x v="0"/>
    <s v="92,000"/>
    <m/>
    <s v="92,500"/>
    <m/>
    <x v="0"/>
    <s v="N"/>
    <n v="-22.931754417318491"/>
    <n v="-47.072556609905355"/>
    <n v="4759.17"/>
    <n v="6.72"/>
    <n v="50"/>
    <m/>
    <n v="0"/>
    <s v="Trator 1.7m"/>
    <m/>
    <s v="Não"/>
    <s v="Não"/>
    <s v="Não"/>
    <s v="Não"/>
    <n v="2379.585"/>
    <n v="2379.585"/>
  </r>
  <r>
    <s v="VGSP-330_092,000_EN_CL1"/>
    <x v="0"/>
    <s v="92,000"/>
    <m/>
    <s v="92,500"/>
    <m/>
    <x v="0"/>
    <s v="N"/>
    <n v="-22.937861370840832"/>
    <n v="-47.069231380349194"/>
    <n v="2466.39"/>
    <n v="4.25"/>
    <n v="40"/>
    <m/>
    <n v="0"/>
    <s v="Eixo-zero"/>
    <m/>
    <s v="Não"/>
    <s v="Não"/>
    <s v="Não"/>
    <s v="Não"/>
    <n v="986.55600000000004"/>
    <n v="986.55600000000004"/>
  </r>
  <r>
    <s v="VGSP-330_092,000_CC1"/>
    <x v="111"/>
    <s v="92,000"/>
    <m/>
    <s v="92,500"/>
    <m/>
    <x v="1"/>
    <s v="C"/>
    <n v="-22.934279032608821"/>
    <n v="-47.071678974063438"/>
    <n v="4187.0200000000004"/>
    <n v="5.08"/>
    <n v="50"/>
    <m/>
    <n v="0"/>
    <s v="Trator 1.7m"/>
    <m/>
    <s v="Não"/>
    <s v="Não"/>
    <s v="Não"/>
    <s v="Não"/>
    <n v="2093.5100000000002"/>
    <n v="2093.5100000000002"/>
  </r>
  <r>
    <s v="VGSP-330_092,000_CC4"/>
    <x v="111"/>
    <s v="92,000"/>
    <m/>
    <s v="92,500"/>
    <m/>
    <x v="1"/>
    <s v="C"/>
    <n v="-22.93300419540299"/>
    <n v="-47.072592478399223"/>
    <n v="12876.04"/>
    <n v="4.38"/>
    <n v="50"/>
    <m/>
    <n v="0"/>
    <s v="Trator 1.7m"/>
    <m/>
    <s v="Não"/>
    <s v="Não"/>
    <s v="Não"/>
    <s v="Não"/>
    <n v="6438.02"/>
    <n v="6438.02"/>
  </r>
  <r>
    <s v="VGSP-330_092,000_CC2"/>
    <x v="111"/>
    <s v="92,000"/>
    <m/>
    <s v="92,500"/>
    <m/>
    <x v="1"/>
    <s v="C"/>
    <n v="-22.93336780853333"/>
    <n v="-47.073796716979984"/>
    <n v="3748.42"/>
    <n v="4.0599999999999996"/>
    <n v="50"/>
    <m/>
    <n v="0"/>
    <s v="Trator 1.7m"/>
    <m/>
    <s v="Não"/>
    <s v="Não"/>
    <s v="Não"/>
    <s v="Não"/>
    <n v="1874.21"/>
    <n v="1874.21"/>
  </r>
  <r>
    <s v="VGSP-330_092,000_CC3"/>
    <x v="111"/>
    <s v="92,000"/>
    <m/>
    <s v="92,500"/>
    <m/>
    <x v="1"/>
    <s v="C"/>
    <n v="-22.9331501848852"/>
    <n v="-47.074457376956552"/>
    <n v="388.22"/>
    <n v="3.43"/>
    <n v="50"/>
    <m/>
    <n v="0"/>
    <s v="Trator 1.7m"/>
    <m/>
    <s v="Não"/>
    <s v="Não"/>
    <s v="Não"/>
    <s v="Não"/>
    <n v="194.11"/>
    <n v="194.11"/>
  </r>
  <r>
    <s v="VGSP-330_092,000_CC5"/>
    <x v="111"/>
    <s v="92,000"/>
    <m/>
    <s v="92,500"/>
    <m/>
    <x v="1"/>
    <s v="C"/>
    <n v="-22.9327747326675"/>
    <n v="-47.071990998714803"/>
    <n v="6321.18"/>
    <n v="4.28"/>
    <n v="50"/>
    <m/>
    <n v="0"/>
    <s v="Trator 1.7m"/>
    <m/>
    <s v="Não"/>
    <s v="Não"/>
    <s v="Não"/>
    <s v="Não"/>
    <n v="3160.59"/>
    <n v="3160.59"/>
  </r>
  <r>
    <s v="VGSP-330_092,000_EN_CL3"/>
    <x v="0"/>
    <s v="92,000"/>
    <m/>
    <s v="92,500"/>
    <m/>
    <x v="0"/>
    <s v="N"/>
    <n v="-22.935559918779312"/>
    <n v="-47.070645463428484"/>
    <n v="1223.92"/>
    <n v="3.77"/>
    <n v="40"/>
    <m/>
    <n v="0"/>
    <s v="Eixo-zero"/>
    <m/>
    <s v="Não"/>
    <s v="Não"/>
    <s v="Não"/>
    <s v="Não"/>
    <n v="489.56800000000004"/>
    <n v="489.56800000000004"/>
  </r>
  <r>
    <s v="VGSP-348_092,000_ES_CL1"/>
    <x v="0"/>
    <s v="92,000"/>
    <m/>
    <s v="92,500"/>
    <m/>
    <x v="0"/>
    <s v="S"/>
    <n v="-22.958328057752581"/>
    <n v="-47.125803278199562"/>
    <n v="3500.56"/>
    <n v="6.12"/>
    <n v="80"/>
    <m/>
    <n v="2800.4480000000003"/>
    <s v="Spider"/>
    <m/>
    <s v="Não"/>
    <s v="Não"/>
    <s v="Não"/>
    <s v="Sim"/>
    <n v="0"/>
    <m/>
  </r>
  <r>
    <s v="VGSP-330_092,000_EN_CL4"/>
    <x v="0"/>
    <s v="92,000"/>
    <m/>
    <s v="92,500"/>
    <m/>
    <x v="0"/>
    <s v="N"/>
    <n v="-22.93590688600516"/>
    <n v="-47.070176250861827"/>
    <n v="932.25"/>
    <n v="3.89"/>
    <n v="40"/>
    <m/>
    <n v="0"/>
    <s v="Eixo-zero"/>
    <m/>
    <s v="Não"/>
    <s v="Não"/>
    <s v="Não"/>
    <s v="Não"/>
    <n v="372.90000000000003"/>
    <n v="372.90000000000003"/>
  </r>
  <r>
    <s v="VGSP-330_092,000_EN_CL5"/>
    <x v="0"/>
    <s v="92,000"/>
    <m/>
    <s v="92,500"/>
    <m/>
    <x v="0"/>
    <s v="N"/>
    <n v="-22.9333431730999"/>
    <n v="-47.071468349271214"/>
    <n v="1718.19"/>
    <n v="4.4800000000000004"/>
    <n v="50"/>
    <m/>
    <n v="0"/>
    <s v="Trator 1.7m"/>
    <m/>
    <s v="Não"/>
    <s v="Não"/>
    <s v="Não"/>
    <s v="Não"/>
    <n v="859.09500000000003"/>
    <n v="859.09500000000003"/>
  </r>
  <r>
    <s v="VGSP-348_092,000_ES_CL2"/>
    <x v="0"/>
    <s v="92,000"/>
    <m/>
    <s v="92,500"/>
    <m/>
    <x v="0"/>
    <s v="S"/>
    <n v="-22.95409257114893"/>
    <n v="-47.126093394726126"/>
    <n v="4512.1499999999996"/>
    <n v="7.18"/>
    <n v="80"/>
    <m/>
    <n v="0"/>
    <s v="Trator 1.7m"/>
    <m/>
    <s v="Não"/>
    <s v="Não"/>
    <s v="Não"/>
    <s v="Não"/>
    <n v="3609.72"/>
    <n v="3609.72"/>
  </r>
  <r>
    <s v="VGSP-348_092,000_CC2"/>
    <x v="112"/>
    <s v="92,000"/>
    <m/>
    <s v="92,500"/>
    <n v="0.5"/>
    <x v="1"/>
    <s v="C"/>
    <n v="-22.954068449435731"/>
    <n v="-47.125749726208539"/>
    <n v="29847.27"/>
    <n v="6.32"/>
    <n v="80"/>
    <m/>
    <n v="0"/>
    <s v="Trator 1.7m"/>
    <m/>
    <s v="Não"/>
    <s v="Não"/>
    <s v="Não"/>
    <s v="Não"/>
    <n v="23877.816000000003"/>
    <n v="23877.816000000003"/>
  </r>
  <r>
    <s v="VGSP-330_092,000_CC6"/>
    <x v="111"/>
    <s v="92,000"/>
    <m/>
    <s v="92,500"/>
    <m/>
    <x v="1"/>
    <s v="C"/>
    <n v="-22.932898203571529"/>
    <n v="-47.074456919830453"/>
    <n v="783.04"/>
    <n v="4.62"/>
    <n v="50"/>
    <m/>
    <n v="0"/>
    <s v="Trator 1.7m"/>
    <m/>
    <s v="Não"/>
    <s v="Não"/>
    <s v="Não"/>
    <s v="Não"/>
    <n v="391.52"/>
    <n v="391.52"/>
  </r>
  <r>
    <s v="VGSP-330_092,000_ES_CL7"/>
    <x v="0"/>
    <s v="92,000"/>
    <m/>
    <s v="92,500"/>
    <m/>
    <x v="0"/>
    <s v="S"/>
    <n v="-22.935238565603431"/>
    <n v="-47.071290911443796"/>
    <n v="6.91"/>
    <n v="8.15"/>
    <n v="0"/>
    <m/>
    <n v="0"/>
    <m/>
    <m/>
    <s v="Não"/>
    <s v="Não"/>
    <s v="Não"/>
    <s v="Não"/>
    <n v="0"/>
    <n v="0"/>
  </r>
  <r>
    <s v="VGSP-330_092,000_ES_CL6"/>
    <x v="0"/>
    <s v="92,000"/>
    <m/>
    <s v="92,500"/>
    <m/>
    <x v="0"/>
    <s v="S"/>
    <n v="-22.934540718882019"/>
    <n v="-47.072131086196826"/>
    <n v="2488.37"/>
    <n v="6.13"/>
    <n v="50"/>
    <m/>
    <n v="0"/>
    <s v="Trator 1.7m"/>
    <m/>
    <s v="Não"/>
    <s v="Não"/>
    <s v="Não"/>
    <s v="Não"/>
    <n v="1244.1849999999999"/>
    <n v="1244.1849999999999"/>
  </r>
  <r>
    <s v="VGSP-348_092,000_CC1"/>
    <x v="112"/>
    <s v="92,000"/>
    <m/>
    <s v="92,500"/>
    <n v="0.5"/>
    <x v="1"/>
    <s v="N"/>
    <n v="-22.953921890728878"/>
    <n v="-47.125388055034477"/>
    <n v="4346.5600000000004"/>
    <n v="5.33"/>
    <n v="30"/>
    <m/>
    <n v="1303.9680000000001"/>
    <s v="Trator com braço articulado"/>
    <m/>
    <s v="Não"/>
    <s v="Sim"/>
    <s v="Não"/>
    <s v="Sim"/>
    <n v="0"/>
    <m/>
  </r>
  <r>
    <s v="VGSP-330_092,000_ES_CL12"/>
    <x v="0"/>
    <s v="92,000"/>
    <m/>
    <s v="92,500"/>
    <m/>
    <x v="0"/>
    <s v="S"/>
    <n v="-22.933987253824931"/>
    <n v="-47.075371886885812"/>
    <n v="0"/>
    <n v="10.32"/>
    <m/>
    <m/>
    <n v="0"/>
    <m/>
    <m/>
    <s v="Não"/>
    <s v="Não"/>
    <s v="Não"/>
    <s v="Não"/>
    <n v="0"/>
    <n v="0"/>
  </r>
  <r>
    <s v="VGSP-330_092,000_ES_CL2"/>
    <x v="0"/>
    <s v="92,000"/>
    <m/>
    <s v="92,500"/>
    <m/>
    <x v="0"/>
    <s v="S"/>
    <n v="-22.938072017451571"/>
    <n v="-47.069731009368233"/>
    <n v="949.77"/>
    <n v="3.79"/>
    <n v="60"/>
    <m/>
    <n v="0"/>
    <s v="Trator 1.7m"/>
    <m/>
    <s v="Não"/>
    <s v="Não"/>
    <s v="Não"/>
    <s v="Não"/>
    <n v="569.86199999999997"/>
    <n v="569.86199999999997"/>
  </r>
  <r>
    <s v="VGSP-330_092,000_ES_CL1"/>
    <x v="0"/>
    <s v="92,000"/>
    <m/>
    <s v="92,500"/>
    <m/>
    <x v="0"/>
    <s v="S"/>
    <n v="-22.938043618256849"/>
    <n v="-47.069556418246208"/>
    <n v="2344.48"/>
    <n v="3.52"/>
    <n v="60"/>
    <m/>
    <n v="0"/>
    <s v="Trator 1.7m"/>
    <m/>
    <s v="Não"/>
    <s v="Não"/>
    <s v="Não"/>
    <s v="Não"/>
    <n v="1406.6879999999999"/>
    <n v="1406.6879999999999"/>
  </r>
  <r>
    <s v="VGSP-348_092,000_EN_CL"/>
    <x v="0"/>
    <s v="92,000"/>
    <m/>
    <s v="92,500"/>
    <m/>
    <x v="0"/>
    <s v="N"/>
    <n v="-22.957935911091429"/>
    <n v="-47.125092116944273"/>
    <n v="2647.24"/>
    <n v="5.77"/>
    <n v="80"/>
    <m/>
    <n v="2117.7919999999999"/>
    <s v="Spider"/>
    <m/>
    <s v="Não"/>
    <s v="Não"/>
    <s v="Não"/>
    <s v="Sim"/>
    <n v="0"/>
    <m/>
  </r>
  <r>
    <s v="VGSP-330_092,000_ES_CL8"/>
    <x v="0"/>
    <s v="92,000"/>
    <m/>
    <s v="92,500"/>
    <m/>
    <x v="0"/>
    <s v="S"/>
    <n v="-22.934726962782001"/>
    <n v="-47.074201687271241"/>
    <n v="828.38"/>
    <n v="6.25"/>
    <n v="50"/>
    <m/>
    <n v="0"/>
    <s v="Trator 1.7m"/>
    <m/>
    <s v="Não"/>
    <s v="Não"/>
    <s v="Não"/>
    <s v="Não"/>
    <n v="414.19"/>
    <n v="414.19"/>
  </r>
  <r>
    <s v="VGSP-330_092,000_ES_CL9"/>
    <x v="0"/>
    <s v="92,000"/>
    <m/>
    <s v="92,500"/>
    <m/>
    <x v="0"/>
    <s v="S"/>
    <n v="-22.933648829134331"/>
    <n v="-47.075262194092247"/>
    <n v="929.5"/>
    <n v="8.0500000000000007"/>
    <n v="50"/>
    <m/>
    <n v="0"/>
    <s v="Trator 1.7m"/>
    <m/>
    <s v="Não"/>
    <s v="Não"/>
    <s v="Não"/>
    <s v="Não"/>
    <n v="464.75"/>
    <n v="464.75"/>
  </r>
  <r>
    <s v="VGSP-330_092,000_ES_CL3"/>
    <x v="0"/>
    <s v="92,000"/>
    <m/>
    <s v="92,500"/>
    <m/>
    <x v="0"/>
    <s v="S"/>
    <n v="-22.93633102750147"/>
    <n v="-47.070540325538396"/>
    <n v="1622.24"/>
    <n v="5.67"/>
    <n v="60"/>
    <m/>
    <n v="0"/>
    <s v="Trator 1.7m"/>
    <m/>
    <s v="Não"/>
    <s v="Não"/>
    <s v="Não"/>
    <s v="Não"/>
    <n v="973.34399999999994"/>
    <n v="973.34399999999994"/>
  </r>
  <r>
    <s v="VGSP-330_092,000_ES_CL4"/>
    <x v="0"/>
    <s v="92,000"/>
    <m/>
    <s v="92,500"/>
    <m/>
    <x v="0"/>
    <s v="S"/>
    <n v="-22.93618274277377"/>
    <n v="-47.070807391087811"/>
    <n v="961.27"/>
    <n v="6.47"/>
    <n v="60"/>
    <m/>
    <n v="0"/>
    <s v="Trator 1.7m"/>
    <m/>
    <s v="Não"/>
    <s v="Não"/>
    <s v="Não"/>
    <s v="Não"/>
    <n v="576.76199999999994"/>
    <n v="576.76199999999994"/>
  </r>
  <r>
    <s v="VGSP-330_092,000_ES_CL10"/>
    <x v="0"/>
    <s v="92,000"/>
    <m/>
    <s v="92,500"/>
    <m/>
    <x v="0"/>
    <s v="S"/>
    <n v="-22.933984412653221"/>
    <n v="-47.073987990803538"/>
    <n v="23229.74"/>
    <n v="4.76"/>
    <n v="50"/>
    <m/>
    <n v="0"/>
    <s v="Trator 1.7m"/>
    <m/>
    <s v="Não"/>
    <s v="Não"/>
    <s v="Não"/>
    <s v="Não"/>
    <n v="11614.87"/>
    <n v="11614.87"/>
  </r>
  <r>
    <s v="VGSP-330_092,000_ES_CL11"/>
    <x v="0"/>
    <s v="92,000"/>
    <m/>
    <s v="92,500"/>
    <m/>
    <x v="0"/>
    <s v="S"/>
    <n v="-22.933766176975059"/>
    <n v="-47.076311918099954"/>
    <n v="939.43"/>
    <n v="5.88"/>
    <n v="50"/>
    <m/>
    <n v="0"/>
    <s v="Trator 1.7m"/>
    <m/>
    <s v="Não"/>
    <s v="Não"/>
    <s v="Não"/>
    <s v="Não"/>
    <n v="469.71499999999997"/>
    <n v="469.71499999999997"/>
  </r>
  <r>
    <s v="VGSP-330_092,000_ES_CL13"/>
    <x v="0"/>
    <s v="92,000"/>
    <m/>
    <s v="92,500"/>
    <m/>
    <x v="0"/>
    <s v="S"/>
    <n v="-22.933342553121818"/>
    <n v="-47.075101304479041"/>
    <n v="213.8"/>
    <n v="3.76"/>
    <n v="50"/>
    <m/>
    <n v="0"/>
    <s v="Trator 1.7m"/>
    <m/>
    <s v="Não"/>
    <s v="Não"/>
    <s v="Não"/>
    <s v="Não"/>
    <n v="106.9"/>
    <n v="106.9"/>
  </r>
  <r>
    <s v="VGSP-330_093,000_ES_CL1"/>
    <x v="0"/>
    <s v="93,000"/>
    <m/>
    <s v="93,500"/>
    <m/>
    <x v="0"/>
    <s v="S"/>
    <n v="-22.933538601680759"/>
    <n v="-47.077151154987853"/>
    <n v="124.37"/>
    <n v="3.35"/>
    <n v="50"/>
    <m/>
    <n v="0"/>
    <s v="Trator 1.7m"/>
    <m/>
    <s v="Não"/>
    <s v="Não"/>
    <s v="Não"/>
    <s v="Não"/>
    <n v="62.185000000000002"/>
    <n v="62.185000000000002"/>
  </r>
  <r>
    <s v="VGSP-348_093,000_CC1"/>
    <x v="113"/>
    <s v="93,000"/>
    <m/>
    <s v="93,500"/>
    <n v="0.5"/>
    <x v="1"/>
    <s v="C"/>
    <n v="-22.947208390077499"/>
    <n v="-47.125578817056763"/>
    <n v="1624.94"/>
    <n v="7.04"/>
    <n v="50"/>
    <m/>
    <n v="0"/>
    <s v="Trator 1.7m"/>
    <m/>
    <s v="Não"/>
    <s v="Não"/>
    <s v="Não"/>
    <s v="Não"/>
    <n v="812.47"/>
    <n v="812.47"/>
  </r>
  <r>
    <s v="VGSP-330_093,000_EN_CL5"/>
    <x v="0"/>
    <s v="93,000"/>
    <m/>
    <s v="93,500"/>
    <m/>
    <x v="0"/>
    <s v="N"/>
    <n v="-22.929655683492189"/>
    <n v="-47.07887848484765"/>
    <n v="320.58"/>
    <n v="2.16"/>
    <n v="50"/>
    <m/>
    <n v="0"/>
    <s v="Trator 1.7m"/>
    <m/>
    <s v="Não"/>
    <s v="Não"/>
    <s v="Não"/>
    <s v="Não"/>
    <n v="160.29"/>
    <n v="160.29"/>
  </r>
  <r>
    <s v="VGSP-330_093,000_ES_CL9"/>
    <x v="0"/>
    <s v="93,000"/>
    <m/>
    <s v="93,500"/>
    <m/>
    <x v="0"/>
    <s v="S"/>
    <n v="-22.928981566126751"/>
    <n v="-47.080992855922155"/>
    <n v="610.64"/>
    <n v="3.03"/>
    <n v="30"/>
    <m/>
    <n v="0"/>
    <s v="Trator 1.7m"/>
    <m/>
    <s v="Não"/>
    <s v="Não"/>
    <s v="Não"/>
    <s v="Não"/>
    <n v="183.19199999999998"/>
    <n v="183.19199999999998"/>
  </r>
  <r>
    <s v="VGSP-348_093,000_CC2"/>
    <x v="113"/>
    <s v="93,000"/>
    <m/>
    <s v="93,500"/>
    <n v="0.5"/>
    <x v="1"/>
    <s v="C"/>
    <n v="-22.947211071483679"/>
    <n v="-47.125914325348411"/>
    <n v="10612.14"/>
    <n v="6.83"/>
    <n v="80"/>
    <m/>
    <n v="0"/>
    <s v="Trator 1.7m"/>
    <m/>
    <s v="Não"/>
    <s v="Não"/>
    <s v="Não"/>
    <s v="Não"/>
    <n v="8489.7119999999995"/>
    <n v="8489.7119999999995"/>
  </r>
  <r>
    <s v="VGSP-348_093,000_CC3"/>
    <x v="113"/>
    <s v="93,000"/>
    <m/>
    <s v="93,500"/>
    <n v="0.5"/>
    <x v="1"/>
    <s v="C"/>
    <n v="-22.943037708058139"/>
    <n v="-47.126001243534823"/>
    <n v="13375.98"/>
    <n v="7.32"/>
    <n v="80"/>
    <m/>
    <n v="0"/>
    <s v="Trator 1.7m"/>
    <m/>
    <s v="Não"/>
    <s v="Não"/>
    <s v="Não"/>
    <s v="Não"/>
    <n v="10700.784"/>
    <n v="10700.784"/>
  </r>
  <r>
    <s v="VGSP-330_093,000_EN_CL4"/>
    <x v="0"/>
    <s v="93,000"/>
    <m/>
    <s v="93,500"/>
    <m/>
    <x v="0"/>
    <s v="N"/>
    <n v="-22.92839527329539"/>
    <n v="-47.080867829835078"/>
    <n v="2603.52"/>
    <n v="4.8899999999999997"/>
    <n v="0"/>
    <m/>
    <n v="0"/>
    <m/>
    <m/>
    <s v="Não"/>
    <s v="Não"/>
    <s v="Não"/>
    <s v="Não"/>
    <n v="0"/>
    <n v="0"/>
  </r>
  <r>
    <s v="VGSP-330_093,000_ES_CL6"/>
    <x v="0"/>
    <s v="93,000"/>
    <m/>
    <s v="93,500"/>
    <m/>
    <x v="0"/>
    <s v="S"/>
    <n v="-22.929667426435021"/>
    <n v="-47.079813827132334"/>
    <n v="574.44000000000005"/>
    <n v="3.84"/>
    <n v="30"/>
    <m/>
    <n v="0"/>
    <s v="Trator 1.7m"/>
    <m/>
    <s v="Não"/>
    <s v="Não"/>
    <s v="Não"/>
    <s v="Não"/>
    <n v="172.33200000000002"/>
    <n v="172.33200000000002"/>
  </r>
  <r>
    <s v="VGSP-330_093,000_ES_CL8"/>
    <x v="0"/>
    <s v="93,000"/>
    <m/>
    <s v="93,500"/>
    <m/>
    <x v="0"/>
    <s v="S"/>
    <n v="-22.92936514378723"/>
    <n v="-47.079889609892184"/>
    <n v="1036.5899999999999"/>
    <n v="4.3"/>
    <n v="30"/>
    <m/>
    <n v="0"/>
    <s v="Trator 1.7m"/>
    <m/>
    <s v="Não"/>
    <s v="Não"/>
    <s v="Não"/>
    <s v="Não"/>
    <n v="310.97699999999998"/>
    <n v="310.97699999999998"/>
  </r>
  <r>
    <s v="VGSP-330_093,000_EN_CL6"/>
    <x v="0"/>
    <s v="93,000"/>
    <m/>
    <s v="93,500"/>
    <m/>
    <x v="0"/>
    <s v="N"/>
    <n v="-22.927745045245061"/>
    <n v="-47.081705975029031"/>
    <n v="406.31"/>
    <n v="4.84"/>
    <n v="0"/>
    <m/>
    <n v="0"/>
    <m/>
    <m/>
    <s v="Não"/>
    <s v="Não"/>
    <s v="Não"/>
    <s v="Não"/>
    <n v="0"/>
    <n v="0"/>
  </r>
  <r>
    <s v="VGSP-330_093,000_CC"/>
    <x v="114"/>
    <s v="93,000"/>
    <m/>
    <s v="93,500"/>
    <m/>
    <x v="1"/>
    <s v="C"/>
    <n v="-22.931508084239429"/>
    <n v="-47.076532488245022"/>
    <n v="3654.25"/>
    <n v="2.5499999999999998"/>
    <n v="50"/>
    <m/>
    <n v="0"/>
    <s v="Trator 1.7m"/>
    <m/>
    <s v="Não"/>
    <s v="Não"/>
    <s v="Não"/>
    <s v="Não"/>
    <n v="1827.125"/>
    <n v="1827.125"/>
  </r>
  <r>
    <s v="VGSP-330_093,000_EN_CL3"/>
    <x v="0"/>
    <s v="93,000"/>
    <m/>
    <s v="93,500"/>
    <m/>
    <x v="0"/>
    <s v="N"/>
    <n v="-22.930101569362229"/>
    <n v="-47.078205040762775"/>
    <n v="539.83000000000004"/>
    <n v="2.62"/>
    <n v="50"/>
    <m/>
    <n v="0"/>
    <s v="Trator 1.7m"/>
    <m/>
    <s v="Não"/>
    <s v="Não"/>
    <s v="Não"/>
    <s v="Não"/>
    <n v="269.91500000000002"/>
    <n v="269.91500000000002"/>
  </r>
  <r>
    <s v="VGSP-330_093,000_EN_CL2"/>
    <x v="0"/>
    <s v="93,000"/>
    <m/>
    <s v="93,500"/>
    <m/>
    <x v="0"/>
    <s v="N"/>
    <n v="-22.93099617286396"/>
    <n v="-47.0759707547722"/>
    <n v="2154.23"/>
    <n v="3.57"/>
    <n v="50"/>
    <m/>
    <n v="0"/>
    <s v="Trator 1.7m"/>
    <m/>
    <s v="Não"/>
    <s v="Não"/>
    <s v="Não"/>
    <s v="Não"/>
    <n v="1077.115"/>
    <n v="1077.115"/>
  </r>
  <r>
    <s v="VGSP-330_093,000_ES_CL4"/>
    <x v="0"/>
    <s v="93,000"/>
    <m/>
    <s v="93,500"/>
    <m/>
    <x v="0"/>
    <s v="S"/>
    <n v="-22.931635723660229"/>
    <n v="-47.077012889377585"/>
    <n v="2159.73"/>
    <n v="3.84"/>
    <n v="50"/>
    <m/>
    <n v="0"/>
    <s v="Trator 1.7m"/>
    <m/>
    <s v="Não"/>
    <s v="Não"/>
    <s v="Não"/>
    <s v="Não"/>
    <n v="1079.865"/>
    <n v="1079.865"/>
  </r>
  <r>
    <s v="VGSP-330_093,000_ES_CL7"/>
    <x v="0"/>
    <s v="93,000"/>
    <m/>
    <s v="93,500"/>
    <m/>
    <x v="0"/>
    <s v="S"/>
    <n v="-22.930052628069021"/>
    <n v="-47.079309751685109"/>
    <n v="19.96"/>
    <n v="1.88"/>
    <n v="50"/>
    <m/>
    <n v="0"/>
    <s v="Trator 1.7m"/>
    <m/>
    <s v="Não"/>
    <s v="Não"/>
    <s v="Não"/>
    <s v="Não"/>
    <n v="9.98"/>
    <n v="9.98"/>
  </r>
  <r>
    <s v="VGSP-330_093,000_ES_CL11"/>
    <x v="0"/>
    <s v="93,000"/>
    <m/>
    <s v="93,500"/>
    <m/>
    <x v="0"/>
    <s v="S"/>
    <n v="-22.928166850755591"/>
    <n v="-47.081745304208468"/>
    <n v="1028.6300000000001"/>
    <n v="4.37"/>
    <n v="30"/>
    <m/>
    <n v="0"/>
    <s v="Trator 1.7m"/>
    <m/>
    <s v="Não"/>
    <s v="Não"/>
    <s v="Não"/>
    <s v="Não"/>
    <n v="308.589"/>
    <n v="308.589"/>
  </r>
  <r>
    <s v="VGSP-348_093,000_ES_CL1"/>
    <x v="0"/>
    <s v="93,000"/>
    <m/>
    <s v="93,500"/>
    <m/>
    <x v="0"/>
    <s v="S"/>
    <n v="-22.947214029807022"/>
    <n v="-47.126211606184647"/>
    <n v="1597.1"/>
    <n v="6.35"/>
    <n v="50"/>
    <m/>
    <n v="0"/>
    <s v="Trator 1.7m"/>
    <m/>
    <s v="Não"/>
    <s v="Não"/>
    <s v="Não"/>
    <s v="Não"/>
    <n v="798.55"/>
    <n v="798.55"/>
  </r>
  <r>
    <s v="VGSP-348_093,000_ES_CL2"/>
    <x v="0"/>
    <s v="93,000"/>
    <m/>
    <s v="93,500"/>
    <m/>
    <x v="0"/>
    <s v="S"/>
    <n v="-22.943039600994901"/>
    <n v="-47.126303048375938"/>
    <n v="2088.44"/>
    <n v="8.1199999999999992"/>
    <n v="50"/>
    <m/>
    <n v="0"/>
    <s v="Trator 1.7m"/>
    <m/>
    <s v="Não"/>
    <s v="Não"/>
    <s v="Não"/>
    <s v="Não"/>
    <n v="1044.22"/>
    <n v="1044.22"/>
  </r>
  <r>
    <s v="VGSP-330_093,000_ES_CL10"/>
    <x v="0"/>
    <s v="93,000"/>
    <m/>
    <s v="93,500"/>
    <m/>
    <x v="0"/>
    <s v="S"/>
    <n v="-22.92829933565314"/>
    <n v="-47.081827559268802"/>
    <n v="2694.27"/>
    <n v="4.78"/>
    <n v="30"/>
    <m/>
    <n v="0"/>
    <s v="Trator 1.7m"/>
    <m/>
    <s v="Não"/>
    <s v="Não"/>
    <s v="Não"/>
    <s v="Não"/>
    <n v="808.28099999999995"/>
    <n v="808.28099999999995"/>
  </r>
  <r>
    <s v="VGSP-330_093,000_ES_CL5"/>
    <x v="0"/>
    <s v="93,000"/>
    <m/>
    <s v="93,500"/>
    <m/>
    <x v="0"/>
    <s v="S"/>
    <n v="-22.929971104497419"/>
    <n v="-47.078909859935408"/>
    <n v="81.48"/>
    <n v="1.93"/>
    <n v="50"/>
    <m/>
    <n v="0"/>
    <s v="Trator 1.7m"/>
    <m/>
    <s v="Não"/>
    <s v="Não"/>
    <s v="Não"/>
    <s v="Não"/>
    <n v="40.74"/>
    <n v="40.74"/>
  </r>
  <r>
    <s v="VGSP-330_093,000_ES_CL3"/>
    <x v="0"/>
    <s v="93,000"/>
    <m/>
    <s v="93,500"/>
    <m/>
    <x v="0"/>
    <s v="S"/>
    <n v="-22.93315709557589"/>
    <n v="-47.075805973113837"/>
    <n v="1112.6099999999999"/>
    <n v="7.88"/>
    <n v="50"/>
    <m/>
    <n v="0"/>
    <s v="Trator 1.7m"/>
    <m/>
    <s v="Não"/>
    <s v="Não"/>
    <s v="Não"/>
    <s v="Não"/>
    <n v="556.30499999999995"/>
    <n v="556.30499999999995"/>
  </r>
  <r>
    <s v="VGSP-330_093,000_ES_CL2"/>
    <x v="0"/>
    <s v="93,000"/>
    <m/>
    <s v="93,500"/>
    <m/>
    <x v="0"/>
    <s v="S"/>
    <n v="-22.933454708336491"/>
    <n v="-47.076580022104196"/>
    <n v="1.1599999999999999"/>
    <n v="1.31"/>
    <m/>
    <m/>
    <n v="0"/>
    <m/>
    <m/>
    <s v="Não"/>
    <s v="Não"/>
    <s v="Não"/>
    <s v="Não"/>
    <n v="0"/>
    <n v="0"/>
  </r>
  <r>
    <s v="VGSP-348_093,000_EN_CL"/>
    <x v="0"/>
    <s v="93,000"/>
    <m/>
    <s v="93,500"/>
    <m/>
    <x v="0"/>
    <s v="N"/>
    <n v="-22.94307052418959"/>
    <n v="-47.125668067512358"/>
    <n v="2042.91"/>
    <n v="5.18"/>
    <n v="50"/>
    <m/>
    <n v="0"/>
    <s v="Trator 1.7m"/>
    <m/>
    <s v="Não"/>
    <s v="Não"/>
    <s v="Não"/>
    <s v="Não"/>
    <n v="1021.455"/>
    <n v="1021.455"/>
  </r>
  <r>
    <s v="VGSP-330_093,000_EN_CL7"/>
    <x v="0"/>
    <s v="93,000"/>
    <m/>
    <s v="93,500"/>
    <m/>
    <x v="0"/>
    <s v="N"/>
    <n v="-22.927177023975119"/>
    <n v="-47.082607909483919"/>
    <n v="0.64"/>
    <n v="6.31"/>
    <m/>
    <m/>
    <n v="0"/>
    <m/>
    <m/>
    <s v="Não"/>
    <s v="Não"/>
    <s v="Não"/>
    <s v="Não"/>
    <n v="0"/>
    <n v="0"/>
  </r>
  <r>
    <s v="VGSP-330_093,000_EN_CL1"/>
    <x v="0"/>
    <s v="93,000"/>
    <m/>
    <s v="93,500"/>
    <m/>
    <x v="0"/>
    <s v="N"/>
    <n v="-22.931549836275519"/>
    <n v="-47.075684024242499"/>
    <n v="3176.12"/>
    <n v="2.83"/>
    <n v="50"/>
    <m/>
    <n v="0"/>
    <s v="Trator 1.7m"/>
    <m/>
    <s v="Não"/>
    <s v="Não"/>
    <s v="Não"/>
    <s v="Não"/>
    <n v="1588.06"/>
    <n v="1588.06"/>
  </r>
  <r>
    <s v="VGSP-348_094,000_CC2"/>
    <x v="115"/>
    <s v="94,000"/>
    <m/>
    <s v="94,500"/>
    <n v="0.5"/>
    <x v="1"/>
    <s v="C"/>
    <n v="-22.93446452455478"/>
    <n v="-47.127597658824477"/>
    <n v="11959.74"/>
    <n v="4.96"/>
    <n v="80"/>
    <m/>
    <n v="0"/>
    <s v="Trator 1.7m"/>
    <m/>
    <s v="Não"/>
    <s v="Não"/>
    <s v="Não"/>
    <s v="Não"/>
    <n v="9567.7919999999995"/>
    <n v="9567.7919999999995"/>
  </r>
  <r>
    <s v="VGSP-330_094,000_ES_CL6"/>
    <x v="0"/>
    <s v="94,000"/>
    <m/>
    <s v="94,500"/>
    <m/>
    <x v="0"/>
    <s v="S"/>
    <n v="-22.923720094337909"/>
    <n v="-47.089216769501078"/>
    <n v="756.55"/>
    <n v="3.92"/>
    <n v="0"/>
    <m/>
    <n v="0"/>
    <m/>
    <m/>
    <s v="Não"/>
    <s v="Não"/>
    <s v="Não"/>
    <s v="Não"/>
    <n v="0"/>
    <n v="0"/>
  </r>
  <r>
    <s v="VGSP-330_094,000_ES_CL8"/>
    <x v="0"/>
    <s v="94,000"/>
    <m/>
    <s v="94,500"/>
    <m/>
    <x v="0"/>
    <s v="S"/>
    <n v="-22.922643691671141"/>
    <n v="-47.090732127930181"/>
    <n v="1511.5"/>
    <n v="2.72"/>
    <n v="0"/>
    <m/>
    <n v="0"/>
    <m/>
    <m/>
    <s v="Não"/>
    <s v="Não"/>
    <s v="Não"/>
    <s v="Não"/>
    <n v="0"/>
    <n v="0"/>
  </r>
  <r>
    <s v="VGSP-348_094,000_ES_CL1"/>
    <x v="0"/>
    <s v="94,000"/>
    <m/>
    <s v="94,500"/>
    <m/>
    <x v="0"/>
    <s v="S"/>
    <n v="-22.938653033878381"/>
    <n v="-47.126845392067288"/>
    <n v="1831.7"/>
    <n v="6.74"/>
    <n v="50"/>
    <m/>
    <n v="0"/>
    <s v="Trator 1.7m"/>
    <m/>
    <s v="Não"/>
    <s v="Não"/>
    <s v="Não"/>
    <s v="Não"/>
    <n v="915.85"/>
    <n v="915.85"/>
  </r>
  <r>
    <s v="VGSP-330_094,000_EN_CL2"/>
    <x v="0"/>
    <s v="94,000"/>
    <m/>
    <s v="94,500"/>
    <m/>
    <x v="0"/>
    <s v="N"/>
    <n v="-22.925925264513051"/>
    <n v="-47.084868470139092"/>
    <n v="2592.3200000000002"/>
    <n v="4.76"/>
    <n v="0"/>
    <m/>
    <n v="0"/>
    <m/>
    <m/>
    <s v="Não"/>
    <s v="Não"/>
    <s v="Não"/>
    <s v="Não"/>
    <n v="0"/>
    <n v="0"/>
  </r>
  <r>
    <s v="VGSP-348_094,000_ES_CL2"/>
    <x v="0"/>
    <s v="94,000"/>
    <m/>
    <s v="94,500"/>
    <m/>
    <x v="0"/>
    <s v="S"/>
    <n v="-22.9345127211838"/>
    <n v="-47.127905381563451"/>
    <n v="1940.08"/>
    <n v="6.17"/>
    <n v="50"/>
    <m/>
    <n v="0"/>
    <s v="Trator 1.7m"/>
    <m/>
    <s v="Não"/>
    <s v="Não"/>
    <s v="Não"/>
    <s v="Não"/>
    <n v="970.04"/>
    <n v="970.04"/>
  </r>
  <r>
    <s v="VGSP-330_094,000_ES_CL3"/>
    <x v="0"/>
    <s v="94,000"/>
    <m/>
    <s v="94,500"/>
    <m/>
    <x v="0"/>
    <s v="S"/>
    <n v="-22.92470234055595"/>
    <n v="-47.087367649274412"/>
    <n v="607.38"/>
    <n v="4.33"/>
    <n v="0"/>
    <m/>
    <n v="0"/>
    <m/>
    <m/>
    <s v="Não"/>
    <s v="Não"/>
    <s v="Não"/>
    <s v="Não"/>
    <n v="0"/>
    <n v="0"/>
  </r>
  <r>
    <s v="VGSP-330_094,000_EN_CL5"/>
    <x v="0"/>
    <s v="94,000"/>
    <m/>
    <s v="94,500"/>
    <m/>
    <x v="0"/>
    <s v="N"/>
    <n v="-22.923751291968149"/>
    <n v="-47.088125256848052"/>
    <n v="87.94"/>
    <n v="4.33"/>
    <n v="30"/>
    <m/>
    <n v="0"/>
    <s v="Trator 1.7m"/>
    <m/>
    <s v="Não"/>
    <s v="Não"/>
    <s v="Não"/>
    <s v="Não"/>
    <n v="26.381999999999998"/>
    <n v="26.381999999999998"/>
  </r>
  <r>
    <s v="VGSP-330_094,000_EN_CL4"/>
    <x v="0"/>
    <s v="94,000"/>
    <m/>
    <s v="94,500"/>
    <m/>
    <x v="0"/>
    <s v="N"/>
    <n v="-22.925023587875991"/>
    <n v="-47.086087518702705"/>
    <n v="432.17"/>
    <n v="5.61"/>
    <n v="0"/>
    <m/>
    <n v="0"/>
    <m/>
    <m/>
    <s v="Não"/>
    <s v="Não"/>
    <s v="Não"/>
    <s v="Não"/>
    <n v="0"/>
    <n v="0"/>
  </r>
  <r>
    <s v="VGSP-330_094,000_EN_CL6"/>
    <x v="0"/>
    <s v="94,000"/>
    <m/>
    <s v="94,500"/>
    <m/>
    <x v="0"/>
    <s v="N"/>
    <n v="-22.922405634869161"/>
    <n v="-47.090500650139049"/>
    <n v="1952.99"/>
    <n v="3.28"/>
    <n v="30"/>
    <m/>
    <n v="0"/>
    <s v="Trator 1.7m"/>
    <m/>
    <s v="Não"/>
    <s v="Não"/>
    <s v="Não"/>
    <s v="Não"/>
    <n v="585.89699999999993"/>
    <n v="585.89699999999993"/>
  </r>
  <r>
    <s v="VGSP-348_094,000_CC1"/>
    <x v="115"/>
    <s v="94,000"/>
    <m/>
    <s v="94,500"/>
    <n v="0.5"/>
    <x v="1"/>
    <s v="C"/>
    <n v="-22.938578996443479"/>
    <n v="-47.126553254761482"/>
    <n v="11854.89"/>
    <n v="6.22"/>
    <n v="80"/>
    <m/>
    <n v="0"/>
    <s v="Trator 1.7m"/>
    <m/>
    <s v="Não"/>
    <s v="Não"/>
    <s v="Não"/>
    <s v="Não"/>
    <n v="9483.9120000000003"/>
    <n v="9483.9120000000003"/>
  </r>
  <r>
    <s v="VGSP-330_094,000_ES_CL2"/>
    <x v="0"/>
    <s v="94,000"/>
    <m/>
    <s v="94,500"/>
    <m/>
    <x v="0"/>
    <s v="S"/>
    <n v="-22.926426765439089"/>
    <n v="-47.08462279034282"/>
    <n v="4569.9399999999996"/>
    <n v="3.94"/>
    <n v="30"/>
    <m/>
    <n v="0"/>
    <s v="Trator 1.7m"/>
    <m/>
    <s v="Não"/>
    <s v="Não"/>
    <s v="Não"/>
    <s v="Não"/>
    <n v="1370.9819999999997"/>
    <n v="1370.9819999999997"/>
  </r>
  <r>
    <s v="VGSP-330_094,000_ES_CL1"/>
    <x v="0"/>
    <s v="94,000"/>
    <m/>
    <s v="94,500"/>
    <m/>
    <x v="0"/>
    <s v="S"/>
    <n v="-22.927185554445369"/>
    <n v="-47.083770943644119"/>
    <n v="208.75"/>
    <n v="2.87"/>
    <n v="30"/>
    <m/>
    <n v="0"/>
    <s v="Trator 1.7m"/>
    <m/>
    <s v="Não"/>
    <s v="Não"/>
    <s v="Não"/>
    <s v="Não"/>
    <n v="62.625"/>
    <n v="62.625"/>
  </r>
  <r>
    <s v="VGSP-348_094,000_EN_CL2"/>
    <x v="0"/>
    <s v="94,000"/>
    <m/>
    <s v="94,500"/>
    <m/>
    <x v="0"/>
    <s v="N"/>
    <n v="-22.93429752009607"/>
    <n v="-47.127306433588018"/>
    <n v="1931.46"/>
    <n v="4.87"/>
    <n v="50"/>
    <m/>
    <n v="0"/>
    <s v="Trator 1.7m"/>
    <m/>
    <s v="Não"/>
    <s v="Não"/>
    <s v="Não"/>
    <s v="Não"/>
    <n v="965.73"/>
    <n v="965.73"/>
  </r>
  <r>
    <s v="VGSP-330_094,000_EN_CL1"/>
    <x v="0"/>
    <s v="94,000"/>
    <m/>
    <s v="94,500"/>
    <m/>
    <x v="0"/>
    <s v="N"/>
    <n v="-22.926300253286811"/>
    <n v="-47.083936096468705"/>
    <n v="795.83"/>
    <n v="4.09"/>
    <n v="0"/>
    <m/>
    <n v="0"/>
    <m/>
    <m/>
    <s v="Não"/>
    <s v="Não"/>
    <s v="Não"/>
    <s v="Não"/>
    <n v="0"/>
    <n v="0"/>
  </r>
  <r>
    <s v="VGSP-348_094,000_EN_CL1"/>
    <x v="0"/>
    <s v="94,000"/>
    <m/>
    <s v="94,500"/>
    <m/>
    <x v="0"/>
    <s v="N"/>
    <n v="-22.938398407904629"/>
    <n v="-47.126252203863508"/>
    <n v="1805.21"/>
    <n v="4.5999999999999996"/>
    <n v="50"/>
    <m/>
    <n v="0"/>
    <s v="Trator 1.7m"/>
    <m/>
    <s v="Não"/>
    <s v="Não"/>
    <s v="Não"/>
    <s v="Não"/>
    <n v="902.60500000000002"/>
    <n v="902.60500000000002"/>
  </r>
  <r>
    <s v="VGSP-330_094,000_ES_CL9"/>
    <x v="0"/>
    <s v="94,000"/>
    <m/>
    <s v="94,500"/>
    <m/>
    <x v="0"/>
    <s v="S"/>
    <n v="-22.92238929108181"/>
    <n v="-47.091332665835765"/>
    <n v="292.14"/>
    <n v="2.34"/>
    <n v="0"/>
    <m/>
    <n v="0"/>
    <m/>
    <m/>
    <s v="Não"/>
    <s v="Não"/>
    <s v="Não"/>
    <s v="Não"/>
    <n v="0"/>
    <n v="0"/>
  </r>
  <r>
    <s v="VGSP-330_094,000_ES_CL4"/>
    <x v="0"/>
    <s v="94,000"/>
    <m/>
    <s v="94,500"/>
    <m/>
    <x v="0"/>
    <s v="S"/>
    <n v="-22.925733924820449"/>
    <n v="-47.085943095678815"/>
    <n v="1047.5999999999999"/>
    <n v="4.21"/>
    <n v="30"/>
    <m/>
    <n v="0"/>
    <s v="Trator 1.7m"/>
    <m/>
    <s v="Não"/>
    <s v="Não"/>
    <s v="Não"/>
    <s v="Não"/>
    <n v="314.27999999999997"/>
    <n v="314.27999999999997"/>
  </r>
  <r>
    <s v="VGSP-330_094,000_ES_CL5"/>
    <x v="0"/>
    <s v="94,000"/>
    <m/>
    <s v="94,500"/>
    <m/>
    <x v="0"/>
    <s v="S"/>
    <n v="-22.92491236036614"/>
    <n v="-47.087297877733306"/>
    <n v="282.38"/>
    <n v="4"/>
    <n v="0"/>
    <m/>
    <n v="0"/>
    <m/>
    <m/>
    <s v="Não"/>
    <s v="Não"/>
    <s v="Não"/>
    <s v="Não"/>
    <n v="0"/>
    <n v="0"/>
  </r>
  <r>
    <s v="VGSP-330_094,000_EN_CL3"/>
    <x v="0"/>
    <s v="94,000"/>
    <m/>
    <s v="94,500"/>
    <m/>
    <x v="0"/>
    <s v="N"/>
    <n v="-22.92437899462908"/>
    <n v="-47.087138154464199"/>
    <n v="312.08"/>
    <n v="6.79"/>
    <n v="30"/>
    <m/>
    <n v="0"/>
    <s v="Trator 1.7m"/>
    <m/>
    <s v="Não"/>
    <s v="Não"/>
    <s v="Não"/>
    <s v="Não"/>
    <n v="93.623999999999995"/>
    <n v="93.623999999999995"/>
  </r>
  <r>
    <s v="VGSP-330_094,000_ES_CL7"/>
    <x v="0"/>
    <s v="94,000"/>
    <m/>
    <s v="94,500"/>
    <m/>
    <x v="0"/>
    <s v="S"/>
    <n v="-22.923768237906071"/>
    <n v="-47.08886468922865"/>
    <n v="776.28"/>
    <n v="4.3899999999999997"/>
    <n v="0"/>
    <m/>
    <n v="0"/>
    <m/>
    <m/>
    <s v="Não"/>
    <s v="Não"/>
    <s v="Não"/>
    <s v="Não"/>
    <n v="0"/>
    <n v="0"/>
  </r>
  <r>
    <s v="VGSP-330_095,000_ES_CL6"/>
    <x v="0"/>
    <s v="95,000"/>
    <m/>
    <s v="95,500"/>
    <m/>
    <x v="0"/>
    <s v="S"/>
    <n v="-22.918828973763809"/>
    <n v="-47.095481385927535"/>
    <n v="181.79"/>
    <n v="3.89"/>
    <n v="0"/>
    <m/>
    <n v="0"/>
    <m/>
    <m/>
    <s v="Não"/>
    <s v="Não"/>
    <s v="Não"/>
    <s v="Não"/>
    <n v="0"/>
    <n v="0"/>
  </r>
  <r>
    <s v="VGSP-330_095,000_EN_CL10"/>
    <x v="0"/>
    <s v="95,000"/>
    <m/>
    <s v="95,500"/>
    <m/>
    <x v="0"/>
    <s v="N"/>
    <n v="-22.917691131682549"/>
    <n v="-47.095337295330935"/>
    <n v="0.64"/>
    <n v="3.82"/>
    <m/>
    <m/>
    <n v="0"/>
    <m/>
    <m/>
    <s v="Não"/>
    <s v="Não"/>
    <s v="Não"/>
    <s v="Não"/>
    <n v="0"/>
    <n v="0"/>
  </r>
  <r>
    <s v="VGSP-330_095,000_EN_CL4"/>
    <x v="0"/>
    <s v="95,000"/>
    <m/>
    <s v="95,500"/>
    <m/>
    <x v="0"/>
    <s v="N"/>
    <n v="-22.91987382138317"/>
    <n v="-47.093723018743546"/>
    <n v="1925.62"/>
    <n v="2.8"/>
    <n v="30"/>
    <m/>
    <n v="0"/>
    <s v="Trator 1.7m"/>
    <m/>
    <s v="Não"/>
    <s v="Não"/>
    <s v="Não"/>
    <s v="Não"/>
    <n v="577.68599999999992"/>
    <n v="577.68599999999992"/>
  </r>
  <r>
    <s v="VGSP-330_095,000_EN_CL3"/>
    <x v="0"/>
    <s v="95,000"/>
    <m/>
    <s v="95,500"/>
    <m/>
    <x v="0"/>
    <s v="N"/>
    <n v="-22.921860988610749"/>
    <n v="-47.091158226536805"/>
    <n v="79.209999999999994"/>
    <n v="2.82"/>
    <n v="30"/>
    <m/>
    <n v="0"/>
    <s v="Trator 1.7m"/>
    <m/>
    <s v="Não"/>
    <s v="Não"/>
    <s v="Não"/>
    <s v="Não"/>
    <n v="23.762999999999998"/>
    <n v="23.762999999999998"/>
  </r>
  <r>
    <s v="VGSP-348_095,000_ES_CL1"/>
    <x v="0"/>
    <s v="95,000"/>
    <m/>
    <s v="95,500"/>
    <m/>
    <x v="0"/>
    <s v="S"/>
    <n v="-22.931469279428999"/>
    <n v="-47.128738800047877"/>
    <n v="842.21"/>
    <n v="5.23"/>
    <n v="50"/>
    <m/>
    <n v="0"/>
    <s v="Trator 1.7m"/>
    <m/>
    <s v="Não"/>
    <s v="Não"/>
    <s v="Não"/>
    <s v="Não"/>
    <n v="421.10500000000002"/>
    <n v="421.10500000000002"/>
  </r>
  <r>
    <s v="VGSP-348_095,000_CC3"/>
    <x v="116"/>
    <s v="95,000"/>
    <m/>
    <s v="95,500"/>
    <n v="0.5"/>
    <x v="1"/>
    <s v="C"/>
    <n v="-22.926154471506148"/>
    <n v="-47.130036195588161"/>
    <n v="23730.39"/>
    <n v="4.41"/>
    <n v="80"/>
    <m/>
    <n v="0"/>
    <s v="Trator 1.7m"/>
    <m/>
    <s v="Não"/>
    <s v="Não"/>
    <s v="Não"/>
    <s v="Não"/>
    <n v="18984.312000000002"/>
    <n v="18984.312000000002"/>
  </r>
  <r>
    <s v="VGSP-348_095,000_CC2"/>
    <x v="116"/>
    <s v="95,000"/>
    <m/>
    <s v="95,500"/>
    <n v="0.5"/>
    <x v="1"/>
    <s v="C"/>
    <n v="-22.92922305260009"/>
    <n v="-47.129034036386052"/>
    <n v="3372.89"/>
    <n v="5.92"/>
    <n v="80"/>
    <m/>
    <n v="0"/>
    <s v="Trator 1.7m"/>
    <m/>
    <s v="Não"/>
    <s v="Não"/>
    <s v="Não"/>
    <s v="Não"/>
    <n v="2698.3119999999999"/>
    <n v="2698.3119999999999"/>
  </r>
  <r>
    <s v="VGSP-330_095,000_ES_CL9"/>
    <x v="0"/>
    <s v="95,000"/>
    <m/>
    <s v="95,500"/>
    <m/>
    <x v="0"/>
    <s v="S"/>
    <n v="-22.916443576016832"/>
    <n v="-47.097182481840036"/>
    <n v="922.25"/>
    <n v="2.72"/>
    <n v="0"/>
    <m/>
    <n v="0"/>
    <m/>
    <m/>
    <s v="Não"/>
    <s v="Não"/>
    <s v="Não"/>
    <s v="Não"/>
    <n v="0"/>
    <n v="0"/>
  </r>
  <r>
    <s v="VGSP-330_095,000_ES_CL8"/>
    <x v="0"/>
    <s v="95,000"/>
    <m/>
    <s v="95,500"/>
    <m/>
    <x v="0"/>
    <s v="S"/>
    <n v="-22.91777106274559"/>
    <n v="-47.0960325778167"/>
    <n v="1702.68"/>
    <n v="3"/>
    <n v="0"/>
    <m/>
    <n v="0"/>
    <m/>
    <m/>
    <s v="Não"/>
    <s v="Não"/>
    <s v="Não"/>
    <s v="Não"/>
    <n v="0"/>
    <n v="0"/>
  </r>
  <r>
    <s v="VGSP-330_095,000_ES_CL7"/>
    <x v="0"/>
    <s v="95,000"/>
    <m/>
    <s v="95,500"/>
    <m/>
    <x v="0"/>
    <s v="S"/>
    <n v="-22.918437505389221"/>
    <n v="-47.095720621852635"/>
    <n v="2240.11"/>
    <n v="3.15"/>
    <n v="0"/>
    <m/>
    <n v="0"/>
    <m/>
    <m/>
    <s v="Não"/>
    <s v="Não"/>
    <s v="Não"/>
    <s v="Não"/>
    <n v="0"/>
    <n v="0"/>
  </r>
  <r>
    <s v="VGSP-330_095,000_ES_CL4"/>
    <x v="0"/>
    <s v="95,000"/>
    <m/>
    <s v="95,500"/>
    <m/>
    <x v="0"/>
    <s v="S"/>
    <n v="-22.920126908308031"/>
    <n v="-47.093860512732967"/>
    <n v="1741.69"/>
    <n v="2.5099999999999998"/>
    <n v="0"/>
    <m/>
    <n v="0"/>
    <m/>
    <m/>
    <s v="Não"/>
    <s v="Não"/>
    <s v="Não"/>
    <s v="Não"/>
    <n v="0"/>
    <n v="0"/>
  </r>
  <r>
    <s v="VGSP-348_095,000_EN_CL4"/>
    <x v="0"/>
    <s v="95,000"/>
    <m/>
    <s v="95,500"/>
    <m/>
    <x v="0"/>
    <s v="N"/>
    <n v="-22.928935512821148"/>
    <n v="-47.128749951499493"/>
    <n v="300.54000000000002"/>
    <n v="7.48"/>
    <n v="50"/>
    <m/>
    <n v="0"/>
    <s v="Trator 1.7m"/>
    <m/>
    <s v="Não"/>
    <s v="Não"/>
    <s v="Não"/>
    <s v="Não"/>
    <n v="150.27000000000001"/>
    <n v="150.27000000000001"/>
  </r>
  <r>
    <s v="VGSP-330_095,000_ES_CL3"/>
    <x v="0"/>
    <s v="95,000"/>
    <m/>
    <s v="95,500"/>
    <m/>
    <x v="0"/>
    <s v="S"/>
    <n v="-22.920792897073021"/>
    <n v="-47.093368003525924"/>
    <n v="514.03"/>
    <n v="2.1800000000000002"/>
    <n v="0"/>
    <m/>
    <n v="0"/>
    <m/>
    <m/>
    <s v="Não"/>
    <s v="Não"/>
    <s v="Não"/>
    <s v="Não"/>
    <n v="0"/>
    <n v="0"/>
  </r>
  <r>
    <s v="VGSP-330_095,000_ES_CL5"/>
    <x v="0"/>
    <s v="95,000"/>
    <m/>
    <s v="95,500"/>
    <m/>
    <x v="0"/>
    <s v="S"/>
    <n v="-22.919649639697049"/>
    <n v="-47.094505219167125"/>
    <n v="169.71"/>
    <n v="1.77"/>
    <n v="0"/>
    <m/>
    <n v="0"/>
    <m/>
    <m/>
    <s v="Não"/>
    <s v="Não"/>
    <s v="Não"/>
    <s v="Não"/>
    <n v="0"/>
    <n v="0"/>
  </r>
  <r>
    <s v="VGSP-330_095,000_ES_CL1"/>
    <x v="0"/>
    <s v="95,000"/>
    <m/>
    <s v="95,500"/>
    <m/>
    <x v="0"/>
    <s v="S"/>
    <n v="-22.921628973289572"/>
    <n v="-47.092183414553965"/>
    <n v="884.68"/>
    <n v="3.51"/>
    <n v="0"/>
    <m/>
    <n v="0"/>
    <m/>
    <m/>
    <s v="Não"/>
    <s v="Não"/>
    <s v="Não"/>
    <s v="Não"/>
    <n v="0"/>
    <n v="0"/>
  </r>
  <r>
    <s v="VGSP-330_095,000_ES_CL2"/>
    <x v="0"/>
    <s v="95,000"/>
    <m/>
    <s v="95,500"/>
    <m/>
    <x v="0"/>
    <s v="S"/>
    <n v="-22.921691824849098"/>
    <n v="-47.092284202643739"/>
    <n v="521.13"/>
    <n v="3.61"/>
    <n v="0"/>
    <m/>
    <n v="0"/>
    <m/>
    <m/>
    <s v="Não"/>
    <s v="Não"/>
    <s v="Não"/>
    <s v="Não"/>
    <n v="0"/>
    <n v="0"/>
  </r>
  <r>
    <s v="VGSP-348_095,000_CC1"/>
    <x v="116"/>
    <s v="95,000"/>
    <m/>
    <s v="95,500"/>
    <n v="0.5"/>
    <x v="1"/>
    <s v="C"/>
    <n v="-22.931248056370009"/>
    <n v="-47.128467003394697"/>
    <n v="5582.3"/>
    <n v="3.62"/>
    <n v="80"/>
    <m/>
    <n v="0"/>
    <s v="Trator 1.7m"/>
    <m/>
    <s v="Não"/>
    <s v="Não"/>
    <s v="Não"/>
    <s v="Não"/>
    <n v="4465.84"/>
    <n v="4465.84"/>
  </r>
  <r>
    <s v="VGSP-330_095,000_EN_CL1"/>
    <x v="0"/>
    <s v="95,000"/>
    <m/>
    <s v="95,500"/>
    <m/>
    <x v="0"/>
    <s v="N"/>
    <n v="-22.921420573524209"/>
    <n v="-47.09199749564695"/>
    <n v="1106.98"/>
    <n v="3.92"/>
    <n v="30"/>
    <m/>
    <n v="0"/>
    <s v="Trator 1.7m"/>
    <m/>
    <s v="Não"/>
    <s v="Não"/>
    <s v="Não"/>
    <s v="Não"/>
    <n v="332.09399999999999"/>
    <n v="332.09399999999999"/>
  </r>
  <r>
    <s v="VGSP-330_095,000_EN_CL2"/>
    <x v="0"/>
    <s v="95,000"/>
    <m/>
    <s v="95,500"/>
    <m/>
    <x v="0"/>
    <s v="N"/>
    <n v="-22.921388104275671"/>
    <n v="-47.091846933410501"/>
    <n v="214.42"/>
    <n v="3.46"/>
    <n v="30"/>
    <m/>
    <n v="0"/>
    <s v="Trator 1.7m"/>
    <m/>
    <s v="Não"/>
    <s v="Não"/>
    <s v="Não"/>
    <s v="Não"/>
    <n v="64.325999999999993"/>
    <n v="64.325999999999993"/>
  </r>
  <r>
    <s v="VGSP-330_095,000_EN_CL5"/>
    <x v="0"/>
    <s v="95,000"/>
    <m/>
    <s v="95,500"/>
    <m/>
    <x v="0"/>
    <s v="N"/>
    <n v="-22.919359293070151"/>
    <n v="-47.094042145768782"/>
    <n v="478.94"/>
    <n v="3.26"/>
    <n v="30"/>
    <m/>
    <n v="0"/>
    <s v="Trator 1.7m"/>
    <m/>
    <s v="Não"/>
    <s v="Não"/>
    <s v="Não"/>
    <s v="Não"/>
    <n v="143.68199999999999"/>
    <n v="143.68199999999999"/>
  </r>
  <r>
    <s v="VGSP-348_095,000_EN_CL2"/>
    <x v="0"/>
    <s v="95,000"/>
    <m/>
    <s v="95,500"/>
    <m/>
    <x v="0"/>
    <s v="N"/>
    <n v="-22.93125808658445"/>
    <n v="-47.127665920926823"/>
    <n v="5"/>
    <n v="7.16"/>
    <m/>
    <m/>
    <n v="0"/>
    <m/>
    <m/>
    <s v="Não"/>
    <s v="Não"/>
    <s v="Não"/>
    <s v="Não"/>
    <n v="0"/>
    <n v="0"/>
  </r>
  <r>
    <s v="VGSP-348_095,000_EN_CL1"/>
    <x v="0"/>
    <s v="95,000"/>
    <m/>
    <s v="95,500"/>
    <m/>
    <x v="0"/>
    <s v="N"/>
    <n v="-22.931043002609051"/>
    <n v="-47.128199876957112"/>
    <n v="1044.17"/>
    <n v="4.4800000000000004"/>
    <n v="50"/>
    <m/>
    <n v="0"/>
    <s v="Trator 1.7m"/>
    <m/>
    <s v="Não"/>
    <s v="Não"/>
    <s v="Não"/>
    <s v="Não"/>
    <n v="522.08500000000004"/>
    <n v="522.08500000000004"/>
  </r>
  <r>
    <s v="VGSP-348_095,000_ES_CL3"/>
    <x v="0"/>
    <s v="95,000"/>
    <m/>
    <s v="95,500"/>
    <m/>
    <x v="0"/>
    <s v="S"/>
    <n v="-22.929754444766669"/>
    <n v="-47.129332505319162"/>
    <n v="918.19"/>
    <n v="5.84"/>
    <n v="50"/>
    <m/>
    <n v="0"/>
    <s v="Trator 1.7m"/>
    <m/>
    <s v="Não"/>
    <s v="Não"/>
    <s v="Não"/>
    <s v="Não"/>
    <n v="459.09500000000003"/>
    <n v="459.09500000000003"/>
  </r>
  <r>
    <s v="VGSP-348_095,000_ES_CL2"/>
    <x v="0"/>
    <s v="95,000"/>
    <m/>
    <s v="95,500"/>
    <m/>
    <x v="0"/>
    <s v="S"/>
    <n v="-22.926658088783281"/>
    <n v="-47.13034758272871"/>
    <n v="1995.37"/>
    <n v="7.55"/>
    <n v="50"/>
    <m/>
    <n v="0"/>
    <s v="Trator 1.7m"/>
    <m/>
    <s v="Não"/>
    <s v="Não"/>
    <s v="Não"/>
    <s v="Não"/>
    <n v="997.68499999999995"/>
    <n v="997.68499999999995"/>
  </r>
  <r>
    <s v="VGSP-348_095,000_EN_CL3"/>
    <x v="0"/>
    <s v="95,000"/>
    <m/>
    <s v="95,500"/>
    <m/>
    <x v="0"/>
    <s v="N"/>
    <n v="-22.92641430902917"/>
    <n v="-47.129466768547083"/>
    <n v="2022.02"/>
    <n v="4.3"/>
    <n v="50"/>
    <m/>
    <n v="0"/>
    <s v="Trator 1.7m"/>
    <m/>
    <s v="Não"/>
    <s v="Não"/>
    <s v="Não"/>
    <s v="Não"/>
    <n v="1011.01"/>
    <n v="1011.01"/>
  </r>
  <r>
    <s v="VGSP-330_095,000_EN_CL9"/>
    <x v="0"/>
    <s v="95,000"/>
    <m/>
    <s v="95,500"/>
    <m/>
    <x v="0"/>
    <s v="N"/>
    <n v="-22.917871854350029"/>
    <n v="-47.095065440234656"/>
    <n v="9.14"/>
    <n v="2.64"/>
    <m/>
    <m/>
    <n v="0"/>
    <m/>
    <m/>
    <s v="Não"/>
    <s v="Não"/>
    <s v="Não"/>
    <s v="Não"/>
    <n v="0"/>
    <n v="0"/>
  </r>
  <r>
    <s v="VGSP-330_095,000_EN_CL11"/>
    <x v="0"/>
    <s v="95,000"/>
    <m/>
    <s v="95,500"/>
    <m/>
    <x v="0"/>
    <s v="N"/>
    <n v="-22.916484789106679"/>
    <n v="-47.096763226822489"/>
    <n v="953.96"/>
    <n v="3.3"/>
    <n v="0"/>
    <m/>
    <n v="0"/>
    <m/>
    <m/>
    <s v="Não"/>
    <s v="Não"/>
    <s v="Não"/>
    <s v="Não"/>
    <n v="0"/>
    <n v="0"/>
  </r>
  <r>
    <s v="VGSP-330_095,000_EN_CL8"/>
    <x v="0"/>
    <s v="95,000"/>
    <m/>
    <s v="95,500"/>
    <m/>
    <x v="0"/>
    <s v="N"/>
    <n v="-22.917961605073611"/>
    <n v="-47.095154325813887"/>
    <n v="992.12"/>
    <n v="2.73"/>
    <n v="0"/>
    <m/>
    <n v="0"/>
    <m/>
    <m/>
    <s v="Não"/>
    <s v="Não"/>
    <s v="Não"/>
    <s v="Não"/>
    <n v="0"/>
    <n v="0"/>
  </r>
  <r>
    <s v="VGSP-330_095,000_EN_CL7"/>
    <x v="0"/>
    <s v="95,000"/>
    <m/>
    <s v="95,500"/>
    <m/>
    <x v="0"/>
    <s v="N"/>
    <n v="-22.918189532938079"/>
    <n v="-47.095173618370929"/>
    <n v="139.07"/>
    <n v="1.17"/>
    <n v="0"/>
    <m/>
    <n v="0"/>
    <m/>
    <m/>
    <s v="Não"/>
    <s v="Não"/>
    <s v="Não"/>
    <s v="Não"/>
    <n v="0"/>
    <n v="0"/>
  </r>
  <r>
    <s v="VGSP-330_095,000_EN_CL6"/>
    <x v="0"/>
    <s v="95,000"/>
    <m/>
    <s v="95,500"/>
    <m/>
    <x v="0"/>
    <s v="N"/>
    <n v="-22.918205804046909"/>
    <n v="-47.094857543468912"/>
    <n v="77.790000000000006"/>
    <n v="1.38"/>
    <n v="0"/>
    <m/>
    <n v="0"/>
    <m/>
    <m/>
    <s v="Não"/>
    <s v="Não"/>
    <s v="Não"/>
    <s v="Não"/>
    <n v="0"/>
    <n v="0"/>
  </r>
  <r>
    <s v="VGSP-330_096,000_ES_CL10"/>
    <x v="0"/>
    <s v="96,000"/>
    <m/>
    <s v="96,500"/>
    <m/>
    <x v="0"/>
    <s v="S"/>
    <n v="-22.909308118521771"/>
    <n v="-47.104044251598197"/>
    <n v="4069.8"/>
    <n v="5.69"/>
    <n v="0"/>
    <m/>
    <n v="0"/>
    <m/>
    <m/>
    <s v="Não"/>
    <s v="Não"/>
    <s v="Não"/>
    <s v="Não"/>
    <n v="0"/>
    <n v="0"/>
  </r>
  <r>
    <s v="VGSP-348_096,000_CC2"/>
    <x v="117"/>
    <s v="96,000"/>
    <m/>
    <s v="96,500"/>
    <n v="0.5"/>
    <x v="1"/>
    <s v="C"/>
    <n v="-22.921978015188561"/>
    <n v="-47.133514991417023"/>
    <n v="9451.2900000000009"/>
    <n v="4.7300000000000004"/>
    <n v="80"/>
    <m/>
    <n v="0"/>
    <s v="Trator 1.7m"/>
    <m/>
    <s v="Não"/>
    <s v="Não"/>
    <s v="Não"/>
    <s v="Não"/>
    <n v="7561.0320000000011"/>
    <n v="7561.0320000000011"/>
  </r>
  <r>
    <s v="VGSP-348_096,000_CC1"/>
    <x v="117"/>
    <s v="96,000"/>
    <m/>
    <s v="96,500"/>
    <n v="0.5"/>
    <x v="1"/>
    <s v="C"/>
    <n v="-22.92331102351028"/>
    <n v="-47.13167376319003"/>
    <n v="23020.33"/>
    <n v="3.2"/>
    <n v="80"/>
    <m/>
    <n v="0"/>
    <s v="Trator 1.7m"/>
    <m/>
    <s v="Não"/>
    <s v="Não"/>
    <s v="Não"/>
    <s v="Não"/>
    <n v="18416.264000000003"/>
    <n v="18416.264000000003"/>
  </r>
  <r>
    <s v="VGSP-330_096,000_ES_CL6"/>
    <x v="0"/>
    <s v="96,000"/>
    <m/>
    <s v="96,500"/>
    <m/>
    <x v="0"/>
    <s v="S"/>
    <n v="-22.910942993486358"/>
    <n v="-47.10199573798706"/>
    <n v="1758.24"/>
    <n v="5.75"/>
    <n v="0"/>
    <m/>
    <n v="0"/>
    <m/>
    <m/>
    <s v="Não"/>
    <s v="Não"/>
    <s v="Não"/>
    <s v="Não"/>
    <n v="0"/>
    <n v="0"/>
  </r>
  <r>
    <s v="VGSP-330_096,000_ES_CL1"/>
    <x v="0"/>
    <s v="96,000"/>
    <m/>
    <s v="96,500"/>
    <m/>
    <x v="0"/>
    <s v="S"/>
    <n v="-22.91523222005868"/>
    <n v="-47.098226007512324"/>
    <n v="1346.41"/>
    <n v="4.33"/>
    <n v="0"/>
    <m/>
    <n v="0"/>
    <m/>
    <m/>
    <s v="Não"/>
    <s v="Não"/>
    <s v="Não"/>
    <s v="Não"/>
    <n v="0"/>
    <n v="0"/>
  </r>
  <r>
    <s v="VGSP-330_096,000_EN_CL2"/>
    <x v="0"/>
    <s v="96,000"/>
    <m/>
    <s v="96,500"/>
    <m/>
    <x v="0"/>
    <s v="N"/>
    <n v="-22.91075217027813"/>
    <n v="-47.101802923378067"/>
    <n v="1757.72"/>
    <n v="4.49"/>
    <n v="40"/>
    <m/>
    <n v="0"/>
    <s v="Trator 1.7m"/>
    <m/>
    <s v="Não"/>
    <s v="Não"/>
    <s v="Não"/>
    <s v="Não"/>
    <n v="703.08800000000008"/>
    <n v="703.08800000000008"/>
  </r>
  <r>
    <s v="VGSP-348_096,000_EN_CL3"/>
    <x v="0"/>
    <s v="96,000"/>
    <m/>
    <s v="96,500"/>
    <m/>
    <x v="0"/>
    <s v="N"/>
    <n v="-22.920661052512859"/>
    <n v="-47.136546215751622"/>
    <n v="2101.6"/>
    <n v="5.17"/>
    <n v="50"/>
    <m/>
    <n v="0"/>
    <s v="Trator 1.7m"/>
    <m/>
    <s v="Não"/>
    <s v="Não"/>
    <s v="Não"/>
    <s v="Não"/>
    <n v="1050.8"/>
    <n v="1050.8"/>
  </r>
  <r>
    <s v="VGSP-330_096,000_CC"/>
    <x v="118"/>
    <s v="96,000"/>
    <m/>
    <s v="96,500"/>
    <m/>
    <x v="1"/>
    <s v="C"/>
    <n v="-22.908868411369738"/>
    <n v="-47.10381363027512"/>
    <n v="494.37"/>
    <n v="5.7"/>
    <n v="0"/>
    <m/>
    <n v="0"/>
    <m/>
    <m/>
    <s v="Não"/>
    <s v="Não"/>
    <s v="Não"/>
    <s v="Não"/>
    <n v="0"/>
    <n v="0"/>
  </r>
  <r>
    <s v="VGSP-330_096,000_ES_CL2"/>
    <x v="0"/>
    <s v="96,000"/>
    <m/>
    <s v="96,500"/>
    <m/>
    <x v="0"/>
    <s v="S"/>
    <n v="-22.91377304166754"/>
    <n v="-47.099507691165208"/>
    <n v="487.34"/>
    <n v="4.7"/>
    <n v="0"/>
    <m/>
    <n v="0"/>
    <m/>
    <m/>
    <s v="Não"/>
    <s v="Não"/>
    <s v="Não"/>
    <s v="Não"/>
    <n v="0"/>
    <n v="0"/>
  </r>
  <r>
    <s v="VGSP-348_096,000_ES_CL1"/>
    <x v="0"/>
    <s v="96,000"/>
    <m/>
    <s v="96,500"/>
    <m/>
    <x v="0"/>
    <s v="S"/>
    <n v="-22.923256921498311"/>
    <n v="-47.132716837316018"/>
    <n v="1638.15"/>
    <n v="6.18"/>
    <n v="50"/>
    <m/>
    <n v="0"/>
    <s v="Trator 1.7m"/>
    <m/>
    <s v="Não"/>
    <s v="Não"/>
    <s v="Não"/>
    <s v="Não"/>
    <n v="819.07500000000005"/>
    <n v="819.07500000000005"/>
  </r>
  <r>
    <s v="VGSP-330_096,000_ES_CL4"/>
    <x v="0"/>
    <s v="96,000"/>
    <m/>
    <s v="96,500"/>
    <m/>
    <x v="0"/>
    <s v="S"/>
    <n v="-22.912244477004158"/>
    <n v="-47.101070590248739"/>
    <n v="91.62"/>
    <n v="3.82"/>
    <n v="0"/>
    <m/>
    <n v="0"/>
    <m/>
    <m/>
    <s v="Não"/>
    <s v="Não"/>
    <s v="Não"/>
    <s v="Não"/>
    <n v="0"/>
    <n v="0"/>
  </r>
  <r>
    <s v="VGSP-348_096,000_EN_CL2"/>
    <x v="0"/>
    <s v="96,000"/>
    <m/>
    <s v="96,500"/>
    <m/>
    <x v="0"/>
    <s v="N"/>
    <n v="-22.921138108691292"/>
    <n v="-47.133846240337043"/>
    <n v="197.35"/>
    <n v="5.81"/>
    <n v="50"/>
    <m/>
    <n v="0"/>
    <s v="Trator 1.7m"/>
    <m/>
    <s v="Não"/>
    <s v="Não"/>
    <s v="Não"/>
    <s v="Não"/>
    <n v="98.674999999999997"/>
    <n v="98.674999999999997"/>
  </r>
  <r>
    <s v="VGSP-330_096,000_EN_CL1"/>
    <x v="0"/>
    <s v="96,000"/>
    <m/>
    <s v="96,500"/>
    <m/>
    <x v="0"/>
    <s v="N"/>
    <n v="-22.915032532733399"/>
    <n v="-47.098040073730203"/>
    <n v="1230.6400000000001"/>
    <n v="4.57"/>
    <n v="0"/>
    <m/>
    <n v="0"/>
    <m/>
    <m/>
    <s v="Não"/>
    <s v="Não"/>
    <s v="Não"/>
    <s v="Não"/>
    <n v="0"/>
    <n v="0"/>
  </r>
  <r>
    <s v="VGSP-348_096,000_CC3"/>
    <x v="117"/>
    <s v="96,000"/>
    <m/>
    <s v="96,500"/>
    <n v="0.5"/>
    <x v="1"/>
    <s v="C"/>
    <n v="-22.921084405382921"/>
    <n v="-47.135904666746427"/>
    <n v="18509.419999999998"/>
    <n v="6.74"/>
    <n v="80"/>
    <m/>
    <n v="0"/>
    <s v="Trator 1.7m"/>
    <m/>
    <s v="Não"/>
    <s v="Não"/>
    <s v="Não"/>
    <s v="Não"/>
    <n v="14807.536"/>
    <n v="14807.536"/>
  </r>
  <r>
    <s v="VGSP-348_096,000_EN_CL1"/>
    <x v="0"/>
    <s v="96,000"/>
    <m/>
    <s v="96,500"/>
    <m/>
    <x v="0"/>
    <s v="N"/>
    <n v="-22.923874530166891"/>
    <n v="-47.130476848509304"/>
    <n v="434.44"/>
    <n v="3.77"/>
    <n v="50"/>
    <m/>
    <n v="0"/>
    <s v="Trator 1.7m"/>
    <m/>
    <s v="Não"/>
    <s v="Não"/>
    <s v="Não"/>
    <s v="Não"/>
    <n v="217.22"/>
    <n v="217.22"/>
  </r>
  <r>
    <s v="VGSP-330_096,000_ES_CL5"/>
    <x v="0"/>
    <s v="96,000"/>
    <m/>
    <s v="96,500"/>
    <m/>
    <x v="0"/>
    <s v="S"/>
    <n v="-22.911589646084138"/>
    <n v="-47.101635670531529"/>
    <n v="462.28"/>
    <n v="4.33"/>
    <n v="0"/>
    <m/>
    <n v="0"/>
    <m/>
    <m/>
    <s v="Não"/>
    <s v="Não"/>
    <s v="Não"/>
    <s v="Não"/>
    <n v="0"/>
    <n v="0"/>
  </r>
  <r>
    <s v="VGSP-330_096,000_EN_CL4"/>
    <x v="0"/>
    <s v="96,000"/>
    <m/>
    <s v="96,500"/>
    <m/>
    <x v="0"/>
    <s v="N"/>
    <n v="-22.908807595007541"/>
    <n v="-47.103337234874118"/>
    <n v="684.92"/>
    <n v="5.33"/>
    <n v="40"/>
    <m/>
    <n v="0"/>
    <s v="Trator 1.7m"/>
    <m/>
    <s v="Não"/>
    <s v="Não"/>
    <s v="Não"/>
    <s v="Não"/>
    <n v="273.96800000000002"/>
    <n v="273.96800000000002"/>
  </r>
  <r>
    <s v="VGSP-330_096,000_ES_CL8"/>
    <x v="0"/>
    <s v="96,000"/>
    <m/>
    <s v="96,500"/>
    <m/>
    <x v="0"/>
    <s v="S"/>
    <n v="-22.91059229978314"/>
    <n v="-47.102592554527739"/>
    <n v="242.06"/>
    <n v="7.75"/>
    <n v="0"/>
    <m/>
    <n v="0"/>
    <m/>
    <m/>
    <s v="Não"/>
    <s v="Não"/>
    <s v="Não"/>
    <s v="Não"/>
    <n v="0"/>
    <n v="0"/>
  </r>
  <r>
    <s v="VGSP-348_096,000_ES_CL2"/>
    <x v="0"/>
    <s v="96,000"/>
    <m/>
    <s v="96,500"/>
    <m/>
    <x v="0"/>
    <s v="S"/>
    <n v="-22.921363882841309"/>
    <n v="-47.136561064396759"/>
    <n v="2043.91"/>
    <n v="8.44"/>
    <n v="50"/>
    <m/>
    <n v="0"/>
    <s v="Trator 1.7m"/>
    <m/>
    <s v="Não"/>
    <s v="Não"/>
    <s v="Não"/>
    <s v="Não"/>
    <n v="1021.955"/>
    <n v="1021.955"/>
  </r>
  <r>
    <s v="VGSP-330_096,000_EN_CL3"/>
    <x v="0"/>
    <s v="96,000"/>
    <m/>
    <s v="96,500"/>
    <m/>
    <x v="0"/>
    <s v="N"/>
    <n v="-22.912330946961941"/>
    <n v="-47.100412146392657"/>
    <n v="894.92"/>
    <n v="4.17"/>
    <n v="0"/>
    <m/>
    <n v="0"/>
    <m/>
    <m/>
    <s v="Não"/>
    <s v="Não"/>
    <s v="Não"/>
    <s v="Não"/>
    <n v="0"/>
    <n v="0"/>
  </r>
  <r>
    <s v="VGSP-330_096,000_ES_CL7"/>
    <x v="0"/>
    <s v="96,000"/>
    <m/>
    <s v="96,500"/>
    <m/>
    <x v="0"/>
    <s v="S"/>
    <n v="-22.912513681505981"/>
    <n v="-47.10061808738233"/>
    <n v="888.87"/>
    <n v="4.6399999999999997"/>
    <n v="0"/>
    <m/>
    <n v="0"/>
    <m/>
    <m/>
    <s v="Não"/>
    <s v="Não"/>
    <s v="Não"/>
    <s v="Não"/>
    <n v="0"/>
    <n v="0"/>
  </r>
  <r>
    <s v="VGSP-330_096,000_ES_CL9"/>
    <x v="0"/>
    <s v="96,000"/>
    <m/>
    <s v="96,500"/>
    <m/>
    <x v="0"/>
    <s v="S"/>
    <n v="-22.909977912092369"/>
    <n v="-47.103112833608343"/>
    <n v="1223.82"/>
    <n v="6.93"/>
    <n v="0"/>
    <m/>
    <n v="0"/>
    <m/>
    <m/>
    <s v="Não"/>
    <s v="Não"/>
    <s v="Não"/>
    <s v="Não"/>
    <n v="0"/>
    <n v="0"/>
  </r>
  <r>
    <s v="VGSP-330_096,000_ES_CL3"/>
    <x v="0"/>
    <s v="96,000"/>
    <m/>
    <s v="96,500"/>
    <m/>
    <x v="0"/>
    <s v="S"/>
    <n v="-22.913054592552189"/>
    <n v="-47.100318709302726"/>
    <n v="0.04"/>
    <n v="7.23"/>
    <m/>
    <m/>
    <n v="0"/>
    <m/>
    <m/>
    <s v="Não"/>
    <s v="Não"/>
    <s v="Não"/>
    <s v="Não"/>
    <n v="0"/>
    <n v="0"/>
  </r>
  <r>
    <s v="VGSP-348_097,000_CC3"/>
    <x v="119"/>
    <s v="97,000"/>
    <m/>
    <s v="97,500"/>
    <n v="0.5"/>
    <x v="1"/>
    <s v="C"/>
    <n v="-22.92062421420831"/>
    <n v="-47.147370778803982"/>
    <n v="884.91"/>
    <n v="2.42"/>
    <n v="80"/>
    <m/>
    <n v="0"/>
    <s v="Trator 1.7m"/>
    <m/>
    <s v="Não"/>
    <s v="Não"/>
    <s v="Não"/>
    <s v="Não"/>
    <n v="707.928"/>
    <n v="707.928"/>
  </r>
  <r>
    <s v="VGSP-348_097,000_ES_CL1"/>
    <x v="0"/>
    <s v="97,000"/>
    <m/>
    <s v="97,500"/>
    <m/>
    <x v="0"/>
    <s v="S"/>
    <n v="-22.921462433798489"/>
    <n v="-47.141251847323453"/>
    <n v="1857.06"/>
    <n v="6.65"/>
    <n v="50"/>
    <m/>
    <n v="0"/>
    <s v="Trator 1.7m"/>
    <m/>
    <s v="Não"/>
    <s v="Não"/>
    <s v="Não"/>
    <s v="Não"/>
    <n v="928.53"/>
    <n v="928.53"/>
  </r>
  <r>
    <s v="VGSP-330_097,000_ES_CL12"/>
    <x v="0"/>
    <s v="97,000"/>
    <m/>
    <s v="97,500"/>
    <m/>
    <x v="0"/>
    <s v="S"/>
    <n v="-22.901084081308301"/>
    <n v="-47.109491203067577"/>
    <n v="156.74"/>
    <n v="2.2400000000000002"/>
    <n v="0"/>
    <m/>
    <n v="0"/>
    <m/>
    <m/>
    <s v="Não"/>
    <s v="Não"/>
    <s v="Não"/>
    <s v="Não"/>
    <n v="0"/>
    <n v="0"/>
  </r>
  <r>
    <s v="VGSP-330_097,000_ES_CL9"/>
    <x v="0"/>
    <s v="97,000"/>
    <m/>
    <s v="97,500"/>
    <m/>
    <x v="0"/>
    <s v="S"/>
    <n v="-22.901218803818939"/>
    <n v="-47.10958214806066"/>
    <n v="697.36"/>
    <n v="2.77"/>
    <n v="0"/>
    <m/>
    <n v="0"/>
    <m/>
    <m/>
    <s v="Não"/>
    <s v="Não"/>
    <s v="Não"/>
    <s v="Não"/>
    <n v="0"/>
    <n v="0"/>
  </r>
  <r>
    <s v="VGSP-330_097,000_ES_CL8"/>
    <x v="0"/>
    <s v="97,000"/>
    <m/>
    <s v="97,500"/>
    <m/>
    <x v="0"/>
    <s v="S"/>
    <n v="-22.904831664402259"/>
    <n v="-47.10737745312202"/>
    <n v="93.03"/>
    <n v="4.3099999999999996"/>
    <n v="0"/>
    <m/>
    <n v="0"/>
    <m/>
    <m/>
    <s v="Não"/>
    <s v="Não"/>
    <s v="Não"/>
    <s v="Não"/>
    <n v="0"/>
    <n v="0"/>
  </r>
  <r>
    <s v="VGSP-330_097,000_ES_CL4"/>
    <x v="0"/>
    <s v="97,000"/>
    <m/>
    <s v="97,500"/>
    <m/>
    <x v="0"/>
    <s v="S"/>
    <n v="-22.904375507337122"/>
    <n v="-47.108018426507797"/>
    <n v="157.84"/>
    <n v="8.02"/>
    <n v="0"/>
    <m/>
    <n v="0"/>
    <m/>
    <m/>
    <s v="Não"/>
    <s v="Não"/>
    <s v="Não"/>
    <s v="Não"/>
    <n v="0"/>
    <n v="0"/>
  </r>
  <r>
    <s v="VGSP-330_097,000_EN_CL6"/>
    <x v="0"/>
    <s v="97,000"/>
    <m/>
    <s v="97,500"/>
    <m/>
    <x v="0"/>
    <s v="N"/>
    <n v="-22.902303738605909"/>
    <n v="-47.108588405651268"/>
    <n v="1021.05"/>
    <n v="3.42"/>
    <n v="40"/>
    <m/>
    <n v="0"/>
    <s v="Trator 1.7m"/>
    <m/>
    <s v="Não"/>
    <s v="Não"/>
    <s v="Não"/>
    <s v="Não"/>
    <n v="408.42"/>
    <n v="408.42"/>
  </r>
  <r>
    <s v="VGSP-330_097,000_ES_CL2"/>
    <x v="0"/>
    <s v="97,000"/>
    <m/>
    <s v="97,500"/>
    <m/>
    <x v="0"/>
    <s v="S"/>
    <n v="-22.907169952552469"/>
    <n v="-47.105495967777117"/>
    <n v="494.2"/>
    <n v="5.94"/>
    <n v="0"/>
    <m/>
    <n v="0"/>
    <m/>
    <m/>
    <s v="Não"/>
    <s v="Não"/>
    <s v="Não"/>
    <s v="Não"/>
    <n v="0"/>
    <n v="0"/>
  </r>
  <r>
    <s v="VGSP-330_097,000_EN_CL7"/>
    <x v="0"/>
    <s v="97,000"/>
    <m/>
    <s v="97,500"/>
    <m/>
    <x v="0"/>
    <s v="N"/>
    <n v="-22.90068554378945"/>
    <n v="-47.109214950414859"/>
    <n v="8.41"/>
    <n v="2.61"/>
    <n v="0"/>
    <m/>
    <n v="0"/>
    <m/>
    <m/>
    <s v="Não"/>
    <s v="Não"/>
    <s v="Não"/>
    <s v="Não"/>
    <n v="0"/>
    <n v="0"/>
  </r>
  <r>
    <s v="VGSP-330_097,000_ES_CL3"/>
    <x v="0"/>
    <s v="97,000"/>
    <m/>
    <s v="97,500"/>
    <m/>
    <x v="0"/>
    <s v="S"/>
    <n v="-22.906105801555849"/>
    <n v="-47.106259762168278"/>
    <n v="1708.79"/>
    <n v="6.42"/>
    <n v="0"/>
    <m/>
    <n v="0"/>
    <m/>
    <m/>
    <s v="Não"/>
    <s v="Não"/>
    <s v="Não"/>
    <s v="Não"/>
    <n v="0"/>
    <n v="0"/>
  </r>
  <r>
    <s v="VGSP-330_097,000_EN_CL4"/>
    <x v="0"/>
    <s v="97,000"/>
    <m/>
    <s v="97,500"/>
    <m/>
    <x v="0"/>
    <s v="N"/>
    <n v="-22.90463698432788"/>
    <n v="-47.107177953115567"/>
    <n v="87.61"/>
    <n v="2.92"/>
    <n v="0"/>
    <m/>
    <n v="0"/>
    <m/>
    <m/>
    <s v="Não"/>
    <s v="Não"/>
    <s v="Não"/>
    <s v="Não"/>
    <n v="0"/>
    <n v="0"/>
  </r>
  <r>
    <s v="VGSP-348_097,000_EN_CL4"/>
    <x v="0"/>
    <s v="97,000"/>
    <m/>
    <s v="97,500"/>
    <m/>
    <x v="0"/>
    <s v="N"/>
    <n v="-22.92007452273554"/>
    <n v="-47.148052700000491"/>
    <n v="1.71"/>
    <n v="2.3199999999999998"/>
    <m/>
    <m/>
    <n v="0"/>
    <m/>
    <m/>
    <s v="Não"/>
    <s v="Não"/>
    <s v="Não"/>
    <s v="Não"/>
    <n v="0"/>
    <n v="0"/>
  </r>
  <r>
    <s v="VGSP-348_097,000_EN_CL3"/>
    <x v="0"/>
    <s v="97,000"/>
    <m/>
    <s v="97,500"/>
    <m/>
    <x v="0"/>
    <s v="N"/>
    <n v="-22.920415139676852"/>
    <n v="-47.147114381289867"/>
    <n v="690.57"/>
    <n v="2.89"/>
    <n v="50"/>
    <m/>
    <n v="0"/>
    <s v="Trator 1.7m"/>
    <m/>
    <s v="Não"/>
    <s v="Não"/>
    <s v="Não"/>
    <s v="Não"/>
    <n v="345.28500000000003"/>
    <n v="345.28500000000003"/>
  </r>
  <r>
    <s v="VGSP-330_097,000_ES_CL11"/>
    <x v="0"/>
    <s v="97,000"/>
    <m/>
    <s v="97,500"/>
    <m/>
    <x v="0"/>
    <s v="S"/>
    <n v="-22.900834764409161"/>
    <n v="-47.109554080409801"/>
    <n v="78.849999999999994"/>
    <n v="1.19"/>
    <n v="0"/>
    <m/>
    <n v="0"/>
    <m/>
    <m/>
    <s v="Não"/>
    <s v="Não"/>
    <s v="Não"/>
    <s v="Não"/>
    <n v="0"/>
    <n v="0"/>
  </r>
  <r>
    <s v="VGSP-348_097,000_ES_CL3"/>
    <x v="0"/>
    <s v="97,000"/>
    <m/>
    <s v="97,500"/>
    <m/>
    <x v="0"/>
    <s v="S"/>
    <n v="-22.921769537901099"/>
    <n v="-47.146648760880339"/>
    <n v="1614.45"/>
    <n v="6.12"/>
    <n v="50"/>
    <m/>
    <n v="0"/>
    <s v="Trator 1.7m"/>
    <m/>
    <s v="Não"/>
    <s v="Não"/>
    <s v="Não"/>
    <s v="Não"/>
    <n v="807.22500000000002"/>
    <n v="807.22500000000002"/>
  </r>
  <r>
    <s v="VGSP-348_097,000_EN_CL2"/>
    <x v="0"/>
    <s v="97,000"/>
    <m/>
    <s v="97,500"/>
    <m/>
    <x v="0"/>
    <s v="N"/>
    <n v="-22.920944433154869"/>
    <n v="-47.145377555577618"/>
    <n v="1539.15"/>
    <n v="3.55"/>
    <n v="50"/>
    <m/>
    <n v="0"/>
    <s v="Trator 1.7m"/>
    <m/>
    <s v="Não"/>
    <s v="Não"/>
    <s v="Não"/>
    <s v="Não"/>
    <n v="769.57500000000005"/>
    <n v="769.57500000000005"/>
  </r>
  <r>
    <s v="VGSP-330_097,000_EN_CL5"/>
    <x v="0"/>
    <s v="97,000"/>
    <m/>
    <s v="97,500"/>
    <m/>
    <x v="0"/>
    <s v="N"/>
    <n v="-22.903283043102881"/>
    <n v="-47.107906454548818"/>
    <n v="672.11"/>
    <n v="3.99"/>
    <n v="40"/>
    <m/>
    <n v="0"/>
    <s v="Trator 1.7m"/>
    <m/>
    <s v="Não"/>
    <s v="Não"/>
    <s v="Não"/>
    <s v="Não"/>
    <n v="268.84399999999999"/>
    <n v="268.84399999999999"/>
  </r>
  <r>
    <s v="VGSP-348_097,000_ES_CL2"/>
    <x v="0"/>
    <s v="97,000"/>
    <m/>
    <s v="97,500"/>
    <m/>
    <x v="0"/>
    <s v="S"/>
    <n v="-22.92178493159161"/>
    <n v="-47.145597402349978"/>
    <n v="2445.7600000000002"/>
    <n v="7.32"/>
    <n v="50"/>
    <m/>
    <n v="0"/>
    <s v="Trator 1.7m"/>
    <m/>
    <s v="Não"/>
    <s v="Não"/>
    <s v="Não"/>
    <s v="Não"/>
    <n v="1222.8800000000001"/>
    <n v="1222.8800000000001"/>
  </r>
  <r>
    <s v="VGSP-348_097,000_EN_CL1"/>
    <x v="0"/>
    <s v="97,000"/>
    <m/>
    <s v="97,500"/>
    <m/>
    <x v="0"/>
    <s v="N"/>
    <n v="-22.921034822265629"/>
    <n v="-47.141300762209767"/>
    <n v="1881.04"/>
    <n v="5.66"/>
    <n v="50"/>
    <m/>
    <n v="0"/>
    <s v="Trator 1.7m"/>
    <m/>
    <s v="Não"/>
    <s v="Não"/>
    <s v="Não"/>
    <s v="Não"/>
    <n v="940.52"/>
    <n v="940.52"/>
  </r>
  <r>
    <s v="VGSP-330_097,000_EN_CL8"/>
    <x v="0"/>
    <s v="97,000"/>
    <m/>
    <s v="97,500"/>
    <m/>
    <x v="0"/>
    <s v="N"/>
    <n v="-22.901590080072289"/>
    <n v="-47.108756044821853"/>
    <n v="897.38"/>
    <n v="3.65"/>
    <n v="40"/>
    <m/>
    <n v="0"/>
    <s v="Trator 1.7m"/>
    <m/>
    <s v="Não"/>
    <s v="Não"/>
    <s v="Não"/>
    <s v="Não"/>
    <n v="358.952"/>
    <n v="358.952"/>
  </r>
  <r>
    <s v="VGSP-348_097,000_CC1"/>
    <x v="119"/>
    <s v="97,000"/>
    <m/>
    <s v="97,500"/>
    <n v="0.5"/>
    <x v="1"/>
    <s v="C"/>
    <n v="-22.921252017006751"/>
    <n v="-47.141264033203043"/>
    <n v="5564.99"/>
    <n v="6.17"/>
    <n v="80"/>
    <m/>
    <n v="0"/>
    <s v="Trator 1.7m"/>
    <m/>
    <s v="Não"/>
    <s v="Não"/>
    <s v="Não"/>
    <s v="Não"/>
    <n v="4451.9920000000002"/>
    <n v="4451.9920000000002"/>
  </r>
  <r>
    <s v="VGSP-348_097,000_CC2"/>
    <x v="119"/>
    <s v="97,000"/>
    <m/>
    <s v="97,500"/>
    <n v="0.5"/>
    <x v="1"/>
    <s v="C"/>
    <n v="-22.921256631330561"/>
    <n v="-47.145106299660448"/>
    <n v="3930.52"/>
    <n v="5.32"/>
    <n v="80"/>
    <m/>
    <n v="0"/>
    <s v="Eixo-zero"/>
    <m/>
    <s v="Não"/>
    <s v="Não"/>
    <s v="Não"/>
    <s v="Não"/>
    <n v="3144.4160000000002"/>
    <n v="3144.4160000000002"/>
  </r>
  <r>
    <s v="VGSP-330_097,000_ES_CL6"/>
    <x v="0"/>
    <s v="97,000"/>
    <m/>
    <s v="97,500"/>
    <m/>
    <x v="0"/>
    <s v="S"/>
    <n v="-22.903878603951188"/>
    <n v="-47.10845410963082"/>
    <n v="2208.9899999999998"/>
    <n v="6.03"/>
    <n v="0"/>
    <m/>
    <n v="0"/>
    <m/>
    <m/>
    <s v="Não"/>
    <s v="Não"/>
    <s v="Não"/>
    <s v="Não"/>
    <n v="0"/>
    <n v="0"/>
  </r>
  <r>
    <s v="VGSP-330_097,000_ES_CL7"/>
    <x v="0"/>
    <s v="97,000"/>
    <m/>
    <s v="97,500"/>
    <m/>
    <x v="0"/>
    <s v="S"/>
    <n v="-22.903321876980989"/>
    <n v="-47.108364579419103"/>
    <n v="1172.08"/>
    <n v="3.97"/>
    <n v="0"/>
    <m/>
    <n v="0"/>
    <m/>
    <m/>
    <s v="Sim"/>
    <s v="Não"/>
    <s v="Não"/>
    <s v="Não"/>
    <n v="0"/>
    <m/>
  </r>
  <r>
    <s v="VGSP-330_097,000_ES_CL1"/>
    <x v="0"/>
    <s v="97,000"/>
    <m/>
    <s v="97,500"/>
    <m/>
    <x v="0"/>
    <s v="S"/>
    <n v="-22.90836683294923"/>
    <n v="-47.104255340797692"/>
    <n v="47.44"/>
    <n v="5.59"/>
    <n v="0"/>
    <m/>
    <n v="0"/>
    <m/>
    <m/>
    <s v="Não"/>
    <s v="Não"/>
    <s v="Não"/>
    <s v="Não"/>
    <n v="0"/>
    <n v="0"/>
  </r>
  <r>
    <s v="VGSP-330_097,000_ES_CL5"/>
    <x v="0"/>
    <s v="97,000"/>
    <m/>
    <s v="97,500"/>
    <m/>
    <x v="0"/>
    <s v="S"/>
    <n v="-22.90416672578181"/>
    <n v="-47.108101971602558"/>
    <n v="186.41"/>
    <n v="9.82"/>
    <n v="0"/>
    <m/>
    <n v="0"/>
    <m/>
    <m/>
    <s v="Não"/>
    <s v="Não"/>
    <s v="Não"/>
    <s v="Não"/>
    <n v="0"/>
    <n v="0"/>
  </r>
  <r>
    <s v="VGSP-330_097,000_ES_CL10"/>
    <x v="0"/>
    <s v="97,000"/>
    <m/>
    <s v="97,500"/>
    <m/>
    <x v="0"/>
    <s v="S"/>
    <n v="-22.900917357398338"/>
    <n v="-47.109674701558518"/>
    <n v="201.49"/>
    <n v="1.52"/>
    <n v="0"/>
    <m/>
    <n v="0"/>
    <m/>
    <m/>
    <s v="Não"/>
    <s v="Não"/>
    <s v="Não"/>
    <s v="Não"/>
    <n v="0"/>
    <n v="0"/>
  </r>
  <r>
    <s v="VGSP-330_097,000_EN_CL1"/>
    <x v="0"/>
    <s v="97,000"/>
    <m/>
    <s v="97,500"/>
    <m/>
    <x v="0"/>
    <s v="N"/>
    <n v="-22.906372100445839"/>
    <n v="-47.105475686239657"/>
    <n v="2107.5100000000002"/>
    <n v="5.71"/>
    <n v="40"/>
    <m/>
    <n v="0"/>
    <s v="Trator 1.7m"/>
    <m/>
    <s v="Não"/>
    <s v="Não"/>
    <s v="Não"/>
    <s v="Não"/>
    <n v="843.00400000000013"/>
    <n v="843.00400000000013"/>
  </r>
  <r>
    <s v="VGSP-330_097,000_EN_CL2"/>
    <x v="0"/>
    <s v="97,000"/>
    <m/>
    <s v="97,500"/>
    <m/>
    <x v="0"/>
    <s v="N"/>
    <n v="-22.90395076499297"/>
    <n v="-47.107467045011091"/>
    <n v="543.01"/>
    <n v="4.0599999999999996"/>
    <n v="40"/>
    <m/>
    <n v="0"/>
    <s v="Trator 1.7m"/>
    <m/>
    <s v="Não"/>
    <s v="Não"/>
    <s v="Não"/>
    <s v="Não"/>
    <n v="217.20400000000001"/>
    <n v="217.20400000000001"/>
  </r>
  <r>
    <s v="VGSP-330_097,000_EN_CL3"/>
    <x v="0"/>
    <s v="97,000"/>
    <m/>
    <s v="97,500"/>
    <m/>
    <x v="0"/>
    <s v="N"/>
    <n v="-22.90421083675572"/>
    <n v="-47.107520558078413"/>
    <n v="535.24"/>
    <n v="3.42"/>
    <n v="40"/>
    <m/>
    <n v="0"/>
    <s v="Trator 1.7m"/>
    <m/>
    <s v="Não"/>
    <s v="Não"/>
    <s v="Não"/>
    <s v="Não"/>
    <n v="214.096"/>
    <n v="214.096"/>
  </r>
  <r>
    <s v="VGSP-330_098,000_CC2"/>
    <x v="120"/>
    <s v="98,000"/>
    <m/>
    <s v="98,500"/>
    <m/>
    <x v="1"/>
    <s v="C"/>
    <n v="-22.897518667868621"/>
    <n v="-47.108761682917503"/>
    <n v="35717.5"/>
    <n v="3.2"/>
    <n v="40"/>
    <m/>
    <n v="0"/>
    <s v="Trator 1.7m"/>
    <m/>
    <s v="Não"/>
    <s v="Não"/>
    <s v="Não"/>
    <s v="Não"/>
    <n v="14287"/>
    <n v="14287"/>
  </r>
  <r>
    <s v="VGSP-330_098,000_EN_CL11"/>
    <x v="0"/>
    <s v="98,000"/>
    <m/>
    <s v="98,500"/>
    <m/>
    <x v="0"/>
    <s v="N"/>
    <n v="-22.896262218552732"/>
    <n v="-47.110230756124309"/>
    <n v="940.17"/>
    <n v="2.09"/>
    <n v="40"/>
    <m/>
    <n v="0"/>
    <s v="Trator 1.7m"/>
    <m/>
    <s v="Não"/>
    <s v="Não"/>
    <s v="Não"/>
    <s v="Não"/>
    <n v="376.06799999999998"/>
    <n v="376.06799999999998"/>
  </r>
  <r>
    <s v="VGSP-330_098,000_EN_CL4"/>
    <x v="0"/>
    <s v="98,000"/>
    <m/>
    <s v="98,500"/>
    <m/>
    <x v="0"/>
    <s v="N"/>
    <n v="-22.89906129999909"/>
    <n v="-47.108971446050766"/>
    <n v="322.41000000000003"/>
    <n v="2.5"/>
    <n v="40"/>
    <m/>
    <n v="0"/>
    <s v="Trator 1.7m"/>
    <m/>
    <s v="Não"/>
    <s v="Não"/>
    <s v="Não"/>
    <s v="Não"/>
    <n v="128.96400000000003"/>
    <n v="128.96400000000003"/>
  </r>
  <r>
    <s v="VGSP-330_098,000_EN_CL2"/>
    <x v="0"/>
    <s v="98,000"/>
    <m/>
    <s v="98,500"/>
    <m/>
    <x v="0"/>
    <s v="N"/>
    <n v="-22.900286440928831"/>
    <n v="-47.109318831604071"/>
    <n v="112.41"/>
    <n v="2.99"/>
    <n v="40"/>
    <m/>
    <n v="0"/>
    <s v="Trator 1.7m"/>
    <m/>
    <s v="Não"/>
    <s v="Não"/>
    <s v="Não"/>
    <s v="Não"/>
    <n v="44.963999999999999"/>
    <n v="44.963999999999999"/>
  </r>
  <r>
    <s v="VGSP-348_098,000_EN_CL1"/>
    <x v="0"/>
    <s v="98,000"/>
    <m/>
    <s v="98,500"/>
    <m/>
    <x v="0"/>
    <s v="N"/>
    <n v="-22.915372264497488"/>
    <n v="-47.156380750445052"/>
    <n v="326.86"/>
    <n v="1.19"/>
    <n v="70"/>
    <m/>
    <n v="0"/>
    <s v="Trator 1.7m"/>
    <m/>
    <s v="Não"/>
    <s v="Não"/>
    <s v="Não"/>
    <s v="Não"/>
    <n v="228.80199999999999"/>
    <n v="228.80199999999999"/>
  </r>
  <r>
    <s v="VGSP-330_098,000_ES_CL14"/>
    <x v="0"/>
    <s v="98,000"/>
    <m/>
    <s v="98,500"/>
    <m/>
    <x v="0"/>
    <s v="S"/>
    <n v="-22.89852085203486"/>
    <n v="-47.112179968522767"/>
    <n v="3.61"/>
    <n v="0.73"/>
    <m/>
    <m/>
    <n v="0"/>
    <m/>
    <m/>
    <s v="Não"/>
    <s v="Não"/>
    <s v="Não"/>
    <s v="Não"/>
    <n v="0"/>
    <n v="0"/>
  </r>
  <r>
    <s v="VGSP-330_098,000_ES_CL2"/>
    <x v="0"/>
    <s v="98,000"/>
    <m/>
    <s v="98,500"/>
    <m/>
    <x v="0"/>
    <s v="S"/>
    <n v="-22.90041366479473"/>
    <n v="-47.10977996486772"/>
    <n v="365.15"/>
    <n v="2.33"/>
    <n v="0"/>
    <m/>
    <n v="0"/>
    <m/>
    <m/>
    <s v="Não"/>
    <s v="Não"/>
    <s v="Não"/>
    <s v="Não"/>
    <n v="0"/>
    <n v="0"/>
  </r>
  <r>
    <s v="VGSP-348_098,000_ES_CL1"/>
    <x v="0"/>
    <s v="98,000"/>
    <m/>
    <s v="98,500"/>
    <m/>
    <x v="0"/>
    <s v="S"/>
    <n v="-22.91707636088104"/>
    <n v="-47.154703610174792"/>
    <n v="1725.04"/>
    <n v="4.4400000000000004"/>
    <n v="70"/>
    <m/>
    <n v="0"/>
    <s v="Trator 1.7m"/>
    <m/>
    <s v="Não"/>
    <s v="Não"/>
    <s v="Não"/>
    <s v="Não"/>
    <n v="1207.5279999999998"/>
    <n v="1207.5279999999998"/>
  </r>
  <r>
    <s v="VGSP-348_098,000_EN_CL3"/>
    <x v="0"/>
    <s v="98,000"/>
    <m/>
    <s v="98,500"/>
    <m/>
    <x v="0"/>
    <s v="N"/>
    <n v="-22.918868482661701"/>
    <n v="-47.150350345310343"/>
    <n v="2167.5"/>
    <n v="5.27"/>
    <n v="50"/>
    <m/>
    <n v="0"/>
    <s v="Trator 1.7m"/>
    <m/>
    <s v="Não"/>
    <s v="Não"/>
    <s v="Não"/>
    <s v="Não"/>
    <n v="1083.75"/>
    <n v="1083.75"/>
  </r>
  <r>
    <s v="VGSP-330_098,000_ES_CL17"/>
    <x v="0"/>
    <s v="98,000"/>
    <m/>
    <s v="98,500"/>
    <m/>
    <x v="0"/>
    <s v="S"/>
    <n v="-22.896316402194419"/>
    <n v="-47.11118709427479"/>
    <n v="194.04"/>
    <n v="3.34"/>
    <n v="50"/>
    <m/>
    <n v="0"/>
    <s v="Trator 1.7m"/>
    <m/>
    <s v="Não"/>
    <s v="Não"/>
    <s v="Não"/>
    <s v="Não"/>
    <n v="97.02"/>
    <n v="97.02"/>
  </r>
  <r>
    <s v="VGSP-330_098,000_ES_CL11"/>
    <x v="0"/>
    <s v="98,000"/>
    <m/>
    <s v="98,500"/>
    <m/>
    <x v="0"/>
    <s v="S"/>
    <n v="-22.89550957496586"/>
    <n v="-47.111157289878257"/>
    <n v="4330.01"/>
    <n v="2.35"/>
    <n v="50"/>
    <m/>
    <n v="0"/>
    <s v="Trator 1.7m"/>
    <m/>
    <s v="Não"/>
    <s v="Não"/>
    <s v="Não"/>
    <s v="Não"/>
    <n v="2165.0050000000001"/>
    <n v="2165.0050000000001"/>
  </r>
  <r>
    <s v="VGSP-330_098,000_ES_CL18"/>
    <x v="0"/>
    <s v="98,000"/>
    <m/>
    <s v="98,500"/>
    <m/>
    <x v="0"/>
    <s v="S"/>
    <n v="-22.892939529367879"/>
    <n v="-47.111867207799968"/>
    <n v="343.7"/>
    <n v="1.75"/>
    <n v="50"/>
    <m/>
    <n v="0"/>
    <s v="Trator 1.7m"/>
    <m/>
    <s v="Não"/>
    <s v="Não"/>
    <s v="Não"/>
    <s v="Não"/>
    <n v="171.85"/>
    <n v="171.85"/>
  </r>
  <r>
    <s v="VGSP-330_098,000_EN_CL7"/>
    <x v="0"/>
    <s v="98,000"/>
    <m/>
    <s v="98,500"/>
    <m/>
    <x v="0"/>
    <s v="N"/>
    <n v="-22.897197832854939"/>
    <n v="-47.107453452554871"/>
    <n v="264.27"/>
    <n v="4.1100000000000003"/>
    <n v="40"/>
    <m/>
    <n v="0"/>
    <s v="Trator 1.7m"/>
    <m/>
    <s v="Não"/>
    <s v="Não"/>
    <s v="Não"/>
    <s v="Não"/>
    <n v="105.708"/>
    <n v="105.708"/>
  </r>
  <r>
    <s v="VGSP-330_098,000_EN_CL8"/>
    <x v="0"/>
    <s v="98,000"/>
    <m/>
    <s v="98,500"/>
    <m/>
    <x v="0"/>
    <s v="N"/>
    <n v="-22.896893711959759"/>
    <n v="-47.109875504926997"/>
    <n v="6900.16"/>
    <n v="2.59"/>
    <n v="40"/>
    <m/>
    <n v="0"/>
    <s v="Trator 1.7m"/>
    <m/>
    <s v="Não"/>
    <s v="Não"/>
    <s v="Não"/>
    <s v="Não"/>
    <n v="2760.0640000000003"/>
    <n v="2760.0640000000003"/>
  </r>
  <r>
    <s v="VGSP-348_098,000_CC2"/>
    <x v="121"/>
    <s v="98,000"/>
    <m/>
    <s v="98,500"/>
    <n v="0.5"/>
    <x v="1"/>
    <s v="C"/>
    <n v="-22.91688549879159"/>
    <n v="-47.154522947401212"/>
    <n v="4881.0200000000004"/>
    <n v="4.45"/>
    <n v="80"/>
    <m/>
    <n v="0"/>
    <s v="Trator 1.7m"/>
    <m/>
    <s v="Não"/>
    <s v="Não"/>
    <s v="Não"/>
    <s v="Não"/>
    <n v="3904.8160000000007"/>
    <n v="3904.8160000000007"/>
  </r>
  <r>
    <s v="VGSP-330_098,000_EN_CL9"/>
    <x v="0"/>
    <s v="98,000"/>
    <m/>
    <s v="98,500"/>
    <m/>
    <x v="0"/>
    <s v="N"/>
    <n v="-22.896403095190269"/>
    <n v="-47.108841139127797"/>
    <n v="319.27"/>
    <n v="3.18"/>
    <n v="40"/>
    <m/>
    <n v="0"/>
    <s v="Trator 1.7m"/>
    <m/>
    <s v="Não"/>
    <s v="Não"/>
    <s v="Não"/>
    <s v="Não"/>
    <n v="127.708"/>
    <n v="127.708"/>
  </r>
  <r>
    <s v="VGSP-330_098,000_ES_CL8"/>
    <x v="0"/>
    <s v="98,000"/>
    <m/>
    <s v="98,500"/>
    <m/>
    <x v="0"/>
    <s v="S"/>
    <n v="-22.897858534156541"/>
    <n v="-47.110707287272412"/>
    <n v="3482.12"/>
    <n v="1.99"/>
    <n v="0"/>
    <m/>
    <n v="0"/>
    <m/>
    <m/>
    <s v="Não"/>
    <s v="Não"/>
    <s v="Não"/>
    <s v="Não"/>
    <n v="0"/>
    <n v="0"/>
  </r>
  <r>
    <s v="VGSP-330_098,000_EN_CL12"/>
    <x v="0"/>
    <s v="98,000"/>
    <m/>
    <s v="98,500"/>
    <m/>
    <x v="0"/>
    <s v="N"/>
    <n v="-22.893782256502661"/>
    <n v="-47.111052769661683"/>
    <n v="1797.03"/>
    <n v="2.6"/>
    <n v="40"/>
    <m/>
    <n v="0"/>
    <s v="Trator 1.7m"/>
    <m/>
    <s v="Não"/>
    <s v="Não"/>
    <s v="Não"/>
    <s v="Não"/>
    <n v="718.81200000000001"/>
    <n v="718.81200000000001"/>
  </r>
  <r>
    <s v="VGSP-330_098,000_EN_CL14"/>
    <x v="0"/>
    <s v="98,000"/>
    <m/>
    <s v="98,500"/>
    <m/>
    <x v="0"/>
    <s v="N"/>
    <n v="-22.892817170796651"/>
    <n v="-47.11152534729726"/>
    <n v="1070.99"/>
    <n v="2.21"/>
    <n v="40"/>
    <m/>
    <n v="0"/>
    <s v="Trator 1.7m"/>
    <m/>
    <s v="Não"/>
    <s v="Não"/>
    <s v="Não"/>
    <s v="Não"/>
    <n v="428.39600000000002"/>
    <n v="428.39600000000002"/>
  </r>
  <r>
    <s v="VGSP-330_098,000_EN_CL10"/>
    <x v="0"/>
    <s v="98,000"/>
    <m/>
    <s v="98,500"/>
    <m/>
    <x v="0"/>
    <s v="N"/>
    <n v="-22.895433639385729"/>
    <n v="-47.110634363294807"/>
    <n v="4384.6099999999997"/>
    <n v="2.2999999999999998"/>
    <n v="40"/>
    <m/>
    <n v="0"/>
    <s v="Trator 1.7m"/>
    <m/>
    <s v="Não"/>
    <s v="Não"/>
    <s v="Não"/>
    <s v="Não"/>
    <n v="1753.8440000000001"/>
    <n v="1753.8440000000001"/>
  </r>
  <r>
    <s v="VGSP-348_098,000_CC1"/>
    <x v="121"/>
    <s v="98,000"/>
    <m/>
    <s v="98,500"/>
    <n v="0.5"/>
    <x v="1"/>
    <s v="C"/>
    <n v="-22.91951222698756"/>
    <n v="-47.14958494232058"/>
    <n v="3723.53"/>
    <n v="4.8499999999999996"/>
    <n v="80"/>
    <m/>
    <n v="0"/>
    <s v="Trator 1.7m"/>
    <m/>
    <s v="Não"/>
    <s v="Não"/>
    <s v="Não"/>
    <s v="Não"/>
    <n v="2978.8240000000005"/>
    <n v="2978.8240000000005"/>
  </r>
  <r>
    <s v="VGSP-330_098,000_ES_CL12"/>
    <x v="0"/>
    <s v="98,000"/>
    <m/>
    <s v="98,500"/>
    <m/>
    <x v="0"/>
    <s v="S"/>
    <n v="-22.896562397778439"/>
    <n v="-47.110955981631058"/>
    <n v="758.91"/>
    <n v="3.15"/>
    <n v="0"/>
    <m/>
    <n v="0"/>
    <m/>
    <m/>
    <s v="Não"/>
    <s v="Não"/>
    <s v="Não"/>
    <s v="Não"/>
    <n v="0"/>
    <n v="0"/>
  </r>
  <r>
    <s v="VGSP-330_098,000_EN_CL1"/>
    <x v="0"/>
    <s v="98,000"/>
    <m/>
    <s v="98,500"/>
    <m/>
    <x v="0"/>
    <s v="N"/>
    <n v="-22.900316327475409"/>
    <n v="-47.109490487726298"/>
    <n v="324.27999999999997"/>
    <n v="2.12"/>
    <n v="0"/>
    <m/>
    <n v="0"/>
    <m/>
    <m/>
    <s v="Não"/>
    <s v="Não"/>
    <s v="Não"/>
    <s v="Não"/>
    <n v="0"/>
    <n v="0"/>
  </r>
  <r>
    <s v="VGSP-330_098,000_ES_CL5"/>
    <x v="0"/>
    <s v="98,000"/>
    <m/>
    <s v="98,500"/>
    <m/>
    <x v="0"/>
    <s v="S"/>
    <n v="-22.89920634941581"/>
    <n v="-47.110184563664802"/>
    <n v="2615.83"/>
    <n v="1.52"/>
    <n v="0"/>
    <m/>
    <n v="0"/>
    <m/>
    <m/>
    <s v="Não"/>
    <s v="Não"/>
    <s v="Não"/>
    <s v="Não"/>
    <n v="0"/>
    <n v="0"/>
  </r>
  <r>
    <s v="VGSP-348_098,000_ES_CL3"/>
    <x v="0"/>
    <s v="98,000"/>
    <m/>
    <s v="98,500"/>
    <m/>
    <x v="0"/>
    <s v="S"/>
    <n v="-22.916309528883929"/>
    <n v="-47.156230981852516"/>
    <n v="950.76"/>
    <n v="5.91"/>
    <n v="70"/>
    <m/>
    <n v="0"/>
    <s v="Trator 1.7m"/>
    <m/>
    <s v="Não"/>
    <s v="Não"/>
    <s v="Não"/>
    <s v="Não"/>
    <n v="665.53199999999993"/>
    <n v="665.53199999999993"/>
  </r>
  <r>
    <s v="VGSP-330_098,000_EN_CL3"/>
    <x v="0"/>
    <s v="98,000"/>
    <m/>
    <s v="98,500"/>
    <m/>
    <x v="0"/>
    <s v="N"/>
    <n v="-22.900305333543461"/>
    <n v="-47.109185363153827"/>
    <n v="134.79"/>
    <n v="2.79"/>
    <n v="40"/>
    <m/>
    <n v="0"/>
    <s v="Trator 1.7m"/>
    <m/>
    <s v="Não"/>
    <s v="Não"/>
    <s v="Não"/>
    <s v="Não"/>
    <n v="53.915999999999997"/>
    <n v="53.915999999999997"/>
  </r>
  <r>
    <s v="VGSP-330_098,000_CC1"/>
    <x v="120"/>
    <s v="98,000"/>
    <m/>
    <s v="98,500"/>
    <m/>
    <x v="1"/>
    <s v="C"/>
    <n v="-22.899425641626362"/>
    <n v="-47.109741338147202"/>
    <n v="547"/>
    <n v="1.9"/>
    <n v="0"/>
    <m/>
    <n v="0"/>
    <m/>
    <m/>
    <s v="Não"/>
    <s v="Não"/>
    <s v="Não"/>
    <s v="Não"/>
    <n v="0"/>
    <n v="0"/>
  </r>
  <r>
    <s v="VGSP-330_098,000_ES_CL10"/>
    <x v="0"/>
    <s v="98,000"/>
    <m/>
    <s v="98,500"/>
    <m/>
    <x v="0"/>
    <s v="S"/>
    <n v="-22.897649998967641"/>
    <n v="-47.111210271972837"/>
    <n v="8668.24"/>
    <n v="2.6"/>
    <n v="0"/>
    <m/>
    <n v="0"/>
    <m/>
    <m/>
    <s v="Não"/>
    <s v="Não"/>
    <s v="Não"/>
    <s v="Não"/>
    <n v="0"/>
    <n v="0"/>
  </r>
  <r>
    <s v="VGSP-330_098,000_ES_CL16"/>
    <x v="0"/>
    <s v="98,000"/>
    <m/>
    <s v="98,500"/>
    <m/>
    <x v="0"/>
    <s v="S"/>
    <n v="-22.897616253876961"/>
    <n v="-47.111785776204833"/>
    <n v="1082.52"/>
    <n v="3.43"/>
    <n v="0"/>
    <m/>
    <n v="0"/>
    <m/>
    <m/>
    <s v="Não"/>
    <s v="Não"/>
    <s v="Não"/>
    <s v="Não"/>
    <n v="0"/>
    <n v="0"/>
  </r>
  <r>
    <s v="VGSP-330_098,000_EN_CL6"/>
    <x v="0"/>
    <s v="98,000"/>
    <m/>
    <s v="98,500"/>
    <m/>
    <x v="0"/>
    <s v="N"/>
    <n v="-22.898183993668219"/>
    <n v="-47.108220751753251"/>
    <n v="1975.58"/>
    <n v="3.27"/>
    <n v="40"/>
    <m/>
    <n v="0"/>
    <s v="Trator 1.7m"/>
    <m/>
    <s v="Não"/>
    <s v="Não"/>
    <s v="Não"/>
    <s v="Não"/>
    <n v="790.23199999999997"/>
    <n v="790.23199999999997"/>
  </r>
  <r>
    <s v="VGSP-330_098,000_ES_CL7"/>
    <x v="0"/>
    <s v="98,000"/>
    <m/>
    <s v="98,500"/>
    <m/>
    <x v="0"/>
    <s v="S"/>
    <n v="-22.898301503264541"/>
    <n v="-47.110613561191791"/>
    <n v="6889.2"/>
    <n v="2.4700000000000002"/>
    <n v="0"/>
    <m/>
    <n v="0"/>
    <m/>
    <m/>
    <s v="Não"/>
    <s v="Não"/>
    <s v="Não"/>
    <s v="Não"/>
    <n v="0"/>
    <n v="0"/>
  </r>
  <r>
    <s v="VGSP-330_098,000_CC5"/>
    <x v="120"/>
    <s v="98,000"/>
    <m/>
    <s v="98,500"/>
    <m/>
    <x v="1"/>
    <s v="C"/>
    <n v="-22.892182483365609"/>
    <n v="-47.111908504050788"/>
    <n v="560.91999999999996"/>
    <n v="3.16"/>
    <n v="80"/>
    <m/>
    <n v="0"/>
    <s v="Trator 1.7m"/>
    <m/>
    <s v="Não"/>
    <s v="Não"/>
    <s v="Não"/>
    <s v="Não"/>
    <n v="448.73599999999999"/>
    <n v="448.73599999999999"/>
  </r>
  <r>
    <s v="VGSP-330_098,000_ES_CL9"/>
    <x v="0"/>
    <s v="98,000"/>
    <m/>
    <s v="98,500"/>
    <m/>
    <x v="0"/>
    <s v="S"/>
    <n v="-22.89771618821095"/>
    <n v="-47.110233639491582"/>
    <n v="1123.6400000000001"/>
    <n v="2.65"/>
    <n v="0"/>
    <m/>
    <n v="0"/>
    <m/>
    <m/>
    <s v="Não"/>
    <s v="Não"/>
    <s v="Não"/>
    <s v="Não"/>
    <n v="0"/>
    <n v="0"/>
  </r>
  <r>
    <s v="VGSP-330_098,000_ES_CL6"/>
    <x v="0"/>
    <s v="98,000"/>
    <m/>
    <s v="98,500"/>
    <m/>
    <x v="0"/>
    <s v="S"/>
    <n v="-22.898498288228389"/>
    <n v="-47.111690413943599"/>
    <n v="264.87"/>
    <n v="1.43"/>
    <n v="0"/>
    <m/>
    <n v="0"/>
    <m/>
    <m/>
    <s v="Não"/>
    <s v="Não"/>
    <s v="Não"/>
    <s v="Não"/>
    <n v="0"/>
    <n v="0"/>
  </r>
  <r>
    <s v="VGSP-330_098,000_ES_CL4"/>
    <x v="0"/>
    <s v="98,000"/>
    <m/>
    <s v="98,500"/>
    <m/>
    <x v="0"/>
    <s v="S"/>
    <n v="-22.899469647844661"/>
    <n v="-47.110145587335367"/>
    <n v="403.94"/>
    <n v="1.71"/>
    <n v="0"/>
    <m/>
    <n v="0"/>
    <m/>
    <m/>
    <s v="Não"/>
    <s v="Não"/>
    <s v="Não"/>
    <s v="Não"/>
    <n v="0"/>
    <n v="0"/>
  </r>
  <r>
    <s v="VGSP-330_098,000_ES_CL3"/>
    <x v="0"/>
    <s v="98,000"/>
    <m/>
    <s v="98,500"/>
    <m/>
    <x v="0"/>
    <s v="S"/>
    <n v="-22.90034001243523"/>
    <n v="-47.109684111570147"/>
    <n v="369.09"/>
    <n v="2.3199999999999998"/>
    <n v="0"/>
    <m/>
    <n v="0"/>
    <m/>
    <m/>
    <s v="Não"/>
    <s v="Não"/>
    <s v="Não"/>
    <s v="Não"/>
    <n v="0"/>
    <n v="0"/>
  </r>
  <r>
    <s v="VGSP-330_098,000_CC3"/>
    <x v="120"/>
    <s v="98,000"/>
    <m/>
    <s v="98,500"/>
    <m/>
    <x v="1"/>
    <s v="C"/>
    <n v="-22.89735870211392"/>
    <n v="-47.109803621767909"/>
    <n v="4036.31"/>
    <n v="2.63"/>
    <n v="40"/>
    <m/>
    <n v="0"/>
    <s v="Trator 1.7m"/>
    <m/>
    <s v="Não"/>
    <s v="Não"/>
    <s v="Não"/>
    <s v="Não"/>
    <n v="1614.5240000000001"/>
    <n v="1614.5240000000001"/>
  </r>
  <r>
    <s v="VGSP-330_098,000_ES_CL15"/>
    <x v="0"/>
    <s v="98,000"/>
    <m/>
    <s v="98,500"/>
    <m/>
    <x v="0"/>
    <s v="S"/>
    <n v="-22.897618743010451"/>
    <n v="-47.111568710259348"/>
    <n v="1466.7"/>
    <n v="2.48"/>
    <n v="0"/>
    <m/>
    <n v="0"/>
    <m/>
    <m/>
    <s v="Não"/>
    <s v="Não"/>
    <s v="Não"/>
    <s v="Não"/>
    <n v="0"/>
    <n v="0"/>
  </r>
  <r>
    <s v="VGSP-348_098,000_EN_CL4"/>
    <x v="0"/>
    <s v="98,000"/>
    <m/>
    <s v="98,500"/>
    <m/>
    <x v="0"/>
    <s v="N"/>
    <n v="-22.91581174566878"/>
    <n v="-47.155902644692183"/>
    <n v="964.17"/>
    <n v="3.51"/>
    <n v="70"/>
    <m/>
    <n v="0"/>
    <s v="Trator 1.7m"/>
    <m/>
    <s v="Não"/>
    <s v="Não"/>
    <s v="Não"/>
    <s v="Não"/>
    <n v="674.91899999999998"/>
    <n v="674.91899999999998"/>
  </r>
  <r>
    <s v="VGSP-330_098,000_EN_CL5"/>
    <x v="0"/>
    <s v="98,000"/>
    <m/>
    <s v="98,500"/>
    <m/>
    <x v="0"/>
    <s v="N"/>
    <n v="-22.89900627107173"/>
    <n v="-47.109387773957579"/>
    <n v="2237.2199999999998"/>
    <n v="2.2200000000000002"/>
    <n v="40"/>
    <m/>
    <n v="0"/>
    <s v="Trator 1.7m"/>
    <m/>
    <s v="Não"/>
    <s v="Não"/>
    <s v="Não"/>
    <s v="Não"/>
    <n v="894.88799999999992"/>
    <n v="894.88799999999992"/>
  </r>
  <r>
    <s v="VGSP-348_098,000_ES_CL2"/>
    <x v="0"/>
    <s v="98,000"/>
    <m/>
    <s v="98,500"/>
    <m/>
    <x v="0"/>
    <s v="S"/>
    <n v="-22.9192045656524"/>
    <n v="-47.150609893163043"/>
    <n v="2145"/>
    <n v="4.08"/>
    <n v="50"/>
    <m/>
    <n v="0"/>
    <s v="Trator 1.7m"/>
    <m/>
    <s v="Não"/>
    <s v="Não"/>
    <s v="Não"/>
    <s v="Não"/>
    <n v="1072.5"/>
    <n v="1072.5"/>
  </r>
  <r>
    <s v="VGSP-330_098,000_EN_CL13"/>
    <x v="0"/>
    <s v="98,000"/>
    <m/>
    <s v="98,500"/>
    <m/>
    <x v="0"/>
    <s v="N"/>
    <n v="-22.896089681685929"/>
    <n v="-47.110027224738403"/>
    <n v="0.66"/>
    <n v="3.34"/>
    <m/>
    <m/>
    <n v="0"/>
    <m/>
    <m/>
    <s v="Não"/>
    <s v="Não"/>
    <s v="Não"/>
    <s v="Não"/>
    <n v="0"/>
    <n v="0"/>
  </r>
  <r>
    <s v="VGSP-330_098,000_ES_CL20"/>
    <x v="0"/>
    <s v="98,000"/>
    <m/>
    <s v="98,500"/>
    <m/>
    <x v="0"/>
    <s v="S"/>
    <n v="-22.892247188061489"/>
    <n v="-47.112075241463593"/>
    <n v="128.13"/>
    <n v="3.59"/>
    <n v="50"/>
    <m/>
    <n v="0"/>
    <s v="Trator 1.7m"/>
    <m/>
    <s v="Não"/>
    <s v="Não"/>
    <s v="Não"/>
    <s v="Não"/>
    <n v="64.064999999999998"/>
    <n v="64.064999999999998"/>
  </r>
  <r>
    <s v="VGSP-330_098,000_CC4"/>
    <x v="120"/>
    <s v="98,000"/>
    <m/>
    <s v="98,500"/>
    <m/>
    <x v="1"/>
    <s v="C"/>
    <n v="-22.894142665210421"/>
    <n v="-47.111313314221782"/>
    <n v="4219.05"/>
    <n v="1.82"/>
    <n v="80"/>
    <m/>
    <n v="0"/>
    <s v="Trator 1.7m"/>
    <m/>
    <s v="Não"/>
    <s v="Não"/>
    <s v="Não"/>
    <s v="Não"/>
    <n v="3375.2400000000002"/>
    <n v="3375.2400000000002"/>
  </r>
  <r>
    <s v="VGSP-330_098,000_ES_CL1"/>
    <x v="0"/>
    <s v="98,000"/>
    <m/>
    <s v="98,500"/>
    <m/>
    <x v="0"/>
    <s v="S"/>
    <n v="-22.90078803227977"/>
    <n v="-47.109909206478953"/>
    <n v="148.81"/>
    <n v="1.58"/>
    <n v="0"/>
    <m/>
    <n v="0"/>
    <m/>
    <m/>
    <s v="Não"/>
    <s v="Não"/>
    <s v="Não"/>
    <s v="Não"/>
    <n v="0"/>
    <n v="0"/>
  </r>
  <r>
    <s v="VGSP-330_098,000_ES_CL19"/>
    <x v="0"/>
    <s v="98,000"/>
    <m/>
    <s v="98,500"/>
    <m/>
    <x v="0"/>
    <s v="S"/>
    <n v="-22.89229505283571"/>
    <n v="-47.112193770727274"/>
    <n v="160.09"/>
    <n v="3.6"/>
    <n v="50"/>
    <m/>
    <n v="0"/>
    <s v="Trator 1.7m"/>
    <m/>
    <s v="Não"/>
    <s v="Não"/>
    <s v="Não"/>
    <s v="Não"/>
    <n v="80.045000000000002"/>
    <n v="80.045000000000002"/>
  </r>
  <r>
    <s v="VGSP-330_098,000_ES_CL13"/>
    <x v="0"/>
    <s v="98,000"/>
    <m/>
    <s v="98,500"/>
    <m/>
    <x v="0"/>
    <s v="S"/>
    <n v="-22.896394431607"/>
    <n v="-47.110627950694713"/>
    <n v="78.489999999999995"/>
    <n v="1.04"/>
    <n v="0"/>
    <m/>
    <n v="0"/>
    <m/>
    <m/>
    <s v="Não"/>
    <s v="Não"/>
    <s v="Não"/>
    <s v="Não"/>
    <n v="0"/>
    <n v="0"/>
  </r>
  <r>
    <s v="VGSP-348_098,000_CC3"/>
    <x v="121"/>
    <s v="98,000"/>
    <m/>
    <s v="98,500"/>
    <n v="0.5"/>
    <x v="1"/>
    <s v="C"/>
    <n v="-22.918261557841781"/>
    <n v="-47.15192960964189"/>
    <n v="2355.33"/>
    <n v="4.29"/>
    <n v="80"/>
    <m/>
    <n v="0"/>
    <s v="Trator 1.7m"/>
    <m/>
    <s v="Não"/>
    <s v="Não"/>
    <s v="Não"/>
    <s v="Não"/>
    <n v="1884.2640000000001"/>
    <n v="1884.2640000000001"/>
  </r>
  <r>
    <s v="VGSP-348_098,000_EN_CL2"/>
    <x v="0"/>
    <s v="98,000"/>
    <m/>
    <s v="98,500"/>
    <m/>
    <x v="0"/>
    <s v="N"/>
    <n v="-22.916650928604369"/>
    <n v="-47.154411496197383"/>
    <n v="1719.11"/>
    <n v="4.7"/>
    <n v="70"/>
    <m/>
    <n v="0"/>
    <s v="Trator 1.7m"/>
    <m/>
    <s v="Não"/>
    <s v="Não"/>
    <s v="Não"/>
    <s v="Não"/>
    <n v="1203.377"/>
    <n v="1203.377"/>
  </r>
  <r>
    <s v="VGSP-330_099,000_CC1"/>
    <x v="122"/>
    <s v="99,000"/>
    <m/>
    <s v="99,500"/>
    <m/>
    <x v="1"/>
    <s v="C"/>
    <n v="-22.889961992924739"/>
    <n v="-47.112583846345963"/>
    <n v="5296.17"/>
    <n v="3.91"/>
    <n v="80"/>
    <m/>
    <n v="0"/>
    <s v="Trator 1.7m"/>
    <m/>
    <s v="Não"/>
    <s v="Não"/>
    <s v="Não"/>
    <s v="Não"/>
    <n v="4236.9360000000006"/>
    <n v="4236.9360000000006"/>
  </r>
  <r>
    <s v="VGSP-348_099,000_CC2"/>
    <x v="123"/>
    <s v="99,000"/>
    <m/>
    <s v="99,500"/>
    <n v="0.5"/>
    <x v="1"/>
    <s v="C"/>
    <n v="-22.91439824077132"/>
    <n v="-47.1591852474481"/>
    <n v="3813.08"/>
    <n v="5.19"/>
    <n v="80"/>
    <m/>
    <n v="0"/>
    <s v="Trator 1.7m"/>
    <m/>
    <s v="Não"/>
    <s v="Não"/>
    <s v="Não"/>
    <s v="Não"/>
    <n v="3050.4639999999999"/>
    <n v="3050.4639999999999"/>
  </r>
  <r>
    <s v="VGSP-330_099,000_ES_CL1"/>
    <x v="0"/>
    <s v="99,000"/>
    <m/>
    <s v="99,500"/>
    <m/>
    <x v="0"/>
    <s v="S"/>
    <n v="-22.891716526543021"/>
    <n v="-47.112375388682928"/>
    <n v="310.07"/>
    <n v="2.4900000000000002"/>
    <n v="50"/>
    <m/>
    <n v="0"/>
    <s v="Trator 1.7m"/>
    <m/>
    <s v="Não"/>
    <s v="Não"/>
    <s v="Não"/>
    <s v="Não"/>
    <n v="155.035"/>
    <n v="155.035"/>
  </r>
  <r>
    <s v="VGSP-330_099,000_ES_CL6"/>
    <x v="0"/>
    <s v="99,000"/>
    <m/>
    <s v="99,500"/>
    <m/>
    <x v="0"/>
    <s v="S"/>
    <n v="-22.884919519905321"/>
    <n v="-47.114719658053907"/>
    <n v="1344.51"/>
    <n v="2.13"/>
    <n v="30"/>
    <m/>
    <n v="0"/>
    <s v="Trator 1.7m"/>
    <m/>
    <s v="Não"/>
    <s v="Não"/>
    <s v="Não"/>
    <s v="Não"/>
    <n v="403.35300000000001"/>
    <n v="403.35300000000001"/>
  </r>
  <r>
    <s v="VGSP-348_099,000_ES_CL3"/>
    <x v="0"/>
    <s v="99,000"/>
    <m/>
    <s v="99,500"/>
    <m/>
    <x v="0"/>
    <s v="S"/>
    <n v="-22.912743258968991"/>
    <n v="-47.16283799281991"/>
    <n v="2047.27"/>
    <n v="4.3099999999999996"/>
    <n v="50"/>
    <m/>
    <n v="0"/>
    <s v="Trator 1.7m"/>
    <m/>
    <s v="Não"/>
    <s v="Não"/>
    <s v="Não"/>
    <s v="Não"/>
    <n v="1023.635"/>
    <n v="1023.635"/>
  </r>
  <r>
    <s v="VGSP-348_099,000_ES_CL4"/>
    <x v="0"/>
    <s v="99,000"/>
    <m/>
    <s v="99,500"/>
    <m/>
    <x v="0"/>
    <s v="S"/>
    <n v="-22.91449557522812"/>
    <n v="-47.159443788070199"/>
    <n v="1144.1500000000001"/>
    <n v="4.17"/>
    <n v="70"/>
    <m/>
    <n v="0"/>
    <s v="Trator 1.7m"/>
    <m/>
    <s v="Não"/>
    <s v="Não"/>
    <s v="Não"/>
    <s v="Não"/>
    <n v="800.90499999999997"/>
    <n v="800.90499999999997"/>
  </r>
  <r>
    <s v="VGSP-348_099,000_CC1"/>
    <x v="123"/>
    <s v="99,000"/>
    <m/>
    <s v="99,500"/>
    <n v="0.5"/>
    <x v="1"/>
    <s v="C"/>
    <n v="-22.9157135290029"/>
    <n v="-47.156723461484859"/>
    <n v="1159.48"/>
    <n v="1.8"/>
    <n v="80"/>
    <m/>
    <n v="0"/>
    <s v="Eixo-zero"/>
    <m/>
    <s v="Não"/>
    <s v="Não"/>
    <s v="Não"/>
    <s v="Não"/>
    <n v="927.58400000000006"/>
    <n v="927.58400000000006"/>
  </r>
  <r>
    <s v="VGSP-330_099,000_EN_CL4"/>
    <x v="0"/>
    <s v="99,000"/>
    <m/>
    <s v="99,500"/>
    <m/>
    <x v="0"/>
    <s v="N"/>
    <n v="-22.88878274101123"/>
    <n v="-47.112595235987158"/>
    <n v="708.08"/>
    <n v="3.71"/>
    <n v="40"/>
    <m/>
    <n v="0"/>
    <s v="Trator 1.7m"/>
    <m/>
    <s v="Não"/>
    <s v="Não"/>
    <s v="Não"/>
    <s v="Não"/>
    <n v="283.23200000000003"/>
    <n v="283.23200000000003"/>
  </r>
  <r>
    <s v="VGSP-330_099,000_EN_CL1"/>
    <x v="0"/>
    <s v="99,000"/>
    <m/>
    <s v="99,500"/>
    <m/>
    <x v="0"/>
    <s v="N"/>
    <n v="-22.890737454883428"/>
    <n v="-47.112026687173987"/>
    <n v="990.02"/>
    <n v="3.41"/>
    <n v="40"/>
    <m/>
    <n v="0"/>
    <s v="Trator 1.7m"/>
    <m/>
    <s v="Não"/>
    <s v="Não"/>
    <s v="Não"/>
    <s v="Não"/>
    <n v="396.00800000000004"/>
    <n v="396.00800000000004"/>
  </r>
  <r>
    <s v="VGSP-348_099,000_CC3"/>
    <x v="123"/>
    <s v="99,000"/>
    <m/>
    <s v="99,500"/>
    <n v="0.5"/>
    <x v="1"/>
    <s v="C"/>
    <n v="-22.912565889719328"/>
    <n v="-47.162724021695588"/>
    <n v="5987.65"/>
    <n v="4.01"/>
    <n v="80"/>
    <m/>
    <n v="0"/>
    <s v="Trator 1.7m"/>
    <m/>
    <s v="Não"/>
    <s v="Não"/>
    <s v="Não"/>
    <s v="Não"/>
    <n v="4790.12"/>
    <n v="4790.12"/>
  </r>
  <r>
    <s v="VGSP-330_099,000_EN_CL6"/>
    <x v="0"/>
    <s v="99,000"/>
    <m/>
    <s v="99,500"/>
    <m/>
    <x v="0"/>
    <s v="N"/>
    <n v="-22.885696537491381"/>
    <n v="-47.113747924854323"/>
    <n v="903.15"/>
    <n v="3.6"/>
    <n v="0"/>
    <m/>
    <n v="0"/>
    <m/>
    <m/>
    <s v="Não"/>
    <s v="Não"/>
    <s v="Não"/>
    <s v="Não"/>
    <n v="0"/>
    <n v="0"/>
  </r>
  <r>
    <s v="VGSP-330_099,000_ES_CL2"/>
    <x v="0"/>
    <s v="99,000"/>
    <m/>
    <s v="99,500"/>
    <m/>
    <x v="0"/>
    <s v="S"/>
    <n v="-22.889906521547982"/>
    <n v="-47.112789047045432"/>
    <n v="1725.6"/>
    <n v="3.82"/>
    <n v="50"/>
    <m/>
    <n v="0"/>
    <s v="Trator 1.7m"/>
    <m/>
    <s v="Não"/>
    <s v="Não"/>
    <s v="Não"/>
    <s v="Não"/>
    <n v="862.8"/>
    <n v="862.8"/>
  </r>
  <r>
    <s v="VGSP-330_099,000_ES_CL3"/>
    <x v="0"/>
    <s v="99,000"/>
    <m/>
    <s v="99,500"/>
    <m/>
    <x v="0"/>
    <s v="S"/>
    <n v="-22.887166767800139"/>
    <n v="-47.113688626467692"/>
    <n v="996.04"/>
    <n v="4.09"/>
    <n v="30"/>
    <m/>
    <n v="0"/>
    <s v="Trator 1.7m"/>
    <m/>
    <s v="Não"/>
    <s v="Não"/>
    <s v="Não"/>
    <s v="Não"/>
    <n v="298.81199999999995"/>
    <n v="298.81199999999995"/>
  </r>
  <r>
    <s v="VGSP-348_099,000_EN_CL2"/>
    <x v="0"/>
    <s v="99,000"/>
    <m/>
    <s v="99,500"/>
    <m/>
    <x v="0"/>
    <s v="N"/>
    <n v="-22.912382820766219"/>
    <n v="-47.162575495008923"/>
    <n v="2064.81"/>
    <n v="4.0999999999999996"/>
    <n v="50"/>
    <m/>
    <n v="0"/>
    <s v="Trator 1.7m"/>
    <m/>
    <s v="Não"/>
    <s v="Não"/>
    <s v="Não"/>
    <s v="Não"/>
    <n v="1032.405"/>
    <n v="1032.405"/>
  </r>
  <r>
    <s v="VGSP-348_099,000_ES_CL2"/>
    <x v="0"/>
    <s v="99,000"/>
    <m/>
    <s v="99,500"/>
    <m/>
    <x v="0"/>
    <s v="S"/>
    <n v="-22.915952154053869"/>
    <n v="-47.156872402398982"/>
    <n v="1933.3"/>
    <n v="2.74"/>
    <n v="70"/>
    <m/>
    <n v="0"/>
    <s v="Trator 1.7m"/>
    <m/>
    <s v="Não"/>
    <s v="Não"/>
    <s v="Não"/>
    <s v="Não"/>
    <n v="1353.31"/>
    <n v="1353.31"/>
  </r>
  <r>
    <s v="VGSP-330_099,000_ES_CL4"/>
    <x v="0"/>
    <s v="99,000"/>
    <m/>
    <s v="99,500"/>
    <m/>
    <x v="0"/>
    <s v="S"/>
    <n v="-22.88959337155887"/>
    <n v="-47.113010770067163"/>
    <n v="1463.67"/>
    <n v="4.82"/>
    <n v="50"/>
    <m/>
    <n v="0"/>
    <s v="Trator 1.7m"/>
    <m/>
    <s v="Não"/>
    <s v="Não"/>
    <s v="Não"/>
    <s v="Não"/>
    <n v="731.83500000000004"/>
    <n v="731.83500000000004"/>
  </r>
  <r>
    <s v="VGSP-348_099,000_ES_CL1"/>
    <x v="0"/>
    <s v="99,000"/>
    <m/>
    <s v="99,500"/>
    <m/>
    <x v="0"/>
    <s v="S"/>
    <n v="-22.916099533836569"/>
    <n v="-47.156969650395993"/>
    <n v="394.45"/>
    <n v="2.56"/>
    <n v="70"/>
    <m/>
    <n v="0"/>
    <s v="Trator 1.7m"/>
    <m/>
    <s v="Não"/>
    <s v="Não"/>
    <s v="Não"/>
    <s v="Não"/>
    <n v="276.11499999999995"/>
    <n v="276.11499999999995"/>
  </r>
  <r>
    <s v="VGSP-330_099,000_EN_CL5"/>
    <x v="0"/>
    <s v="99,000"/>
    <m/>
    <s v="99,500"/>
    <m/>
    <x v="0"/>
    <s v="N"/>
    <n v="-22.887417712074619"/>
    <n v="-47.113038890202077"/>
    <n v="452.21"/>
    <n v="2.7"/>
    <n v="0"/>
    <m/>
    <n v="0"/>
    <m/>
    <m/>
    <s v="Não"/>
    <s v="Não"/>
    <s v="Não"/>
    <s v="Não"/>
    <n v="0"/>
    <n v="0"/>
  </r>
  <r>
    <s v="VGSP-330_099,000_CC2"/>
    <x v="122"/>
    <s v="99,000"/>
    <m/>
    <s v="99,500"/>
    <m/>
    <x v="1"/>
    <s v="C"/>
    <n v="-22.885833870874251"/>
    <n v="-47.114078850871358"/>
    <n v="5877.72"/>
    <n v="2.81"/>
    <n v="80"/>
    <m/>
    <n v="0"/>
    <s v="Trator 1.7m"/>
    <m/>
    <s v="Não"/>
    <s v="Não"/>
    <s v="Não"/>
    <s v="Não"/>
    <n v="4702.1760000000004"/>
    <n v="4702.1760000000004"/>
  </r>
  <r>
    <s v="VGSP-348_099,000_EN_CL3"/>
    <x v="0"/>
    <s v="99,000"/>
    <m/>
    <s v="99,500"/>
    <m/>
    <x v="0"/>
    <s v="N"/>
    <n v="-22.91422506167806"/>
    <n v="-47.159027018911551"/>
    <n v="1305.19"/>
    <n v="6"/>
    <n v="70"/>
    <m/>
    <n v="0"/>
    <s v="Trator 1.7m"/>
    <m/>
    <s v="Não"/>
    <s v="Não"/>
    <s v="Não"/>
    <s v="Não"/>
    <n v="913.63299999999992"/>
    <n v="913.63299999999992"/>
  </r>
  <r>
    <s v="VGSP-330_099,000_ES_CL5"/>
    <x v="0"/>
    <s v="99,000"/>
    <m/>
    <s v="99,500"/>
    <m/>
    <x v="0"/>
    <s v="S"/>
    <n v="-22.885595739027611"/>
    <n v="-47.114549978756813"/>
    <n v="1390.13"/>
    <n v="3.53"/>
    <n v="30"/>
    <m/>
    <n v="0"/>
    <s v="Trator 1.7m"/>
    <m/>
    <s v="Não"/>
    <s v="Não"/>
    <s v="Não"/>
    <s v="Não"/>
    <n v="417.03900000000004"/>
    <n v="417.03900000000004"/>
  </r>
  <r>
    <s v="VGSP-330_099,000_EN_CL7"/>
    <x v="0"/>
    <s v="99,000"/>
    <m/>
    <s v="99,500"/>
    <m/>
    <x v="0"/>
    <s v="N"/>
    <n v="-22.883970355825952"/>
    <n v="-47.114736141765491"/>
    <n v="222.56"/>
    <n v="1.23"/>
    <n v="0"/>
    <m/>
    <n v="0"/>
    <m/>
    <m/>
    <s v="Não"/>
    <s v="Não"/>
    <s v="Não"/>
    <s v="Não"/>
    <n v="0"/>
    <n v="0"/>
  </r>
  <r>
    <s v="VGSP-330_099,000_EN_CL2"/>
    <x v="0"/>
    <s v="99,000"/>
    <m/>
    <s v="99,500"/>
    <m/>
    <x v="0"/>
    <s v="N"/>
    <n v="-22.889636932650841"/>
    <n v="-47.112485796208929"/>
    <n v="2666.07"/>
    <n v="3.71"/>
    <n v="40"/>
    <m/>
    <n v="0"/>
    <s v="Trator 1.7m"/>
    <m/>
    <s v="Não"/>
    <s v="Não"/>
    <s v="Não"/>
    <s v="Não"/>
    <n v="1066.4280000000001"/>
    <n v="1066.4280000000001"/>
  </r>
  <r>
    <s v="VGSP-330_099,000_EN_CL3"/>
    <x v="0"/>
    <s v="99,000"/>
    <m/>
    <s v="99,500"/>
    <m/>
    <x v="0"/>
    <s v="N"/>
    <n v="-22.886112694846929"/>
    <n v="-47.113730190704807"/>
    <n v="3248.58"/>
    <n v="3.24"/>
    <n v="80"/>
    <m/>
    <n v="2598.864"/>
    <s v="Spider"/>
    <m/>
    <s v="Não"/>
    <s v="Não"/>
    <s v="Não"/>
    <s v="Sim"/>
    <n v="0"/>
    <m/>
  </r>
  <r>
    <s v="VGSP-348_099,000_EN_CL1"/>
    <x v="0"/>
    <s v="99,000"/>
    <m/>
    <s v="99,500"/>
    <m/>
    <x v="0"/>
    <s v="N"/>
    <n v="-22.9154946001177"/>
    <n v="-47.156518010066748"/>
    <n v="1825.48"/>
    <n v="1.57"/>
    <n v="70"/>
    <m/>
    <n v="0"/>
    <s v="Trator 1.7m"/>
    <m/>
    <s v="Não"/>
    <s v="Não"/>
    <s v="Não"/>
    <s v="Não"/>
    <n v="1277.836"/>
    <n v="1277.836"/>
  </r>
  <r>
    <s v="VGSP-330_100,000_EN_CL4"/>
    <x v="0"/>
    <s v="100,000"/>
    <m/>
    <s v="100,500"/>
    <m/>
    <x v="0"/>
    <s v="N"/>
    <n v="-22.87865329411596"/>
    <n v="-47.119108572838513"/>
    <n v="2535.5300000000002"/>
    <n v="3.55"/>
    <n v="0"/>
    <m/>
    <n v="0"/>
    <m/>
    <m/>
    <s v="Não"/>
    <s v="Não"/>
    <s v="Não"/>
    <s v="Não"/>
    <n v="0"/>
    <n v="0"/>
  </r>
  <r>
    <s v="VGSP-330_100,000_CC2"/>
    <x v="124"/>
    <s v="100,000"/>
    <m/>
    <s v="100,500"/>
    <m/>
    <x v="1"/>
    <s v="C"/>
    <n v="-22.880567861728039"/>
    <n v="-47.117434476423739"/>
    <n v="52.29"/>
    <n v="2.56"/>
    <n v="0"/>
    <m/>
    <n v="0"/>
    <m/>
    <m/>
    <s v="Não"/>
    <s v="Não"/>
    <s v="Não"/>
    <s v="Não"/>
    <n v="0"/>
    <n v="0"/>
  </r>
  <r>
    <s v="VGSP-348_100,000_EN_CL4"/>
    <x v="0"/>
    <s v="100,000"/>
    <m/>
    <s v="100,500"/>
    <m/>
    <x v="0"/>
    <s v="N"/>
    <n v="-22.911037634082319"/>
    <n v="-47.174104036389927"/>
    <n v="882.26"/>
    <n v="8.2899999999999991"/>
    <n v="50"/>
    <m/>
    <n v="0"/>
    <s v="Trator 1.7m"/>
    <m/>
    <s v="Não"/>
    <s v="Não"/>
    <s v="Não"/>
    <s v="Não"/>
    <n v="441.13"/>
    <n v="441.13"/>
  </r>
  <r>
    <s v="VGSP-348_100,000_CC3"/>
    <x v="125"/>
    <s v="100,000"/>
    <m/>
    <s v="100,500"/>
    <n v="0.5"/>
    <x v="1"/>
    <s v="C"/>
    <n v="-22.91123378597635"/>
    <n v="-47.174012489657542"/>
    <n v="2827.2"/>
    <n v="7.58"/>
    <n v="80"/>
    <m/>
    <n v="0"/>
    <s v="Trator 1.7m"/>
    <m/>
    <s v="Não"/>
    <s v="Não"/>
    <s v="Não"/>
    <s v="Não"/>
    <n v="2261.7599999999998"/>
    <n v="2261.7599999999998"/>
  </r>
  <r>
    <s v="VGSP-348_100,000_EN_CL2"/>
    <x v="0"/>
    <s v="100,000"/>
    <m/>
    <s v="100,500"/>
    <m/>
    <x v="0"/>
    <s v="N"/>
    <n v="-22.91087413618683"/>
    <n v="-47.167380629236348"/>
    <n v="2140.6799999999998"/>
    <n v="8.58"/>
    <n v="50"/>
    <m/>
    <n v="0"/>
    <s v="Trator 1.7m"/>
    <m/>
    <s v="Não"/>
    <s v="Não"/>
    <s v="Não"/>
    <s v="Não"/>
    <n v="1070.3399999999999"/>
    <n v="1070.3399999999999"/>
  </r>
  <r>
    <s v="VGSP-330_100,000_EN_CL5"/>
    <x v="0"/>
    <s v="100,000"/>
    <m/>
    <s v="100,500"/>
    <m/>
    <x v="0"/>
    <s v="N"/>
    <n v="-22.878481650850151"/>
    <n v="-47.119115607103147"/>
    <n v="2279.52"/>
    <n v="3.67"/>
    <n v="0"/>
    <m/>
    <n v="0"/>
    <m/>
    <m/>
    <s v="Não"/>
    <s v="Não"/>
    <s v="Não"/>
    <s v="Não"/>
    <n v="0"/>
    <n v="0"/>
  </r>
  <r>
    <s v="VGSP-348_100,000_CC1"/>
    <x v="125"/>
    <s v="100,000"/>
    <m/>
    <s v="100,500"/>
    <n v="0.5"/>
    <x v="1"/>
    <s v="C"/>
    <n v="-22.91106357305096"/>
    <n v="-47.167443279636423"/>
    <n v="6161.64"/>
    <n v="8.73"/>
    <n v="80"/>
    <m/>
    <n v="0"/>
    <s v="Trator 1.7m"/>
    <m/>
    <s v="Não"/>
    <s v="Não"/>
    <s v="Não"/>
    <s v="Não"/>
    <n v="4929.3120000000008"/>
    <n v="4929.3120000000008"/>
  </r>
  <r>
    <s v="VGSP-330_100,000_ES_CL4"/>
    <x v="0"/>
    <s v="100,000"/>
    <m/>
    <s v="100,500"/>
    <m/>
    <x v="0"/>
    <s v="S"/>
    <n v="-22.87957886457642"/>
    <n v="-47.118818404839153"/>
    <n v="1359.63"/>
    <n v="2.78"/>
    <n v="20"/>
    <m/>
    <n v="0"/>
    <s v="Trator 1.7m"/>
    <m/>
    <s v="Não"/>
    <s v="Não"/>
    <s v="Não"/>
    <s v="Não"/>
    <n v="271.92600000000004"/>
    <n v="271.92600000000004"/>
  </r>
  <r>
    <s v="VGSP-348_100,000_CC2"/>
    <x v="125"/>
    <s v="100,000"/>
    <m/>
    <s v="100,500"/>
    <n v="0.5"/>
    <x v="1"/>
    <s v="C"/>
    <n v="-22.91090842847543"/>
    <n v="-47.171418337338388"/>
    <n v="3630.75"/>
    <n v="8.93"/>
    <n v="80"/>
    <m/>
    <n v="0"/>
    <s v="Trator 1.7m"/>
    <m/>
    <s v="Não"/>
    <s v="Não"/>
    <s v="Não"/>
    <s v="Não"/>
    <n v="2904.6000000000004"/>
    <n v="2904.6000000000004"/>
  </r>
  <r>
    <s v="VGSP-348_100,000_ES_CL1"/>
    <x v="0"/>
    <s v="100,000"/>
    <m/>
    <s v="100,500"/>
    <m/>
    <x v="0"/>
    <s v="S"/>
    <n v="-22.911114921183572"/>
    <n v="-47.171404846188352"/>
    <n v="1209.47"/>
    <n v="5.83"/>
    <n v="50"/>
    <m/>
    <n v="0"/>
    <s v="Trator 1.7m"/>
    <m/>
    <s v="Não"/>
    <s v="Não"/>
    <s v="Não"/>
    <s v="Não"/>
    <n v="604.73500000000001"/>
    <n v="604.73500000000001"/>
  </r>
  <r>
    <s v="VGSP-330_100,000_ES_CL3"/>
    <x v="0"/>
    <s v="100,000"/>
    <m/>
    <s v="100,500"/>
    <m/>
    <x v="0"/>
    <s v="S"/>
    <n v="-22.880674123673209"/>
    <n v="-47.117594985972289"/>
    <n v="11.46"/>
    <n v="3.96"/>
    <n v="0"/>
    <m/>
    <n v="0"/>
    <m/>
    <m/>
    <s v="Não"/>
    <s v="Não"/>
    <s v="Não"/>
    <s v="Não"/>
    <n v="0"/>
    <n v="0"/>
  </r>
  <r>
    <s v="VGSP-348_100,000_ES_CL2"/>
    <x v="0"/>
    <s v="100,000"/>
    <m/>
    <s v="100,500"/>
    <m/>
    <x v="0"/>
    <s v="S"/>
    <n v="-22.91126525894019"/>
    <n v="-47.167492463495073"/>
    <n v="2025.98"/>
    <n v="7.54"/>
    <n v="50"/>
    <m/>
    <n v="0"/>
    <s v="Trator 1.7m"/>
    <m/>
    <s v="Não"/>
    <s v="Não"/>
    <s v="Não"/>
    <s v="Não"/>
    <n v="1012.99"/>
    <n v="1012.99"/>
  </r>
  <r>
    <s v="VGSP-330_100,000_ES_CL6"/>
    <x v="0"/>
    <s v="100,000"/>
    <m/>
    <s v="100,500"/>
    <m/>
    <x v="0"/>
    <s v="S"/>
    <n v="-22.877630567151929"/>
    <n v="-47.120929785827862"/>
    <n v="866.95"/>
    <n v="3.04"/>
    <n v="20"/>
    <m/>
    <n v="0"/>
    <s v="Trator 1.7m"/>
    <m/>
    <s v="Não"/>
    <s v="Não"/>
    <s v="Não"/>
    <s v="Não"/>
    <n v="173.39000000000001"/>
    <n v="173.39000000000001"/>
  </r>
  <r>
    <s v="VGSP-330_100,000_CC1"/>
    <x v="124"/>
    <s v="100,000"/>
    <m/>
    <s v="100,500"/>
    <m/>
    <x v="1"/>
    <s v="C"/>
    <n v="-22.882187994565481"/>
    <n v="-47.116192950448792"/>
    <n v="5429.35"/>
    <n v="2.4500000000000002"/>
    <n v="80"/>
    <m/>
    <n v="0"/>
    <s v="Trator 1.7m"/>
    <m/>
    <s v="Não"/>
    <s v="Não"/>
    <s v="Não"/>
    <s v="Não"/>
    <n v="4343.4800000000005"/>
    <n v="4343.4800000000005"/>
  </r>
  <r>
    <s v="VGSP-330_100,000_ES_CL1"/>
    <x v="0"/>
    <s v="100,000"/>
    <m/>
    <s v="100,500"/>
    <m/>
    <x v="0"/>
    <s v="S"/>
    <n v="-22.8824267053071"/>
    <n v="-47.11639007785412"/>
    <n v="1500.32"/>
    <n v="2.78"/>
    <n v="30"/>
    <m/>
    <n v="0"/>
    <s v="Trator 1.7m"/>
    <m/>
    <s v="Não"/>
    <s v="Não"/>
    <s v="Não"/>
    <s v="Não"/>
    <n v="450.09599999999995"/>
    <n v="450.09599999999995"/>
  </r>
  <r>
    <s v="VGSP-330_100,000_ES_CL5"/>
    <x v="0"/>
    <s v="100,000"/>
    <m/>
    <s v="100,500"/>
    <m/>
    <x v="0"/>
    <s v="S"/>
    <n v="-22.879351945419121"/>
    <n v="-47.118880856020162"/>
    <n v="1851.78"/>
    <n v="2.5099999999999998"/>
    <n v="20"/>
    <m/>
    <n v="0"/>
    <s v="Trator 1.7m"/>
    <m/>
    <s v="Não"/>
    <s v="Não"/>
    <s v="Não"/>
    <s v="Não"/>
    <n v="370.35599999999999"/>
    <n v="370.35599999999999"/>
  </r>
  <r>
    <s v="VGSP-330_100,000_EN_CL1"/>
    <x v="0"/>
    <s v="100,000"/>
    <m/>
    <s v="100,500"/>
    <m/>
    <x v="0"/>
    <s v="N"/>
    <n v="-22.88236300235501"/>
    <n v="-47.115673322033537"/>
    <n v="1186.73"/>
    <n v="2.21"/>
    <n v="0"/>
    <m/>
    <n v="0"/>
    <m/>
    <m/>
    <s v="Não"/>
    <s v="Não"/>
    <s v="Não"/>
    <s v="Não"/>
    <n v="0"/>
    <n v="0"/>
  </r>
  <r>
    <s v="VGSP-348_100,000_ES_CL3"/>
    <x v="0"/>
    <s v="100,000"/>
    <m/>
    <s v="100,500"/>
    <m/>
    <x v="0"/>
    <s v="S"/>
    <n v="-22.91143652848643"/>
    <n v="-47.173968386403637"/>
    <n v="951.07"/>
    <n v="5.77"/>
    <n v="50"/>
    <m/>
    <n v="0"/>
    <s v="Trator 1.7m"/>
    <m/>
    <s v="Não"/>
    <s v="Não"/>
    <s v="Não"/>
    <s v="Não"/>
    <n v="475.53500000000003"/>
    <n v="475.53500000000003"/>
  </r>
  <r>
    <s v="VGSP-330_100,000_ES_CL7"/>
    <x v="0"/>
    <s v="100,000"/>
    <m/>
    <s v="100,500"/>
    <m/>
    <x v="0"/>
    <s v="S"/>
    <n v="-22.877341919018551"/>
    <n v="-47.121082722047568"/>
    <n v="574.57000000000005"/>
    <n v="3.36"/>
    <n v="20"/>
    <m/>
    <n v="0"/>
    <s v="Trator 1.7m"/>
    <m/>
    <s v="Não"/>
    <s v="Não"/>
    <s v="Não"/>
    <s v="Não"/>
    <n v="114.91400000000002"/>
    <n v="114.91400000000002"/>
  </r>
  <r>
    <s v="VGSP-330_100,000_ES_CL2"/>
    <x v="0"/>
    <s v="100,000"/>
    <m/>
    <s v="100,500"/>
    <m/>
    <x v="0"/>
    <s v="S"/>
    <n v="-22.882141186383571"/>
    <n v="-47.116456490568083"/>
    <n v="1937.5"/>
    <n v="2.78"/>
    <n v="30"/>
    <m/>
    <n v="0"/>
    <s v="Trator 1.7m"/>
    <m/>
    <s v="Não"/>
    <s v="Não"/>
    <s v="Não"/>
    <s v="Não"/>
    <n v="581.25"/>
    <n v="581.25"/>
  </r>
  <r>
    <s v="VGSP-330_100,000_EN_CL3"/>
    <x v="0"/>
    <s v="100,000"/>
    <m/>
    <s v="100,500"/>
    <m/>
    <x v="0"/>
    <s v="N"/>
    <n v="-22.880468595613142"/>
    <n v="-47.117279519973259"/>
    <n v="31.25"/>
    <n v="1.47"/>
    <n v="0"/>
    <m/>
    <n v="0"/>
    <m/>
    <m/>
    <s v="Não"/>
    <s v="Não"/>
    <s v="Não"/>
    <s v="Não"/>
    <n v="0"/>
    <n v="0"/>
  </r>
  <r>
    <s v="VGSP-330_100,000_CC3"/>
    <x v="124"/>
    <s v="100,000"/>
    <m/>
    <s v="100,500"/>
    <m/>
    <x v="1"/>
    <s v="C"/>
    <n v="-22.878632196683739"/>
    <n v="-47.119388525469347"/>
    <n v="7172.27"/>
    <n v="3.32"/>
    <n v="80"/>
    <m/>
    <n v="0"/>
    <s v="Trator 1.7m"/>
    <m/>
    <s v="Não"/>
    <s v="Não"/>
    <s v="Não"/>
    <s v="Não"/>
    <n v="5737.8160000000007"/>
    <n v="5737.8160000000007"/>
  </r>
  <r>
    <s v="VGSP-348_100,000_EN_CL3"/>
    <x v="0"/>
    <s v="100,000"/>
    <m/>
    <s v="100,500"/>
    <m/>
    <x v="0"/>
    <s v="N"/>
    <n v="-22.910708333883129"/>
    <n v="-47.171401190372222"/>
    <n v="1184.23"/>
    <n v="9.93"/>
    <n v="50"/>
    <m/>
    <n v="0"/>
    <s v="Trator 1.7m"/>
    <m/>
    <s v="Não"/>
    <s v="Não"/>
    <s v="Não"/>
    <s v="Não"/>
    <n v="592.11500000000001"/>
    <n v="592.11500000000001"/>
  </r>
  <r>
    <s v="VGSP-348_100,000_EN_CL5"/>
    <x v="0"/>
    <s v="100,000"/>
    <m/>
    <s v="100,500"/>
    <m/>
    <x v="0"/>
    <s v="N"/>
    <n v="-22.910866089439601"/>
    <n v="-47.172835057196181"/>
    <n v="2.1800000000000002"/>
    <n v="6.31"/>
    <m/>
    <m/>
    <n v="0"/>
    <m/>
    <m/>
    <s v="Não"/>
    <s v="Não"/>
    <s v="Não"/>
    <s v="Não"/>
    <n v="0"/>
    <n v="0"/>
  </r>
  <r>
    <s v="VGSP-330_100,000_EN_CL2"/>
    <x v="0"/>
    <s v="100,000"/>
    <m/>
    <s v="100,500"/>
    <m/>
    <x v="0"/>
    <s v="N"/>
    <n v="-22.882199463572451"/>
    <n v="-47.115954366786262"/>
    <n v="2612.4499999999998"/>
    <n v="2.14"/>
    <n v="0"/>
    <m/>
    <n v="0"/>
    <m/>
    <m/>
    <s v="Não"/>
    <s v="Não"/>
    <s v="Não"/>
    <s v="Não"/>
    <n v="0"/>
    <n v="0"/>
  </r>
  <r>
    <s v="VGSP-348_100,000_EN_CL1"/>
    <x v="0"/>
    <s v="100,000"/>
    <m/>
    <s v="100,500"/>
    <m/>
    <x v="0"/>
    <s v="N"/>
    <n v="-22.910708331288621"/>
    <n v="-47.171401169939813"/>
    <n v="1184.22"/>
    <n v="9.93"/>
    <n v="50"/>
    <m/>
    <n v="0"/>
    <s v="Trator 1.7m"/>
    <m/>
    <s v="Não"/>
    <s v="Não"/>
    <s v="Não"/>
    <s v="Não"/>
    <n v="592.11"/>
    <n v="592.11"/>
  </r>
  <r>
    <s v="VGSP-330_101,000_EN_CL7"/>
    <x v="0"/>
    <s v="101,000"/>
    <m/>
    <s v="101,500"/>
    <m/>
    <x v="0"/>
    <s v="N"/>
    <n v="-22.87167185772023"/>
    <n v="-47.127041221751043"/>
    <n v="1240.67"/>
    <n v="4.29"/>
    <n v="0"/>
    <m/>
    <n v="0"/>
    <m/>
    <m/>
    <s v="Não"/>
    <s v="Não"/>
    <s v="Não"/>
    <s v="Não"/>
    <n v="0"/>
    <n v="0"/>
  </r>
  <r>
    <s v="VGSP-330_101,000_ES_CL3"/>
    <x v="0"/>
    <s v="101,000"/>
    <m/>
    <s v="101,500"/>
    <m/>
    <x v="0"/>
    <s v="S"/>
    <n v="-22.873579951988621"/>
    <n v="-47.125382959216488"/>
    <n v="607.87"/>
    <n v="1.85"/>
    <n v="0"/>
    <m/>
    <n v="0"/>
    <m/>
    <m/>
    <s v="Não"/>
    <s v="Não"/>
    <s v="Não"/>
    <s v="Não"/>
    <n v="0"/>
    <n v="0"/>
  </r>
  <r>
    <s v="VGSP-348_101,000_ES_CL3"/>
    <x v="0"/>
    <s v="101,000"/>
    <m/>
    <s v="101,500"/>
    <m/>
    <x v="0"/>
    <s v="S"/>
    <n v="-22.912699381608618"/>
    <n v="-47.183056974569823"/>
    <n v="1097.5899999999999"/>
    <n v="4.6399999999999997"/>
    <n v="70"/>
    <m/>
    <n v="0"/>
    <s v="Trator 1.7m"/>
    <m/>
    <s v="Não"/>
    <s v="Não"/>
    <s v="Não"/>
    <s v="Não"/>
    <n v="768.31299999999987"/>
    <n v="768.31299999999987"/>
  </r>
  <r>
    <s v="VGSP-348_101,000_ES_CL2"/>
    <x v="0"/>
    <s v="101,000"/>
    <m/>
    <s v="101,500"/>
    <m/>
    <x v="0"/>
    <s v="S"/>
    <n v="-22.91190197639553"/>
    <n v="-47.17730844156732"/>
    <n v="1822.14"/>
    <n v="4.6500000000000004"/>
    <n v="50"/>
    <m/>
    <n v="0"/>
    <s v="Trator 1.7m"/>
    <m/>
    <s v="Não"/>
    <s v="Não"/>
    <s v="Não"/>
    <s v="Não"/>
    <n v="911.07"/>
    <n v="911.07"/>
  </r>
  <r>
    <s v="VGSP-330_101,000_EN_CL2"/>
    <x v="0"/>
    <s v="101,000"/>
    <m/>
    <s v="101,500"/>
    <m/>
    <x v="0"/>
    <s v="N"/>
    <n v="-22.873660912750172"/>
    <n v="-47.124764130472641"/>
    <n v="386.6"/>
    <n v="2.14"/>
    <n v="0"/>
    <m/>
    <n v="0"/>
    <m/>
    <m/>
    <s v="Não"/>
    <s v="Não"/>
    <s v="Não"/>
    <s v="Não"/>
    <n v="0"/>
    <n v="0"/>
  </r>
  <r>
    <s v="VGSP-330_101,000_EN_CL4"/>
    <x v="0"/>
    <s v="101,000"/>
    <m/>
    <s v="101,500"/>
    <m/>
    <x v="0"/>
    <s v="N"/>
    <n v="-22.873157183929351"/>
    <n v="-47.124855868608797"/>
    <n v="863.25"/>
    <n v="3.9"/>
    <n v="0"/>
    <m/>
    <n v="0"/>
    <m/>
    <m/>
    <s v="Não"/>
    <s v="Não"/>
    <s v="Não"/>
    <s v="Não"/>
    <n v="0"/>
    <n v="0"/>
  </r>
  <r>
    <s v="VGSP-330_101,000_CC2"/>
    <x v="126"/>
    <s v="101,000"/>
    <m/>
    <s v="101,500"/>
    <m/>
    <x v="1"/>
    <s v="C"/>
    <n v="-22.87347630423497"/>
    <n v="-47.125210602470183"/>
    <n v="1757.46"/>
    <n v="2.2599999999999998"/>
    <n v="80"/>
    <m/>
    <n v="0"/>
    <s v="Trator 1.7m"/>
    <m/>
    <s v="Não"/>
    <s v="Não"/>
    <s v="Não"/>
    <s v="Não"/>
    <n v="1405.9680000000001"/>
    <n v="1405.9680000000001"/>
  </r>
  <r>
    <s v="VGSP-330_101,000_ES_CL1"/>
    <x v="0"/>
    <s v="101,000"/>
    <m/>
    <s v="101,500"/>
    <m/>
    <x v="0"/>
    <s v="S"/>
    <n v="-22.876819993810621"/>
    <n v="-47.121857109184177"/>
    <n v="269.29000000000002"/>
    <n v="3.16"/>
    <n v="20"/>
    <m/>
    <n v="0"/>
    <s v="Trator 1.7m"/>
    <m/>
    <s v="Não"/>
    <s v="Não"/>
    <s v="Não"/>
    <s v="Não"/>
    <n v="53.858000000000004"/>
    <n v="53.858000000000004"/>
  </r>
  <r>
    <s v="VGSP-330_101,000_CC1"/>
    <x v="126"/>
    <s v="101,000"/>
    <m/>
    <s v="101,500"/>
    <m/>
    <x v="1"/>
    <s v="C"/>
    <n v="-22.875530205070351"/>
    <n v="-47.122880615933767"/>
    <n v="5209.63"/>
    <n v="2.64"/>
    <n v="80"/>
    <m/>
    <n v="0"/>
    <s v="Trator 1.7m"/>
    <m/>
    <s v="Não"/>
    <s v="Não"/>
    <s v="Não"/>
    <s v="Não"/>
    <n v="4167.7040000000006"/>
    <n v="4167.7040000000006"/>
  </r>
  <r>
    <s v="VGSP-348_101,000_CC2"/>
    <x v="127"/>
    <s v="101,000"/>
    <m/>
    <s v="101,500"/>
    <n v="0.5"/>
    <x v="1"/>
    <s v="C"/>
    <n v="-22.912127322451411"/>
    <n v="-47.180409353358023"/>
    <n v="2193.04"/>
    <n v="1.31"/>
    <n v="80"/>
    <m/>
    <n v="0"/>
    <s v="Trator 1.7m"/>
    <m/>
    <s v="Não"/>
    <s v="Não"/>
    <s v="Não"/>
    <s v="Não"/>
    <n v="1754.432"/>
    <n v="1754.432"/>
  </r>
  <r>
    <s v="VGSP-330_101,000_ES_CL6"/>
    <x v="0"/>
    <s v="101,000"/>
    <m/>
    <s v="101,500"/>
    <m/>
    <x v="0"/>
    <s v="S"/>
    <n v="-22.872783296795191"/>
    <n v="-47.126777666165331"/>
    <n v="2084.14"/>
    <n v="2.6"/>
    <n v="0"/>
    <m/>
    <n v="0"/>
    <m/>
    <m/>
    <s v="Não"/>
    <s v="Não"/>
    <s v="Não"/>
    <s v="Não"/>
    <n v="0"/>
    <n v="0"/>
  </r>
  <r>
    <s v="VGSP-330_101,000_ES_CL9"/>
    <x v="0"/>
    <s v="101,000"/>
    <m/>
    <s v="101,500"/>
    <m/>
    <x v="0"/>
    <s v="S"/>
    <n v="-22.871932783795611"/>
    <n v="-47.127272202053383"/>
    <n v="945.91"/>
    <n v="2.34"/>
    <n v="0"/>
    <m/>
    <n v="0"/>
    <m/>
    <m/>
    <s v="Não"/>
    <s v="Não"/>
    <s v="Não"/>
    <s v="Não"/>
    <n v="0"/>
    <n v="0"/>
  </r>
  <r>
    <s v="VGSP-330_101,000_CC3"/>
    <x v="126"/>
    <s v="101,000"/>
    <m/>
    <s v="101,500"/>
    <m/>
    <x v="1"/>
    <s v="C"/>
    <n v="-22.871777158489181"/>
    <n v="-47.127160579659737"/>
    <n v="2804.57"/>
    <n v="3.06"/>
    <n v="80"/>
    <m/>
    <n v="0"/>
    <s v="Trator 1.7m"/>
    <m/>
    <s v="Não"/>
    <s v="Não"/>
    <s v="Não"/>
    <s v="Não"/>
    <n v="2243.6560000000004"/>
    <n v="2243.6560000000004"/>
  </r>
  <r>
    <s v="VGSP-330_101,000_ES_CL5"/>
    <x v="0"/>
    <s v="101,000"/>
    <m/>
    <s v="101,500"/>
    <m/>
    <x v="0"/>
    <s v="S"/>
    <n v="-22.87430032227812"/>
    <n v="-47.124754555691837"/>
    <n v="42"/>
    <n v="2.09"/>
    <n v="20"/>
    <m/>
    <n v="0"/>
    <s v="Trator 1.7m"/>
    <m/>
    <s v="Não"/>
    <s v="Não"/>
    <s v="Não"/>
    <s v="Não"/>
    <n v="8.4"/>
    <n v="8.4"/>
  </r>
  <r>
    <s v="VGSP-348_101,000_EN_CL3"/>
    <x v="0"/>
    <s v="101,000"/>
    <m/>
    <s v="101,500"/>
    <m/>
    <x v="0"/>
    <s v="N"/>
    <n v="-22.912285578078009"/>
    <n v="-47.183036432661282"/>
    <n v="1140.8499999999999"/>
    <n v="3.59"/>
    <n v="70"/>
    <m/>
    <n v="0"/>
    <s v="Trator 1.7m"/>
    <m/>
    <s v="Não"/>
    <s v="Não"/>
    <s v="Não"/>
    <s v="Não"/>
    <n v="798.59499999999991"/>
    <n v="798.59499999999991"/>
  </r>
  <r>
    <s v="VGSP-348_101,000_EN_CL2"/>
    <x v="0"/>
    <s v="101,000"/>
    <m/>
    <s v="101,500"/>
    <m/>
    <x v="0"/>
    <s v="N"/>
    <n v="-22.911491854458951"/>
    <n v="-47.177348273979"/>
    <n v="1811.87"/>
    <n v="4.72"/>
    <n v="50"/>
    <m/>
    <n v="0"/>
    <s v="Trator 1.7m"/>
    <m/>
    <s v="Não"/>
    <s v="Não"/>
    <s v="Não"/>
    <s v="Não"/>
    <n v="905.93499999999995"/>
    <n v="905.93499999999995"/>
  </r>
  <r>
    <s v="VGSP-330_101,000_EN_CL6"/>
    <x v="0"/>
    <s v="101,000"/>
    <m/>
    <s v="101,500"/>
    <m/>
    <x v="0"/>
    <s v="N"/>
    <n v="-22.87191701528694"/>
    <n v="-47.126499626812233"/>
    <n v="3832.68"/>
    <n v="5.04"/>
    <n v="0"/>
    <m/>
    <n v="0"/>
    <m/>
    <m/>
    <s v="Não"/>
    <s v="Não"/>
    <s v="Não"/>
    <s v="Não"/>
    <n v="0"/>
    <n v="0"/>
  </r>
  <r>
    <s v="VGSP-348_101,000_CC3"/>
    <x v="127"/>
    <s v="101,000"/>
    <m/>
    <s v="101,500"/>
    <n v="0.5"/>
    <x v="1"/>
    <s v="C"/>
    <n v="-22.912486917506641"/>
    <n v="-47.183008043585907"/>
    <n v="3328.34"/>
    <n v="4.5"/>
    <n v="80"/>
    <m/>
    <n v="0"/>
    <s v="Trator 1.7m"/>
    <m/>
    <s v="Não"/>
    <s v="Não"/>
    <s v="Não"/>
    <s v="Não"/>
    <n v="2662.6720000000005"/>
    <n v="2662.6720000000005"/>
  </r>
  <r>
    <s v="VGSP-348_101,000_CC1"/>
    <x v="127"/>
    <s v="101,000"/>
    <m/>
    <s v="101,500"/>
    <n v="0.5"/>
    <x v="1"/>
    <s v="C"/>
    <n v="-22.911697190748441"/>
    <n v="-47.177326037935238"/>
    <n v="5424.31"/>
    <n v="4.92"/>
    <n v="80"/>
    <m/>
    <n v="0"/>
    <s v="Trator 1.7m"/>
    <m/>
    <s v="Não"/>
    <s v="Não"/>
    <s v="Não"/>
    <s v="Não"/>
    <n v="4339.4480000000003"/>
    <n v="4339.4480000000003"/>
  </r>
  <r>
    <s v="VGSP-348_101,000_EN_CL1"/>
    <x v="0"/>
    <s v="101,000"/>
    <m/>
    <s v="101,500"/>
    <m/>
    <x v="0"/>
    <s v="N"/>
    <n v="-22.91192356282664"/>
    <n v="-47.180385992762083"/>
    <n v="712.17"/>
    <n v="1.28"/>
    <n v="70"/>
    <m/>
    <n v="0"/>
    <s v="Trator 1.7m"/>
    <m/>
    <s v="Não"/>
    <s v="Não"/>
    <s v="Não"/>
    <s v="Não"/>
    <n v="498.51899999999995"/>
    <n v="498.51899999999995"/>
  </r>
  <r>
    <s v="VGSP-330_101,000_ES_CL2"/>
    <x v="0"/>
    <s v="101,000"/>
    <m/>
    <s v="101,500"/>
    <m/>
    <x v="0"/>
    <s v="S"/>
    <n v="-22.875615356990171"/>
    <n v="-47.123056320717197"/>
    <n v="1268.51"/>
    <n v="2.13"/>
    <n v="20"/>
    <m/>
    <n v="0"/>
    <s v="Trator 1.7m"/>
    <m/>
    <s v="Não"/>
    <s v="Não"/>
    <s v="Não"/>
    <s v="Não"/>
    <n v="253.702"/>
    <n v="253.702"/>
  </r>
  <r>
    <s v="VGSP-330_101,000_EN_CL8"/>
    <x v="0"/>
    <s v="101,000"/>
    <m/>
    <s v="101,500"/>
    <m/>
    <x v="0"/>
    <s v="N"/>
    <n v="-22.87147959091055"/>
    <n v="-47.126816736142871"/>
    <n v="1340.93"/>
    <n v="4.99"/>
    <n v="0"/>
    <m/>
    <n v="0"/>
    <m/>
    <m/>
    <s v="Não"/>
    <s v="Não"/>
    <s v="Não"/>
    <s v="Não"/>
    <n v="0"/>
    <n v="0"/>
  </r>
  <r>
    <s v="VGSP-330_101,000_ES_CL4"/>
    <x v="0"/>
    <s v="101,000"/>
    <m/>
    <s v="101,500"/>
    <m/>
    <x v="0"/>
    <s v="S"/>
    <n v="-22.873573811702819"/>
    <n v="-47.125669447644547"/>
    <n v="3356.01"/>
    <n v="2.2799999999999998"/>
    <n v="0"/>
    <m/>
    <n v="0"/>
    <m/>
    <m/>
    <s v="Não"/>
    <s v="Não"/>
    <s v="Não"/>
    <s v="Não"/>
    <n v="0"/>
    <n v="0"/>
  </r>
  <r>
    <s v="VGSP-330_101,000_ES_CL8"/>
    <x v="0"/>
    <s v="101,000"/>
    <m/>
    <s v="101,500"/>
    <m/>
    <x v="0"/>
    <s v="S"/>
    <n v="-22.8725554584565"/>
    <n v="-47.126830891719877"/>
    <n v="3110.17"/>
    <n v="2.0699999999999998"/>
    <n v="0"/>
    <m/>
    <n v="0"/>
    <m/>
    <m/>
    <s v="Não"/>
    <s v="Não"/>
    <s v="Não"/>
    <s v="Não"/>
    <n v="0"/>
    <n v="0"/>
  </r>
  <r>
    <s v="VGSP-330_101,000_ES_CL7"/>
    <x v="0"/>
    <s v="101,000"/>
    <m/>
    <s v="101,500"/>
    <m/>
    <x v="0"/>
    <s v="S"/>
    <n v="-22.875401567755379"/>
    <n v="-47.123504070658377"/>
    <n v="1512.13"/>
    <n v="2.1"/>
    <n v="20"/>
    <m/>
    <n v="0"/>
    <s v="Trator 1.7m"/>
    <m/>
    <s v="Não"/>
    <s v="Não"/>
    <s v="Não"/>
    <s v="Não"/>
    <n v="302.42600000000004"/>
    <n v="302.42600000000004"/>
  </r>
  <r>
    <s v="VGSP-330_101,000_EN_CL1"/>
    <x v="0"/>
    <s v="101,000"/>
    <m/>
    <s v="101,500"/>
    <m/>
    <x v="0"/>
    <s v="N"/>
    <n v="-22.875392557489931"/>
    <n v="-47.122779911679878"/>
    <n v="1544.68"/>
    <n v="3.09"/>
    <n v="0"/>
    <m/>
    <n v="0"/>
    <m/>
    <m/>
    <s v="Não"/>
    <s v="Não"/>
    <s v="Não"/>
    <s v="Não"/>
    <n v="0"/>
    <n v="0"/>
  </r>
  <r>
    <s v="VGSP-330_101,000_EN_CL5"/>
    <x v="0"/>
    <s v="101,000"/>
    <m/>
    <s v="101,500"/>
    <m/>
    <x v="0"/>
    <s v="N"/>
    <n v="-22.87305127845152"/>
    <n v="-47.125187626341628"/>
    <n v="2740.7"/>
    <n v="3.7"/>
    <n v="0"/>
    <m/>
    <n v="0"/>
    <m/>
    <m/>
    <s v="Não"/>
    <s v="Não"/>
    <s v="Não"/>
    <s v="Não"/>
    <n v="0"/>
    <n v="0"/>
  </r>
  <r>
    <s v="VGSP-330_101,000_EN_CL3"/>
    <x v="0"/>
    <s v="101,000"/>
    <m/>
    <s v="101,500"/>
    <m/>
    <x v="0"/>
    <s v="N"/>
    <n v="-22.875261029893689"/>
    <n v="-47.122738294217093"/>
    <n v="1682.8"/>
    <n v="3.68"/>
    <n v="0"/>
    <m/>
    <n v="0"/>
    <m/>
    <m/>
    <s v="Não"/>
    <s v="Não"/>
    <s v="Não"/>
    <s v="Não"/>
    <n v="0"/>
    <n v="0"/>
  </r>
  <r>
    <s v="VGSP-348_101,000_ES_CL1"/>
    <x v="0"/>
    <s v="101,000"/>
    <m/>
    <s v="101,500"/>
    <m/>
    <x v="0"/>
    <s v="S"/>
    <n v="-22.91232900821106"/>
    <n v="-47.180356008926552"/>
    <n v="708.13"/>
    <n v="1.85"/>
    <n v="70"/>
    <m/>
    <n v="0"/>
    <s v="Trator 1.7m"/>
    <m/>
    <s v="Não"/>
    <s v="Não"/>
    <s v="Não"/>
    <s v="Não"/>
    <n v="495.69099999999997"/>
    <n v="495.69099999999997"/>
  </r>
  <r>
    <s v="VGSP-330_102,000_EN_CL4"/>
    <x v="0"/>
    <s v="102,000"/>
    <m/>
    <s v="102,500"/>
    <m/>
    <x v="0"/>
    <s v="N"/>
    <n v="-22.866082622368641"/>
    <n v="-47.133088787950761"/>
    <n v="4075.29"/>
    <n v="4.76"/>
    <n v="40"/>
    <m/>
    <n v="0"/>
    <s v="Trator 1.7m"/>
    <m/>
    <s v="Não"/>
    <s v="Não"/>
    <s v="Não"/>
    <s v="Não"/>
    <n v="1630.116"/>
    <n v="1630.116"/>
  </r>
  <r>
    <s v="VGSP-330_102,000_ES_CL3"/>
    <x v="0"/>
    <s v="102,000"/>
    <m/>
    <s v="102,500"/>
    <m/>
    <x v="0"/>
    <s v="S"/>
    <n v="-22.868530054729931"/>
    <n v="-47.132156389401509"/>
    <n v="269.89"/>
    <n v="2.98"/>
    <n v="0"/>
    <m/>
    <n v="0"/>
    <m/>
    <m/>
    <s v="Não"/>
    <s v="Não"/>
    <s v="Não"/>
    <s v="Não"/>
    <n v="0"/>
    <n v="0"/>
  </r>
  <r>
    <s v="VGSP-348_102,000_ES_CL1"/>
    <x v="0"/>
    <s v="102,000"/>
    <m/>
    <s v="102,500"/>
    <m/>
    <x v="0"/>
    <s v="S"/>
    <n v="-22.912803975492029"/>
    <n v="-47.187114178421247"/>
    <n v="2251.73"/>
    <n v="4.5"/>
    <n v="70"/>
    <m/>
    <n v="0"/>
    <s v="Trator 1.7m"/>
    <m/>
    <s v="Não"/>
    <s v="Não"/>
    <s v="Não"/>
    <s v="Não"/>
    <n v="1576.211"/>
    <n v="1576.211"/>
  </r>
  <r>
    <s v="VGSP-330_102,000_ES_CL4"/>
    <x v="0"/>
    <s v="102,000"/>
    <m/>
    <s v="102,500"/>
    <m/>
    <x v="0"/>
    <s v="S"/>
    <n v="-22.86814987283708"/>
    <n v="-47.132870345935572"/>
    <n v="608.29999999999995"/>
    <n v="5.62"/>
    <n v="40"/>
    <m/>
    <n v="0"/>
    <s v="Trator 1.7m"/>
    <m/>
    <s v="Não"/>
    <s v="Não"/>
    <s v="Não"/>
    <s v="Não"/>
    <n v="243.32"/>
    <n v="243.32"/>
  </r>
  <r>
    <s v="VGSP-330_102,000_ES_CL7"/>
    <x v="0"/>
    <s v="102,000"/>
    <m/>
    <s v="102,500"/>
    <m/>
    <x v="0"/>
    <s v="S"/>
    <n v="-22.86593719182272"/>
    <n v="-47.134666617465918"/>
    <n v="43.82"/>
    <n v="1.67"/>
    <n v="0"/>
    <m/>
    <n v="0"/>
    <m/>
    <m/>
    <s v="Não"/>
    <s v="Não"/>
    <s v="Não"/>
    <s v="Não"/>
    <n v="0"/>
    <n v="0"/>
  </r>
  <r>
    <s v="VGSP-330_102,000_CC2"/>
    <x v="128"/>
    <s v="102,000"/>
    <m/>
    <s v="102,500"/>
    <m/>
    <x v="1"/>
    <s v="C"/>
    <n v="-22.868756519829649"/>
    <n v="-47.130832428847327"/>
    <n v="11828.63"/>
    <n v="3.7"/>
    <n v="80"/>
    <m/>
    <n v="0"/>
    <s v="Trator 1.7m"/>
    <m/>
    <s v="Não"/>
    <s v="Não"/>
    <s v="Não"/>
    <s v="Não"/>
    <n v="9462.9040000000005"/>
    <n v="9462.9040000000005"/>
  </r>
  <r>
    <s v="VGSP-330_102,000_ES_CL2"/>
    <x v="0"/>
    <s v="102,000"/>
    <m/>
    <s v="102,500"/>
    <m/>
    <x v="0"/>
    <s v="S"/>
    <n v="-22.868453234513591"/>
    <n v="-47.132307487536281"/>
    <n v="193"/>
    <n v="3.8"/>
    <n v="0"/>
    <m/>
    <n v="0"/>
    <m/>
    <m/>
    <s v="Não"/>
    <s v="Não"/>
    <s v="Não"/>
    <s v="Não"/>
    <n v="0"/>
    <n v="0"/>
  </r>
  <r>
    <s v="VGSP-330_102,000_CC4"/>
    <x v="128"/>
    <s v="102,000"/>
    <m/>
    <s v="102,500"/>
    <m/>
    <x v="1"/>
    <s v="C"/>
    <n v="-22.866519006436679"/>
    <n v="-47.133438497019007"/>
    <n v="10203.61"/>
    <n v="3.3"/>
    <n v="80"/>
    <m/>
    <n v="0"/>
    <s v="Trator 1.7m"/>
    <m/>
    <s v="Não"/>
    <s v="Não"/>
    <s v="Não"/>
    <s v="Não"/>
    <n v="8162.8880000000008"/>
    <n v="8162.8880000000008"/>
  </r>
  <r>
    <s v="VGSP-348_102,000_ES_CL2"/>
    <x v="0"/>
    <s v="102,000"/>
    <m/>
    <s v="102,500"/>
    <m/>
    <x v="0"/>
    <s v="S"/>
    <n v="-22.911176134236129"/>
    <n v="-47.193059085003469"/>
    <n v="2910.27"/>
    <n v="3.81"/>
    <n v="70"/>
    <m/>
    <n v="0"/>
    <s v="Trator 1.7m"/>
    <m/>
    <s v="Não"/>
    <s v="Não"/>
    <s v="Não"/>
    <s v="Não"/>
    <n v="2037.1889999999999"/>
    <n v="2037.1889999999999"/>
  </r>
  <r>
    <s v="VGSP-330_102,000_EN_CL1"/>
    <x v="0"/>
    <s v="102,000"/>
    <m/>
    <s v="102,500"/>
    <m/>
    <x v="0"/>
    <s v="N"/>
    <n v="-22.869674770600231"/>
    <n v="-47.129328683964978"/>
    <n v="1230.3800000000001"/>
    <n v="4.6399999999999997"/>
    <n v="0"/>
    <m/>
    <n v="0"/>
    <m/>
    <m/>
    <s v="Não"/>
    <s v="Não"/>
    <s v="Não"/>
    <s v="Não"/>
    <n v="0"/>
    <n v="0"/>
  </r>
  <r>
    <s v="VGSP-330_102,000_EN_CL2"/>
    <x v="0"/>
    <s v="102,000"/>
    <m/>
    <s v="102,500"/>
    <m/>
    <x v="0"/>
    <s v="N"/>
    <n v="-22.865838029141241"/>
    <n v="-47.133145591469628"/>
    <n v="1936.34"/>
    <n v="4.59"/>
    <n v="40"/>
    <m/>
    <n v="0"/>
    <s v="Trator 1.7m"/>
    <m/>
    <s v="Não"/>
    <s v="Não"/>
    <s v="Não"/>
    <s v="Não"/>
    <n v="774.53600000000006"/>
    <n v="774.53600000000006"/>
  </r>
  <r>
    <s v="VGSP-348_102,000_CC2"/>
    <x v="129"/>
    <s v="102,000"/>
    <m/>
    <s v="102,500"/>
    <n v="0.5"/>
    <x v="1"/>
    <s v="C"/>
    <n v="-22.911072777003309"/>
    <n v="-47.192802561614528"/>
    <n v="8009.22"/>
    <n v="4.26"/>
    <n v="80"/>
    <m/>
    <n v="0"/>
    <s v="Trator 1.7m"/>
    <m/>
    <s v="Não"/>
    <s v="Não"/>
    <s v="Não"/>
    <s v="Não"/>
    <n v="6407.3760000000002"/>
    <n v="6407.3760000000002"/>
  </r>
  <r>
    <s v="VGSP-348_102,000_CC1"/>
    <x v="129"/>
    <s v="102,000"/>
    <m/>
    <s v="102,500"/>
    <n v="0.5"/>
    <x v="1"/>
    <s v="C"/>
    <n v="-22.912599273391031"/>
    <n v="-47.187061185858958"/>
    <n v="6321.75"/>
    <n v="4.46"/>
    <n v="80"/>
    <m/>
    <n v="0"/>
    <s v="Trator 1.7m"/>
    <m/>
    <s v="Não"/>
    <s v="Não"/>
    <s v="Não"/>
    <s v="Não"/>
    <n v="5057.4000000000005"/>
    <n v="5057.4000000000005"/>
  </r>
  <r>
    <s v="VGSP-330_102,000_CC3"/>
    <x v="128"/>
    <s v="102,000"/>
    <m/>
    <s v="102,500"/>
    <m/>
    <x v="1"/>
    <s v="C"/>
    <n v="-22.86713605385318"/>
    <n v="-47.132475640338157"/>
    <n v="7140.16"/>
    <n v="4.0999999999999996"/>
    <n v="40"/>
    <m/>
    <n v="0"/>
    <s v="Trator 1.7m"/>
    <m/>
    <s v="Não"/>
    <s v="Não"/>
    <s v="Não"/>
    <s v="Não"/>
    <n v="2856.0640000000003"/>
    <n v="2856.0640000000003"/>
  </r>
  <r>
    <s v="VGSP-330_102,000_CC1"/>
    <x v="128"/>
    <s v="102,000"/>
    <m/>
    <s v="102,500"/>
    <m/>
    <x v="1"/>
    <s v="C"/>
    <n v="-22.869449541564311"/>
    <n v="-47.130373254562663"/>
    <n v="1790.88"/>
    <n v="3.79"/>
    <n v="0"/>
    <m/>
    <n v="0"/>
    <m/>
    <m/>
    <s v="Não"/>
    <s v="Não"/>
    <s v="Não"/>
    <s v="Não"/>
    <n v="0"/>
    <n v="0"/>
  </r>
  <r>
    <s v="VGSP-348_102,000_EN_CL1"/>
    <x v="0"/>
    <s v="102,000"/>
    <m/>
    <s v="102,500"/>
    <m/>
    <x v="0"/>
    <s v="N"/>
    <n v="-22.912396803361819"/>
    <n v="-47.187069766868838"/>
    <n v="2193.71"/>
    <n v="4"/>
    <n v="70"/>
    <m/>
    <n v="0"/>
    <s v="Trator 1.7m"/>
    <m/>
    <s v="Não"/>
    <s v="Não"/>
    <s v="Não"/>
    <s v="Não"/>
    <n v="1535.597"/>
    <n v="1535.597"/>
  </r>
  <r>
    <s v="VGSP-330_102,000_ES_CL6"/>
    <x v="0"/>
    <s v="102,000"/>
    <m/>
    <s v="102,500"/>
    <m/>
    <x v="0"/>
    <s v="S"/>
    <n v="-22.866783815619289"/>
    <n v="-47.133649597308839"/>
    <n v="8572.1"/>
    <n v="4.3"/>
    <n v="40"/>
    <m/>
    <n v="0"/>
    <s v="Trator 1.7m"/>
    <m/>
    <s v="Não"/>
    <s v="Não"/>
    <s v="Não"/>
    <s v="Não"/>
    <n v="3428.84"/>
    <n v="3428.84"/>
  </r>
  <r>
    <s v="VGSP-348_102,000_EN_CL2"/>
    <x v="0"/>
    <s v="102,000"/>
    <m/>
    <s v="102,500"/>
    <m/>
    <x v="0"/>
    <s v="N"/>
    <n v="-22.910797126617741"/>
    <n v="-47.192857943524508"/>
    <n v="2843.55"/>
    <n v="4.21"/>
    <n v="70"/>
    <m/>
    <n v="0"/>
    <s v="Trator 1.7m"/>
    <m/>
    <s v="Não"/>
    <s v="Não"/>
    <s v="Não"/>
    <s v="Não"/>
    <n v="1990.4849999999999"/>
    <n v="1990.4849999999999"/>
  </r>
  <r>
    <s v="VGSP-330_102,000_ES_CL8"/>
    <x v="0"/>
    <s v="102,000"/>
    <m/>
    <s v="102,500"/>
    <m/>
    <x v="0"/>
    <s v="S"/>
    <n v="-22.86548778901075"/>
    <n v="-47.135037625541308"/>
    <n v="437.46"/>
    <n v="1.18"/>
    <n v="40"/>
    <m/>
    <n v="0"/>
    <s v="Trator 1.7m"/>
    <m/>
    <s v="Não"/>
    <s v="Não"/>
    <s v="Não"/>
    <s v="Não"/>
    <n v="174.98400000000001"/>
    <n v="174.98400000000001"/>
  </r>
  <r>
    <s v="VGSP-330_102,000_ES_CL5"/>
    <x v="0"/>
    <s v="102,000"/>
    <m/>
    <s v="102,500"/>
    <m/>
    <x v="0"/>
    <s v="S"/>
    <n v="-22.867351642611929"/>
    <n v="-47.133715694379617"/>
    <n v="1434.5"/>
    <n v="4.7300000000000004"/>
    <n v="40"/>
    <m/>
    <n v="0"/>
    <s v="Trator 1.7m"/>
    <m/>
    <s v="Não"/>
    <s v="Não"/>
    <s v="Não"/>
    <s v="Não"/>
    <n v="573.80000000000007"/>
    <n v="573.80000000000007"/>
  </r>
  <r>
    <s v="VGSP-330_102,000_EN_CL5"/>
    <x v="0"/>
    <s v="102,000"/>
    <m/>
    <s v="102,500"/>
    <m/>
    <x v="0"/>
    <s v="N"/>
    <n v="-22.868036530688361"/>
    <n v="-47.131075959598782"/>
    <n v="1422.21"/>
    <n v="2.9"/>
    <n v="0"/>
    <m/>
    <n v="0"/>
    <m/>
    <m/>
    <s v="Não"/>
    <s v="Não"/>
    <s v="Não"/>
    <s v="Não"/>
    <n v="0"/>
    <n v="0"/>
  </r>
  <r>
    <s v="VGSP-330_102,000_EN_CL3"/>
    <x v="0"/>
    <s v="102,000"/>
    <m/>
    <s v="102,500"/>
    <m/>
    <x v="0"/>
    <s v="N"/>
    <n v="-22.869066064821439"/>
    <n v="-47.129776704177523"/>
    <n v="1869.52"/>
    <n v="4.37"/>
    <n v="0"/>
    <m/>
    <n v="0"/>
    <m/>
    <m/>
    <s v="Não"/>
    <s v="Não"/>
    <s v="Não"/>
    <s v="Não"/>
    <n v="0"/>
    <n v="0"/>
  </r>
  <r>
    <s v="VGSP-330_102,000_ES_CL1"/>
    <x v="0"/>
    <s v="102,000"/>
    <m/>
    <s v="102,500"/>
    <m/>
    <x v="0"/>
    <s v="S"/>
    <n v="-22.870029640575648"/>
    <n v="-47.12967197122537"/>
    <n v="1344.49"/>
    <n v="3.47"/>
    <n v="0"/>
    <m/>
    <n v="0"/>
    <m/>
    <m/>
    <s v="Não"/>
    <s v="Não"/>
    <s v="Não"/>
    <s v="Não"/>
    <n v="0"/>
    <n v="0"/>
  </r>
  <r>
    <s v="VGSP-330_103,000_EN_CL3"/>
    <x v="0"/>
    <s v="103,000"/>
    <m/>
    <s v="103,500"/>
    <m/>
    <x v="0"/>
    <s v="N"/>
    <n v="-22.86246733850242"/>
    <n v="-47.137894348779739"/>
    <n v="489.2"/>
    <n v="2"/>
    <n v="40"/>
    <m/>
    <n v="0"/>
    <s v="Trator 1.7m"/>
    <m/>
    <s v="Não"/>
    <s v="Não"/>
    <s v="Não"/>
    <s v="Não"/>
    <n v="195.68"/>
    <n v="195.68"/>
  </r>
  <r>
    <s v="VGSP-330_103,000_ES_CL9"/>
    <x v="0"/>
    <s v="103,000"/>
    <m/>
    <s v="103,500"/>
    <m/>
    <x v="0"/>
    <s v="S"/>
    <n v="-22.860731920100761"/>
    <n v="-47.142691894353227"/>
    <n v="837.35"/>
    <n v="2.85"/>
    <n v="30"/>
    <m/>
    <n v="0"/>
    <s v="Trator 1.7m"/>
    <m/>
    <s v="Não"/>
    <s v="Não"/>
    <s v="Não"/>
    <s v="Não"/>
    <n v="251.20499999999998"/>
    <n v="251.20499999999998"/>
  </r>
  <r>
    <s v="VGSP-348_103,000_EN_CL1"/>
    <x v="0"/>
    <s v="103,000"/>
    <m/>
    <s v="103,500"/>
    <m/>
    <x v="0"/>
    <s v="N"/>
    <n v="-22.90863696817496"/>
    <n v="-47.19650444371949"/>
    <n v="1211.3699999999999"/>
    <n v="4.43"/>
    <n v="70"/>
    <m/>
    <n v="0"/>
    <s v="Trator 1.7m"/>
    <m/>
    <s v="Não"/>
    <s v="Não"/>
    <s v="Não"/>
    <s v="Não"/>
    <n v="847.95899999999983"/>
    <n v="847.95899999999983"/>
  </r>
  <r>
    <s v="VGSP-330_103,000_ES_CL4"/>
    <x v="0"/>
    <s v="103,000"/>
    <m/>
    <s v="103,500"/>
    <m/>
    <x v="0"/>
    <s v="S"/>
    <n v="-22.862499524701089"/>
    <n v="-47.139429242884731"/>
    <n v="2.33"/>
    <n v="3.28"/>
    <m/>
    <m/>
    <n v="0"/>
    <m/>
    <m/>
    <s v="Não"/>
    <s v="Não"/>
    <s v="Não"/>
    <s v="Não"/>
    <n v="0"/>
    <n v="0"/>
  </r>
  <r>
    <s v="VGSP-330_103,000_EN_CL7"/>
    <x v="0"/>
    <s v="103,000"/>
    <m/>
    <s v="103,500"/>
    <m/>
    <x v="0"/>
    <s v="N"/>
    <n v="-22.859935583406571"/>
    <n v="-47.142842588210137"/>
    <n v="953.98"/>
    <n v="2.0299999999999998"/>
    <n v="60"/>
    <m/>
    <n v="0"/>
    <s v="Eixo-zero"/>
    <m/>
    <s v="Não"/>
    <s v="Não"/>
    <s v="Não"/>
    <s v="Não"/>
    <n v="572.38800000000003"/>
    <n v="572.38800000000003"/>
  </r>
  <r>
    <s v="VGSP-330_103,000_ES_CL1"/>
    <x v="0"/>
    <s v="103,000"/>
    <m/>
    <s v="103,500"/>
    <m/>
    <x v="0"/>
    <s v="S"/>
    <n v="-22.864938020074732"/>
    <n v="-47.135627080425152"/>
    <n v="264.22000000000003"/>
    <n v="2.04"/>
    <n v="40"/>
    <m/>
    <n v="0"/>
    <s v="Trator 1.7m"/>
    <m/>
    <s v="Não"/>
    <s v="Não"/>
    <s v="Não"/>
    <s v="Não"/>
    <n v="105.68800000000002"/>
    <n v="105.68800000000002"/>
  </r>
  <r>
    <s v="VGSP-330_103,000_CC4"/>
    <x v="130"/>
    <s v="103,000"/>
    <m/>
    <s v="103,500"/>
    <m/>
    <x v="1"/>
    <s v="C"/>
    <n v="-22.860379167294649"/>
    <n v="-47.142618101127347"/>
    <n v="1090.6500000000001"/>
    <n v="2.54"/>
    <n v="50"/>
    <m/>
    <n v="0"/>
    <s v="Trator 1.7m"/>
    <m/>
    <s v="Não"/>
    <s v="Não"/>
    <s v="Não"/>
    <s v="Não"/>
    <n v="545.32500000000005"/>
    <n v="545.32500000000005"/>
  </r>
  <r>
    <s v="VGSP-348_103,000_CC1"/>
    <x v="131"/>
    <s v="103,000"/>
    <m/>
    <s v="103,500"/>
    <n v="0.5"/>
    <x v="1"/>
    <s v="C"/>
    <n v="-22.9058545245509"/>
    <n v="-47.200957989522657"/>
    <n v="9870.74"/>
    <n v="4.0599999999999996"/>
    <n v="80"/>
    <m/>
    <n v="0"/>
    <s v="Trator 1.7m"/>
    <m/>
    <s v="Não"/>
    <s v="Não"/>
    <s v="Não"/>
    <s v="Não"/>
    <n v="7896.5920000000006"/>
    <n v="7896.5920000000006"/>
  </r>
  <r>
    <s v="VGSP-348_103,000_ES_CL2"/>
    <x v="0"/>
    <s v="103,000"/>
    <m/>
    <s v="103,500"/>
    <m/>
    <x v="0"/>
    <s v="S"/>
    <n v="-22.909026468226521"/>
    <n v="-47.196772506276083"/>
    <n v="1216.42"/>
    <n v="3.06"/>
    <n v="70"/>
    <m/>
    <n v="0"/>
    <s v="Trator 1.7m"/>
    <m/>
    <s v="Não"/>
    <s v="Não"/>
    <s v="Não"/>
    <s v="Não"/>
    <n v="851.49400000000003"/>
    <n v="851.49400000000003"/>
  </r>
  <r>
    <s v="VGSP-330_103,000_CC3"/>
    <x v="130"/>
    <s v="103,000"/>
    <m/>
    <s v="103,500"/>
    <m/>
    <x v="1"/>
    <s v="C"/>
    <n v="-22.86240355627535"/>
    <n v="-47.139139902007109"/>
    <n v="464.22"/>
    <n v="3.36"/>
    <n v="80"/>
    <m/>
    <n v="0"/>
    <s v="Trator 1.7m"/>
    <m/>
    <s v="Não"/>
    <s v="Não"/>
    <s v="Não"/>
    <s v="Não"/>
    <n v="371.37600000000003"/>
    <n v="371.37600000000003"/>
  </r>
  <r>
    <s v="VGSP-330_103,000_EN_CL8"/>
    <x v="0"/>
    <s v="103,000"/>
    <m/>
    <s v="103,500"/>
    <m/>
    <x v="0"/>
    <s v="N"/>
    <n v="-22.85976209269489"/>
    <n v="-47.142746106374133"/>
    <n v="405.23"/>
    <n v="2.2999999999999998"/>
    <n v="30"/>
    <m/>
    <n v="0"/>
    <s v="Trator 1.7m"/>
    <m/>
    <s v="Não"/>
    <s v="Não"/>
    <s v="Não"/>
    <s v="Não"/>
    <n v="121.569"/>
    <n v="121.569"/>
  </r>
  <r>
    <s v="VGSP-330_103,000_EN_CL5"/>
    <x v="0"/>
    <s v="103,000"/>
    <m/>
    <s v="103,500"/>
    <m/>
    <x v="0"/>
    <s v="N"/>
    <n v="-22.86169777673112"/>
    <n v="-47.139867730022146"/>
    <n v="513.16999999999996"/>
    <n v="2.23"/>
    <n v="30"/>
    <m/>
    <n v="0"/>
    <s v="Trator 1.7m"/>
    <m/>
    <s v="Não"/>
    <s v="Não"/>
    <s v="Não"/>
    <s v="Não"/>
    <n v="153.95099999999999"/>
    <n v="153.95099999999999"/>
  </r>
  <r>
    <s v="VGSP-330_103,000_ES_CL5"/>
    <x v="0"/>
    <s v="103,000"/>
    <m/>
    <s v="103,500"/>
    <m/>
    <x v="0"/>
    <s v="S"/>
    <n v="-22.862719303957309"/>
    <n v="-47.13927680524835"/>
    <n v="215.34"/>
    <n v="2.59"/>
    <n v="40"/>
    <m/>
    <n v="0"/>
    <s v="Trator 1.7m"/>
    <m/>
    <s v="Não"/>
    <s v="Não"/>
    <s v="Não"/>
    <s v="Não"/>
    <n v="86.13600000000001"/>
    <n v="86.13600000000001"/>
  </r>
  <r>
    <s v="VGSP-330_103,000_ES_CL7"/>
    <x v="0"/>
    <s v="103,000"/>
    <m/>
    <s v="103,500"/>
    <m/>
    <x v="0"/>
    <s v="S"/>
    <n v="-22.861353245492001"/>
    <n v="-47.141335064110592"/>
    <n v="252.58"/>
    <n v="2.04"/>
    <n v="30"/>
    <m/>
    <n v="0"/>
    <s v="Trator 1.7m"/>
    <m/>
    <s v="Não"/>
    <s v="Não"/>
    <s v="Não"/>
    <s v="Não"/>
    <n v="75.774000000000001"/>
    <n v="75.774000000000001"/>
  </r>
  <r>
    <s v="VGSP-330_103,000_EN_CL2"/>
    <x v="0"/>
    <s v="103,000"/>
    <m/>
    <s v="103,500"/>
    <m/>
    <x v="0"/>
    <s v="N"/>
    <n v="-22.864357790775639"/>
    <n v="-47.135166975991147"/>
    <n v="244.28"/>
    <n v="3.82"/>
    <n v="40"/>
    <m/>
    <n v="0"/>
    <s v="Trator 1.7m"/>
    <m/>
    <s v="Não"/>
    <s v="Não"/>
    <s v="Não"/>
    <s v="Não"/>
    <n v="97.712000000000003"/>
    <n v="97.712000000000003"/>
  </r>
  <r>
    <s v="VGSP-330_103,000_EN_CL1"/>
    <x v="0"/>
    <s v="103,000"/>
    <m/>
    <s v="103,500"/>
    <m/>
    <x v="0"/>
    <s v="N"/>
    <n v="-22.863708851466761"/>
    <n v="-47.135994180987012"/>
    <n v="1078.99"/>
    <n v="3.38"/>
    <n v="40"/>
    <m/>
    <n v="0"/>
    <s v="Trator 1.7m"/>
    <m/>
    <s v="Não"/>
    <s v="Não"/>
    <s v="Não"/>
    <s v="Não"/>
    <n v="431.596"/>
    <n v="431.596"/>
  </r>
  <r>
    <s v="VGSP-348_103,000_ES_CL1"/>
    <x v="0"/>
    <s v="103,000"/>
    <m/>
    <s v="103,500"/>
    <m/>
    <x v="0"/>
    <s v="S"/>
    <n v="-22.906191578516982"/>
    <n v="-47.201622450237473"/>
    <n v="3616.23"/>
    <n v="3.99"/>
    <n v="70"/>
    <m/>
    <n v="0"/>
    <s v="Trator 1.7m"/>
    <m/>
    <s v="Não"/>
    <s v="Não"/>
    <s v="Não"/>
    <s v="Não"/>
    <n v="2531.3609999999999"/>
    <n v="2531.3609999999999"/>
  </r>
  <r>
    <s v="VGSP-330_103,000_CC2"/>
    <x v="130"/>
    <s v="103,000"/>
    <m/>
    <s v="103,500"/>
    <m/>
    <x v="1"/>
    <s v="C"/>
    <n v="-22.861670955158559"/>
    <n v="-47.140394640978649"/>
    <n v="2270.7800000000002"/>
    <n v="2.5"/>
    <n v="50"/>
    <m/>
    <n v="0"/>
    <s v="Trator 1.7m"/>
    <m/>
    <s v="Não"/>
    <s v="Não"/>
    <s v="Não"/>
    <s v="Não"/>
    <n v="1135.3900000000001"/>
    <n v="1135.3900000000001"/>
  </r>
  <r>
    <s v="VGSP-348_103,000_CC2"/>
    <x v="131"/>
    <s v="103,000"/>
    <m/>
    <s v="103,500"/>
    <n v="0.5"/>
    <x v="1"/>
    <s v="C"/>
    <n v="-22.90873087783498"/>
    <n v="-47.196779811662083"/>
    <n v="3129.21"/>
    <n v="3.28"/>
    <n v="80"/>
    <m/>
    <n v="0"/>
    <s v="Trator 1.7m"/>
    <m/>
    <s v="Não"/>
    <s v="Não"/>
    <s v="Não"/>
    <s v="Não"/>
    <n v="2503.3680000000004"/>
    <n v="2503.3680000000004"/>
  </r>
  <r>
    <s v="VGSP-330_103,000_ES_CL8"/>
    <x v="0"/>
    <s v="103,000"/>
    <m/>
    <s v="103,500"/>
    <m/>
    <x v="0"/>
    <s v="S"/>
    <n v="-22.860893920617961"/>
    <n v="-47.142126044287323"/>
    <n v="62.23"/>
    <n v="3.12"/>
    <n v="30"/>
    <m/>
    <n v="0"/>
    <s v="Trator 1.7m"/>
    <m/>
    <s v="Não"/>
    <s v="Não"/>
    <s v="Não"/>
    <s v="Não"/>
    <n v="18.668999999999997"/>
    <n v="18.668999999999997"/>
  </r>
  <r>
    <s v="VGSP-330_103,000_EN_CL6"/>
    <x v="0"/>
    <s v="103,000"/>
    <m/>
    <s v="103,500"/>
    <m/>
    <x v="0"/>
    <s v="N"/>
    <n v="-22.862202136610801"/>
    <n v="-47.13903419311535"/>
    <n v="163.66"/>
    <n v="2.65"/>
    <n v="40"/>
    <m/>
    <n v="0"/>
    <s v="Trator 1.7m"/>
    <m/>
    <s v="Não"/>
    <s v="Não"/>
    <s v="Não"/>
    <s v="Não"/>
    <n v="65.463999999999999"/>
    <n v="65.463999999999999"/>
  </r>
  <r>
    <s v="VGSP-330_103,000_CC1"/>
    <x v="130"/>
    <s v="103,000"/>
    <m/>
    <s v="103,500"/>
    <m/>
    <x v="1"/>
    <s v="C"/>
    <n v="-22.863674812631501"/>
    <n v="-47.136961308723087"/>
    <n v="4186.57"/>
    <n v="2.5099999999999998"/>
    <n v="80"/>
    <m/>
    <n v="0"/>
    <s v="Trator 1.7m"/>
    <m/>
    <s v="Não"/>
    <s v="Não"/>
    <s v="Não"/>
    <s v="Não"/>
    <n v="3349.2559999999999"/>
    <n v="3349.2559999999999"/>
  </r>
  <r>
    <s v="VGSP-348_103,000_EN_CL2"/>
    <x v="0"/>
    <s v="103,000"/>
    <m/>
    <s v="103,500"/>
    <m/>
    <x v="0"/>
    <s v="N"/>
    <n v="-22.905462245542729"/>
    <n v="-47.200763435284749"/>
    <n v="3379.97"/>
    <n v="5.17"/>
    <n v="70"/>
    <m/>
    <n v="0"/>
    <s v="Trator 1.7m"/>
    <m/>
    <s v="Não"/>
    <s v="Não"/>
    <s v="Não"/>
    <s v="Não"/>
    <n v="2365.9789999999998"/>
    <n v="2365.9789999999998"/>
  </r>
  <r>
    <s v="VGSP-330_103,000_ES_CL6"/>
    <x v="0"/>
    <s v="103,000"/>
    <m/>
    <s v="103,500"/>
    <m/>
    <x v="0"/>
    <s v="S"/>
    <n v="-22.861933544179621"/>
    <n v="-47.14067395802202"/>
    <n v="1144.23"/>
    <n v="2.37"/>
    <n v="30"/>
    <m/>
    <n v="0"/>
    <s v="Trator 1.7m"/>
    <m/>
    <s v="Não"/>
    <s v="Não"/>
    <s v="Não"/>
    <s v="Não"/>
    <n v="343.26900000000001"/>
    <n v="343.26900000000001"/>
  </r>
  <r>
    <s v="VGSP-330_103,000_ES_CL2"/>
    <x v="0"/>
    <s v="103,000"/>
    <m/>
    <s v="103,500"/>
    <m/>
    <x v="0"/>
    <s v="S"/>
    <n v="-22.863876348419151"/>
    <n v="-47.137258284320758"/>
    <n v="1448.92"/>
    <n v="1.76"/>
    <n v="40"/>
    <m/>
    <n v="0"/>
    <s v="Trator 1.7m"/>
    <m/>
    <s v="Não"/>
    <s v="Não"/>
    <s v="Não"/>
    <s v="Não"/>
    <n v="579.5680000000001"/>
    <n v="579.5680000000001"/>
  </r>
  <r>
    <s v="VGSP-330_103,000_EN_CL4"/>
    <x v="0"/>
    <s v="103,000"/>
    <m/>
    <s v="103,500"/>
    <m/>
    <x v="0"/>
    <s v="N"/>
    <n v="-22.862571691883449"/>
    <n v="-47.138047096405657"/>
    <n v="1295.57"/>
    <n v="2.29"/>
    <n v="40"/>
    <m/>
    <n v="0"/>
    <s v="Trator 1.7m"/>
    <m/>
    <s v="Não"/>
    <s v="Não"/>
    <s v="Não"/>
    <s v="Não"/>
    <n v="518.22799999999995"/>
    <n v="518.22799999999995"/>
  </r>
  <r>
    <s v="VGSP-330_103,000_ES_CL10"/>
    <x v="0"/>
    <s v="103,000"/>
    <m/>
    <s v="103,500"/>
    <m/>
    <x v="0"/>
    <s v="S"/>
    <n v="-22.860307447254819"/>
    <n v="-47.143185714222028"/>
    <n v="257.64"/>
    <n v="2.86"/>
    <n v="30"/>
    <m/>
    <n v="0"/>
    <s v="Trator 1.7m"/>
    <m/>
    <s v="Não"/>
    <s v="Não"/>
    <s v="Não"/>
    <s v="Não"/>
    <n v="77.291999999999987"/>
    <n v="77.291999999999987"/>
  </r>
  <r>
    <s v="VGSP-330_103,000_ES_CL3"/>
    <x v="0"/>
    <s v="103,000"/>
    <m/>
    <s v="103,500"/>
    <m/>
    <x v="0"/>
    <s v="S"/>
    <n v="-22.862140756620011"/>
    <n v="-47.140105788802053"/>
    <n v="743.57"/>
    <n v="2.86"/>
    <n v="30"/>
    <m/>
    <n v="0"/>
    <s v="Trator 1.7m"/>
    <m/>
    <s v="Não"/>
    <s v="Não"/>
    <s v="Não"/>
    <s v="Não"/>
    <n v="223.071"/>
    <n v="223.071"/>
  </r>
  <r>
    <s v="VGSP-330_104,000_ES_CL14"/>
    <x v="0"/>
    <s v="104,000"/>
    <m/>
    <s v="104,500"/>
    <m/>
    <x v="0"/>
    <s v="S"/>
    <n v="-22.857913396269058"/>
    <n v="-47.14723111195994"/>
    <n v="37.57"/>
    <n v="1.2"/>
    <n v="30"/>
    <m/>
    <n v="0"/>
    <s v="Trator 1.7m"/>
    <m/>
    <s v="Não"/>
    <s v="Não"/>
    <s v="Não"/>
    <s v="Não"/>
    <n v="11.270999999999999"/>
    <n v="11.270999999999999"/>
  </r>
  <r>
    <s v="VGSP-330_104,000_ES_CL8"/>
    <x v="0"/>
    <s v="104,000"/>
    <m/>
    <s v="104,500"/>
    <m/>
    <x v="0"/>
    <s v="S"/>
    <n v="-22.85898017591051"/>
    <n v="-47.145747682493173"/>
    <n v="3855.33"/>
    <n v="3.19"/>
    <n v="70"/>
    <m/>
    <n v="0"/>
    <s v="Trator 1.7m, Spider"/>
    <m/>
    <s v="Não"/>
    <s v="Não"/>
    <s v="Não"/>
    <s v="Não"/>
    <n v="2698.7309999999998"/>
    <n v="2698.7309999999998"/>
  </r>
  <r>
    <s v="VGSP-330_104,000_CC5"/>
    <x v="132"/>
    <s v="104,000"/>
    <m/>
    <s v="104,500"/>
    <m/>
    <x v="1"/>
    <s v="C"/>
    <n v="-22.856425288565038"/>
    <n v="-47.149423866404561"/>
    <n v="2522.62"/>
    <n v="2.19"/>
    <n v="50"/>
    <m/>
    <n v="0"/>
    <s v="Trator 1.7m"/>
    <m/>
    <s v="Não"/>
    <s v="Não"/>
    <s v="Não"/>
    <s v="Não"/>
    <n v="1261.31"/>
    <n v="1261.31"/>
  </r>
  <r>
    <s v="VGSP-330_104,000_ES_CL6"/>
    <x v="0"/>
    <s v="104,000"/>
    <m/>
    <s v="104,500"/>
    <m/>
    <x v="0"/>
    <s v="S"/>
    <n v="-22.85937037870136"/>
    <n v="-47.147826317600142"/>
    <n v="4767.43"/>
    <n v="2.37"/>
    <n v="50"/>
    <m/>
    <n v="0"/>
    <s v="Trator 1.7m, Spider"/>
    <m/>
    <s v="Não"/>
    <s v="Não"/>
    <s v="Não"/>
    <s v="Não"/>
    <n v="2383.7150000000001"/>
    <n v="2383.7150000000001"/>
  </r>
  <r>
    <s v="VGSP-330_104,000_ES_CL5"/>
    <x v="0"/>
    <s v="104,000"/>
    <m/>
    <s v="104,500"/>
    <m/>
    <x v="0"/>
    <s v="S"/>
    <n v="-22.859551944969901"/>
    <n v="-47.14608622413904"/>
    <n v="4989.53"/>
    <n v="3.73"/>
    <n v="30"/>
    <m/>
    <n v="0"/>
    <s v="Trator 1.7m"/>
    <m/>
    <s v="Não"/>
    <s v="Não"/>
    <s v="Não"/>
    <s v="Não"/>
    <n v="1496.8589999999999"/>
    <n v="1496.8589999999999"/>
  </r>
  <r>
    <s v="VGSP-330_104,000_ES_CL12"/>
    <x v="0"/>
    <s v="104,000"/>
    <m/>
    <s v="104,500"/>
    <m/>
    <x v="0"/>
    <s v="S"/>
    <n v="-22.857755264935911"/>
    <n v="-47.147775090470937"/>
    <n v="4.63"/>
    <n v="0.73"/>
    <n v="30"/>
    <m/>
    <n v="0"/>
    <s v="Trator 1.7m"/>
    <m/>
    <s v="Não"/>
    <s v="Não"/>
    <s v="Não"/>
    <s v="Não"/>
    <n v="1.389"/>
    <n v="1.389"/>
  </r>
  <r>
    <s v="VGSP-348_104,000_EN_CL7"/>
    <x v="0"/>
    <s v="104,000"/>
    <m/>
    <s v="104,500"/>
    <m/>
    <x v="0"/>
    <s v="N"/>
    <n v="-22.90265997208321"/>
    <n v="-47.203279876624727"/>
    <n v="868.64"/>
    <n v="5.62"/>
    <n v="50"/>
    <m/>
    <n v="0"/>
    <s v="Trator 1.7m"/>
    <m/>
    <s v="Não"/>
    <s v="Não"/>
    <s v="Não"/>
    <s v="Não"/>
    <n v="434.32"/>
    <n v="434.32"/>
  </r>
  <r>
    <s v="VGSP-348_104,000_EN_CL6"/>
    <x v="0"/>
    <s v="104,000"/>
    <m/>
    <s v="104,500"/>
    <m/>
    <x v="0"/>
    <s v="N"/>
    <n v="-22.901628957324561"/>
    <n v="-47.206718068994547"/>
    <n v="2271.39"/>
    <n v="5.55"/>
    <n v="50"/>
    <m/>
    <n v="0"/>
    <s v="Trator 1.7m"/>
    <m/>
    <s v="Não"/>
    <s v="Não"/>
    <s v="Não"/>
    <s v="Não"/>
    <n v="1135.6949999999999"/>
    <n v="1135.6949999999999"/>
  </r>
  <r>
    <s v="VGSP-330_104,000_EN_CL4"/>
    <x v="0"/>
    <s v="104,000"/>
    <m/>
    <s v="104,500"/>
    <m/>
    <x v="0"/>
    <s v="N"/>
    <n v="-22.858192228140521"/>
    <n v="-47.143433106716031"/>
    <n v="1037.53"/>
    <n v="3.56"/>
    <n v="70"/>
    <m/>
    <n v="0"/>
    <s v="Trator 1.7m, Spider"/>
    <m/>
    <s v="Não"/>
    <s v="Não"/>
    <s v="Não"/>
    <s v="Não"/>
    <n v="726.27099999999996"/>
    <n v="726.27099999999996"/>
  </r>
  <r>
    <s v="VGSP-330_104,000_ES_CL2"/>
    <x v="0"/>
    <s v="104,000"/>
    <m/>
    <s v="104,500"/>
    <m/>
    <x v="0"/>
    <s v="S"/>
    <n v="-22.85988396110805"/>
    <n v="-47.146251040850032"/>
    <n v="2535.65"/>
    <n v="3.57"/>
    <n v="30"/>
    <m/>
    <n v="0"/>
    <s v="Trator 1.7m"/>
    <m/>
    <s v="Não"/>
    <s v="Não"/>
    <s v="Não"/>
    <s v="Não"/>
    <n v="760.69500000000005"/>
    <n v="760.69500000000005"/>
  </r>
  <r>
    <s v="VGSP-330_104,000_ES_CL18"/>
    <x v="0"/>
    <s v="104,000"/>
    <m/>
    <s v="104,500"/>
    <m/>
    <x v="0"/>
    <s v="S"/>
    <n v="-22.855727665050068"/>
    <n v="-47.151188636943203"/>
    <n v="207.29"/>
    <n v="3.37"/>
    <n v="30"/>
    <m/>
    <n v="0"/>
    <s v="Trator 1.7m"/>
    <m/>
    <s v="Não"/>
    <s v="Não"/>
    <s v="Não"/>
    <s v="Não"/>
    <n v="62.186999999999998"/>
    <n v="62.186999999999998"/>
  </r>
  <r>
    <s v="VGSP-330_104,000_EN_CL2"/>
    <x v="0"/>
    <s v="104,000"/>
    <m/>
    <s v="104,500"/>
    <m/>
    <x v="0"/>
    <s v="N"/>
    <n v="-22.85841346750027"/>
    <n v="-47.142816350027012"/>
    <n v="1061.23"/>
    <n v="4.0999999999999996"/>
    <n v="30"/>
    <m/>
    <n v="0"/>
    <s v="Trator 1.7m"/>
    <m/>
    <s v="Não"/>
    <s v="Não"/>
    <s v="Não"/>
    <s v="Não"/>
    <n v="318.36899999999997"/>
    <n v="318.36899999999997"/>
  </r>
  <r>
    <s v="VGSP-348_104,000_EN_CL4"/>
    <x v="0"/>
    <s v="104,000"/>
    <m/>
    <s v="104,500"/>
    <m/>
    <x v="0"/>
    <s v="N"/>
    <n v="-22.903444334899199"/>
    <n v="-47.20486159536658"/>
    <n v="394.92"/>
    <n v="2.78"/>
    <n v="50"/>
    <m/>
    <n v="0"/>
    <s v="Trator 1.7m"/>
    <m/>
    <s v="Não"/>
    <s v="Não"/>
    <s v="Não"/>
    <s v="Não"/>
    <n v="197.46"/>
    <n v="197.46"/>
  </r>
  <r>
    <s v="VGSP-330_104,000_ES_CL19"/>
    <x v="0"/>
    <s v="104,000"/>
    <m/>
    <s v="104,500"/>
    <m/>
    <x v="0"/>
    <s v="S"/>
    <n v="-22.85558384744958"/>
    <n v="-47.151404879339907"/>
    <n v="70.45"/>
    <n v="4.1900000000000004"/>
    <n v="30"/>
    <m/>
    <n v="0"/>
    <s v="Trator 1.7m"/>
    <m/>
    <s v="Não"/>
    <s v="Não"/>
    <s v="Não"/>
    <s v="Não"/>
    <n v="21.135000000000002"/>
    <n v="21.135000000000002"/>
  </r>
  <r>
    <s v="VGSP-348_104,000_ES_CL1"/>
    <x v="0"/>
    <s v="104,000"/>
    <m/>
    <s v="104,500"/>
    <m/>
    <x v="0"/>
    <s v="S"/>
    <n v="-22.904967266308041"/>
    <n v="-47.204665700717449"/>
    <n v="14219.13"/>
    <n v="3.35"/>
    <n v="50"/>
    <m/>
    <n v="0"/>
    <s v="Trator 1.7m"/>
    <m/>
    <s v="Não"/>
    <s v="Não"/>
    <s v="Não"/>
    <s v="Não"/>
    <n v="7109.5649999999996"/>
    <n v="7109.5649999999996"/>
  </r>
  <r>
    <s v="VGSP-348_104,000_CC2"/>
    <x v="133"/>
    <s v="104,000"/>
    <m/>
    <s v="104,500"/>
    <n v="0.5"/>
    <x v="1"/>
    <s v="C"/>
    <n v="-22.904319550226219"/>
    <n v="-47.20357733621632"/>
    <n v="1521.76"/>
    <n v="3.59"/>
    <n v="50"/>
    <m/>
    <n v="0"/>
    <s v="Trator 1.7m"/>
    <m/>
    <s v="Não"/>
    <s v="Não"/>
    <s v="Não"/>
    <s v="Não"/>
    <n v="760.88"/>
    <n v="760.88"/>
  </r>
  <r>
    <s v="VGSP-348_104,000_CC1"/>
    <x v="133"/>
    <s v="104,000"/>
    <m/>
    <s v="104,500"/>
    <n v="0.5"/>
    <x v="1"/>
    <s v="C"/>
    <n v="-22.90462671810343"/>
    <n v="-47.204597440462692"/>
    <n v="19626.87"/>
    <n v="2.5099999999999998"/>
    <n v="50"/>
    <m/>
    <n v="0"/>
    <s v="Trator 1.7m"/>
    <m/>
    <s v="Não"/>
    <s v="Não"/>
    <s v="Não"/>
    <s v="Não"/>
    <n v="9813.4349999999995"/>
    <n v="9813.4349999999995"/>
  </r>
  <r>
    <s v="VGSP-330_104,000_EN_CL15"/>
    <x v="0"/>
    <s v="104,000"/>
    <m/>
    <s v="104,500"/>
    <m/>
    <x v="0"/>
    <s v="N"/>
    <n v="-22.857253348926651"/>
    <n v="-47.147152768695783"/>
    <n v="314.89"/>
    <n v="2.34"/>
    <n v="30"/>
    <m/>
    <n v="0"/>
    <s v="Trator 1.7m"/>
    <m/>
    <s v="Não"/>
    <s v="Não"/>
    <s v="Não"/>
    <s v="Não"/>
    <n v="94.466999999999999"/>
    <n v="94.466999999999999"/>
  </r>
  <r>
    <s v="VGSP-330_104,000_CC2"/>
    <x v="132"/>
    <s v="104,000"/>
    <m/>
    <s v="104,500"/>
    <m/>
    <x v="1"/>
    <s v="C"/>
    <n v="-22.858974336542481"/>
    <n v="-47.144057248705678"/>
    <n v="5481.44"/>
    <n v="5.1100000000000003"/>
    <n v="70"/>
    <m/>
    <n v="0"/>
    <s v="Spider"/>
    <m/>
    <s v="Não"/>
    <s v="Não"/>
    <s v="Não"/>
    <s v="Não"/>
    <n v="3837.0079999999994"/>
    <n v="3837.0079999999994"/>
  </r>
  <r>
    <s v="VGSP-330_104,000_ES_CL20"/>
    <x v="0"/>
    <s v="104,000"/>
    <m/>
    <s v="104,500"/>
    <m/>
    <x v="0"/>
    <s v="S"/>
    <n v="-22.85507167866848"/>
    <n v="-47.152255975617891"/>
    <n v="775.55"/>
    <n v="2.76"/>
    <n v="30"/>
    <m/>
    <n v="0"/>
    <s v="Trator 1.7m"/>
    <m/>
    <s v="Não"/>
    <s v="Não"/>
    <s v="Não"/>
    <s v="Não"/>
    <n v="232.66499999999996"/>
    <n v="232.66499999999996"/>
  </r>
  <r>
    <s v="VGSP-330_104,000_EN_CL16"/>
    <x v="0"/>
    <s v="104,000"/>
    <m/>
    <s v="104,500"/>
    <m/>
    <x v="0"/>
    <s v="N"/>
    <n v="-22.85463175156389"/>
    <n v="-47.151720305553148"/>
    <n v="764.24"/>
    <n v="2.79"/>
    <n v="30"/>
    <m/>
    <n v="0"/>
    <s v="Trator 1.7m"/>
    <m/>
    <s v="Não"/>
    <s v="Não"/>
    <s v="Não"/>
    <s v="Não"/>
    <n v="229.27199999999999"/>
    <n v="229.27199999999999"/>
  </r>
  <r>
    <s v="VGSP-348_104,000_EN_CL3"/>
    <x v="0"/>
    <s v="104,000"/>
    <m/>
    <s v="104,500"/>
    <m/>
    <x v="0"/>
    <s v="N"/>
    <n v="-22.902800545997181"/>
    <n v="-47.204920907085793"/>
    <n v="1405.28"/>
    <n v="6.01"/>
    <n v="50"/>
    <m/>
    <n v="0"/>
    <s v="Trator 1.7m"/>
    <m/>
    <s v="Não"/>
    <s v="Não"/>
    <s v="Não"/>
    <s v="Não"/>
    <n v="702.64"/>
    <n v="702.64"/>
  </r>
  <r>
    <s v="VGSP-348_104,000_CC5"/>
    <x v="133"/>
    <s v="104,000"/>
    <m/>
    <s v="104,500"/>
    <n v="0.5"/>
    <x v="1"/>
    <s v="C"/>
    <n v="-22.90293948917693"/>
    <n v="-47.20665736313196"/>
    <n v="8059.76"/>
    <n v="5.27"/>
    <n v="50"/>
    <m/>
    <n v="0"/>
    <s v="Trator 1.7m"/>
    <m/>
    <s v="Não"/>
    <s v="Não"/>
    <s v="Não"/>
    <s v="Não"/>
    <n v="4029.88"/>
    <n v="4029.88"/>
  </r>
  <r>
    <s v="VGSP-348_104,000_CC3"/>
    <x v="133"/>
    <s v="104,000"/>
    <m/>
    <s v="104,500"/>
    <n v="0.5"/>
    <x v="1"/>
    <s v="C"/>
    <n v="-22.903457435612189"/>
    <n v="-47.206031337339411"/>
    <n v="10933.44"/>
    <n v="5.01"/>
    <n v="50"/>
    <m/>
    <n v="0"/>
    <s v="Trator 1.7m"/>
    <m/>
    <s v="Não"/>
    <s v="Não"/>
    <s v="Não"/>
    <s v="Não"/>
    <n v="5466.72"/>
    <n v="5466.72"/>
  </r>
  <r>
    <s v="VGSP-348_104,000_CC4"/>
    <x v="133"/>
    <s v="104,000"/>
    <m/>
    <s v="104,500"/>
    <n v="0.5"/>
    <x v="1"/>
    <s v="C"/>
    <n v="-22.90379314228699"/>
    <n v="-47.20549479417874"/>
    <n v="4738.4799999999996"/>
    <n v="4.3600000000000003"/>
    <n v="50"/>
    <m/>
    <n v="0"/>
    <s v="Trator 1.7m"/>
    <m/>
    <s v="Não"/>
    <s v="Não"/>
    <s v="Não"/>
    <s v="Não"/>
    <n v="2369.2399999999998"/>
    <n v="2369.2399999999998"/>
  </r>
  <r>
    <s v="VGSP-348_104,000_ES_CL3"/>
    <x v="0"/>
    <s v="104,000"/>
    <m/>
    <s v="104,500"/>
    <m/>
    <x v="0"/>
    <s v="S"/>
    <n v="-22.90232630049158"/>
    <n v="-47.207639572848038"/>
    <n v="2064.33"/>
    <n v="5.96"/>
    <n v="50"/>
    <m/>
    <n v="0"/>
    <s v="Trator 1.7m"/>
    <m/>
    <s v="Não"/>
    <s v="Não"/>
    <s v="Não"/>
    <s v="Não"/>
    <n v="1032.165"/>
    <n v="1032.165"/>
  </r>
  <r>
    <s v="VGSP-348_104,000_EN_CL1"/>
    <x v="0"/>
    <s v="104,000"/>
    <m/>
    <s v="104,500"/>
    <m/>
    <x v="0"/>
    <s v="N"/>
    <n v="-22.903642082249011"/>
    <n v="-47.203132422478703"/>
    <n v="11522.63"/>
    <n v="6.1"/>
    <n v="50"/>
    <m/>
    <n v="0"/>
    <s v="Trator 1.7m"/>
    <m/>
    <s v="Não"/>
    <s v="Não"/>
    <s v="Não"/>
    <s v="Não"/>
    <n v="5761.3149999999996"/>
    <n v="5761.3149999999996"/>
  </r>
  <r>
    <s v="VGSP-330_104,000_EN_CL5"/>
    <x v="0"/>
    <s v="104,000"/>
    <m/>
    <s v="104,500"/>
    <m/>
    <x v="0"/>
    <s v="N"/>
    <n v="-22.857780898430089"/>
    <n v="-47.143355054031751"/>
    <n v="4557.16"/>
    <n v="2.98"/>
    <n v="70"/>
    <m/>
    <n v="0"/>
    <s v="Trator 1.7m, Spider"/>
    <m/>
    <s v="Não"/>
    <s v="Não"/>
    <s v="Não"/>
    <s v="Não"/>
    <n v="3190.0119999999997"/>
    <n v="3190.0119999999997"/>
  </r>
  <r>
    <s v="VGSP-330_104,000_CC1"/>
    <x v="132"/>
    <s v="104,000"/>
    <m/>
    <s v="104,500"/>
    <m/>
    <x v="1"/>
    <s v="C"/>
    <n v="-22.85911024342656"/>
    <n v="-47.143625948218087"/>
    <n v="2735.04"/>
    <n v="4.1399999999999997"/>
    <n v="70"/>
    <m/>
    <n v="0"/>
    <s v="Spider"/>
    <m/>
    <s v="Não"/>
    <s v="Não"/>
    <s v="Não"/>
    <s v="Não"/>
    <n v="1914.5279999999998"/>
    <n v="1914.5279999999998"/>
  </r>
  <r>
    <s v="VGSP-330_104,000_ES_CL1"/>
    <x v="0"/>
    <s v="104,000"/>
    <m/>
    <s v="104,500"/>
    <m/>
    <x v="0"/>
    <s v="S"/>
    <n v="-22.860429174570289"/>
    <n v="-47.148219780636033"/>
    <n v="683.63"/>
    <n v="3.67"/>
    <n v="30"/>
    <m/>
    <n v="0"/>
    <s v="Trator 1.7m"/>
    <m/>
    <s v="Não"/>
    <s v="Não"/>
    <s v="Não"/>
    <s v="Não"/>
    <n v="205.089"/>
    <n v="205.089"/>
  </r>
  <r>
    <s v="VGSP-330_104,000_ES_CL15"/>
    <x v="0"/>
    <s v="104,000"/>
    <m/>
    <s v="104,500"/>
    <m/>
    <x v="0"/>
    <s v="S"/>
    <n v="-22.857622334672271"/>
    <n v="-47.147775149764811"/>
    <n v="30.21"/>
    <n v="0.89"/>
    <n v="30"/>
    <m/>
    <n v="0"/>
    <s v="Trator 1.7m"/>
    <m/>
    <s v="Não"/>
    <s v="Não"/>
    <s v="Não"/>
    <s v="Não"/>
    <n v="9.0630000000000006"/>
    <n v="9.0630000000000006"/>
  </r>
  <r>
    <s v="VGSP-330_104,000_EN_CL11"/>
    <x v="0"/>
    <s v="104,000"/>
    <m/>
    <s v="104,500"/>
    <m/>
    <x v="0"/>
    <s v="N"/>
    <n v="-22.85702468855143"/>
    <n v="-47.145034409551222"/>
    <n v="2962.9"/>
    <n v="2.83"/>
    <n v="30"/>
    <m/>
    <n v="0"/>
    <s v="Trator 1.7m"/>
    <m/>
    <s v="Não"/>
    <s v="Não"/>
    <s v="Não"/>
    <s v="Não"/>
    <n v="888.87"/>
    <n v="888.87"/>
  </r>
  <r>
    <s v="VGSP-330_104,000_ES_CL11"/>
    <x v="0"/>
    <s v="104,000"/>
    <m/>
    <s v="104,500"/>
    <m/>
    <x v="0"/>
    <s v="S"/>
    <n v="-22.85824551572685"/>
    <n v="-47.147485408604837"/>
    <n v="2323.89"/>
    <n v="1.85"/>
    <n v="70"/>
    <m/>
    <n v="0"/>
    <s v="Spider"/>
    <m/>
    <s v="Não"/>
    <s v="Não"/>
    <s v="Não"/>
    <s v="Não"/>
    <n v="1626.7229999999997"/>
    <n v="1626.7229999999997"/>
  </r>
  <r>
    <s v="VGSP-330_104,000_ES_CL17"/>
    <x v="0"/>
    <s v="104,000"/>
    <m/>
    <s v="104,500"/>
    <m/>
    <x v="0"/>
    <s v="S"/>
    <n v="-22.857633176738592"/>
    <n v="-47.147336906653287"/>
    <n v="447.71"/>
    <n v="2.19"/>
    <n v="50"/>
    <m/>
    <n v="0"/>
    <s v="Trator 1.7m"/>
    <m/>
    <s v="Não"/>
    <s v="Não"/>
    <s v="Não"/>
    <s v="Não"/>
    <n v="223.85499999999999"/>
    <n v="223.85499999999999"/>
  </r>
  <r>
    <s v="VGSP-330_104,000_EN_CL1"/>
    <x v="0"/>
    <s v="104,000"/>
    <m/>
    <s v="104,500"/>
    <m/>
    <x v="0"/>
    <s v="N"/>
    <n v="-22.85932492190739"/>
    <n v="-47.143297154244287"/>
    <n v="1193.94"/>
    <n v="2.81"/>
    <n v="50"/>
    <m/>
    <n v="0"/>
    <s v="Spider"/>
    <m/>
    <s v="Não"/>
    <s v="Não"/>
    <s v="Não"/>
    <s v="Não"/>
    <n v="596.97"/>
    <n v="596.97"/>
  </r>
  <r>
    <s v="VGSP-330_104,000_ES_CL10"/>
    <x v="0"/>
    <s v="104,000"/>
    <m/>
    <s v="104,500"/>
    <m/>
    <x v="0"/>
    <s v="S"/>
    <n v="-22.85860295985961"/>
    <n v="-47.147664853496579"/>
    <n v="338.19"/>
    <n v="2.25"/>
    <n v="30"/>
    <m/>
    <n v="0"/>
    <s v="Trator 1.7m"/>
    <m/>
    <s v="Não"/>
    <s v="Não"/>
    <s v="Não"/>
    <s v="Não"/>
    <n v="101.45699999999999"/>
    <n v="101.45699999999999"/>
  </r>
  <r>
    <s v="VGSP-330_104,000_ES_CL16"/>
    <x v="0"/>
    <s v="104,000"/>
    <m/>
    <s v="104,500"/>
    <m/>
    <x v="0"/>
    <s v="S"/>
    <n v="-22.857856831287108"/>
    <n v="-47.147484215040578"/>
    <n v="192.24"/>
    <n v="1.73"/>
    <n v="30"/>
    <m/>
    <n v="0"/>
    <s v="Trator 1.7m"/>
    <m/>
    <s v="Não"/>
    <s v="Não"/>
    <s v="Não"/>
    <s v="Não"/>
    <n v="57.671999999999997"/>
    <n v="57.671999999999997"/>
  </r>
  <r>
    <s v="VGSP-330_104,000_EN_CL10"/>
    <x v="0"/>
    <s v="104,000"/>
    <m/>
    <s v="104,500"/>
    <m/>
    <x v="0"/>
    <s v="N"/>
    <n v="-22.85748728360851"/>
    <n v="-47.147203546419952"/>
    <n v="356.11"/>
    <n v="2.86"/>
    <n v="30"/>
    <m/>
    <n v="0"/>
    <s v="Trator 1.7m"/>
    <m/>
    <s v="Não"/>
    <s v="Não"/>
    <s v="Não"/>
    <s v="Não"/>
    <n v="106.833"/>
    <n v="106.833"/>
  </r>
  <r>
    <s v="VGSP-348_104,000_EN_CL5"/>
    <x v="0"/>
    <s v="104,000"/>
    <m/>
    <s v="104,500"/>
    <m/>
    <x v="0"/>
    <s v="N"/>
    <n v="-22.90331068899582"/>
    <n v="-47.204641275493508"/>
    <n v="530.77"/>
    <n v="2.74"/>
    <n v="80"/>
    <m/>
    <n v="0"/>
    <s v="Trator 1.7m"/>
    <m/>
    <s v="Não"/>
    <s v="Não"/>
    <s v="Não"/>
    <s v="Não"/>
    <n v="424.61599999999999"/>
    <n v="424.61599999999999"/>
  </r>
  <r>
    <s v="VGSP-330_104,000_ES_CL7"/>
    <x v="0"/>
    <s v="104,000"/>
    <m/>
    <s v="104,500"/>
    <m/>
    <x v="0"/>
    <s v="S"/>
    <n v="-22.859280049765019"/>
    <n v="-47.145957139004082"/>
    <n v="10256.1"/>
    <n v="3.61"/>
    <n v="70"/>
    <m/>
    <n v="0"/>
    <s v="Spider"/>
    <m/>
    <s v="Não"/>
    <s v="Não"/>
    <s v="Não"/>
    <s v="Não"/>
    <n v="7179.2699999999995"/>
    <n v="7179.2699999999995"/>
  </r>
  <r>
    <s v="VGSP-330_104,000_EN_CL8"/>
    <x v="0"/>
    <s v="104,000"/>
    <m/>
    <s v="104,500"/>
    <m/>
    <x v="0"/>
    <s v="N"/>
    <n v="-22.85746866983726"/>
    <n v="-47.144939809563063"/>
    <n v="4589.75"/>
    <n v="2.9"/>
    <n v="30"/>
    <m/>
    <n v="0"/>
    <s v="Trator 1.7m"/>
    <m/>
    <s v="Não"/>
    <s v="Não"/>
    <s v="Não"/>
    <s v="Não"/>
    <n v="1376.925"/>
    <n v="1376.925"/>
  </r>
  <r>
    <s v="VGSP-330_104,000_EN_CL3"/>
    <x v="0"/>
    <s v="104,000"/>
    <m/>
    <s v="104,500"/>
    <m/>
    <x v="0"/>
    <s v="N"/>
    <n v="-22.858278981030509"/>
    <n v="-47.143087523572348"/>
    <n v="1478.95"/>
    <n v="4.5999999999999996"/>
    <n v="30"/>
    <m/>
    <n v="0"/>
    <s v="Trator 1.7m"/>
    <m/>
    <s v="Não"/>
    <s v="Não"/>
    <s v="Não"/>
    <s v="Não"/>
    <n v="443.685"/>
    <n v="443.685"/>
  </r>
  <r>
    <s v="VGSP-330_104,000_CC4"/>
    <x v="132"/>
    <s v="104,000"/>
    <m/>
    <s v="104,500"/>
    <m/>
    <x v="1"/>
    <s v="C"/>
    <n v="-22.858102125910658"/>
    <n v="-47.145102579730107"/>
    <n v="10156.06"/>
    <n v="2.73"/>
    <n v="70"/>
    <m/>
    <n v="0"/>
    <s v="Trator 1.7m, Spider"/>
    <m/>
    <s v="Não"/>
    <s v="Não"/>
    <s v="Não"/>
    <s v="Não"/>
    <n v="7109.2419999999993"/>
    <n v="7109.2419999999993"/>
  </r>
  <r>
    <s v="VGSP-348_104,000_ES_CL4"/>
    <x v="0"/>
    <s v="104,000"/>
    <m/>
    <s v="104,500"/>
    <m/>
    <x v="0"/>
    <s v="S"/>
    <n v="-22.904791668104391"/>
    <n v="-47.206964144633261"/>
    <n v="405.37"/>
    <n v="4.62"/>
    <n v="50"/>
    <m/>
    <n v="0"/>
    <s v="Trator 1.7m"/>
    <m/>
    <s v="Não"/>
    <s v="Não"/>
    <s v="Não"/>
    <s v="Não"/>
    <n v="202.685"/>
    <n v="202.685"/>
  </r>
  <r>
    <s v="VGSP-348_104,000_ES_CL2"/>
    <x v="0"/>
    <s v="104,000"/>
    <m/>
    <s v="104,500"/>
    <m/>
    <x v="0"/>
    <s v="S"/>
    <n v="-22.90437605277387"/>
    <n v="-47.20629502716325"/>
    <n v="3351.57"/>
    <n v="4.37"/>
    <n v="50"/>
    <m/>
    <n v="0"/>
    <s v="Trator 1.7m"/>
    <m/>
    <s v="Não"/>
    <s v="Não"/>
    <s v="Não"/>
    <s v="Não"/>
    <n v="1675.7850000000001"/>
    <n v="1675.7850000000001"/>
  </r>
  <r>
    <s v="VGSP-348_104,000_EN_CL2"/>
    <x v="0"/>
    <s v="104,000"/>
    <m/>
    <s v="104,500"/>
    <m/>
    <x v="0"/>
    <s v="N"/>
    <n v="-22.903050381958291"/>
    <n v="-47.204072897893518"/>
    <n v="3559.71"/>
    <n v="5.78"/>
    <n v="50"/>
    <m/>
    <n v="0"/>
    <s v="Trator 1.7m"/>
    <m/>
    <s v="Não"/>
    <s v="Não"/>
    <s v="Não"/>
    <s v="Não"/>
    <n v="1779.855"/>
    <n v="1779.855"/>
  </r>
  <r>
    <s v="VGSP-330_104,000_CC3"/>
    <x v="132"/>
    <s v="104,000"/>
    <m/>
    <s v="104,500"/>
    <m/>
    <x v="1"/>
    <s v="C"/>
    <n v="-22.858372644526959"/>
    <n v="-47.145041018213263"/>
    <n v="7259.33"/>
    <n v="2.97"/>
    <n v="70"/>
    <m/>
    <n v="0"/>
    <s v="Trator 1.7m, Spider"/>
    <m/>
    <s v="Não"/>
    <s v="Não"/>
    <s v="Não"/>
    <s v="Não"/>
    <n v="5081.5309999999999"/>
    <n v="5081.5309999999999"/>
  </r>
  <r>
    <s v="VGSP-330_104,000_CC6"/>
    <x v="132"/>
    <s v="104,000"/>
    <m/>
    <s v="104,500"/>
    <m/>
    <x v="1"/>
    <s v="C"/>
    <n v="-22.854929189180829"/>
    <n v="-47.151898928753589"/>
    <n v="1539.96"/>
    <n v="3.45"/>
    <n v="50"/>
    <m/>
    <n v="0"/>
    <s v="Trator 1.7m"/>
    <m/>
    <s v="Não"/>
    <s v="Não"/>
    <s v="Não"/>
    <s v="Não"/>
    <n v="769.98"/>
    <n v="769.98"/>
  </r>
  <r>
    <s v="VGSP-330_104,000_EN_CL13"/>
    <x v="0"/>
    <s v="104,000"/>
    <m/>
    <s v="104,500"/>
    <m/>
    <x v="0"/>
    <s v="N"/>
    <n v="-22.856534494176699"/>
    <n v="-47.148142800664928"/>
    <n v="95.39"/>
    <n v="3.69"/>
    <n v="30"/>
    <m/>
    <n v="0"/>
    <s v="Trator 1.7m"/>
    <m/>
    <s v="Não"/>
    <s v="Não"/>
    <s v="Não"/>
    <s v="Não"/>
    <n v="28.617000000000001"/>
    <n v="28.617000000000001"/>
  </r>
  <r>
    <s v="VGSP-330_104,000_EN_CL7"/>
    <x v="0"/>
    <s v="104,000"/>
    <m/>
    <s v="104,500"/>
    <m/>
    <x v="0"/>
    <s v="N"/>
    <n v="-22.85751317285353"/>
    <n v="-47.146229277962497"/>
    <n v="467.81"/>
    <n v="4.37"/>
    <n v="30"/>
    <m/>
    <n v="0"/>
    <s v="Trator 1.7m"/>
    <m/>
    <s v="Não"/>
    <s v="Não"/>
    <s v="Não"/>
    <s v="Não"/>
    <n v="140.34299999999999"/>
    <n v="140.34299999999999"/>
  </r>
  <r>
    <s v="VGSP-330_104,000_EN_CL6"/>
    <x v="0"/>
    <s v="104,000"/>
    <m/>
    <s v="104,500"/>
    <m/>
    <x v="0"/>
    <s v="N"/>
    <n v="-22.857693843239542"/>
    <n v="-47.145466051986681"/>
    <n v="1953.65"/>
    <n v="3.59"/>
    <n v="30"/>
    <m/>
    <n v="0"/>
    <s v="Trator 1.7m"/>
    <m/>
    <s v="Não"/>
    <s v="Não"/>
    <s v="Não"/>
    <s v="Não"/>
    <n v="586.09500000000003"/>
    <n v="586.09500000000003"/>
  </r>
  <r>
    <s v="VGSP-348_104,000_CC6"/>
    <x v="133"/>
    <s v="104,000"/>
    <m/>
    <s v="104,500"/>
    <n v="0.5"/>
    <x v="1"/>
    <s v="C"/>
    <n v="-22.902083620464339"/>
    <n v="-47.20690555574982"/>
    <n v="3747.78"/>
    <n v="5.18"/>
    <n v="50"/>
    <m/>
    <n v="0"/>
    <s v="Trator 1.7m"/>
    <m/>
    <s v="Não"/>
    <s v="Não"/>
    <s v="Não"/>
    <s v="Não"/>
    <n v="1873.89"/>
    <n v="1873.89"/>
  </r>
  <r>
    <s v="VGSP-330_104,000_EN_CL14"/>
    <x v="0"/>
    <s v="104,000"/>
    <m/>
    <s v="104,500"/>
    <m/>
    <x v="0"/>
    <s v="N"/>
    <n v="-22.856348355987201"/>
    <n v="-47.148847624995497"/>
    <n v="2337.42"/>
    <n v="3.4"/>
    <n v="80"/>
    <m/>
    <n v="1869.9360000000001"/>
    <s v="Spider"/>
    <m/>
    <s v="Não"/>
    <s v="Não"/>
    <s v="Não"/>
    <s v="Sim"/>
    <n v="0"/>
    <m/>
  </r>
  <r>
    <s v="VGSP-330_104,000_EN_CL9"/>
    <x v="0"/>
    <s v="104,000"/>
    <m/>
    <s v="104,500"/>
    <m/>
    <x v="0"/>
    <s v="N"/>
    <n v="-22.857175104534299"/>
    <n v="-47.147788524384403"/>
    <n v="185.1"/>
    <n v="2.06"/>
    <n v="30"/>
    <m/>
    <n v="0"/>
    <s v="Trator 1.7m"/>
    <m/>
    <s v="Não"/>
    <s v="Não"/>
    <s v="Não"/>
    <s v="Não"/>
    <n v="55.529999999999994"/>
    <n v="55.529999999999994"/>
  </r>
  <r>
    <s v="VGSP-330_104,000_ES_CL9"/>
    <x v="0"/>
    <s v="104,000"/>
    <m/>
    <s v="104,500"/>
    <m/>
    <x v="0"/>
    <s v="S"/>
    <n v="-22.858674640652449"/>
    <n v="-47.146366819477848"/>
    <n v="5082.67"/>
    <n v="2.79"/>
    <n v="70"/>
    <m/>
    <n v="0"/>
    <s v="Trator 1.7m, Spider"/>
    <m/>
    <s v="Não"/>
    <s v="Não"/>
    <s v="Não"/>
    <s v="Não"/>
    <n v="3557.8689999999997"/>
    <n v="3557.8689999999997"/>
  </r>
  <r>
    <s v="VGSP-330_104,000_EN_CL12"/>
    <x v="0"/>
    <s v="104,000"/>
    <m/>
    <s v="104,500"/>
    <m/>
    <x v="0"/>
    <s v="N"/>
    <n v="-22.856822386808808"/>
    <n v="-47.146055597186603"/>
    <n v="10771.87"/>
    <n v="3.1"/>
    <n v="70"/>
    <m/>
    <n v="0"/>
    <s v="Trator 1.7m, Spider"/>
    <m/>
    <s v="Não"/>
    <s v="Não"/>
    <s v="Não"/>
    <s v="Não"/>
    <n v="7540.3090000000002"/>
    <n v="7540.3090000000002"/>
  </r>
  <r>
    <s v="VGSP-348_104,000_CC7"/>
    <x v="133"/>
    <s v="104,000"/>
    <m/>
    <s v="104,500"/>
    <n v="0.5"/>
    <x v="1"/>
    <s v="C"/>
    <n v="-22.9017883421051"/>
    <n v="-47.206961901510333"/>
    <n v="6108.24"/>
    <n v="5.18"/>
    <n v="80"/>
    <m/>
    <n v="0"/>
    <s v="Trator 1.7m"/>
    <m/>
    <s v="Não"/>
    <s v="Não"/>
    <s v="Não"/>
    <s v="Não"/>
    <n v="4886.5919999999996"/>
    <n v="4886.5919999999996"/>
  </r>
  <r>
    <s v="VGSP-330_104,000_ES_CL4"/>
    <x v="0"/>
    <s v="104,000"/>
    <m/>
    <s v="104,500"/>
    <m/>
    <x v="0"/>
    <s v="S"/>
    <n v="-22.859644429579671"/>
    <n v="-47.143894836479241"/>
    <n v="673.3"/>
    <n v="3.23"/>
    <n v="50"/>
    <m/>
    <n v="0"/>
    <s v="Trator 1.7m"/>
    <m/>
    <s v="Não"/>
    <s v="Não"/>
    <s v="Não"/>
    <s v="Não"/>
    <n v="336.65"/>
    <n v="336.65"/>
  </r>
  <r>
    <s v="VGSP-330_104,000_ES_CL13"/>
    <x v="0"/>
    <s v="104,000"/>
    <m/>
    <s v="104,500"/>
    <m/>
    <x v="0"/>
    <s v="S"/>
    <n v="-22.858064064304749"/>
    <n v="-47.146578833528842"/>
    <n v="585.79"/>
    <n v="1.99"/>
    <n v="50"/>
    <m/>
    <n v="0"/>
    <s v="Trator 1.7m"/>
    <m/>
    <s v="Não"/>
    <s v="Não"/>
    <s v="Não"/>
    <s v="Não"/>
    <n v="292.89499999999998"/>
    <n v="292.89499999999998"/>
  </r>
  <r>
    <s v="VGSP-330_104,000_ES_CL3"/>
    <x v="0"/>
    <s v="104,000"/>
    <m/>
    <s v="104,500"/>
    <m/>
    <x v="0"/>
    <s v="S"/>
    <n v="-22.860117173396439"/>
    <n v="-47.148030627111297"/>
    <n v="1398.04"/>
    <n v="3.11"/>
    <n v="30"/>
    <m/>
    <n v="0"/>
    <s v="Trator 1.7m"/>
    <m/>
    <s v="Não"/>
    <s v="Não"/>
    <s v="Não"/>
    <s v="Não"/>
    <n v="419.41199999999998"/>
    <n v="419.41199999999998"/>
  </r>
  <r>
    <s v="VGSP-330_105,000_ES_CL3"/>
    <x v="0"/>
    <s v="105,000"/>
    <m/>
    <s v="105,500"/>
    <m/>
    <x v="0"/>
    <s v="S"/>
    <n v="-22.850467852262572"/>
    <n v="-47.159485935598887"/>
    <n v="748.69"/>
    <n v="3.17"/>
    <n v="30"/>
    <m/>
    <n v="0"/>
    <s v="Trator 1.7m"/>
    <m/>
    <s v="Não"/>
    <s v="Não"/>
    <s v="Não"/>
    <s v="Não"/>
    <n v="224.607"/>
    <n v="224.607"/>
  </r>
  <r>
    <s v="VGSP-330_105,000_EN_CL6"/>
    <x v="0"/>
    <s v="105,000"/>
    <m/>
    <s v="105,500"/>
    <m/>
    <x v="0"/>
    <s v="N"/>
    <n v="-22.84945572906781"/>
    <n v="-47.159860691085143"/>
    <n v="153.99"/>
    <n v="2.4500000000000002"/>
    <n v="30"/>
    <m/>
    <n v="0"/>
    <s v="Trator 1.7m"/>
    <m/>
    <s v="Não"/>
    <s v="Não"/>
    <s v="Não"/>
    <s v="Não"/>
    <n v="46.197000000000003"/>
    <n v="46.197000000000003"/>
  </r>
  <r>
    <s v="VGSP-348_105,000_CC1"/>
    <x v="134"/>
    <s v="105,000"/>
    <m/>
    <s v="105,500"/>
    <n v="0.5"/>
    <x v="1"/>
    <s v="C"/>
    <n v="-22.89954974059102"/>
    <n v="-47.211681988788897"/>
    <n v="6329.62"/>
    <n v="4.22"/>
    <n v="80"/>
    <m/>
    <n v="0"/>
    <s v="Trator 1.7m"/>
    <m/>
    <s v="Não"/>
    <s v="Não"/>
    <s v="Não"/>
    <s v="Não"/>
    <n v="5063.6959999999999"/>
    <n v="5063.6959999999999"/>
  </r>
  <r>
    <s v="VGSP-348_105,000_EN_CL1"/>
    <x v="0"/>
    <s v="105,000"/>
    <m/>
    <s v="105,500"/>
    <m/>
    <x v="0"/>
    <s v="N"/>
    <n v="-22.8993734055807"/>
    <n v="-47.211586139834111"/>
    <n v="2214.7399999999998"/>
    <n v="4.0599999999999996"/>
    <n v="70"/>
    <m/>
    <n v="0"/>
    <s v="Trator 1.7m"/>
    <m/>
    <s v="Não"/>
    <s v="Não"/>
    <s v="Não"/>
    <s v="Não"/>
    <n v="1550.3179999999998"/>
    <n v="1550.3179999999998"/>
  </r>
  <r>
    <s v="VGSP-330_105,000_CC3"/>
    <x v="135"/>
    <s v="105,000"/>
    <m/>
    <s v="105,500"/>
    <m/>
    <x v="1"/>
    <s v="C"/>
    <n v="-22.849860790175669"/>
    <n v="-47.159840084494697"/>
    <n v="627.32000000000005"/>
    <n v="3.24"/>
    <n v="50"/>
    <m/>
    <n v="0"/>
    <s v="Trator 1.7m"/>
    <m/>
    <s v="Não"/>
    <s v="Não"/>
    <s v="Não"/>
    <s v="Não"/>
    <n v="313.66000000000003"/>
    <n v="313.66000000000003"/>
  </r>
  <r>
    <s v="VGSP-330_105,000_EN_CL5"/>
    <x v="0"/>
    <s v="105,000"/>
    <m/>
    <s v="105,500"/>
    <m/>
    <x v="0"/>
    <s v="N"/>
    <n v="-22.84967539466296"/>
    <n v="-47.159521560594513"/>
    <n v="162.85"/>
    <n v="2.34"/>
    <n v="30"/>
    <m/>
    <n v="0"/>
    <s v="Trator 1.7m"/>
    <m/>
    <s v="Não"/>
    <s v="Não"/>
    <s v="Não"/>
    <s v="Não"/>
    <n v="48.854999999999997"/>
    <n v="48.854999999999997"/>
  </r>
  <r>
    <s v="VGSP-330_105,000_EN_CL2"/>
    <x v="0"/>
    <s v="105,000"/>
    <m/>
    <s v="105,500"/>
    <m/>
    <x v="0"/>
    <s v="N"/>
    <n v="-22.85131623932951"/>
    <n v="-47.156938533366286"/>
    <n v="521.54999999999995"/>
    <n v="3.03"/>
    <n v="30"/>
    <m/>
    <n v="0"/>
    <s v="Trator 1.7m"/>
    <m/>
    <s v="Não"/>
    <s v="Não"/>
    <s v="Não"/>
    <s v="Não"/>
    <n v="156.46499999999997"/>
    <n v="156.46499999999997"/>
  </r>
  <r>
    <s v="VGSP-330_105,000_ES_CL4"/>
    <x v="0"/>
    <s v="105,000"/>
    <m/>
    <s v="105,500"/>
    <m/>
    <x v="0"/>
    <s v="S"/>
    <n v="-22.850177313256559"/>
    <n v="-47.159896692621757"/>
    <n v="136.88999999999999"/>
    <n v="1.68"/>
    <n v="30"/>
    <m/>
    <n v="0"/>
    <s v="Trator 1.7m"/>
    <m/>
    <s v="Não"/>
    <s v="Não"/>
    <s v="Não"/>
    <s v="Não"/>
    <n v="41.066999999999993"/>
    <n v="41.066999999999993"/>
  </r>
  <r>
    <s v="VGSP-330_105,000_CC1"/>
    <x v="135"/>
    <s v="105,000"/>
    <m/>
    <s v="105,500"/>
    <m/>
    <x v="1"/>
    <s v="C"/>
    <n v="-22.853169786966092"/>
    <n v="-47.154655538839847"/>
    <n v="4559.8900000000003"/>
    <n v="4.03"/>
    <n v="50"/>
    <m/>
    <n v="0"/>
    <s v="Trator 1.7m"/>
    <m/>
    <s v="Não"/>
    <s v="Não"/>
    <s v="Não"/>
    <s v="Não"/>
    <n v="2279.9450000000002"/>
    <n v="2279.9450000000002"/>
  </r>
  <r>
    <s v="VGSP-330_105,000_EN_CL4"/>
    <x v="0"/>
    <s v="105,000"/>
    <m/>
    <s v="105,500"/>
    <m/>
    <x v="0"/>
    <s v="N"/>
    <n v="-22.850055210539271"/>
    <n v="-47.158838280453509"/>
    <n v="435.11"/>
    <n v="1.42"/>
    <n v="30"/>
    <m/>
    <n v="0"/>
    <s v="Trator 1.7m"/>
    <m/>
    <s v="Não"/>
    <s v="Não"/>
    <s v="Não"/>
    <s v="Não"/>
    <n v="130.53299999999999"/>
    <n v="130.53299999999999"/>
  </r>
  <r>
    <s v="VGSP-330_105,000_CC2"/>
    <x v="135"/>
    <s v="105,000"/>
    <m/>
    <s v="105,500"/>
    <m/>
    <x v="1"/>
    <s v="C"/>
    <n v="-22.851029751869579"/>
    <n v="-47.158003256990398"/>
    <n v="3382.51"/>
    <n v="3.17"/>
    <n v="50"/>
    <m/>
    <n v="0"/>
    <s v="Trator 1.7m"/>
    <m/>
    <s v="Não"/>
    <s v="Não"/>
    <s v="Não"/>
    <s v="Não"/>
    <n v="1691.2550000000001"/>
    <n v="1691.2550000000001"/>
  </r>
  <r>
    <s v="VGSP-330_105,000_EN_CL1"/>
    <x v="0"/>
    <s v="105,000"/>
    <m/>
    <s v="105,500"/>
    <m/>
    <x v="0"/>
    <s v="N"/>
    <n v="-22.85279273846503"/>
    <n v="-47.154586151791378"/>
    <n v="2083.79"/>
    <n v="5.4"/>
    <n v="30"/>
    <m/>
    <n v="0"/>
    <s v="Trator 1.7m"/>
    <m/>
    <s v="Não"/>
    <s v="Não"/>
    <s v="Não"/>
    <s v="Não"/>
    <n v="625.13699999999994"/>
    <n v="625.13699999999994"/>
  </r>
  <r>
    <s v="VGSP-330_105,000_ES_CL2"/>
    <x v="0"/>
    <s v="105,000"/>
    <m/>
    <s v="105,500"/>
    <m/>
    <x v="0"/>
    <s v="S"/>
    <n v="-22.852180083474341"/>
    <n v="-47.156779725771131"/>
    <n v="58.5"/>
    <n v="4.21"/>
    <n v="30"/>
    <m/>
    <n v="0"/>
    <s v="Trator 1.7m"/>
    <m/>
    <s v="Não"/>
    <s v="Não"/>
    <s v="Não"/>
    <s v="Não"/>
    <n v="17.55"/>
    <n v="17.55"/>
  </r>
  <r>
    <s v="VGSP-348_105,000_CC2"/>
    <x v="134"/>
    <s v="105,000"/>
    <m/>
    <s v="105,500"/>
    <n v="0.5"/>
    <x v="1"/>
    <s v="C"/>
    <n v="-22.8982444485145"/>
    <n v="-47.216507346943743"/>
    <n v="5444.03"/>
    <n v="3.98"/>
    <n v="80"/>
    <m/>
    <n v="0"/>
    <s v="Trator 1.7m"/>
    <m/>
    <s v="Não"/>
    <s v="Não"/>
    <s v="Não"/>
    <s v="Não"/>
    <n v="4355.2240000000002"/>
    <n v="4355.2240000000002"/>
  </r>
  <r>
    <s v="VGSP-330_105,000_ES_CL1"/>
    <x v="0"/>
    <s v="105,000"/>
    <m/>
    <s v="105,500"/>
    <m/>
    <x v="0"/>
    <s v="S"/>
    <n v="-22.853359684053579"/>
    <n v="-47.154935706307903"/>
    <n v="3718.73"/>
    <n v="3.39"/>
    <n v="30"/>
    <m/>
    <n v="0"/>
    <s v="Trator 1.7m"/>
    <m/>
    <s v="Não"/>
    <s v="Não"/>
    <s v="Não"/>
    <s v="Não"/>
    <n v="1115.6189999999999"/>
    <n v="1115.6189999999999"/>
  </r>
  <r>
    <s v="VGSP-330_105,000_EN_CL3"/>
    <x v="0"/>
    <s v="105,000"/>
    <m/>
    <s v="105,500"/>
    <m/>
    <x v="0"/>
    <s v="N"/>
    <n v="-22.850715526177009"/>
    <n v="-47.157811594004549"/>
    <n v="295.37"/>
    <n v="1.34"/>
    <n v="30"/>
    <m/>
    <n v="0"/>
    <s v="Trator 1.7m"/>
    <m/>
    <s v="Não"/>
    <s v="Não"/>
    <s v="Não"/>
    <s v="Não"/>
    <n v="88.611000000000004"/>
    <n v="88.611000000000004"/>
  </r>
  <r>
    <s v="VGSP-348_105,000_EN_CL2"/>
    <x v="0"/>
    <s v="105,000"/>
    <m/>
    <s v="105,500"/>
    <m/>
    <x v="0"/>
    <s v="N"/>
    <n v="-22.898051332236019"/>
    <n v="-47.216430684589412"/>
    <n v="1936.58"/>
    <n v="3.47"/>
    <n v="70"/>
    <m/>
    <n v="0"/>
    <s v="Trator 1.7m"/>
    <m/>
    <s v="Não"/>
    <s v="Não"/>
    <s v="Não"/>
    <s v="Não"/>
    <n v="1355.6059999999998"/>
    <n v="1355.6059999999998"/>
  </r>
  <r>
    <s v="VGSP-348_105,000_ES_CL1"/>
    <x v="0"/>
    <s v="105,000"/>
    <m/>
    <s v="105,500"/>
    <m/>
    <x v="0"/>
    <s v="S"/>
    <n v="-22.89845875586126"/>
    <n v="-47.21649936506828"/>
    <n v="2003.1"/>
    <n v="4.3099999999999996"/>
    <n v="70"/>
    <m/>
    <n v="0"/>
    <s v="Trator 1.7m"/>
    <m/>
    <s v="Não"/>
    <s v="Não"/>
    <s v="Não"/>
    <s v="Não"/>
    <n v="1402.1699999999998"/>
    <n v="1402.1699999999998"/>
  </r>
  <r>
    <s v="VGSP-348_105,000_ES_CL2"/>
    <x v="0"/>
    <s v="105,000"/>
    <m/>
    <s v="105,500"/>
    <m/>
    <x v="0"/>
    <s v="S"/>
    <n v="-22.899790076808809"/>
    <n v="-47.211713252659457"/>
    <n v="2117.17"/>
    <n v="3.94"/>
    <n v="55"/>
    <m/>
    <n v="0"/>
    <s v="Trator 1.7m"/>
    <m/>
    <s v="Não"/>
    <s v="Não"/>
    <s v="Não"/>
    <s v="Não"/>
    <n v="1164.4435000000001"/>
    <n v="1164.4435000000001"/>
  </r>
  <r>
    <s v="VGSP-330_106,000_EN_CL1"/>
    <x v="0"/>
    <s v="106,000"/>
    <m/>
    <s v="106,500"/>
    <m/>
    <x v="0"/>
    <s v="N"/>
    <n v="-22.849220913384681"/>
    <n v="-47.160186693488313"/>
    <n v="188.61"/>
    <n v="3.29"/>
    <n v="30"/>
    <m/>
    <n v="0"/>
    <s v="Trator 1.7m"/>
    <m/>
    <s v="Não"/>
    <s v="Não"/>
    <s v="Não"/>
    <s v="Não"/>
    <n v="56.583000000000006"/>
    <n v="56.583000000000006"/>
  </r>
  <r>
    <s v="VGSP-330_106,000_CC3"/>
    <x v="136"/>
    <s v="106,000"/>
    <m/>
    <s v="106,500"/>
    <m/>
    <x v="1"/>
    <s v="C"/>
    <n v="-22.844396787054642"/>
    <n v="-47.166221248092192"/>
    <n v="3521.84"/>
    <n v="2.44"/>
    <n v="50"/>
    <m/>
    <n v="0"/>
    <s v="Trator 1.7m"/>
    <m/>
    <s v="Não"/>
    <s v="Não"/>
    <s v="Não"/>
    <s v="Não"/>
    <n v="1760.92"/>
    <n v="1760.92"/>
  </r>
  <r>
    <s v="VGSP-348_106,000_EN_CL2"/>
    <x v="0"/>
    <s v="106,000"/>
    <m/>
    <s v="106,500"/>
    <m/>
    <x v="0"/>
    <s v="N"/>
    <n v="-22.894943534125389"/>
    <n v="-47.225709240037773"/>
    <n v="1861.77"/>
    <n v="2.33"/>
    <n v="70"/>
    <m/>
    <n v="0"/>
    <s v="Trator 1.7m"/>
    <m/>
    <s v="Não"/>
    <s v="Não"/>
    <s v="Não"/>
    <s v="Não"/>
    <n v="1303.2389999999998"/>
    <n v="1303.2389999999998"/>
  </r>
  <r>
    <s v="VGSP-330_106,000_EN_CL6"/>
    <x v="0"/>
    <s v="106,000"/>
    <m/>
    <s v="106,500"/>
    <m/>
    <x v="0"/>
    <s v="N"/>
    <n v="-22.845041298413111"/>
    <n v="-47.165055890959273"/>
    <n v="96.2"/>
    <n v="4.55"/>
    <n v="30"/>
    <m/>
    <n v="0"/>
    <s v="Trator 1.7m"/>
    <m/>
    <s v="Não"/>
    <s v="Não"/>
    <s v="Não"/>
    <s v="Não"/>
    <n v="28.86"/>
    <n v="28.86"/>
  </r>
  <r>
    <s v="VGSP-330_106,000_ES_CL4"/>
    <x v="0"/>
    <s v="106,000"/>
    <m/>
    <s v="106,500"/>
    <m/>
    <x v="0"/>
    <s v="S"/>
    <n v="-22.8475335558418"/>
    <n v="-47.16357835050237"/>
    <n v="186.16"/>
    <n v="0.64"/>
    <n v="30"/>
    <m/>
    <n v="0"/>
    <s v="Trator 1.7m"/>
    <m/>
    <s v="Não"/>
    <s v="Não"/>
    <s v="Não"/>
    <s v="Não"/>
    <n v="55.847999999999999"/>
    <n v="55.847999999999999"/>
  </r>
  <r>
    <s v="VGSP-330_106,000_ES_CL2"/>
    <x v="0"/>
    <s v="106,000"/>
    <m/>
    <s v="106,500"/>
    <m/>
    <x v="0"/>
    <s v="S"/>
    <n v="-22.849910822402471"/>
    <n v="-47.160312029123943"/>
    <n v="3.63"/>
    <n v="2.0699999999999998"/>
    <n v="30"/>
    <m/>
    <n v="0"/>
    <s v="Trator 1.7m"/>
    <m/>
    <s v="Não"/>
    <s v="Não"/>
    <s v="Não"/>
    <s v="Não"/>
    <n v="1.089"/>
    <n v="1.089"/>
  </r>
  <r>
    <s v="VGSP-330_106,000_EN_CL3"/>
    <x v="0"/>
    <s v="106,000"/>
    <m/>
    <s v="106,500"/>
    <m/>
    <x v="0"/>
    <s v="N"/>
    <n v="-22.84686116703379"/>
    <n v="-47.163296684495073"/>
    <n v="120.67"/>
    <n v="1.45"/>
    <n v="30"/>
    <m/>
    <n v="0"/>
    <s v="Trator 1.7m"/>
    <m/>
    <s v="Não"/>
    <s v="Não"/>
    <s v="Não"/>
    <s v="Não"/>
    <n v="36.201000000000001"/>
    <n v="36.201000000000001"/>
  </r>
  <r>
    <s v="VGSP-330_106,000_EN_CL7"/>
    <x v="0"/>
    <s v="106,000"/>
    <m/>
    <s v="106,500"/>
    <m/>
    <x v="0"/>
    <s v="N"/>
    <n v="-22.844212328668409"/>
    <n v="-47.16594623461183"/>
    <n v="1152.99"/>
    <n v="2.5"/>
    <n v="30"/>
    <m/>
    <n v="0"/>
    <s v="Trator 1.7m"/>
    <m/>
    <s v="Não"/>
    <s v="Não"/>
    <s v="Não"/>
    <s v="Não"/>
    <n v="345.89699999999999"/>
    <n v="345.89699999999999"/>
  </r>
  <r>
    <s v="VGSP-330_106,000_ES_CL1"/>
    <x v="0"/>
    <s v="106,000"/>
    <m/>
    <s v="106,500"/>
    <m/>
    <x v="0"/>
    <s v="S"/>
    <n v="-22.849937814747541"/>
    <n v="-47.160361744558116"/>
    <n v="26.45"/>
    <n v="1.17"/>
    <n v="30"/>
    <m/>
    <n v="0"/>
    <s v="Trator 1.7m"/>
    <m/>
    <s v="Não"/>
    <s v="Não"/>
    <s v="Não"/>
    <s v="Não"/>
    <n v="7.9349999999999996"/>
    <n v="7.9349999999999996"/>
  </r>
  <r>
    <s v="VGSP-330_106,000_ES_CL6"/>
    <x v="0"/>
    <s v="106,000"/>
    <m/>
    <s v="106,500"/>
    <m/>
    <x v="0"/>
    <s v="S"/>
    <n v="-22.84675778441343"/>
    <n v="-47.164422707391317"/>
    <n v="344.03"/>
    <n v="2.5"/>
    <n v="30"/>
    <m/>
    <n v="0"/>
    <s v="Trator 1.7m"/>
    <m/>
    <s v="Não"/>
    <s v="Não"/>
    <s v="Não"/>
    <s v="Não"/>
    <n v="103.20899999999999"/>
    <n v="103.20899999999999"/>
  </r>
  <r>
    <s v="VGSP-330_106,000_EN_CL5"/>
    <x v="0"/>
    <s v="106,000"/>
    <m/>
    <s v="106,500"/>
    <m/>
    <x v="0"/>
    <s v="N"/>
    <n v="-22.845157115064929"/>
    <n v="-47.165029147256448"/>
    <n v="96.77"/>
    <n v="3.92"/>
    <n v="30"/>
    <m/>
    <n v="0"/>
    <s v="Trator 1.7m"/>
    <m/>
    <s v="Não"/>
    <s v="Não"/>
    <s v="Não"/>
    <s v="Não"/>
    <n v="29.030999999999999"/>
    <n v="29.030999999999999"/>
  </r>
  <r>
    <s v="VGSP-330_106,000_ES_CL5"/>
    <x v="0"/>
    <s v="106,000"/>
    <m/>
    <s v="106,500"/>
    <m/>
    <x v="0"/>
    <s v="S"/>
    <n v="-22.847221668084821"/>
    <n v="-47.163957585306868"/>
    <n v="61.96"/>
    <n v="0.82"/>
    <n v="30"/>
    <m/>
    <n v="0"/>
    <s v="Trator 1.7m"/>
    <m/>
    <s v="Não"/>
    <s v="Não"/>
    <s v="Não"/>
    <s v="Não"/>
    <n v="18.588000000000001"/>
    <n v="18.588000000000001"/>
  </r>
  <r>
    <s v="VGSP-348_106,000_ES_CL3"/>
    <x v="0"/>
    <s v="106,000"/>
    <m/>
    <s v="106,500"/>
    <m/>
    <x v="0"/>
    <s v="S"/>
    <n v="-22.897202028196389"/>
    <n v="-47.221733800069217"/>
    <n v="1997.96"/>
    <n v="2.66"/>
    <n v="70"/>
    <m/>
    <n v="0"/>
    <s v="Trator 1.7m"/>
    <m/>
    <s v="Não"/>
    <s v="Não"/>
    <s v="Não"/>
    <s v="Não"/>
    <n v="1398.5719999999999"/>
    <n v="1398.5719999999999"/>
  </r>
  <r>
    <s v="VGSP-348_106,000_CC3"/>
    <x v="137"/>
    <s v="106,000"/>
    <m/>
    <s v="106,500"/>
    <n v="0.5"/>
    <x v="1"/>
    <s v="C"/>
    <n v="-22.896952052461359"/>
    <n v="-47.221831438176373"/>
    <n v="5474.95"/>
    <n v="2.39"/>
    <n v="80"/>
    <m/>
    <n v="0"/>
    <s v="Trator 1.7m"/>
    <m/>
    <s v="Não"/>
    <s v="Não"/>
    <s v="Não"/>
    <s v="Não"/>
    <n v="4379.96"/>
    <n v="4379.96"/>
  </r>
  <r>
    <s v="VGSP-330_106,000_EN_CL2"/>
    <x v="0"/>
    <s v="106,000"/>
    <m/>
    <s v="106,500"/>
    <m/>
    <x v="0"/>
    <s v="N"/>
    <n v="-22.84717162032338"/>
    <n v="-47.16295641802121"/>
    <n v="396.46"/>
    <n v="1.22"/>
    <n v="30"/>
    <m/>
    <n v="0"/>
    <s v="Trator 1.7m"/>
    <m/>
    <s v="Não"/>
    <s v="Não"/>
    <s v="Não"/>
    <s v="Não"/>
    <n v="118.93799999999999"/>
    <n v="118.93799999999999"/>
  </r>
  <r>
    <s v="VGSP-330_106,000_ES_CL7"/>
    <x v="0"/>
    <s v="106,000"/>
    <m/>
    <s v="106,500"/>
    <m/>
    <x v="0"/>
    <s v="S"/>
    <n v="-22.846013520619021"/>
    <n v="-47.165163673521668"/>
    <n v="327.78"/>
    <n v="4.95"/>
    <n v="30"/>
    <m/>
    <n v="0"/>
    <s v="Trator 1.7m"/>
    <m/>
    <s v="Não"/>
    <s v="Não"/>
    <s v="Não"/>
    <s v="Não"/>
    <n v="98.333999999999989"/>
    <n v="98.333999999999989"/>
  </r>
  <r>
    <s v="VGSP-348_106,000_ES_CL2"/>
    <x v="0"/>
    <s v="106,000"/>
    <m/>
    <s v="106,500"/>
    <m/>
    <x v="0"/>
    <s v="S"/>
    <n v="-22.895265872632251"/>
    <n v="-47.22597208712974"/>
    <n v="1968.38"/>
    <n v="1.93"/>
    <n v="70"/>
    <m/>
    <n v="0"/>
    <s v="Trator 1.7m"/>
    <m/>
    <s v="Não"/>
    <s v="Não"/>
    <s v="Não"/>
    <s v="Não"/>
    <n v="1377.866"/>
    <n v="1377.866"/>
  </r>
  <r>
    <s v="VGSP-330_106,000_ES_CL3"/>
    <x v="0"/>
    <s v="106,000"/>
    <m/>
    <s v="106,500"/>
    <m/>
    <x v="0"/>
    <s v="S"/>
    <n v="-22.84735334013028"/>
    <n v="-47.16379622543009"/>
    <n v="55.72"/>
    <n v="0.64"/>
    <n v="30"/>
    <m/>
    <n v="0"/>
    <s v="Trator 1.7m"/>
    <m/>
    <s v="Não"/>
    <s v="Não"/>
    <s v="Não"/>
    <s v="Não"/>
    <n v="16.715999999999998"/>
    <n v="16.715999999999998"/>
  </r>
  <r>
    <s v="VGSP-330_106,000_EN_CL4"/>
    <x v="0"/>
    <s v="106,000"/>
    <m/>
    <s v="106,500"/>
    <m/>
    <x v="0"/>
    <s v="N"/>
    <n v="-22.845972466975802"/>
    <n v="-47.16422693356089"/>
    <n v="857.73"/>
    <n v="5.76"/>
    <n v="30"/>
    <m/>
    <n v="0"/>
    <s v="Trator 1.7m"/>
    <m/>
    <s v="Não"/>
    <s v="Não"/>
    <s v="Não"/>
    <s v="Não"/>
    <n v="257.31900000000002"/>
    <n v="257.31900000000002"/>
  </r>
  <r>
    <s v="VGSP-348_106,000_ES_CL1"/>
    <x v="0"/>
    <s v="106,000"/>
    <m/>
    <s v="106,500"/>
    <m/>
    <x v="0"/>
    <s v="S"/>
    <n v="-22.897810403453221"/>
    <n v="-47.219376118034667"/>
    <n v="496.02"/>
    <n v="2.77"/>
    <n v="70"/>
    <m/>
    <n v="0"/>
    <s v="Trator 1.7m"/>
    <m/>
    <s v="Não"/>
    <s v="Não"/>
    <s v="Não"/>
    <s v="Não"/>
    <n v="347.21399999999994"/>
    <n v="347.21399999999994"/>
  </r>
  <r>
    <s v="VGSP-348_106,000_EN_CL1"/>
    <x v="0"/>
    <s v="106,000"/>
    <m/>
    <s v="106,500"/>
    <m/>
    <x v="0"/>
    <s v="N"/>
    <n v="-22.897297079786259"/>
    <n v="-47.219234801954357"/>
    <n v="526.47"/>
    <n v="4.18"/>
    <n v="70"/>
    <m/>
    <n v="0"/>
    <s v="Trator 1.7m"/>
    <m/>
    <s v="Não"/>
    <s v="Não"/>
    <s v="Não"/>
    <s v="Não"/>
    <n v="368.529"/>
    <n v="368.529"/>
  </r>
  <r>
    <s v="VGSP-348_106,000_CC1"/>
    <x v="137"/>
    <s v="106,000"/>
    <m/>
    <s v="106,500"/>
    <n v="0.5"/>
    <x v="1"/>
    <s v="C"/>
    <n v="-22.897606108707961"/>
    <n v="-47.219175957300664"/>
    <n v="958.26"/>
    <n v="4.12"/>
    <n v="80"/>
    <m/>
    <n v="0"/>
    <s v="Trator 1.7m"/>
    <m/>
    <s v="Não"/>
    <s v="Não"/>
    <s v="Não"/>
    <s v="Não"/>
    <n v="766.60800000000006"/>
    <n v="766.60800000000006"/>
  </r>
  <r>
    <s v="VGSP-348_106,000_CC2"/>
    <x v="137"/>
    <s v="106,000"/>
    <m/>
    <s v="106,500"/>
    <n v="0.5"/>
    <x v="1"/>
    <s v="C"/>
    <n v="-22.895119792443449"/>
    <n v="-47.225812953752701"/>
    <n v="5189.47"/>
    <n v="2.12"/>
    <n v="80"/>
    <m/>
    <n v="0"/>
    <s v="Trator 1.7m"/>
    <m/>
    <s v="Não"/>
    <s v="Não"/>
    <s v="Não"/>
    <s v="Não"/>
    <n v="4151.576"/>
    <n v="4151.576"/>
  </r>
  <r>
    <s v="VGSP-330_106,000_CC2"/>
    <x v="136"/>
    <s v="106,000"/>
    <m/>
    <s v="106,500"/>
    <m/>
    <x v="1"/>
    <s v="C"/>
    <n v="-22.84842889499809"/>
    <n v="-47.16186220443965"/>
    <n v="4258.8999999999996"/>
    <n v="2.35"/>
    <n v="50"/>
    <m/>
    <n v="0"/>
    <s v="Trator 1.7m"/>
    <m/>
    <s v="Não"/>
    <s v="Não"/>
    <s v="Não"/>
    <s v="Não"/>
    <n v="2129.4499999999998"/>
    <n v="2129.4499999999998"/>
  </r>
  <r>
    <s v="VGSP-330_106,000_CC1"/>
    <x v="136"/>
    <s v="106,000"/>
    <m/>
    <s v="106,500"/>
    <m/>
    <x v="1"/>
    <s v="C"/>
    <n v="-22.84636524091351"/>
    <n v="-47.164325757246843"/>
    <n v="2097.52"/>
    <n v="3.21"/>
    <n v="50"/>
    <m/>
    <n v="0"/>
    <s v="Trator 1.7m"/>
    <m/>
    <s v="Não"/>
    <s v="Não"/>
    <s v="Não"/>
    <s v="Não"/>
    <n v="1048.76"/>
    <n v="1048.76"/>
  </r>
  <r>
    <s v="VGSP-330_106,000_ES_CL8"/>
    <x v="0"/>
    <s v="106,000"/>
    <m/>
    <s v="106,500"/>
    <m/>
    <x v="0"/>
    <s v="S"/>
    <n v="-22.844613416225481"/>
    <n v="-47.166518559619838"/>
    <n v="1827.18"/>
    <n v="3.02"/>
    <n v="30"/>
    <m/>
    <n v="0"/>
    <s v="Trator 1.7m"/>
    <m/>
    <s v="Não"/>
    <s v="Não"/>
    <s v="Não"/>
    <s v="Não"/>
    <n v="548.154"/>
    <n v="548.154"/>
  </r>
  <r>
    <s v="VGSP-348_106,000_EN_CL3"/>
    <x v="0"/>
    <s v="106,000"/>
    <m/>
    <s v="106,500"/>
    <m/>
    <x v="0"/>
    <s v="N"/>
    <n v="-22.896789158581459"/>
    <n v="-47.221425268881283"/>
    <n v="2203.81"/>
    <n v="2.8"/>
    <n v="70"/>
    <m/>
    <n v="0"/>
    <s v="Trator 1.7m"/>
    <m/>
    <s v="Não"/>
    <s v="Não"/>
    <s v="Não"/>
    <s v="Não"/>
    <n v="1542.6669999999999"/>
    <n v="1542.6669999999999"/>
  </r>
  <r>
    <s v="VGSP-330_107,000_EN_CL6"/>
    <x v="0"/>
    <s v="107,000"/>
    <m/>
    <s v="107,500"/>
    <m/>
    <x v="0"/>
    <s v="N"/>
    <n v="-22.840741810560189"/>
    <n v="-47.16839285916258"/>
    <n v="1800.55"/>
    <n v="4.59"/>
    <n v="30"/>
    <m/>
    <n v="0"/>
    <s v="Trator 1.7m"/>
    <m/>
    <s v="Não"/>
    <s v="Não"/>
    <s v="Não"/>
    <s v="Não"/>
    <n v="540.16499999999996"/>
    <n v="540.16499999999996"/>
  </r>
  <r>
    <s v="VGSP-348_107,000_ES_CL2"/>
    <x v="0"/>
    <s v="107,000"/>
    <m/>
    <s v="107,500"/>
    <m/>
    <x v="0"/>
    <s v="S"/>
    <n v="-22.891364813499781"/>
    <n v="-47.228443712131707"/>
    <n v="2154.36"/>
    <n v="1.74"/>
    <n v="70"/>
    <m/>
    <n v="0"/>
    <s v="Trator 1.7m"/>
    <m/>
    <s v="Não"/>
    <s v="Não"/>
    <s v="Não"/>
    <s v="Não"/>
    <n v="1508.0519999999999"/>
    <n v="1508.0519999999999"/>
  </r>
  <r>
    <s v="VGSP-330_107,000_ES_CL3"/>
    <x v="0"/>
    <s v="107,000"/>
    <m/>
    <s v="107,500"/>
    <m/>
    <x v="0"/>
    <s v="S"/>
    <n v="-22.844225176281149"/>
    <n v="-47.168125462751412"/>
    <n v="10"/>
    <n v="1.91"/>
    <m/>
    <m/>
    <n v="0"/>
    <m/>
    <m/>
    <s v="Não"/>
    <s v="Não"/>
    <s v="Não"/>
    <s v="Não"/>
    <n v="0"/>
    <n v="0"/>
  </r>
  <r>
    <s v="VGSP-348_107,000_CC2"/>
    <x v="138"/>
    <s v="107,000"/>
    <m/>
    <s v="107,500"/>
    <n v="0.5"/>
    <x v="1"/>
    <s v="C"/>
    <n v="-22.886904525375051"/>
    <n v="-47.229681493950558"/>
    <n v="5730.27"/>
    <n v="1.78"/>
    <n v="80"/>
    <m/>
    <n v="0"/>
    <s v="Trator 1.7m"/>
    <m/>
    <s v="Não"/>
    <s v="Não"/>
    <s v="Não"/>
    <s v="Não"/>
    <n v="4584.2160000000003"/>
    <n v="4584.2160000000003"/>
  </r>
  <r>
    <s v="VGSP-330_107,000_ES_CL7"/>
    <x v="0"/>
    <s v="107,000"/>
    <m/>
    <s v="107,500"/>
    <m/>
    <x v="0"/>
    <s v="S"/>
    <n v="-22.84239799259927"/>
    <n v="-47.169353007591589"/>
    <n v="2036.01"/>
    <n v="6.47"/>
    <n v="30"/>
    <m/>
    <n v="0"/>
    <s v="Trator 1.7m"/>
    <m/>
    <s v="Não"/>
    <s v="Não"/>
    <s v="Não"/>
    <s v="Não"/>
    <n v="610.803"/>
    <n v="610.803"/>
  </r>
  <r>
    <s v="VGSP-348_107,000_EN_CL1"/>
    <x v="0"/>
    <s v="107,000"/>
    <m/>
    <s v="107,500"/>
    <m/>
    <x v="0"/>
    <s v="N"/>
    <n v="-22.88673031562303"/>
    <n v="-47.229538306847871"/>
    <n v="2052.86"/>
    <n v="1.82"/>
    <n v="70"/>
    <m/>
    <n v="0"/>
    <s v="Trator 1.7m"/>
    <m/>
    <s v="Não"/>
    <s v="Não"/>
    <s v="Não"/>
    <s v="Não"/>
    <n v="1437.002"/>
    <n v="1437.002"/>
  </r>
  <r>
    <s v="VGSP-330_107,000_CC3"/>
    <x v="139"/>
    <s v="107,000"/>
    <m/>
    <s v="107,500"/>
    <m/>
    <x v="1"/>
    <s v="C"/>
    <n v="-22.841251733731308"/>
    <n v="-47.168179624243038"/>
    <n v="6997.12"/>
    <n v="3.88"/>
    <n v="70"/>
    <m/>
    <n v="0"/>
    <s v="Trator 1.7m, Spider"/>
    <m/>
    <s v="Não"/>
    <s v="Não"/>
    <s v="Não"/>
    <s v="Não"/>
    <n v="4897.9839999999995"/>
    <n v="4897.9839999999995"/>
  </r>
  <r>
    <s v="VGSP-330_107,000_CC2"/>
    <x v="139"/>
    <s v="107,000"/>
    <m/>
    <s v="107,500"/>
    <m/>
    <x v="1"/>
    <s v="C"/>
    <n v="-22.842180975113649"/>
    <n v="-47.169324055932812"/>
    <n v="6825.35"/>
    <n v="8.64"/>
    <n v="70"/>
    <m/>
    <n v="0"/>
    <s v="Spider"/>
    <m/>
    <s v="Não"/>
    <s v="Não"/>
    <s v="Não"/>
    <s v="Não"/>
    <n v="4777.7449999999999"/>
    <n v="4777.7449999999999"/>
  </r>
  <r>
    <s v="VGSP-330_107,000_EN_CL5"/>
    <x v="0"/>
    <s v="107,000"/>
    <m/>
    <s v="107,500"/>
    <m/>
    <x v="0"/>
    <s v="N"/>
    <n v="-22.839296844124831"/>
    <n v="-47.170546301395028"/>
    <n v="522.79999999999995"/>
    <n v="3.79"/>
    <n v="30"/>
    <m/>
    <n v="0"/>
    <s v="Trator 1.7m"/>
    <m/>
    <s v="Não"/>
    <s v="Não"/>
    <s v="Não"/>
    <s v="Não"/>
    <n v="156.83999999999997"/>
    <n v="156.83999999999997"/>
  </r>
  <r>
    <s v="VGSP-330_107,000_EN_CL3"/>
    <x v="0"/>
    <s v="107,000"/>
    <m/>
    <s v="107,500"/>
    <m/>
    <x v="0"/>
    <s v="N"/>
    <n v="-22.84275137961934"/>
    <n v="-47.167285357969007"/>
    <n v="317.41000000000003"/>
    <n v="2.5499999999999998"/>
    <n v="30"/>
    <m/>
    <n v="0"/>
    <s v="Trator 1.7m"/>
    <m/>
    <s v="Não"/>
    <s v="Não"/>
    <s v="Não"/>
    <s v="Não"/>
    <n v="95.222999999999999"/>
    <n v="95.222999999999999"/>
  </r>
  <r>
    <s v="VGSP-330_107,000_EN_CL2"/>
    <x v="0"/>
    <s v="107,000"/>
    <m/>
    <s v="107,500"/>
    <m/>
    <x v="0"/>
    <s v="N"/>
    <n v="-22.843298727636551"/>
    <n v="-47.166767508716923"/>
    <n v="100.33"/>
    <n v="2.63"/>
    <n v="30"/>
    <m/>
    <n v="0"/>
    <s v="Trator 1.7m"/>
    <m/>
    <s v="Não"/>
    <s v="Não"/>
    <s v="Não"/>
    <s v="Não"/>
    <n v="30.098999999999997"/>
    <n v="30.098999999999997"/>
  </r>
  <r>
    <s v="VGSP-348_107,000_EN_CL2"/>
    <x v="0"/>
    <s v="107,000"/>
    <m/>
    <s v="107,500"/>
    <m/>
    <x v="0"/>
    <s v="N"/>
    <n v="-22.891176611562869"/>
    <n v="-47.228047797041192"/>
    <n v="2096.83"/>
    <n v="1.83"/>
    <n v="70"/>
    <m/>
    <n v="0"/>
    <s v="Trator 1.7m"/>
    <m/>
    <s v="Não"/>
    <s v="Não"/>
    <s v="Não"/>
    <s v="Não"/>
    <n v="1467.7809999999999"/>
    <n v="1467.7809999999999"/>
  </r>
  <r>
    <s v="VGSP-330_107,000_ES_CL4"/>
    <x v="0"/>
    <s v="107,000"/>
    <m/>
    <s v="107,500"/>
    <m/>
    <x v="0"/>
    <s v="S"/>
    <n v="-22.843957270217381"/>
    <n v="-47.168283180885183"/>
    <n v="281.49"/>
    <n v="5.54"/>
    <n v="30"/>
    <m/>
    <n v="0"/>
    <s v="Trator 1.7m"/>
    <m/>
    <s v="Não"/>
    <s v="Não"/>
    <s v="Não"/>
    <s v="Não"/>
    <n v="84.447000000000003"/>
    <n v="84.447000000000003"/>
  </r>
  <r>
    <s v="VGSP-330_107,000_ES_CL5"/>
    <x v="0"/>
    <s v="107,000"/>
    <m/>
    <s v="107,500"/>
    <m/>
    <x v="0"/>
    <s v="S"/>
    <n v="-22.843714627133039"/>
    <n v="-47.167706734515413"/>
    <n v="1077.23"/>
    <n v="4.26"/>
    <n v="30"/>
    <m/>
    <n v="0"/>
    <s v="Trator 1.7m"/>
    <m/>
    <s v="Não"/>
    <s v="Não"/>
    <s v="Não"/>
    <s v="Não"/>
    <n v="323.16899999999998"/>
    <n v="323.16899999999998"/>
  </r>
  <r>
    <s v="VGSP-330_107,000_ES_CL8"/>
    <x v="0"/>
    <s v="107,000"/>
    <m/>
    <s v="107,500"/>
    <m/>
    <x v="0"/>
    <s v="S"/>
    <n v="-22.840524893565298"/>
    <n v="-47.170384005030087"/>
    <n v="350.02"/>
    <n v="1.9"/>
    <n v="0"/>
    <m/>
    <n v="0"/>
    <m/>
    <m/>
    <s v="Não"/>
    <s v="Não"/>
    <s v="Não"/>
    <s v="Não"/>
    <n v="0"/>
    <n v="0"/>
  </r>
  <r>
    <s v="VGSP-330_107,000_ES_CL1"/>
    <x v="0"/>
    <s v="107,000"/>
    <m/>
    <s v="107,500"/>
    <m/>
    <x v="0"/>
    <s v="S"/>
    <n v="-22.84413772624989"/>
    <n v="-47.16805961122008"/>
    <n v="3.34"/>
    <n v="1.32"/>
    <m/>
    <m/>
    <n v="0"/>
    <m/>
    <m/>
    <s v="Não"/>
    <s v="Não"/>
    <s v="Não"/>
    <s v="Não"/>
    <n v="0"/>
    <n v="0"/>
  </r>
  <r>
    <s v="VGSP-330_107,000_CC6"/>
    <x v="139"/>
    <s v="107,000"/>
    <m/>
    <s v="107,500"/>
    <m/>
    <x v="1"/>
    <s v="C"/>
    <n v="-22.840990460468891"/>
    <n v="-47.169436161152817"/>
    <n v="3642.29"/>
    <n v="2.2799999999999998"/>
    <n v="50"/>
    <m/>
    <n v="0"/>
    <s v="Trator 1.7m"/>
    <m/>
    <s v="Não"/>
    <s v="Não"/>
    <s v="Não"/>
    <s v="Não"/>
    <n v="1821.145"/>
    <n v="1821.145"/>
  </r>
  <r>
    <s v="VGSP-330_107,000_EN_CL1"/>
    <x v="0"/>
    <s v="107,000"/>
    <m/>
    <s v="107,500"/>
    <m/>
    <x v="0"/>
    <s v="N"/>
    <n v="-22.84275924296109"/>
    <n v="-47.167765635427997"/>
    <n v="2316.71"/>
    <n v="2.64"/>
    <n v="50"/>
    <m/>
    <n v="0"/>
    <s v="Trator 1.7m"/>
    <m/>
    <s v="Não"/>
    <s v="Não"/>
    <s v="Não"/>
    <s v="Não"/>
    <n v="1158.355"/>
    <n v="1158.355"/>
  </r>
  <r>
    <s v="VGSP-330_107,000_ES_CL9"/>
    <x v="0"/>
    <s v="107,000"/>
    <m/>
    <s v="107,500"/>
    <m/>
    <x v="0"/>
    <s v="S"/>
    <n v="-22.838302599383319"/>
    <n v="-47.172460665916603"/>
    <n v="1817.78"/>
    <n v="4.07"/>
    <n v="0"/>
    <m/>
    <n v="0"/>
    <m/>
    <m/>
    <s v="Não"/>
    <s v="Não"/>
    <s v="Não"/>
    <s v="Não"/>
    <n v="0"/>
    <n v="0"/>
  </r>
  <r>
    <s v="VGSP-330_107,000_CC4"/>
    <x v="139"/>
    <s v="107,000"/>
    <m/>
    <s v="107,500"/>
    <m/>
    <x v="1"/>
    <s v="C"/>
    <n v="-22.840807548001131"/>
    <n v="-47.168928001405007"/>
    <n v="4501.3500000000004"/>
    <n v="4.1399999999999997"/>
    <n v="70"/>
    <m/>
    <n v="0"/>
    <s v="Trator 1.7m, Spider"/>
    <m/>
    <s v="Não"/>
    <s v="Não"/>
    <s v="Não"/>
    <s v="Não"/>
    <n v="3150.9450000000002"/>
    <n v="3150.9450000000002"/>
  </r>
  <r>
    <s v="VGSP-330_107,000_CC5"/>
    <x v="139"/>
    <s v="107,000"/>
    <m/>
    <s v="107,500"/>
    <m/>
    <x v="1"/>
    <s v="C"/>
    <n v="-22.838205496936141"/>
    <n v="-47.17206813863929"/>
    <n v="6332.35"/>
    <n v="3.74"/>
    <n v="50"/>
    <m/>
    <n v="0"/>
    <s v="Trator 1.7m"/>
    <m/>
    <s v="Não"/>
    <s v="Não"/>
    <s v="Não"/>
    <s v="Não"/>
    <n v="3166.1750000000002"/>
    <n v="3166.1750000000002"/>
  </r>
  <r>
    <s v="VGSP-330_107,000_CC1"/>
    <x v="139"/>
    <s v="107,000"/>
    <m/>
    <s v="107,500"/>
    <m/>
    <x v="1"/>
    <s v="C"/>
    <n v="-22.84316007111979"/>
    <n v="-47.168417203039098"/>
    <n v="14457.7"/>
    <n v="8.92"/>
    <n v="70"/>
    <m/>
    <n v="0"/>
    <s v="Trator 1.7m, Eixo-zero"/>
    <m/>
    <s v="Não"/>
    <s v="Não"/>
    <s v="Não"/>
    <s v="Não"/>
    <n v="10120.39"/>
    <n v="10120.39"/>
  </r>
  <r>
    <s v="VGSP-348_107,000_CC1"/>
    <x v="138"/>
    <s v="107,000"/>
    <m/>
    <s v="107,500"/>
    <n v="0.5"/>
    <x v="1"/>
    <s v="C"/>
    <n v="-22.891259123449469"/>
    <n v="-47.228247677348193"/>
    <n v="5926.34"/>
    <n v="1.77"/>
    <n v="80"/>
    <m/>
    <n v="0"/>
    <s v="Trator 1.7m"/>
    <m/>
    <s v="Não"/>
    <s v="Não"/>
    <s v="Não"/>
    <s v="Não"/>
    <n v="4741.0720000000001"/>
    <n v="4741.0720000000001"/>
  </r>
  <r>
    <s v="VGSP-330_107,000_ES_CL2"/>
    <x v="0"/>
    <s v="107,000"/>
    <m/>
    <s v="107,500"/>
    <m/>
    <x v="0"/>
    <s v="S"/>
    <n v="-22.84406739270344"/>
    <n v="-47.167855746422532"/>
    <n v="255.33"/>
    <n v="2.56"/>
    <n v="30"/>
    <m/>
    <n v="0"/>
    <s v="Trator 1.7m"/>
    <m/>
    <s v="Não"/>
    <s v="Não"/>
    <s v="Não"/>
    <s v="Não"/>
    <n v="76.599000000000004"/>
    <n v="76.599000000000004"/>
  </r>
  <r>
    <s v="VGSP-348_107,000_ES_CL1"/>
    <x v="0"/>
    <s v="107,000"/>
    <m/>
    <s v="107,500"/>
    <m/>
    <x v="0"/>
    <s v="S"/>
    <n v="-22.887127272986351"/>
    <n v="-47.229799330209083"/>
    <n v="1779.38"/>
    <n v="1.61"/>
    <n v="70"/>
    <m/>
    <n v="0"/>
    <s v="Trator 1.7m"/>
    <m/>
    <s v="Não"/>
    <s v="Não"/>
    <s v="Não"/>
    <s v="Não"/>
    <n v="1245.566"/>
    <n v="1245.566"/>
  </r>
  <r>
    <s v="VGSP-330_107,000_ES_CL6"/>
    <x v="0"/>
    <s v="107,000"/>
    <m/>
    <s v="107,500"/>
    <m/>
    <x v="0"/>
    <s v="S"/>
    <n v="-22.843689583214751"/>
    <n v="-47.167402301370743"/>
    <n v="155.4"/>
    <n v="2.92"/>
    <n v="30"/>
    <m/>
    <n v="0"/>
    <s v="Trator 1.7m"/>
    <m/>
    <s v="Não"/>
    <s v="Não"/>
    <s v="Não"/>
    <s v="Não"/>
    <n v="46.62"/>
    <n v="46.62"/>
  </r>
  <r>
    <s v="VGSP-330_107,000_EN_CL4"/>
    <x v="0"/>
    <s v="107,000"/>
    <m/>
    <s v="107,500"/>
    <m/>
    <x v="0"/>
    <s v="N"/>
    <n v="-22.841641197346451"/>
    <n v="-47.167559436521458"/>
    <n v="665.63"/>
    <n v="3.96"/>
    <n v="30"/>
    <m/>
    <n v="0"/>
    <s v="Trator 1.7m"/>
    <m/>
    <s v="Não"/>
    <s v="Não"/>
    <s v="Não"/>
    <s v="Não"/>
    <n v="199.68899999999999"/>
    <n v="199.68899999999999"/>
  </r>
  <r>
    <s v="VGSP-348_108,000_ES_CL2"/>
    <x v="0"/>
    <s v="108,000"/>
    <m/>
    <s v="108,500"/>
    <m/>
    <x v="0"/>
    <s v="S"/>
    <n v="-22.883999681124479"/>
    <n v="-47.232864834641703"/>
    <n v="1791.96"/>
    <n v="2.37"/>
    <n v="70"/>
    <m/>
    <n v="0"/>
    <s v="Trator 1.7m"/>
    <m/>
    <s v="Não"/>
    <s v="Não"/>
    <s v="Não"/>
    <s v="Não"/>
    <n v="1254.3719999999998"/>
    <n v="1254.3719999999998"/>
  </r>
  <r>
    <s v="VGSP-330_108,000_ES_CL2"/>
    <x v="0"/>
    <s v="108,000"/>
    <m/>
    <s v="108,500"/>
    <m/>
    <x v="0"/>
    <s v="S"/>
    <n v="-22.835715885060591"/>
    <n v="-47.174911742321527"/>
    <n v="328.44"/>
    <n v="2.69"/>
    <n v="30"/>
    <m/>
    <n v="0"/>
    <s v="Trator 1.7m"/>
    <m/>
    <s v="Não"/>
    <s v="Não"/>
    <s v="Não"/>
    <s v="Não"/>
    <n v="98.531999999999996"/>
    <n v="98.531999999999996"/>
  </r>
  <r>
    <s v="VGSP-330_108,000_ES_CL3"/>
    <x v="0"/>
    <s v="108,000"/>
    <m/>
    <s v="108,500"/>
    <m/>
    <x v="0"/>
    <s v="S"/>
    <n v="-22.834735118731739"/>
    <n v="-47.175883745456673"/>
    <n v="655.67"/>
    <n v="6.47"/>
    <n v="30"/>
    <m/>
    <n v="0"/>
    <s v="Trator 1.7m"/>
    <m/>
    <s v="Não"/>
    <s v="Não"/>
    <s v="Não"/>
    <s v="Não"/>
    <n v="196.70099999999999"/>
    <n v="196.70099999999999"/>
  </r>
  <r>
    <s v="VGSP-348_108,000_ES_CL1"/>
    <x v="0"/>
    <s v="108,000"/>
    <m/>
    <s v="108,500"/>
    <m/>
    <x v="0"/>
    <s v="S"/>
    <n v="-22.88278056827723"/>
    <n v="-47.237377587941722"/>
    <n v="2106.0500000000002"/>
    <n v="4.5599999999999996"/>
    <n v="40"/>
    <m/>
    <n v="842.42000000000007"/>
    <s v="Trator com braço articulado"/>
    <m/>
    <s v="Não"/>
    <s v="Sim"/>
    <s v="Não"/>
    <s v="Sim"/>
    <n v="0"/>
    <m/>
  </r>
  <r>
    <s v="VGSP-330_108,000_EN_CL3"/>
    <x v="0"/>
    <s v="108,000"/>
    <m/>
    <s v="108,500"/>
    <m/>
    <x v="0"/>
    <s v="N"/>
    <n v="-22.829793348798599"/>
    <n v="-47.179842465096961"/>
    <n v="301.10000000000002"/>
    <n v="1.44"/>
    <n v="30"/>
    <m/>
    <n v="0"/>
    <s v="Trator 1.7m"/>
    <m/>
    <s v="Não"/>
    <s v="Não"/>
    <s v="Não"/>
    <s v="Não"/>
    <n v="90.33"/>
    <n v="90.33"/>
  </r>
  <r>
    <s v="VGSP-348_108,000_EN_CL2"/>
    <x v="0"/>
    <s v="108,000"/>
    <m/>
    <s v="108,500"/>
    <m/>
    <x v="0"/>
    <s v="N"/>
    <n v="-22.883547137616901"/>
    <n v="-47.232802687673917"/>
    <n v="1699.24"/>
    <n v="1.62"/>
    <n v="70"/>
    <m/>
    <n v="0"/>
    <s v="Trator 1.7m"/>
    <m/>
    <s v="Não"/>
    <s v="Não"/>
    <s v="Não"/>
    <s v="Não"/>
    <n v="1189.4679999999998"/>
    <n v="1189.4679999999998"/>
  </r>
  <r>
    <s v="VGSP-330_108,000_EN_CL1"/>
    <x v="0"/>
    <s v="108,000"/>
    <m/>
    <s v="108,500"/>
    <m/>
    <x v="0"/>
    <s v="N"/>
    <n v="-22.831787590723309"/>
    <n v="-47.178157127401853"/>
    <n v="3724.62"/>
    <n v="3.84"/>
    <n v="50"/>
    <m/>
    <n v="0"/>
    <s v="Trator 1.7m"/>
    <m/>
    <s v="Não"/>
    <s v="Não"/>
    <s v="Não"/>
    <s v="Não"/>
    <n v="1862.31"/>
    <n v="1862.31"/>
  </r>
  <r>
    <s v="VGSP-330_108,000_EN_CL4"/>
    <x v="0"/>
    <s v="108,000"/>
    <m/>
    <s v="108,500"/>
    <m/>
    <x v="0"/>
    <s v="N"/>
    <n v="-22.830139136620229"/>
    <n v="-47.179928815409262"/>
    <n v="2006.48"/>
    <n v="3.08"/>
    <n v="50"/>
    <m/>
    <n v="0"/>
    <s v="Trator 1.7m"/>
    <m/>
    <s v="Não"/>
    <s v="Não"/>
    <s v="Não"/>
    <s v="Não"/>
    <n v="1003.24"/>
    <n v="1003.24"/>
  </r>
  <r>
    <s v="VGSP-348_108,000_CC2"/>
    <x v="140"/>
    <s v="108,000"/>
    <m/>
    <s v="108,500"/>
    <n v="0.5"/>
    <x v="1"/>
    <s v="C"/>
    <n v="-22.882575451984831"/>
    <n v="-47.237372072283932"/>
    <n v="6268.31"/>
    <n v="4.6500000000000004"/>
    <n v="80"/>
    <m/>
    <n v="0"/>
    <s v="Trator 1.7m"/>
    <m/>
    <s v="Não"/>
    <s v="Não"/>
    <s v="Não"/>
    <s v="Não"/>
    <n v="5014.648000000001"/>
    <n v="5014.648000000001"/>
  </r>
  <r>
    <s v="VGSP-348_108,000_CC1"/>
    <x v="140"/>
    <s v="108,000"/>
    <m/>
    <s v="108,500"/>
    <n v="0.5"/>
    <x v="1"/>
    <s v="C"/>
    <n v="-22.883779205990631"/>
    <n v="-47.232816696675357"/>
    <n v="5126.95"/>
    <n v="1.91"/>
    <n v="80"/>
    <m/>
    <n v="0"/>
    <s v="Trator 1.7m"/>
    <m/>
    <s v="Não"/>
    <s v="Não"/>
    <s v="Não"/>
    <s v="Não"/>
    <n v="4101.5600000000004"/>
    <n v="4101.5600000000004"/>
  </r>
  <r>
    <s v="VGSP-348_108,000_EN_CL1"/>
    <x v="0"/>
    <s v="108,000"/>
    <m/>
    <s v="108,500"/>
    <m/>
    <x v="0"/>
    <s v="N"/>
    <n v="-22.882383666850689"/>
    <n v="-47.237294564211147"/>
    <n v="2161.21"/>
    <n v="4.33"/>
    <n v="60"/>
    <m/>
    <n v="1296.7259999999999"/>
    <s v="Trator com braço articulado"/>
    <m/>
    <s v="Não"/>
    <s v="Sim"/>
    <s v="Não"/>
    <s v="Sim"/>
    <n v="0"/>
    <m/>
  </r>
  <r>
    <s v="VGSP-330_108,000_EN_CL2"/>
    <x v="0"/>
    <s v="108,000"/>
    <m/>
    <s v="108,500"/>
    <m/>
    <x v="0"/>
    <s v="N"/>
    <n v="-22.83146510851207"/>
    <n v="-47.178039019451397"/>
    <n v="960.48"/>
    <n v="2.44"/>
    <n v="30"/>
    <m/>
    <n v="0"/>
    <s v="Trator 1.7m"/>
    <m/>
    <s v="Não"/>
    <s v="Não"/>
    <s v="Não"/>
    <s v="Não"/>
    <n v="288.14400000000001"/>
    <n v="288.14400000000001"/>
  </r>
  <r>
    <s v="VGSP-330_108,000_CC"/>
    <x v="141"/>
    <s v="108,000"/>
    <m/>
    <s v="108,500"/>
    <m/>
    <x v="1"/>
    <s v="C"/>
    <n v="-22.834670906644881"/>
    <n v="-47.175407431689358"/>
    <n v="5844.08"/>
    <n v="4.63"/>
    <n v="50"/>
    <m/>
    <n v="0"/>
    <s v="Trator 1.7m"/>
    <m/>
    <s v="Não"/>
    <s v="Não"/>
    <s v="Não"/>
    <s v="Não"/>
    <n v="2922.04"/>
    <n v="2922.04"/>
  </r>
  <r>
    <s v="VGSP-330_108,000_ES_CL1"/>
    <x v="0"/>
    <s v="108,000"/>
    <m/>
    <s v="108,500"/>
    <m/>
    <x v="0"/>
    <s v="S"/>
    <n v="-22.836270442487109"/>
    <n v="-47.174362019481343"/>
    <n v="318.98"/>
    <n v="1.28"/>
    <n v="30"/>
    <m/>
    <n v="0"/>
    <s v="Trator 1.7m"/>
    <m/>
    <s v="Não"/>
    <s v="Não"/>
    <s v="Não"/>
    <s v="Não"/>
    <n v="95.694000000000003"/>
    <n v="95.694000000000003"/>
  </r>
  <r>
    <s v="VGSP-330_108,000_ES_CL4"/>
    <x v="0"/>
    <s v="108,000"/>
    <m/>
    <s v="108,500"/>
    <m/>
    <x v="0"/>
    <s v="S"/>
    <n v="-22.83280215516622"/>
    <n v="-47.177725675030388"/>
    <n v="119.64"/>
    <n v="2.79"/>
    <n v="30"/>
    <m/>
    <n v="0"/>
    <s v="Trator 1.7m"/>
    <m/>
    <s v="Não"/>
    <s v="Não"/>
    <s v="Não"/>
    <s v="Não"/>
    <n v="35.891999999999996"/>
    <n v="35.891999999999996"/>
  </r>
  <r>
    <s v="VGSP-330_108,000_ES_CL5"/>
    <x v="0"/>
    <s v="108,000"/>
    <m/>
    <s v="108,500"/>
    <m/>
    <x v="0"/>
    <s v="S"/>
    <n v="-22.832587697306611"/>
    <n v="-47.177969260914509"/>
    <n v="141.36000000000001"/>
    <n v="2.78"/>
    <n v="30"/>
    <m/>
    <n v="0"/>
    <s v="Trator 1.7m"/>
    <m/>
    <s v="Não"/>
    <s v="Não"/>
    <s v="Não"/>
    <s v="Não"/>
    <n v="42.408000000000001"/>
    <n v="42.408000000000001"/>
  </r>
  <r>
    <s v="VGSP-330_108,000_ES_CL6"/>
    <x v="0"/>
    <s v="108,000"/>
    <m/>
    <s v="108,500"/>
    <m/>
    <x v="0"/>
    <s v="S"/>
    <n v="-22.83161196456869"/>
    <n v="-47.178824541510451"/>
    <n v="864.57"/>
    <n v="3.89"/>
    <n v="0"/>
    <m/>
    <n v="0"/>
    <m/>
    <m/>
    <s v="Não"/>
    <s v="Não"/>
    <s v="Não"/>
    <s v="Não"/>
    <n v="0"/>
    <n v="0"/>
  </r>
  <r>
    <s v="VGSP-330_108,000_ES_CL7"/>
    <x v="0"/>
    <s v="108,000"/>
    <m/>
    <s v="108,500"/>
    <m/>
    <x v="0"/>
    <s v="S"/>
    <n v="-22.830378930220871"/>
    <n v="-47.180179994348833"/>
    <n v="936.25"/>
    <n v="3.19"/>
    <n v="0"/>
    <m/>
    <n v="0"/>
    <m/>
    <m/>
    <s v="Não"/>
    <s v="Não"/>
    <s v="Não"/>
    <s v="Não"/>
    <n v="0"/>
    <n v="0"/>
  </r>
  <r>
    <s v="VGSP-330_109,000_ES_CL7"/>
    <x v="0"/>
    <s v="109,000"/>
    <m/>
    <s v="109,500"/>
    <m/>
    <x v="0"/>
    <s v="S"/>
    <n v="-22.82755191512123"/>
    <n v="-47.184353090320833"/>
    <n v="299.81"/>
    <n v="2.1800000000000002"/>
    <n v="30"/>
    <m/>
    <n v="0"/>
    <s v="Trator 1.7m"/>
    <m/>
    <s v="Não"/>
    <s v="Não"/>
    <s v="Não"/>
    <s v="Não"/>
    <n v="89.942999999999998"/>
    <n v="89.942999999999998"/>
  </r>
  <r>
    <s v="VGSP-330_109,000_ES_CL5"/>
    <x v="0"/>
    <s v="109,000"/>
    <m/>
    <s v="109,500"/>
    <m/>
    <x v="0"/>
    <s v="S"/>
    <n v="-22.827513353701772"/>
    <n v="-47.184145399180473"/>
    <n v="33.85"/>
    <n v="2.1"/>
    <n v="30"/>
    <m/>
    <n v="0"/>
    <s v="Trator 1.7m"/>
    <m/>
    <s v="Não"/>
    <s v="Não"/>
    <s v="Não"/>
    <s v="Não"/>
    <n v="10.154999999999999"/>
    <n v="10.154999999999999"/>
  </r>
  <r>
    <s v="VGSP-330_109,000_ES_CL10"/>
    <x v="0"/>
    <s v="109,000"/>
    <m/>
    <s v="109,500"/>
    <m/>
    <x v="0"/>
    <s v="S"/>
    <n v="-22.825766750458211"/>
    <n v="-47.187418909541883"/>
    <n v="105.66"/>
    <n v="1.62"/>
    <n v="0"/>
    <m/>
    <n v="0"/>
    <m/>
    <m/>
    <s v="Sim"/>
    <s v="Não"/>
    <s v="Não"/>
    <s v="Não"/>
    <n v="0"/>
    <m/>
  </r>
  <r>
    <s v="VGSP-330_109,000_ES_CL9"/>
    <x v="0"/>
    <s v="109,000"/>
    <m/>
    <s v="109,500"/>
    <m/>
    <x v="0"/>
    <s v="S"/>
    <n v="-22.826123392970711"/>
    <n v="-47.187056426376422"/>
    <n v="1488.01"/>
    <n v="4.3099999999999996"/>
    <n v="30"/>
    <m/>
    <n v="0"/>
    <s v="Trator 1.7m"/>
    <m/>
    <s v="Não"/>
    <s v="Não"/>
    <s v="Não"/>
    <s v="Não"/>
    <n v="446.40299999999996"/>
    <n v="446.40299999999996"/>
  </r>
  <r>
    <s v="VGSP-330_109,000_ES_CL8"/>
    <x v="0"/>
    <s v="109,000"/>
    <m/>
    <s v="109,500"/>
    <m/>
    <x v="0"/>
    <s v="S"/>
    <n v="-22.82691789650961"/>
    <n v="-47.185442018739067"/>
    <n v="757.68"/>
    <n v="4.58"/>
    <n v="0"/>
    <m/>
    <n v="0"/>
    <m/>
    <m/>
    <s v="Sim"/>
    <s v="Não"/>
    <s v="Não"/>
    <s v="Não"/>
    <n v="0"/>
    <m/>
  </r>
  <r>
    <s v="VGSP-330_109,000_EN_CL3"/>
    <x v="0"/>
    <s v="109,000"/>
    <m/>
    <s v="109,500"/>
    <m/>
    <x v="0"/>
    <s v="N"/>
    <n v="-22.827245500053689"/>
    <n v="-47.183878468909462"/>
    <n v="53.7"/>
    <n v="3.42"/>
    <n v="30"/>
    <m/>
    <n v="0"/>
    <s v="Trator 1.7m"/>
    <m/>
    <s v="Não"/>
    <s v="Não"/>
    <s v="Não"/>
    <s v="Não"/>
    <n v="16.11"/>
    <n v="16.11"/>
  </r>
  <r>
    <s v="VGSP-348_109,000_ES_CL1"/>
    <x v="0"/>
    <s v="109,000"/>
    <m/>
    <s v="109,500"/>
    <m/>
    <x v="0"/>
    <s v="S"/>
    <n v="-22.880120495916589"/>
    <n v="-47.247076644407919"/>
    <n v="2158.59"/>
    <n v="2.0299999999999998"/>
    <n v="70"/>
    <m/>
    <n v="0"/>
    <s v="Trator 1.7m"/>
    <m/>
    <s v="Não"/>
    <s v="Não"/>
    <s v="Não"/>
    <s v="Não"/>
    <n v="1511.0129999999999"/>
    <n v="1511.0129999999999"/>
  </r>
  <r>
    <s v="VGSP-330_109,000_EN_CL5"/>
    <x v="0"/>
    <s v="109,000"/>
    <m/>
    <s v="109,500"/>
    <m/>
    <x v="0"/>
    <s v="N"/>
    <n v="-22.826005348849669"/>
    <n v="-47.185710022455012"/>
    <n v="2053.06"/>
    <n v="1.9"/>
    <n v="30"/>
    <m/>
    <n v="0"/>
    <s v="Trator 1.7m"/>
    <m/>
    <s v="Não"/>
    <s v="Não"/>
    <s v="Não"/>
    <s v="Não"/>
    <n v="615.91800000000001"/>
    <n v="615.91800000000001"/>
  </r>
  <r>
    <s v="VGSP-348_109,000_ES_CL2"/>
    <x v="0"/>
    <s v="109,000"/>
    <m/>
    <s v="109,500"/>
    <m/>
    <x v="0"/>
    <s v="S"/>
    <n v="-22.881872607730291"/>
    <n v="-47.24235197490669"/>
    <n v="2058.67"/>
    <n v="4.0199999999999996"/>
    <n v="40"/>
    <m/>
    <n v="823.46800000000007"/>
    <s v="Trator com braço articulado"/>
    <m/>
    <s v="Não"/>
    <s v="Sim"/>
    <s v="Não"/>
    <s v="Sim"/>
    <n v="0"/>
    <m/>
  </r>
  <r>
    <s v="VGSP-330_109,000_ES_CL2"/>
    <x v="0"/>
    <s v="109,000"/>
    <m/>
    <s v="109,500"/>
    <m/>
    <x v="0"/>
    <s v="S"/>
    <n v="-22.827385071400141"/>
    <n v="-47.18400817552611"/>
    <n v="110.87"/>
    <n v="2.66"/>
    <n v="50"/>
    <m/>
    <n v="0"/>
    <s v="Trator 1.7m"/>
    <m/>
    <s v="Não"/>
    <s v="Não"/>
    <s v="Não"/>
    <s v="Não"/>
    <n v="55.435000000000002"/>
    <n v="55.435000000000002"/>
  </r>
  <r>
    <s v="VGSP-330_109,000_ES_CL6"/>
    <x v="0"/>
    <s v="109,000"/>
    <m/>
    <s v="109,500"/>
    <m/>
    <x v="0"/>
    <s v="S"/>
    <n v="-22.82817142525559"/>
    <n v="-47.183310307291613"/>
    <n v="1533.27"/>
    <n v="3.49"/>
    <n v="30"/>
    <m/>
    <n v="0"/>
    <s v="Trator 1.7m"/>
    <m/>
    <s v="Não"/>
    <s v="Não"/>
    <s v="Não"/>
    <s v="Não"/>
    <n v="459.98099999999999"/>
    <n v="459.98099999999999"/>
  </r>
  <r>
    <s v="VGSP-348_109,000_CC1"/>
    <x v="142"/>
    <s v="109,000"/>
    <m/>
    <s v="109,500"/>
    <n v="0.5"/>
    <x v="1"/>
    <s v="C"/>
    <n v="-22.881673290028949"/>
    <n v="-47.242283783903403"/>
    <n v="5881"/>
    <n v="4.1100000000000003"/>
    <n v="80"/>
    <m/>
    <n v="0"/>
    <s v="Trator 1.7m"/>
    <m/>
    <s v="Não"/>
    <s v="Não"/>
    <s v="Não"/>
    <s v="Não"/>
    <n v="4704.8"/>
    <n v="4704.8"/>
  </r>
  <r>
    <s v="VGSP-348_109,000_EN_CL1"/>
    <x v="0"/>
    <s v="109,000"/>
    <m/>
    <s v="109,500"/>
    <m/>
    <x v="0"/>
    <s v="N"/>
    <n v="-22.879760075162359"/>
    <n v="-47.246867429205757"/>
    <n v="2106.09"/>
    <n v="2.0499999999999998"/>
    <n v="70"/>
    <m/>
    <n v="0"/>
    <s v="Trator 1.7m"/>
    <m/>
    <s v="Não"/>
    <s v="Não"/>
    <s v="Não"/>
    <s v="Não"/>
    <n v="1474.2629999999999"/>
    <n v="1474.2629999999999"/>
  </r>
  <r>
    <s v="VGSP-330_109,000_EN_CL6"/>
    <x v="0"/>
    <s v="109,000"/>
    <m/>
    <s v="109,500"/>
    <m/>
    <x v="0"/>
    <s v="N"/>
    <n v="-22.827600657308139"/>
    <n v="-47.182964578887322"/>
    <n v="691.33"/>
    <n v="1.94"/>
    <n v="30"/>
    <m/>
    <n v="0"/>
    <s v="Trator 1.7m"/>
    <m/>
    <s v="Não"/>
    <s v="Não"/>
    <s v="Não"/>
    <s v="Não"/>
    <n v="207.399"/>
    <n v="207.399"/>
  </r>
  <r>
    <s v="VGSP-330_109,000_CC1"/>
    <x v="143"/>
    <s v="109,000"/>
    <m/>
    <s v="109,500"/>
    <m/>
    <x v="1"/>
    <s v="C"/>
    <n v="-22.828529036467121"/>
    <n v="-47.182130792140178"/>
    <n v="3920.43"/>
    <n v="2.48"/>
    <n v="80"/>
    <m/>
    <n v="0"/>
    <s v="Trator 1.7m"/>
    <s v="Tela de proteção em canteiro central"/>
    <s v="Não"/>
    <s v="Não"/>
    <s v="Não"/>
    <s v="Não"/>
    <n v="3136.3440000000001"/>
    <n v="3136.3440000000001"/>
  </r>
  <r>
    <s v="VGSP-330_109,000_CC2"/>
    <x v="143"/>
    <s v="109,000"/>
    <m/>
    <s v="109,500"/>
    <m/>
    <x v="1"/>
    <s v="C"/>
    <n v="-22.826763055440011"/>
    <n v="-47.184738717336103"/>
    <n v="770.3"/>
    <n v="3.41"/>
    <n v="50"/>
    <m/>
    <n v="385.15"/>
    <s v="Spider"/>
    <m/>
    <s v="Não"/>
    <s v="Não"/>
    <s v="Não"/>
    <s v="Sim"/>
    <n v="0"/>
    <m/>
  </r>
  <r>
    <s v="VGSP-330_109,000_EN_CL7"/>
    <x v="0"/>
    <s v="109,000"/>
    <m/>
    <s v="109,500"/>
    <m/>
    <x v="0"/>
    <s v="N"/>
    <n v="-22.8250245485204"/>
    <n v="-47.188014794609323"/>
    <n v="423.53"/>
    <n v="1.37"/>
    <n v="65"/>
    <m/>
    <n v="275.29449999999997"/>
    <s v="Spider"/>
    <m/>
    <s v="Não"/>
    <s v="Sim"/>
    <s v="Não"/>
    <s v="Sim"/>
    <n v="0"/>
    <m/>
  </r>
  <r>
    <s v="VGSP-330_109,000_ES_CL11"/>
    <x v="0"/>
    <s v="109,000"/>
    <m/>
    <s v="109,500"/>
    <m/>
    <x v="0"/>
    <s v="S"/>
    <n v="-22.82549216152831"/>
    <n v="-47.188218878115308"/>
    <n v="619.04999999999995"/>
    <n v="1.65"/>
    <n v="30"/>
    <m/>
    <n v="0"/>
    <s v="Trator 1.7m"/>
    <m/>
    <s v="Não"/>
    <s v="Não"/>
    <s v="Não"/>
    <s v="Não"/>
    <n v="185.71499999999997"/>
    <n v="185.71499999999997"/>
  </r>
  <r>
    <s v="VGSP-330_109,000_ES_CL3"/>
    <x v="0"/>
    <s v="109,000"/>
    <m/>
    <s v="109,500"/>
    <m/>
    <x v="0"/>
    <s v="S"/>
    <n v="-22.82898797346451"/>
    <n v="-47.182044074654073"/>
    <n v="394.54"/>
    <n v="6.18"/>
    <n v="30"/>
    <m/>
    <n v="0"/>
    <s v="Trator 1.7m"/>
    <m/>
    <s v="Não"/>
    <s v="Não"/>
    <s v="Não"/>
    <s v="Não"/>
    <n v="118.36199999999999"/>
    <n v="118.36199999999999"/>
  </r>
  <r>
    <s v="VGSP-348_109,000_EN_CL2"/>
    <x v="0"/>
    <s v="109,000"/>
    <m/>
    <s v="109,500"/>
    <m/>
    <x v="0"/>
    <s v="N"/>
    <n v="-22.881466454826018"/>
    <n v="-47.242265107199358"/>
    <n v="2002.12"/>
    <n v="4.26"/>
    <n v="55"/>
    <m/>
    <n v="1101.1659999999999"/>
    <s v="Trator com braço articulado"/>
    <m/>
    <s v="Não"/>
    <s v="Sim"/>
    <s v="Não"/>
    <s v="Não"/>
    <n v="0"/>
    <m/>
  </r>
  <r>
    <s v="VGSP-330_109,000_CC3"/>
    <x v="143"/>
    <s v="109,000"/>
    <m/>
    <s v="109,500"/>
    <m/>
    <x v="1"/>
    <s v="C"/>
    <n v="-22.826140342595082"/>
    <n v="-47.186326112691958"/>
    <n v="4380.1499999999996"/>
    <n v="2.96"/>
    <n v="80"/>
    <m/>
    <n v="3504.12"/>
    <s v="Spider"/>
    <m/>
    <s v="Não"/>
    <s v="Sim"/>
    <s v="Não"/>
    <s v="Não"/>
    <n v="0"/>
    <m/>
  </r>
  <r>
    <s v="VGSP-330_109,000_EN_CL1"/>
    <x v="0"/>
    <s v="109,000"/>
    <m/>
    <s v="109,500"/>
    <m/>
    <x v="0"/>
    <s v="N"/>
    <n v="-22.828246561907591"/>
    <n v="-47.181937813957873"/>
    <n v="640.96"/>
    <n v="2.33"/>
    <n v="30"/>
    <m/>
    <n v="0"/>
    <s v="Trator 1.7m"/>
    <m/>
    <s v="Não"/>
    <s v="Não"/>
    <s v="Não"/>
    <s v="Não"/>
    <n v="192.28800000000001"/>
    <n v="192.28800000000001"/>
  </r>
  <r>
    <s v="VGSP-330_109,000_EN_CL4"/>
    <x v="0"/>
    <s v="109,000"/>
    <m/>
    <s v="109,500"/>
    <m/>
    <x v="0"/>
    <s v="N"/>
    <n v="-22.826682164133491"/>
    <n v="-47.184446132627762"/>
    <n v="2161.5"/>
    <n v="3.19"/>
    <n v="75"/>
    <m/>
    <n v="0"/>
    <s v="Trator 1.7m, Spider"/>
    <m/>
    <s v="Não"/>
    <s v="Não"/>
    <s v="Não"/>
    <s v="Não"/>
    <n v="1621.125"/>
    <n v="1621.125"/>
  </r>
  <r>
    <s v="VGSP-330_109,000_ES_CL1"/>
    <x v="0"/>
    <s v="109,000"/>
    <m/>
    <s v="109,500"/>
    <m/>
    <x v="0"/>
    <s v="S"/>
    <n v="-22.829510363123219"/>
    <n v="-47.181304674501227"/>
    <n v="578.08000000000004"/>
    <n v="4.1900000000000004"/>
    <n v="0"/>
    <m/>
    <n v="0"/>
    <m/>
    <m/>
    <s v="Não"/>
    <s v="Não"/>
    <s v="Não"/>
    <s v="Não"/>
    <n v="0"/>
    <n v="0"/>
  </r>
  <r>
    <s v="VGSP-348_109,000_CC2"/>
    <x v="142"/>
    <s v="109,000"/>
    <m/>
    <s v="109,500"/>
    <n v="0.5"/>
    <x v="1"/>
    <s v="C"/>
    <n v="-22.879943508710799"/>
    <n v="-47.246967234129109"/>
    <n v="6378.77"/>
    <n v="2.0499999999999998"/>
    <n v="80"/>
    <m/>
    <n v="0"/>
    <s v="Trator 1.7m"/>
    <m/>
    <s v="Não"/>
    <s v="Não"/>
    <s v="Não"/>
    <s v="Não"/>
    <n v="5103.0160000000005"/>
    <n v="5103.0160000000005"/>
  </r>
  <r>
    <s v="VGSP-330_109,000_EN_CL2"/>
    <x v="0"/>
    <s v="109,000"/>
    <m/>
    <s v="109,500"/>
    <m/>
    <x v="0"/>
    <s v="N"/>
    <n v="-22.827395151667151"/>
    <n v="-47.183612231593237"/>
    <n v="104.34"/>
    <n v="2.21"/>
    <n v="30"/>
    <m/>
    <n v="0"/>
    <s v="Trator 1.7m"/>
    <m/>
    <s v="Não"/>
    <s v="Não"/>
    <s v="Não"/>
    <s v="Não"/>
    <n v="31.302"/>
    <n v="31.302"/>
  </r>
  <r>
    <s v="VGSP-330_109,000_ES_CL4"/>
    <x v="0"/>
    <s v="109,000"/>
    <m/>
    <s v="109,500"/>
    <m/>
    <x v="0"/>
    <s v="S"/>
    <n v="-22.828513914224722"/>
    <n v="-47.182508225228453"/>
    <n v="1983.82"/>
    <n v="2.99"/>
    <n v="30"/>
    <m/>
    <n v="0"/>
    <s v="Trator 1.7m"/>
    <m/>
    <s v="Não"/>
    <s v="Não"/>
    <s v="Não"/>
    <s v="Não"/>
    <n v="595.14599999999996"/>
    <n v="595.14599999999996"/>
  </r>
  <r>
    <s v="VGSP-330_110,000_CC1"/>
    <x v="144"/>
    <s v="110,000"/>
    <m/>
    <s v="110,500"/>
    <m/>
    <x v="1"/>
    <s v="C"/>
    <n v="-22.823980506781101"/>
    <n v="-47.190822576899428"/>
    <n v="2322.14"/>
    <n v="2.14"/>
    <n v="30"/>
    <m/>
    <n v="0"/>
    <s v="Trator 1.7m"/>
    <m/>
    <s v="Não"/>
    <s v="Não"/>
    <s v="Não"/>
    <s v="Não"/>
    <n v="696.64199999999994"/>
    <n v="696.64199999999994"/>
  </r>
  <r>
    <s v="VGSP-330_110,000_EN_CL13"/>
    <x v="0"/>
    <s v="110,000"/>
    <m/>
    <s v="110,500"/>
    <m/>
    <x v="0"/>
    <s v="N"/>
    <n v="-22.82060770663827"/>
    <n v="-47.19668351509597"/>
    <n v="326.89999999999998"/>
    <n v="3.35"/>
    <n v="50"/>
    <m/>
    <n v="0"/>
    <s v="Trator 1.7m"/>
    <m/>
    <s v="Não"/>
    <s v="Não"/>
    <s v="Não"/>
    <s v="Não"/>
    <n v="163.44999999999999"/>
    <n v="163.44999999999999"/>
  </r>
  <r>
    <s v="VGSP-348_110,000_ES_CL2"/>
    <x v="0"/>
    <s v="110,000"/>
    <m/>
    <s v="110,500"/>
    <m/>
    <x v="0"/>
    <s v="S"/>
    <n v="-22.875728132098381"/>
    <n v="-47.25275222310335"/>
    <n v="2634.07"/>
    <n v="2.09"/>
    <n v="70"/>
    <m/>
    <n v="0"/>
    <s v="Trator 1.7m"/>
    <m/>
    <s v="Não"/>
    <s v="Não"/>
    <s v="Não"/>
    <s v="Não"/>
    <n v="1843.8489999999999"/>
    <n v="1843.8489999999999"/>
  </r>
  <r>
    <s v="VGSP-330_110,000_ES_CL15"/>
    <x v="0"/>
    <s v="110,000"/>
    <m/>
    <s v="110,500"/>
    <m/>
    <x v="0"/>
    <s v="S"/>
    <n v="-22.82233624175424"/>
    <n v="-47.197265968835723"/>
    <n v="556.36"/>
    <n v="4.95"/>
    <n v="30"/>
    <m/>
    <n v="0"/>
    <s v="Trator 1.7m"/>
    <m/>
    <s v="Não"/>
    <s v="Não"/>
    <s v="Não"/>
    <s v="Não"/>
    <n v="166.90799999999999"/>
    <n v="166.90799999999999"/>
  </r>
  <r>
    <s v="VGSP-330_110,000_EN_CL11"/>
    <x v="0"/>
    <s v="110,000"/>
    <m/>
    <s v="110,500"/>
    <m/>
    <x v="0"/>
    <s v="N"/>
    <n v="-22.820286150527"/>
    <n v="-47.195433617549433"/>
    <n v="1491.66"/>
    <n v="4.6900000000000004"/>
    <n v="30"/>
    <m/>
    <n v="0"/>
    <s v="Trator 1.7m"/>
    <m/>
    <s v="Não"/>
    <s v="Não"/>
    <s v="Não"/>
    <s v="Não"/>
    <n v="447.49799999999999"/>
    <n v="447.49799999999999"/>
  </r>
  <r>
    <s v="VGSP-330_110,000_ES_CL13"/>
    <x v="0"/>
    <s v="110,000"/>
    <m/>
    <s v="110,500"/>
    <m/>
    <x v="0"/>
    <s v="S"/>
    <n v="-22.821968990381471"/>
    <n v="-47.195945785794343"/>
    <n v="3622.45"/>
    <n v="3.74"/>
    <n v="70"/>
    <m/>
    <n v="0"/>
    <s v="Trator 1.7m, Spider"/>
    <m/>
    <s v="Não"/>
    <s v="Não"/>
    <s v="Não"/>
    <s v="Não"/>
    <n v="2535.7149999999997"/>
    <n v="2535.7149999999997"/>
  </r>
  <r>
    <s v="VGSP-330_110,000_EN_CL15"/>
    <x v="0"/>
    <s v="110,000"/>
    <m/>
    <s v="110,500"/>
    <m/>
    <x v="0"/>
    <s v="N"/>
    <n v="-22.819874887678459"/>
    <n v="-47.196368284123757"/>
    <n v="2358.59"/>
    <n v="4.62"/>
    <n v="30"/>
    <m/>
    <n v="0"/>
    <s v="Trator 1.7m"/>
    <m/>
    <s v="Não"/>
    <s v="Não"/>
    <s v="Não"/>
    <s v="Não"/>
    <n v="707.577"/>
    <n v="707.577"/>
  </r>
  <r>
    <s v="VGSP-330_110,000_EN_CL12"/>
    <x v="0"/>
    <s v="110,000"/>
    <m/>
    <s v="110,500"/>
    <m/>
    <x v="0"/>
    <s v="N"/>
    <n v="-22.820405504229431"/>
    <n v="-47.195947426850111"/>
    <n v="2485.56"/>
    <n v="3.73"/>
    <n v="30"/>
    <m/>
    <n v="0"/>
    <s v="Trator 1.7m"/>
    <m/>
    <s v="Não"/>
    <s v="Não"/>
    <s v="Não"/>
    <s v="Não"/>
    <n v="745.66800000000001"/>
    <n v="745.66800000000001"/>
  </r>
  <r>
    <s v="VGSP-330_110,000_EN_CL9"/>
    <x v="0"/>
    <s v="110,000"/>
    <m/>
    <s v="110,500"/>
    <m/>
    <x v="0"/>
    <s v="N"/>
    <n v="-22.822288742381399"/>
    <n v="-47.192915409587258"/>
    <n v="283.83999999999997"/>
    <n v="1.99"/>
    <n v="30"/>
    <m/>
    <n v="0"/>
    <s v="Trator 1.7m"/>
    <m/>
    <s v="Não"/>
    <s v="Não"/>
    <s v="Não"/>
    <s v="Não"/>
    <n v="85.151999999999987"/>
    <n v="85.151999999999987"/>
  </r>
  <r>
    <s v="VGSP-330_110,000_EN_CL8"/>
    <x v="0"/>
    <s v="110,000"/>
    <m/>
    <s v="110,500"/>
    <m/>
    <x v="0"/>
    <s v="N"/>
    <n v="-22.822551605223161"/>
    <n v="-47.192423657594979"/>
    <n v="48.2"/>
    <n v="3.11"/>
    <n v="30"/>
    <m/>
    <n v="0"/>
    <s v="Trator 1.7m"/>
    <m/>
    <s v="Não"/>
    <s v="Não"/>
    <s v="Não"/>
    <s v="Não"/>
    <n v="14.46"/>
    <n v="14.46"/>
  </r>
  <r>
    <s v="VGSP-330_110,000_ES_CL3"/>
    <x v="0"/>
    <s v="110,000"/>
    <m/>
    <s v="110,500"/>
    <m/>
    <x v="0"/>
    <s v="S"/>
    <n v="-22.825287367444471"/>
    <n v="-47.188834996079457"/>
    <n v="41.31"/>
    <n v="0.98"/>
    <n v="30"/>
    <m/>
    <n v="0"/>
    <s v="Trator 1.7m"/>
    <m/>
    <s v="Não"/>
    <s v="Não"/>
    <s v="Não"/>
    <s v="Não"/>
    <n v="12.393000000000001"/>
    <n v="12.393000000000001"/>
  </r>
  <r>
    <s v="VGSP-330_110,000_ES_CL2"/>
    <x v="0"/>
    <s v="110,000"/>
    <m/>
    <s v="110,500"/>
    <m/>
    <x v="0"/>
    <s v="S"/>
    <n v="-22.82527560244981"/>
    <n v="-47.188896621451377"/>
    <n v="27.72"/>
    <n v="0.98"/>
    <n v="30"/>
    <m/>
    <n v="0"/>
    <s v="Trator 1.7m"/>
    <m/>
    <s v="Não"/>
    <s v="Não"/>
    <s v="Não"/>
    <s v="Não"/>
    <n v="8.3159999999999989"/>
    <n v="8.3159999999999989"/>
  </r>
  <r>
    <s v="VGSP-330_110,000_ES_CL6"/>
    <x v="0"/>
    <s v="110,000"/>
    <m/>
    <s v="110,500"/>
    <m/>
    <x v="0"/>
    <s v="S"/>
    <n v="-22.825210181632521"/>
    <n v="-47.188788754561173"/>
    <n v="23.86"/>
    <n v="0.86"/>
    <n v="30"/>
    <m/>
    <n v="0"/>
    <s v="Trator 1.7m"/>
    <m/>
    <s v="Não"/>
    <s v="Não"/>
    <s v="Não"/>
    <s v="Não"/>
    <n v="7.1579999999999995"/>
    <n v="7.1579999999999995"/>
  </r>
  <r>
    <s v="VGSP-348_110,000_CC1"/>
    <x v="145"/>
    <s v="110,000"/>
    <m/>
    <s v="110,500"/>
    <n v="0.5"/>
    <x v="1"/>
    <s v="C"/>
    <n v="-22.877397169579311"/>
    <n v="-47.250428240552623"/>
    <n v="4413.5200000000004"/>
    <n v="2.57"/>
    <n v="80"/>
    <m/>
    <n v="0"/>
    <s v="Trator 1.7m"/>
    <m/>
    <s v="Não"/>
    <s v="Não"/>
    <s v="Não"/>
    <s v="Não"/>
    <n v="3530.8160000000007"/>
    <n v="3530.8160000000007"/>
  </r>
  <r>
    <s v="VGSP-348_110,000_CC3"/>
    <x v="145"/>
    <s v="110,000"/>
    <m/>
    <s v="110,500"/>
    <n v="0.5"/>
    <x v="1"/>
    <s v="C"/>
    <n v="-22.87447363888398"/>
    <n v="-47.253869495898513"/>
    <n v="5615.46"/>
    <n v="2.95"/>
    <n v="80"/>
    <m/>
    <n v="0"/>
    <s v="Trator 1.7m"/>
    <m/>
    <s v="Não"/>
    <s v="Não"/>
    <s v="Não"/>
    <s v="Não"/>
    <n v="4492.3680000000004"/>
    <n v="4492.3680000000004"/>
  </r>
  <r>
    <s v="VGSP-348_110,000_EN_CL5"/>
    <x v="0"/>
    <s v="110,000"/>
    <m/>
    <s v="110,500"/>
    <m/>
    <x v="0"/>
    <s v="N"/>
    <n v="-22.875593894377921"/>
    <n v="-47.251750072139792"/>
    <n v="117.82"/>
    <n v="4.6900000000000004"/>
    <n v="70"/>
    <m/>
    <n v="0"/>
    <s v="Trator 1.7m"/>
    <m/>
    <s v="Não"/>
    <s v="Não"/>
    <s v="Não"/>
    <s v="Não"/>
    <n v="82.47399999999999"/>
    <n v="82.47399999999999"/>
  </r>
  <r>
    <s v="VGSP-330_110,000_ES_CL14"/>
    <x v="0"/>
    <s v="110,000"/>
    <m/>
    <s v="110,500"/>
    <m/>
    <x v="0"/>
    <s v="S"/>
    <n v="-22.82188616422517"/>
    <n v="-47.197074534604361"/>
    <n v="2648.6"/>
    <n v="4.45"/>
    <n v="55"/>
    <m/>
    <n v="0"/>
    <s v="Trator 1.7m, Spider"/>
    <m/>
    <s v="Não"/>
    <s v="Não"/>
    <s v="Não"/>
    <s v="Não"/>
    <n v="1456.73"/>
    <n v="1456.73"/>
  </r>
  <r>
    <s v="VGSP-330_110,000_EN_CL16"/>
    <x v="0"/>
    <s v="110,000"/>
    <m/>
    <s v="110,500"/>
    <m/>
    <x v="0"/>
    <s v="N"/>
    <n v="-22.818089276148399"/>
    <n v="-47.19541844221127"/>
    <n v="36.79"/>
    <n v="2.06"/>
    <m/>
    <m/>
    <n v="0"/>
    <m/>
    <m/>
    <s v="Não"/>
    <s v="Não"/>
    <s v="Não"/>
    <s v="Não"/>
    <n v="0"/>
    <n v="0"/>
  </r>
  <r>
    <s v="VGSP-348_110,000_EN_CL2"/>
    <x v="0"/>
    <s v="110,000"/>
    <m/>
    <s v="110,500"/>
    <m/>
    <x v="0"/>
    <s v="N"/>
    <n v="-22.875280683573781"/>
    <n v="-47.252363018242278"/>
    <n v="2375.89"/>
    <n v="3.37"/>
    <n v="70"/>
    <m/>
    <n v="0"/>
    <s v="Trator 1.7m"/>
    <m/>
    <s v="Não"/>
    <s v="Não"/>
    <s v="Não"/>
    <s v="Não"/>
    <n v="1663.1229999999998"/>
    <n v="1663.1229999999998"/>
  </r>
  <r>
    <s v="VGSP-330_110,000_EN_CL14"/>
    <x v="0"/>
    <s v="110,000"/>
    <m/>
    <s v="110,500"/>
    <m/>
    <x v="0"/>
    <s v="N"/>
    <n v="-22.820431096251969"/>
    <n v="-47.196609937444073"/>
    <n v="114.64"/>
    <n v="4.6100000000000003"/>
    <n v="30"/>
    <m/>
    <n v="0"/>
    <s v="Trator 1.7m"/>
    <m/>
    <s v="Não"/>
    <s v="Não"/>
    <s v="Não"/>
    <s v="Não"/>
    <n v="34.391999999999996"/>
    <n v="34.391999999999996"/>
  </r>
  <r>
    <s v="VGSP-348_110,000_EN_CL1"/>
    <x v="0"/>
    <s v="110,000"/>
    <m/>
    <s v="110,500"/>
    <m/>
    <x v="0"/>
    <s v="N"/>
    <n v="-22.877248227801001"/>
    <n v="-47.250186888855993"/>
    <n v="1664.42"/>
    <n v="2.5299999999999998"/>
    <n v="70"/>
    <m/>
    <n v="0"/>
    <s v="Trator 1.7m"/>
    <m/>
    <s v="Não"/>
    <s v="Não"/>
    <s v="Não"/>
    <s v="Não"/>
    <n v="1165.0940000000001"/>
    <n v="1165.0940000000001"/>
  </r>
  <r>
    <s v="VGSP-330_110,000_EN_CL7"/>
    <x v="0"/>
    <s v="110,000"/>
    <m/>
    <s v="110,500"/>
    <m/>
    <x v="0"/>
    <s v="N"/>
    <n v="-22.82492079490677"/>
    <n v="-47.188611247113407"/>
    <n v="56.04"/>
    <n v="0.93"/>
    <n v="50"/>
    <m/>
    <n v="0"/>
    <s v="Trator 1.7m"/>
    <m/>
    <s v="Não"/>
    <s v="Não"/>
    <s v="Não"/>
    <s v="Não"/>
    <n v="28.02"/>
    <n v="28.02"/>
  </r>
  <r>
    <s v="VGSP-330_110,000_EN_CL4"/>
    <x v="0"/>
    <s v="110,000"/>
    <m/>
    <s v="110,500"/>
    <m/>
    <x v="0"/>
    <s v="N"/>
    <n v="-22.822910388553151"/>
    <n v="-47.191751089385889"/>
    <n v="228.52"/>
    <n v="2.78"/>
    <n v="30"/>
    <m/>
    <n v="0"/>
    <s v="Trator 1.7m"/>
    <m/>
    <s v="Não"/>
    <s v="Não"/>
    <s v="Não"/>
    <s v="Não"/>
    <n v="68.555999999999997"/>
    <n v="68.555999999999997"/>
  </r>
  <r>
    <s v="VGSP-330_110,000_EN_CL2"/>
    <x v="0"/>
    <s v="110,000"/>
    <m/>
    <s v="110,500"/>
    <m/>
    <x v="0"/>
    <s v="N"/>
    <n v="-22.82475593575839"/>
    <n v="-47.188511071548987"/>
    <n v="40.549999999999997"/>
    <n v="1.94"/>
    <n v="30"/>
    <m/>
    <n v="0"/>
    <s v="Trator 1.7m"/>
    <m/>
    <s v="Não"/>
    <s v="Não"/>
    <s v="Não"/>
    <s v="Não"/>
    <n v="12.164999999999999"/>
    <n v="12.164999999999999"/>
  </r>
  <r>
    <s v="VGSP-330_110,000_EN_CL10"/>
    <x v="0"/>
    <s v="110,000"/>
    <m/>
    <s v="110,500"/>
    <m/>
    <x v="0"/>
    <s v="N"/>
    <n v="-22.821093228503919"/>
    <n v="-47.195382402426013"/>
    <n v="680.08"/>
    <n v="4.7300000000000004"/>
    <n v="0"/>
    <m/>
    <n v="0"/>
    <m/>
    <m/>
    <s v="Sim"/>
    <s v="Não"/>
    <s v="Não"/>
    <s v="Não"/>
    <n v="0"/>
    <m/>
  </r>
  <r>
    <s v="VGSP-330_110,000_EN_CL3"/>
    <x v="0"/>
    <s v="110,000"/>
    <m/>
    <s v="110,500"/>
    <m/>
    <x v="0"/>
    <s v="N"/>
    <n v="-22.82432591671235"/>
    <n v="-47.189325781201887"/>
    <n v="266.64"/>
    <n v="1.7"/>
    <n v="0"/>
    <m/>
    <n v="0"/>
    <m/>
    <m/>
    <s v="Sim"/>
    <s v="Não"/>
    <s v="Não"/>
    <s v="Não"/>
    <n v="0"/>
    <m/>
  </r>
  <r>
    <s v="VGSP-330_110,000_ES_CL4"/>
    <x v="0"/>
    <s v="110,000"/>
    <m/>
    <s v="110,500"/>
    <m/>
    <x v="0"/>
    <s v="S"/>
    <n v="-22.825181814808531"/>
    <n v="-47.188549323134808"/>
    <n v="101.65"/>
    <n v="0.77"/>
    <n v="0"/>
    <m/>
    <n v="0"/>
    <m/>
    <m/>
    <s v="Sim"/>
    <s v="Não"/>
    <s v="Não"/>
    <s v="Não"/>
    <n v="0"/>
    <m/>
  </r>
  <r>
    <s v="VGSP-348_110,000_ES_CL5"/>
    <x v="0"/>
    <s v="110,000"/>
    <m/>
    <s v="110,500"/>
    <m/>
    <x v="0"/>
    <s v="S"/>
    <n v="-22.876281981423169"/>
    <n v="-47.252383239713417"/>
    <n v="0.05"/>
    <n v="2.36"/>
    <m/>
    <m/>
    <n v="0"/>
    <m/>
    <m/>
    <s v="Não"/>
    <s v="Não"/>
    <s v="Não"/>
    <s v="Não"/>
    <n v="0"/>
    <n v="0"/>
  </r>
  <r>
    <s v="VGSP-330_110,000_ES_CL5"/>
    <x v="0"/>
    <s v="110,000"/>
    <m/>
    <s v="110,500"/>
    <m/>
    <x v="0"/>
    <s v="S"/>
    <n v="-22.82513848506677"/>
    <n v="-47.189095875584023"/>
    <n v="296.86"/>
    <n v="1.0900000000000001"/>
    <n v="30"/>
    <m/>
    <n v="0"/>
    <s v="Trator 1.7m"/>
    <m/>
    <s v="Não"/>
    <s v="Não"/>
    <s v="Não"/>
    <s v="Não"/>
    <n v="89.058000000000007"/>
    <n v="89.058000000000007"/>
  </r>
  <r>
    <s v="VGSP-348_110,000_CC2"/>
    <x v="145"/>
    <s v="110,000"/>
    <m/>
    <s v="110,500"/>
    <n v="0.5"/>
    <x v="1"/>
    <s v="C"/>
    <n v="-22.875972059267809"/>
    <n v="-47.252028768264623"/>
    <n v="258.52"/>
    <n v="2.88"/>
    <n v="80"/>
    <m/>
    <n v="0"/>
    <s v="Trator 1.7m"/>
    <m/>
    <s v="Não"/>
    <s v="Não"/>
    <s v="Não"/>
    <s v="Não"/>
    <n v="206.816"/>
    <n v="206.816"/>
  </r>
  <r>
    <s v="VGSP-330_110,000_ES_CL12"/>
    <x v="0"/>
    <s v="110,000"/>
    <m/>
    <s v="110,500"/>
    <m/>
    <x v="0"/>
    <s v="S"/>
    <n v="-22.822458124430181"/>
    <n v="-47.194902205417087"/>
    <n v="2278.29"/>
    <n v="3.48"/>
    <n v="30"/>
    <m/>
    <n v="0"/>
    <s v="Trator 1.7m"/>
    <m/>
    <s v="Não"/>
    <s v="Não"/>
    <s v="Não"/>
    <s v="Não"/>
    <n v="683.48699999999997"/>
    <n v="683.48699999999997"/>
  </r>
  <r>
    <s v="VGSP-348_110,000_EN_CL4"/>
    <x v="0"/>
    <s v="110,000"/>
    <m/>
    <s v="110,500"/>
    <m/>
    <x v="0"/>
    <s v="N"/>
    <n v="-22.874245834827239"/>
    <n v="-47.253703097791337"/>
    <n v="1941.55"/>
    <n v="2.98"/>
    <n v="70"/>
    <m/>
    <n v="0"/>
    <s v="Trator 1.7m"/>
    <m/>
    <s v="Não"/>
    <s v="Não"/>
    <s v="Não"/>
    <s v="Não"/>
    <n v="1359.0849999999998"/>
    <n v="1359.0849999999998"/>
  </r>
  <r>
    <s v="VGSP-330_110,000_ES_CL11"/>
    <x v="0"/>
    <s v="110,000"/>
    <m/>
    <s v="110,500"/>
    <m/>
    <x v="0"/>
    <s v="S"/>
    <n v="-22.823597194408212"/>
    <n v="-47.192022757297003"/>
    <n v="517.63"/>
    <n v="2.33"/>
    <n v="30"/>
    <m/>
    <n v="0"/>
    <s v="Trator 1.7m"/>
    <m/>
    <s v="Não"/>
    <s v="Não"/>
    <s v="Não"/>
    <s v="Não"/>
    <n v="155.28899999999999"/>
    <n v="155.28899999999999"/>
  </r>
  <r>
    <s v="VGSP-330_110,000_ES_CL10"/>
    <x v="0"/>
    <s v="110,000"/>
    <m/>
    <s v="110,500"/>
    <m/>
    <x v="0"/>
    <s v="S"/>
    <n v="-22.82422249094677"/>
    <n v="-47.190851461910569"/>
    <n v="1359.15"/>
    <n v="2.4500000000000002"/>
    <n v="30"/>
    <m/>
    <n v="0"/>
    <s v="Trator 1.7m"/>
    <m/>
    <s v="Não"/>
    <s v="Não"/>
    <s v="Não"/>
    <s v="Não"/>
    <n v="407.745"/>
    <n v="407.745"/>
  </r>
  <r>
    <s v="VGSP-330_110,000_ES_CL7"/>
    <x v="0"/>
    <s v="110,000"/>
    <m/>
    <s v="110,500"/>
    <m/>
    <x v="0"/>
    <s v="S"/>
    <n v="-22.824993659151151"/>
    <n v="-47.188977572664001"/>
    <n v="154"/>
    <n v="1.35"/>
    <n v="0"/>
    <m/>
    <n v="0"/>
    <m/>
    <m/>
    <s v="Sim"/>
    <s v="Não"/>
    <s v="Não"/>
    <s v="Não"/>
    <n v="0"/>
    <m/>
  </r>
  <r>
    <s v="VGSP-330_110,000_ES_CL9"/>
    <x v="0"/>
    <s v="110,000"/>
    <m/>
    <s v="110,500"/>
    <m/>
    <x v="0"/>
    <s v="S"/>
    <n v="-22.824878379768961"/>
    <n v="-47.18946256429733"/>
    <n v="286.33"/>
    <n v="1.64"/>
    <n v="30"/>
    <m/>
    <n v="0"/>
    <s v="Trator 1.7m"/>
    <m/>
    <s v="Não"/>
    <s v="Não"/>
    <s v="Não"/>
    <s v="Não"/>
    <n v="85.898999999999987"/>
    <n v="85.898999999999987"/>
  </r>
  <r>
    <s v="VGSP-348_110,000_ES_CL4"/>
    <x v="0"/>
    <s v="110,000"/>
    <m/>
    <s v="110,500"/>
    <m/>
    <x v="0"/>
    <s v="S"/>
    <n v="-22.87474911202678"/>
    <n v="-47.253997231978651"/>
    <n v="1972.89"/>
    <n v="2.65"/>
    <n v="70"/>
    <m/>
    <n v="0"/>
    <s v="Trator 1.7m"/>
    <m/>
    <s v="Não"/>
    <s v="Não"/>
    <s v="Não"/>
    <s v="Não"/>
    <n v="1381.0229999999999"/>
    <n v="1381.0229999999999"/>
  </r>
  <r>
    <s v="VGSP-330_110,000_EN_CL5"/>
    <x v="0"/>
    <s v="110,000"/>
    <m/>
    <s v="110,500"/>
    <m/>
    <x v="0"/>
    <s v="N"/>
    <n v="-22.821828175186749"/>
    <n v="-47.194395929470417"/>
    <n v="3692.27"/>
    <n v="2.93"/>
    <n v="50"/>
    <m/>
    <n v="0"/>
    <s v="Trator 1.7m"/>
    <m/>
    <s v="Não"/>
    <s v="Não"/>
    <s v="Não"/>
    <s v="Não"/>
    <n v="1846.135"/>
    <n v="1846.135"/>
  </r>
  <r>
    <s v="VGSP-330_110,000_ES_CL1"/>
    <x v="0"/>
    <s v="110,000"/>
    <m/>
    <s v="110,500"/>
    <m/>
    <x v="0"/>
    <s v="S"/>
    <n v="-22.82542061567484"/>
    <n v="-47.18861236957499"/>
    <n v="362.37"/>
    <n v="1.1299999999999999"/>
    <n v="30"/>
    <m/>
    <n v="0"/>
    <s v="Trator 1.7m"/>
    <m/>
    <s v="Não"/>
    <s v="Não"/>
    <s v="Não"/>
    <s v="Não"/>
    <n v="108.711"/>
    <n v="108.711"/>
  </r>
  <r>
    <s v="VGSP-330_110,000_EN_CL1"/>
    <x v="0"/>
    <s v="110,000"/>
    <m/>
    <s v="110,500"/>
    <m/>
    <x v="0"/>
    <s v="N"/>
    <n v="-22.824629061769791"/>
    <n v="-47.188750285899523"/>
    <n v="204.76"/>
    <n v="1.47"/>
    <n v="0"/>
    <m/>
    <n v="0"/>
    <m/>
    <m/>
    <s v="Sim"/>
    <s v="Não"/>
    <s v="Não"/>
    <s v="Não"/>
    <n v="0"/>
    <m/>
  </r>
  <r>
    <s v="VGSP-330_110,000_EN_CL6"/>
    <x v="0"/>
    <s v="110,000"/>
    <m/>
    <s v="110,500"/>
    <m/>
    <x v="0"/>
    <s v="N"/>
    <n v="-22.82384143859683"/>
    <n v="-47.190626021252179"/>
    <n v="3805.78"/>
    <n v="1.95"/>
    <n v="50"/>
    <m/>
    <n v="0"/>
    <s v="Trator 1.7m"/>
    <m/>
    <s v="Não"/>
    <s v="Não"/>
    <s v="Não"/>
    <s v="Não"/>
    <n v="1902.89"/>
    <n v="1902.89"/>
  </r>
  <r>
    <s v="VGSP-330_110,000_CC4"/>
    <x v="144"/>
    <s v="110,000"/>
    <m/>
    <s v="110,500"/>
    <m/>
    <x v="1"/>
    <s v="C"/>
    <n v="-22.821245714331379"/>
    <n v="-47.196963285619852"/>
    <n v="3622.4"/>
    <n v="3.04"/>
    <n v="40"/>
    <m/>
    <n v="0"/>
    <s v="Trator 1.7m, Spider"/>
    <m/>
    <s v="Não"/>
    <s v="Não"/>
    <s v="Não"/>
    <s v="Não"/>
    <n v="1448.96"/>
    <n v="1448.96"/>
  </r>
  <r>
    <s v="VGSP-348_110,000_EN_CL3"/>
    <x v="0"/>
    <s v="110,000"/>
    <m/>
    <s v="110,500"/>
    <m/>
    <x v="0"/>
    <s v="N"/>
    <n v="-22.875745497314998"/>
    <n v="-47.251859866366331"/>
    <n v="526.73"/>
    <n v="4.6100000000000003"/>
    <n v="70"/>
    <m/>
    <n v="0"/>
    <s v="Trator 1.7m"/>
    <m/>
    <s v="Não"/>
    <s v="Não"/>
    <s v="Não"/>
    <s v="Não"/>
    <n v="368.71100000000001"/>
    <n v="368.71100000000001"/>
  </r>
  <r>
    <s v="VGSP-330_110,000_CC2"/>
    <x v="144"/>
    <s v="110,000"/>
    <m/>
    <s v="110,500"/>
    <m/>
    <x v="1"/>
    <s v="C"/>
    <n v="-22.82205561991686"/>
    <n v="-47.194355894120513"/>
    <n v="1518.62"/>
    <n v="2.99"/>
    <n v="0"/>
    <m/>
    <n v="0"/>
    <m/>
    <m/>
    <s v="Sim"/>
    <s v="Não"/>
    <s v="Não"/>
    <s v="Não"/>
    <n v="0"/>
    <m/>
  </r>
  <r>
    <s v="VGSP-330_110,000_ES_CL8"/>
    <x v="0"/>
    <s v="110,000"/>
    <m/>
    <s v="110,500"/>
    <m/>
    <x v="0"/>
    <s v="S"/>
    <n v="-22.825105955853338"/>
    <n v="-47.188725074898947"/>
    <n v="22.71"/>
    <n v="1.1399999999999999"/>
    <n v="30"/>
    <m/>
    <n v="0"/>
    <s v="Trator 1.7m"/>
    <m/>
    <s v="Não"/>
    <s v="Não"/>
    <s v="Não"/>
    <s v="Não"/>
    <n v="6.8129999999999997"/>
    <n v="6.8129999999999997"/>
  </r>
  <r>
    <s v="VGSP-348_110,000_ES_CL3"/>
    <x v="0"/>
    <s v="110,000"/>
    <m/>
    <s v="110,500"/>
    <m/>
    <x v="0"/>
    <s v="S"/>
    <n v="-22.876179402912111"/>
    <n v="-47.252213517814987"/>
    <n v="315.98"/>
    <n v="2.82"/>
    <n v="70"/>
    <m/>
    <n v="0"/>
    <s v="Trator 1.7m"/>
    <m/>
    <s v="Não"/>
    <s v="Não"/>
    <s v="Não"/>
    <s v="Não"/>
    <n v="221.18600000000001"/>
    <n v="221.18600000000001"/>
  </r>
  <r>
    <s v="VGSP-348_110,000_ES_CL1"/>
    <x v="0"/>
    <s v="110,000"/>
    <m/>
    <s v="110,500"/>
    <m/>
    <x v="0"/>
    <s v="S"/>
    <n v="-22.877630026700299"/>
    <n v="-47.250521331191067"/>
    <n v="1460.52"/>
    <n v="2.73"/>
    <n v="70"/>
    <m/>
    <n v="0"/>
    <s v="Trator 1.7m"/>
    <m/>
    <s v="Não"/>
    <s v="Não"/>
    <s v="Não"/>
    <s v="Não"/>
    <n v="1022.3639999999999"/>
    <n v="1022.3639999999999"/>
  </r>
  <r>
    <s v="VGSP-330_110,000_CC5"/>
    <x v="144"/>
    <s v="110,000"/>
    <m/>
    <s v="110,500"/>
    <m/>
    <x v="1"/>
    <s v="C"/>
    <n v="-22.82078545748066"/>
    <n v="-47.196749208131699"/>
    <n v="133.31"/>
    <n v="2.75"/>
    <n v="30"/>
    <m/>
    <n v="0"/>
    <s v="Trator 1.7m"/>
    <m/>
    <s v="Não"/>
    <s v="Não"/>
    <s v="Não"/>
    <s v="Não"/>
    <n v="39.993000000000002"/>
    <n v="39.993000000000002"/>
  </r>
  <r>
    <s v="VGSP-330_110,000_CC3"/>
    <x v="144"/>
    <s v="110,000"/>
    <m/>
    <s v="110,500"/>
    <m/>
    <x v="1"/>
    <s v="C"/>
    <n v="-22.821691329523802"/>
    <n v="-47.1961373706676"/>
    <n v="7218.73"/>
    <n v="3.39"/>
    <n v="30"/>
    <m/>
    <n v="0"/>
    <s v="Trator 1.7m"/>
    <m/>
    <s v="Não"/>
    <s v="Não"/>
    <s v="Não"/>
    <s v="Não"/>
    <n v="2165.6189999999997"/>
    <n v="2165.6189999999997"/>
  </r>
  <r>
    <s v="VGSP-348_111,000_CC3"/>
    <x v="146"/>
    <s v="111,000"/>
    <m/>
    <s v="111,500"/>
    <n v="0.5"/>
    <x v="1"/>
    <s v="C"/>
    <n v="-22.871923597305191"/>
    <n v="-47.263191483300268"/>
    <n v="3328.52"/>
    <n v="4.1500000000000004"/>
    <n v="80"/>
    <m/>
    <n v="0"/>
    <s v="Trator 1.7m"/>
    <m/>
    <s v="Não"/>
    <s v="Não"/>
    <s v="Não"/>
    <s v="Não"/>
    <n v="2662.8160000000003"/>
    <n v="2662.8160000000003"/>
  </r>
  <r>
    <s v="VGSP-330_111,000_ES_CL5"/>
    <x v="0"/>
    <s v="111,000"/>
    <m/>
    <s v="111,500"/>
    <m/>
    <x v="0"/>
    <s v="S"/>
    <n v="-22.819676119968651"/>
    <n v="-47.198969640739982"/>
    <n v="5881.06"/>
    <n v="3.17"/>
    <n v="30"/>
    <m/>
    <n v="0"/>
    <s v="Trator 1.7m"/>
    <m/>
    <s v="Não"/>
    <s v="Não"/>
    <s v="Não"/>
    <s v="Não"/>
    <n v="1764.318"/>
    <n v="1764.318"/>
  </r>
  <r>
    <s v="VGSP-330_111,000_EN_CL10"/>
    <x v="0"/>
    <s v="111,000"/>
    <m/>
    <s v="111,500"/>
    <m/>
    <x v="0"/>
    <s v="N"/>
    <n v="-22.816567744805599"/>
    <n v="-47.203834509533372"/>
    <n v="1074.23"/>
    <n v="2.4700000000000002"/>
    <n v="0"/>
    <m/>
    <n v="0"/>
    <m/>
    <m/>
    <s v="Sim"/>
    <s v="Não"/>
    <s v="Não"/>
    <s v="Não"/>
    <n v="0"/>
    <m/>
  </r>
  <r>
    <s v="VGSP-348_111,000_CC2"/>
    <x v="146"/>
    <s v="111,000"/>
    <m/>
    <s v="111,500"/>
    <n v="0.5"/>
    <x v="1"/>
    <s v="C"/>
    <n v="-22.87200961205453"/>
    <n v="-47.260821744768627"/>
    <n v="2055.1799999999998"/>
    <n v="4.6100000000000003"/>
    <n v="80"/>
    <m/>
    <n v="0"/>
    <s v="Trator 1.7m"/>
    <m/>
    <s v="Não"/>
    <s v="Não"/>
    <s v="Não"/>
    <s v="Não"/>
    <n v="1644.144"/>
    <n v="1644.144"/>
  </r>
  <r>
    <s v="VGSP-330_111,000_ES_CL3"/>
    <x v="0"/>
    <s v="111,000"/>
    <m/>
    <s v="111,500"/>
    <m/>
    <x v="0"/>
    <s v="S"/>
    <n v="-22.819963819697701"/>
    <n v="-47.19915120099602"/>
    <n v="2277.88"/>
    <n v="4.38"/>
    <n v="30"/>
    <m/>
    <n v="0"/>
    <s v="Trator 1.7m"/>
    <m/>
    <s v="Não"/>
    <s v="Não"/>
    <s v="Não"/>
    <s v="Não"/>
    <n v="683.36400000000003"/>
    <n v="683.36400000000003"/>
  </r>
  <r>
    <s v="VGSP-330_111,000_EN_CL1"/>
    <x v="0"/>
    <s v="111,000"/>
    <m/>
    <s v="111,500"/>
    <m/>
    <x v="0"/>
    <s v="N"/>
    <n v="-22.819715615526938"/>
    <n v="-47.197853675016241"/>
    <n v="2690.25"/>
    <n v="3.67"/>
    <n v="30"/>
    <m/>
    <n v="0"/>
    <s v="Trator 1.7m"/>
    <m/>
    <s v="Não"/>
    <s v="Não"/>
    <s v="Não"/>
    <s v="Não"/>
    <n v="807.07499999999993"/>
    <n v="807.07499999999993"/>
  </r>
  <r>
    <s v="VGSP-330_111,000_CC2"/>
    <x v="147"/>
    <s v="111,000"/>
    <m/>
    <s v="111,500"/>
    <m/>
    <x v="1"/>
    <s v="C"/>
    <n v="-22.818830053804341"/>
    <n v="-47.200020247103467"/>
    <n v="3169.59"/>
    <n v="2.94"/>
    <n v="50"/>
    <m/>
    <n v="0"/>
    <s v="Trator 1.7m"/>
    <m/>
    <s v="Não"/>
    <s v="Não"/>
    <s v="Não"/>
    <s v="Não"/>
    <n v="1584.7950000000001"/>
    <n v="1584.7950000000001"/>
  </r>
  <r>
    <s v="VGSP-330_111,000_ES_CL2"/>
    <x v="0"/>
    <s v="111,000"/>
    <m/>
    <s v="111,500"/>
    <m/>
    <x v="0"/>
    <s v="S"/>
    <n v="-22.82111945116646"/>
    <n v="-47.197327977826077"/>
    <n v="3176.51"/>
    <n v="4"/>
    <n v="35"/>
    <m/>
    <n v="0"/>
    <s v="Spider"/>
    <m/>
    <s v="Não"/>
    <s v="Não"/>
    <s v="Não"/>
    <s v="Não"/>
    <n v="1111.7784999999999"/>
    <n v="1111.7784999999999"/>
  </r>
  <r>
    <s v="VGSP-330_111,000_ES_CL4"/>
    <x v="0"/>
    <s v="111,000"/>
    <m/>
    <s v="111,500"/>
    <m/>
    <x v="0"/>
    <s v="S"/>
    <n v="-22.818431717281332"/>
    <n v="-47.201615485819282"/>
    <n v="230.69"/>
    <n v="3.42"/>
    <n v="30"/>
    <m/>
    <n v="0"/>
    <s v="Trator 1.7m"/>
    <m/>
    <s v="Não"/>
    <s v="Não"/>
    <s v="Não"/>
    <s v="Não"/>
    <n v="69.206999999999994"/>
    <n v="69.206999999999994"/>
  </r>
  <r>
    <s v="VGSP-330_111,000_ES_CL7"/>
    <x v="0"/>
    <s v="111,000"/>
    <m/>
    <s v="111,500"/>
    <m/>
    <x v="0"/>
    <s v="S"/>
    <n v="-22.818521320668449"/>
    <n v="-47.201144483876142"/>
    <n v="156.41999999999999"/>
    <n v="4.08"/>
    <n v="30"/>
    <m/>
    <n v="0"/>
    <s v="Trator 1.7m"/>
    <m/>
    <s v="Não"/>
    <s v="Não"/>
    <s v="Não"/>
    <s v="Não"/>
    <n v="46.925999999999995"/>
    <n v="46.925999999999995"/>
  </r>
  <r>
    <s v="VGSP-330_111,000_ES_CL6"/>
    <x v="0"/>
    <s v="111,000"/>
    <m/>
    <s v="111,500"/>
    <m/>
    <x v="0"/>
    <s v="S"/>
    <n v="-22.817992307186461"/>
    <n v="-47.202058322892277"/>
    <n v="1088.23"/>
    <n v="4"/>
    <n v="30"/>
    <m/>
    <n v="0"/>
    <s v="Trator 1.7m"/>
    <m/>
    <s v="Não"/>
    <s v="Não"/>
    <s v="Não"/>
    <s v="Não"/>
    <n v="326.46899999999999"/>
    <n v="326.46899999999999"/>
  </r>
  <r>
    <s v="VGSP-330_111,000_EN_CL3"/>
    <x v="0"/>
    <s v="111,000"/>
    <m/>
    <s v="111,500"/>
    <m/>
    <x v="0"/>
    <s v="N"/>
    <n v="-22.819292387303701"/>
    <n v="-47.196971925827583"/>
    <n v="7139.61"/>
    <n v="4.16"/>
    <n v="30"/>
    <m/>
    <n v="0"/>
    <s v="Trator 1.7m"/>
    <m/>
    <s v="Não"/>
    <s v="Não"/>
    <s v="Não"/>
    <s v="Não"/>
    <n v="2141.8829999999998"/>
    <n v="2141.8829999999998"/>
  </r>
  <r>
    <s v="VGSP-330_111,000_CC1"/>
    <x v="147"/>
    <s v="111,000"/>
    <m/>
    <s v="111,500"/>
    <m/>
    <x v="1"/>
    <s v="C"/>
    <n v="-22.82003104302391"/>
    <n v="-47.197776239801378"/>
    <n v="2390.73"/>
    <n v="3.45"/>
    <n v="50"/>
    <m/>
    <n v="0"/>
    <s v="Trator 1.7m"/>
    <m/>
    <s v="Não"/>
    <s v="Não"/>
    <s v="Não"/>
    <s v="Não"/>
    <n v="1195.365"/>
    <n v="1195.365"/>
  </r>
  <r>
    <s v="VGSP-330_111,000_CC3"/>
    <x v="147"/>
    <s v="111,000"/>
    <m/>
    <s v="111,500"/>
    <m/>
    <x v="1"/>
    <s v="C"/>
    <n v="-22.817820722106681"/>
    <n v="-47.201905662819343"/>
    <n v="1750.76"/>
    <n v="3.92"/>
    <n v="50"/>
    <m/>
    <n v="0"/>
    <s v="Trator 1.7m"/>
    <m/>
    <s v="Não"/>
    <s v="Não"/>
    <s v="Não"/>
    <s v="Não"/>
    <n v="875.38"/>
    <n v="875.38"/>
  </r>
  <r>
    <s v="VGSP-330_111,000_CC4"/>
    <x v="147"/>
    <s v="111,000"/>
    <m/>
    <s v="111,500"/>
    <m/>
    <x v="1"/>
    <s v="C"/>
    <n v="-22.81675611401586"/>
    <n v="-47.203900842745703"/>
    <n v="3044.88"/>
    <n v="2.86"/>
    <n v="50"/>
    <m/>
    <n v="0"/>
    <s v="Trator 1.7m"/>
    <m/>
    <s v="Não"/>
    <s v="Não"/>
    <s v="Não"/>
    <s v="Não"/>
    <n v="1522.44"/>
    <n v="1522.44"/>
  </r>
  <r>
    <s v="VGSP-330_111,000_EN_CL2"/>
    <x v="0"/>
    <s v="111,000"/>
    <m/>
    <s v="111,500"/>
    <m/>
    <x v="0"/>
    <s v="N"/>
    <n v="-22.820037987551359"/>
    <n v="-47.196796989859799"/>
    <n v="1488.67"/>
    <n v="5.05"/>
    <n v="30"/>
    <m/>
    <n v="0"/>
    <s v="Trator 1.7m"/>
    <m/>
    <s v="Não"/>
    <s v="Não"/>
    <s v="Não"/>
    <s v="Não"/>
    <n v="446.601"/>
    <n v="446.601"/>
  </r>
  <r>
    <s v="VGSP-348_111,000_EN_CL2"/>
    <x v="0"/>
    <s v="111,000"/>
    <m/>
    <s v="111,500"/>
    <m/>
    <x v="0"/>
    <s v="N"/>
    <n v="-22.87233423000831"/>
    <n v="-47.257786086442273"/>
    <n v="1868.82"/>
    <n v="2.2200000000000002"/>
    <n v="70"/>
    <m/>
    <n v="0"/>
    <s v="Trator 1.7m"/>
    <m/>
    <s v="Não"/>
    <s v="Não"/>
    <s v="Não"/>
    <s v="Não"/>
    <n v="1308.174"/>
    <n v="1308.174"/>
  </r>
  <r>
    <s v="VGSP-330_111,000_EN_CL8"/>
    <x v="0"/>
    <s v="111,000"/>
    <m/>
    <s v="111,500"/>
    <m/>
    <x v="0"/>
    <s v="N"/>
    <n v="-22.817957509278209"/>
    <n v="-47.200971402083169"/>
    <n v="197.09"/>
    <n v="1.94"/>
    <n v="30"/>
    <m/>
    <n v="0"/>
    <s v="Trator 1.7m"/>
    <m/>
    <s v="Não"/>
    <s v="Não"/>
    <s v="Não"/>
    <s v="Não"/>
    <n v="59.126999999999995"/>
    <n v="59.126999999999995"/>
  </r>
  <r>
    <s v="VGSP-348_111,000_CC1"/>
    <x v="146"/>
    <s v="111,000"/>
    <m/>
    <s v="111,500"/>
    <n v="0.5"/>
    <x v="1"/>
    <s v="C"/>
    <n v="-22.87253496217475"/>
    <n v="-47.257817793802012"/>
    <n v="5254.52"/>
    <n v="2.31"/>
    <n v="80"/>
    <m/>
    <n v="0"/>
    <s v="Trator 1.7m"/>
    <m/>
    <s v="Não"/>
    <s v="Não"/>
    <s v="Não"/>
    <s v="Não"/>
    <n v="4203.6160000000009"/>
    <n v="4203.6160000000009"/>
  </r>
  <r>
    <s v="VGSP-330_111,000_EN_CL6"/>
    <x v="0"/>
    <s v="111,000"/>
    <m/>
    <s v="111,500"/>
    <m/>
    <x v="0"/>
    <s v="N"/>
    <n v="-22.817659939334071"/>
    <n v="-47.201788752632197"/>
    <n v="548.01"/>
    <n v="3.59"/>
    <n v="0"/>
    <m/>
    <n v="0"/>
    <m/>
    <m/>
    <s v="Sim"/>
    <s v="Não"/>
    <s v="Não"/>
    <s v="Não"/>
    <n v="0"/>
    <m/>
  </r>
  <r>
    <s v="VGSP-348_111,000_ES_CL1"/>
    <x v="0"/>
    <s v="111,000"/>
    <m/>
    <s v="111,500"/>
    <m/>
    <x v="0"/>
    <s v="S"/>
    <n v="-22.872162035651058"/>
    <n v="-47.262296211858718"/>
    <n v="1930.1"/>
    <n v="4.74"/>
    <n v="70"/>
    <m/>
    <n v="0"/>
    <s v="Trator 1.7m"/>
    <m/>
    <s v="Não"/>
    <s v="Não"/>
    <s v="Não"/>
    <s v="Não"/>
    <n v="1351.07"/>
    <n v="1351.07"/>
  </r>
  <r>
    <s v="VGSP-348_111,000_ES_CL2"/>
    <x v="0"/>
    <s v="111,000"/>
    <m/>
    <s v="111,500"/>
    <m/>
    <x v="0"/>
    <s v="S"/>
    <n v="-22.872731019155371"/>
    <n v="-47.257860766101857"/>
    <n v="1771.92"/>
    <n v="2.0099999999999998"/>
    <n v="70"/>
    <m/>
    <n v="0"/>
    <s v="Trator 1.7m"/>
    <m/>
    <s v="Não"/>
    <s v="Não"/>
    <s v="Não"/>
    <s v="Não"/>
    <n v="1240.3440000000001"/>
    <n v="1240.3440000000001"/>
  </r>
  <r>
    <s v="VGSP-330_111,000_ES_CL10"/>
    <x v="0"/>
    <s v="111,000"/>
    <m/>
    <s v="111,500"/>
    <m/>
    <x v="0"/>
    <s v="S"/>
    <n v="-22.81688012642422"/>
    <n v="-47.204135513993222"/>
    <n v="1464.01"/>
    <n v="4.05"/>
    <n v="30"/>
    <m/>
    <n v="0"/>
    <s v="Trator 1.7m"/>
    <m/>
    <s v="Não"/>
    <s v="Não"/>
    <s v="Não"/>
    <s v="Não"/>
    <n v="439.20299999999997"/>
    <n v="439.20299999999997"/>
  </r>
  <r>
    <s v="VGSP-330_111,000_ES_CL9"/>
    <x v="0"/>
    <s v="111,000"/>
    <m/>
    <s v="111,500"/>
    <m/>
    <x v="0"/>
    <s v="S"/>
    <n v="-22.817600907292341"/>
    <n v="-47.20306646455569"/>
    <n v="206.71"/>
    <n v="3.31"/>
    <n v="30"/>
    <m/>
    <n v="0"/>
    <s v="Trator 1.7m"/>
    <m/>
    <s v="Não"/>
    <s v="Não"/>
    <s v="Não"/>
    <s v="Não"/>
    <n v="62.012999999999998"/>
    <n v="62.012999999999998"/>
  </r>
  <r>
    <s v="VGSP-330_111,000_ES_CL1"/>
    <x v="0"/>
    <s v="111,000"/>
    <m/>
    <s v="111,500"/>
    <m/>
    <x v="0"/>
    <s v="S"/>
    <n v="-22.820828677754388"/>
    <n v="-47.197594247425577"/>
    <n v="3006.57"/>
    <n v="4.37"/>
    <n v="55"/>
    <m/>
    <n v="0"/>
    <s v="Spider"/>
    <m/>
    <s v="Não"/>
    <s v="Não"/>
    <s v="Não"/>
    <s v="Não"/>
    <n v="1653.6135000000002"/>
    <n v="1653.6135000000002"/>
  </r>
  <r>
    <s v="VGSP-330_111,000_ES_CL8"/>
    <x v="0"/>
    <s v="111,000"/>
    <m/>
    <s v="111,500"/>
    <m/>
    <x v="0"/>
    <s v="S"/>
    <n v="-22.818067168740871"/>
    <n v="-47.202206482303588"/>
    <n v="748.39"/>
    <n v="4.55"/>
    <n v="30"/>
    <m/>
    <n v="0"/>
    <s v="Trator 1.7m"/>
    <m/>
    <s v="Não"/>
    <s v="Não"/>
    <s v="Não"/>
    <s v="Não"/>
    <n v="224.517"/>
    <n v="224.517"/>
  </r>
  <r>
    <s v="VGSP-330_111,000_EN_CL9"/>
    <x v="0"/>
    <s v="111,000"/>
    <m/>
    <s v="111,500"/>
    <m/>
    <x v="0"/>
    <s v="N"/>
    <n v="-22.81632700099146"/>
    <n v="-47.203992060815096"/>
    <n v="940.15"/>
    <n v="2.27"/>
    <n v="30"/>
    <m/>
    <n v="0"/>
    <s v="Trator 1.7m"/>
    <m/>
    <s v="Não"/>
    <s v="Não"/>
    <s v="Não"/>
    <s v="Não"/>
    <n v="282.04499999999996"/>
    <n v="282.04499999999996"/>
  </r>
  <r>
    <s v="VGSP-330_111,000_EN_CL7"/>
    <x v="0"/>
    <s v="111,000"/>
    <m/>
    <s v="111,500"/>
    <m/>
    <x v="0"/>
    <s v="N"/>
    <n v="-22.817432083222641"/>
    <n v="-47.201925935295122"/>
    <n v="883.75"/>
    <n v="3.27"/>
    <n v="30"/>
    <m/>
    <n v="0"/>
    <s v="Trator 1.7m"/>
    <m/>
    <s v="Não"/>
    <s v="Não"/>
    <s v="Não"/>
    <s v="Não"/>
    <n v="265.125"/>
    <n v="265.125"/>
  </r>
  <r>
    <s v="VGSP-330_111,000_EN_CL4"/>
    <x v="0"/>
    <s v="111,000"/>
    <m/>
    <s v="111,500"/>
    <m/>
    <x v="0"/>
    <s v="N"/>
    <n v="-22.818717159668989"/>
    <n v="-47.199302580196829"/>
    <n v="2393.25"/>
    <n v="3.58"/>
    <n v="30"/>
    <m/>
    <n v="0"/>
    <s v="Trator 1.7m"/>
    <m/>
    <s v="Não"/>
    <s v="Não"/>
    <s v="Não"/>
    <s v="Não"/>
    <n v="717.97500000000002"/>
    <n v="717.97500000000002"/>
  </r>
  <r>
    <s v="VGSP-330_111,000_EN_CL5"/>
    <x v="0"/>
    <s v="111,000"/>
    <m/>
    <s v="111,500"/>
    <m/>
    <x v="0"/>
    <s v="N"/>
    <n v="-22.818844894269489"/>
    <n v="-47.199488993311419"/>
    <n v="2658.9"/>
    <n v="3.19"/>
    <n v="30"/>
    <m/>
    <n v="0"/>
    <s v="Trator 1.7m"/>
    <m/>
    <s v="Não"/>
    <s v="Não"/>
    <s v="Não"/>
    <s v="Não"/>
    <n v="797.67"/>
    <n v="797.67"/>
  </r>
  <r>
    <s v="VGSP-348_111,000_EN_CL1"/>
    <x v="0"/>
    <s v="111,000"/>
    <m/>
    <s v="111,500"/>
    <m/>
    <x v="0"/>
    <s v="N"/>
    <n v="-22.871741519502951"/>
    <n v="-47.2623354219619"/>
    <n v="1926.76"/>
    <n v="4.07"/>
    <n v="70"/>
    <m/>
    <n v="0"/>
    <s v="Trator 1.7m"/>
    <m/>
    <s v="Não"/>
    <s v="Não"/>
    <s v="Não"/>
    <s v="Não"/>
    <n v="1348.732"/>
    <n v="1348.732"/>
  </r>
  <r>
    <s v="VGSP-348_112,000_CC3"/>
    <x v="148"/>
    <s v="112,000"/>
    <m/>
    <s v="112,500"/>
    <n v="0.5"/>
    <x v="1"/>
    <s v="C"/>
    <n v="-22.871400384699591"/>
    <n v="-47.271873060226667"/>
    <n v="7177.5"/>
    <n v="3.43"/>
    <n v="80"/>
    <m/>
    <n v="0"/>
    <s v="Trator 1.7m"/>
    <m/>
    <s v="Não"/>
    <s v="Não"/>
    <s v="Não"/>
    <s v="Não"/>
    <n v="5742"/>
    <n v="5742"/>
  </r>
  <r>
    <s v="VGSP-330_112,000_ES_CL7"/>
    <x v="0"/>
    <s v="112,000"/>
    <m/>
    <s v="112,500"/>
    <m/>
    <x v="0"/>
    <s v="S"/>
    <n v="-22.81438257247855"/>
    <n v="-47.209028063601977"/>
    <n v="279.60000000000002"/>
    <n v="5.39"/>
    <n v="30"/>
    <m/>
    <n v="0"/>
    <s v="Trator 1.7m"/>
    <m/>
    <s v="Não"/>
    <s v="Não"/>
    <s v="Não"/>
    <s v="Não"/>
    <n v="83.88000000000001"/>
    <n v="83.88000000000001"/>
  </r>
  <r>
    <s v="VGSP-330_112,000_ES_CL2"/>
    <x v="0"/>
    <s v="112,000"/>
    <m/>
    <s v="112,500"/>
    <m/>
    <x v="0"/>
    <s v="S"/>
    <n v="-22.815268924645771"/>
    <n v="-47.207071441689919"/>
    <n v="2136.11"/>
    <n v="4.53"/>
    <n v="30"/>
    <m/>
    <n v="0"/>
    <s v="Trator 1.7m"/>
    <m/>
    <s v="Não"/>
    <s v="Não"/>
    <s v="Não"/>
    <s v="Não"/>
    <n v="640.83299999999997"/>
    <n v="640.83299999999997"/>
  </r>
  <r>
    <s v="VGSP-330_112,000_EN_CL8"/>
    <x v="0"/>
    <s v="112,000"/>
    <m/>
    <s v="112,500"/>
    <m/>
    <x v="0"/>
    <s v="N"/>
    <n v="-22.811215165541729"/>
    <n v="-47.211705573419643"/>
    <n v="817.04"/>
    <n v="4.84"/>
    <n v="30"/>
    <m/>
    <n v="0"/>
    <s v="Trator 1.7m"/>
    <m/>
    <s v="Não"/>
    <s v="Não"/>
    <s v="Não"/>
    <s v="Não"/>
    <n v="245.11199999999997"/>
    <n v="245.11199999999997"/>
  </r>
  <r>
    <s v="VGSP-330_112,000_ES_CL3"/>
    <x v="0"/>
    <s v="112,000"/>
    <m/>
    <s v="112,500"/>
    <m/>
    <x v="0"/>
    <s v="S"/>
    <n v="-22.814003692258741"/>
    <n v="-47.209612633914233"/>
    <n v="403.56"/>
    <n v="4.88"/>
    <n v="0"/>
    <m/>
    <n v="0"/>
    <m/>
    <m/>
    <s v="Sim"/>
    <s v="Não"/>
    <s v="Não"/>
    <s v="Não"/>
    <n v="0"/>
    <m/>
  </r>
  <r>
    <s v="VGSP-330_112,000_ES_CL6"/>
    <x v="0"/>
    <s v="112,000"/>
    <m/>
    <s v="112,500"/>
    <m/>
    <x v="0"/>
    <s v="S"/>
    <n v="-22.814661992435639"/>
    <n v="-47.208638006520253"/>
    <n v="223.58"/>
    <n v="4.84"/>
    <n v="30"/>
    <m/>
    <n v="0"/>
    <s v="Trator 1.7m"/>
    <m/>
    <s v="Não"/>
    <s v="Não"/>
    <s v="Não"/>
    <s v="Não"/>
    <n v="67.073999999999998"/>
    <n v="67.073999999999998"/>
  </r>
  <r>
    <s v="VGSP-330_112,000_EN_CL5"/>
    <x v="0"/>
    <s v="112,000"/>
    <m/>
    <s v="112,500"/>
    <m/>
    <x v="0"/>
    <s v="N"/>
    <n v="-22.812784517642271"/>
    <n v="-47.209689709305437"/>
    <n v="108.46"/>
    <n v="5.89"/>
    <n v="30"/>
    <m/>
    <n v="0"/>
    <s v="Trator 1.7m"/>
    <m/>
    <s v="Não"/>
    <s v="Não"/>
    <s v="Não"/>
    <s v="Não"/>
    <n v="32.537999999999997"/>
    <n v="32.537999999999997"/>
  </r>
  <r>
    <s v="VGSP-330_112,000_ES_CL5"/>
    <x v="0"/>
    <s v="112,000"/>
    <m/>
    <s v="112,500"/>
    <m/>
    <x v="0"/>
    <s v="S"/>
    <n v="-22.814807994259471"/>
    <n v="-47.208414591484789"/>
    <n v="194.9"/>
    <n v="4.28"/>
    <n v="30"/>
    <m/>
    <n v="0"/>
    <s v="Trator 1.7m"/>
    <m/>
    <s v="Não"/>
    <s v="Não"/>
    <s v="Não"/>
    <s v="Não"/>
    <n v="58.47"/>
    <n v="58.47"/>
  </r>
  <r>
    <s v="VGSP-330_112,000_EN_CL3"/>
    <x v="0"/>
    <s v="112,000"/>
    <m/>
    <s v="112,500"/>
    <m/>
    <x v="0"/>
    <s v="N"/>
    <n v="-22.81475919846692"/>
    <n v="-47.207069320725033"/>
    <n v="2120.5300000000002"/>
    <n v="4.08"/>
    <n v="0"/>
    <m/>
    <n v="0"/>
    <m/>
    <m/>
    <s v="Sim"/>
    <s v="Não"/>
    <s v="Não"/>
    <s v="Não"/>
    <n v="0"/>
    <m/>
  </r>
  <r>
    <s v="VGSP-330_112,000_EN_CL2"/>
    <x v="0"/>
    <s v="112,000"/>
    <m/>
    <s v="112,500"/>
    <m/>
    <x v="0"/>
    <s v="N"/>
    <n v="-22.814808875241312"/>
    <n v="-47.206705012086879"/>
    <n v="162.01"/>
    <n v="4.54"/>
    <n v="30"/>
    <m/>
    <n v="0"/>
    <s v="Trator 1.7m"/>
    <m/>
    <s v="Não"/>
    <s v="Não"/>
    <s v="Não"/>
    <s v="Não"/>
    <n v="48.602999999999994"/>
    <n v="48.602999999999994"/>
  </r>
  <r>
    <s v="VGSP-330_112,000_ES_CL4"/>
    <x v="0"/>
    <s v="112,000"/>
    <m/>
    <s v="112,500"/>
    <m/>
    <x v="0"/>
    <s v="S"/>
    <n v="-22.815285446944319"/>
    <n v="-47.207546334505963"/>
    <n v="756.59"/>
    <n v="3.35"/>
    <n v="30"/>
    <m/>
    <n v="0"/>
    <s v="Trator 1.7m"/>
    <m/>
    <s v="Não"/>
    <s v="Não"/>
    <s v="Não"/>
    <s v="Não"/>
    <n v="226.977"/>
    <n v="226.977"/>
  </r>
  <r>
    <s v="VGSP-330_112,000_ES_CL14"/>
    <x v="0"/>
    <s v="112,000"/>
    <m/>
    <s v="112,500"/>
    <m/>
    <x v="0"/>
    <s v="S"/>
    <n v="-22.812478416349869"/>
    <n v="-47.21151020709133"/>
    <n v="1593.97"/>
    <n v="2.77"/>
    <n v="30"/>
    <m/>
    <n v="0"/>
    <s v="Trator 1.7m"/>
    <m/>
    <s v="Não"/>
    <s v="Não"/>
    <s v="Não"/>
    <s v="Não"/>
    <n v="478.19099999999997"/>
    <n v="478.19099999999997"/>
  </r>
  <r>
    <s v="VGSP-330_112,000_ES_CL1"/>
    <x v="0"/>
    <s v="112,000"/>
    <m/>
    <s v="112,500"/>
    <m/>
    <x v="0"/>
    <s v="S"/>
    <n v="-22.815846515230081"/>
    <n v="-47.206651066200934"/>
    <n v="73.13"/>
    <n v="4.3600000000000003"/>
    <n v="30"/>
    <m/>
    <n v="0"/>
    <s v="Trator 1.7m"/>
    <m/>
    <s v="Não"/>
    <s v="Não"/>
    <s v="Não"/>
    <s v="Não"/>
    <n v="21.938999999999997"/>
    <n v="21.938999999999997"/>
  </r>
  <r>
    <s v="VGSP-348_112,000_CC2"/>
    <x v="148"/>
    <s v="112,000"/>
    <m/>
    <s v="112,500"/>
    <n v="0.5"/>
    <x v="1"/>
    <s v="C"/>
    <n v="-22.87175974329725"/>
    <n v="-47.267736882465847"/>
    <n v="2804.43"/>
    <n v="3.64"/>
    <n v="80"/>
    <m/>
    <n v="0"/>
    <s v="Trator 1.7m"/>
    <m/>
    <s v="Não"/>
    <s v="Não"/>
    <s v="Não"/>
    <s v="Não"/>
    <n v="2243.5439999999999"/>
    <n v="2243.5439999999999"/>
  </r>
  <r>
    <s v="VGSP-330_112,000_CC1"/>
    <x v="149"/>
    <s v="112,000"/>
    <m/>
    <s v="112,500"/>
    <m/>
    <x v="1"/>
    <s v="C"/>
    <n v="-22.812480118495021"/>
    <n v="-47.210740343964652"/>
    <n v="5461.31"/>
    <n v="3.89"/>
    <n v="50"/>
    <m/>
    <n v="0"/>
    <s v="Trator 1.7m"/>
    <m/>
    <s v="Não"/>
    <s v="Não"/>
    <s v="Não"/>
    <s v="Não"/>
    <n v="2730.6550000000002"/>
    <n v="2730.6550000000002"/>
  </r>
  <r>
    <s v="VGSP-330_112,000_EN_CL6"/>
    <x v="0"/>
    <s v="112,000"/>
    <m/>
    <s v="112,500"/>
    <m/>
    <x v="0"/>
    <s v="N"/>
    <n v="-22.8124375795033"/>
    <n v="-47.210079312259651"/>
    <n v="293.94"/>
    <n v="4.1900000000000004"/>
    <n v="30"/>
    <m/>
    <n v="0"/>
    <s v="Trator 1.7m"/>
    <m/>
    <s v="Não"/>
    <s v="Não"/>
    <s v="Não"/>
    <s v="Não"/>
    <n v="88.182000000000002"/>
    <n v="88.182000000000002"/>
  </r>
  <r>
    <s v="VGSP-330_112,000_ES_CL15"/>
    <x v="0"/>
    <s v="112,000"/>
    <m/>
    <s v="112,500"/>
    <m/>
    <x v="0"/>
    <s v="S"/>
    <n v="-22.811784150951091"/>
    <n v="-47.212457228062497"/>
    <n v="3287.54"/>
    <n v="2.4"/>
    <n v="30"/>
    <m/>
    <n v="0"/>
    <s v="Trator 1.7m"/>
    <m/>
    <s v="Não"/>
    <s v="Não"/>
    <s v="Não"/>
    <s v="Não"/>
    <n v="986.26199999999994"/>
    <n v="986.26199999999994"/>
  </r>
  <r>
    <s v="VGSP-330_112,000_ES_CL12"/>
    <x v="0"/>
    <s v="112,000"/>
    <m/>
    <s v="112,500"/>
    <m/>
    <x v="0"/>
    <s v="S"/>
    <n v="-22.81341003576706"/>
    <n v="-47.211041826681083"/>
    <n v="1072.1099999999999"/>
    <n v="3.82"/>
    <n v="80"/>
    <m/>
    <n v="857.68799999999999"/>
    <s v="Spider"/>
    <m/>
    <s v="Não"/>
    <s v="Não"/>
    <s v="Não"/>
    <s v="Sim"/>
    <n v="0"/>
    <m/>
  </r>
  <r>
    <s v="VGSP-330_112,000_CC3"/>
    <x v="149"/>
    <s v="112,000"/>
    <m/>
    <s v="112,500"/>
    <m/>
    <x v="1"/>
    <s v="C"/>
    <n v="-22.811659660832358"/>
    <n v="-47.212105301833262"/>
    <n v="1009.2"/>
    <n v="3.71"/>
    <n v="30"/>
    <m/>
    <n v="0"/>
    <s v="Trator 1.7m"/>
    <m/>
    <s v="Não"/>
    <s v="Não"/>
    <s v="Não"/>
    <s v="Não"/>
    <n v="302.76"/>
    <n v="302.76"/>
  </r>
  <r>
    <s v="VGSP-348_112,000_ES_CL1"/>
    <x v="0"/>
    <s v="112,000"/>
    <m/>
    <s v="112,500"/>
    <m/>
    <x v="0"/>
    <s v="S"/>
    <n v="-22.872032155937191"/>
    <n v="-47.265492537961592"/>
    <n v="710.33"/>
    <n v="2.71"/>
    <n v="80"/>
    <m/>
    <n v="568.26400000000001"/>
    <s v="Trator com braço articulado"/>
    <m/>
    <s v="Não"/>
    <s v="Não"/>
    <s v="Não"/>
    <s v="Sim"/>
    <n v="0"/>
    <m/>
  </r>
  <r>
    <s v="VGSP-330_112,000_ES_CL16"/>
    <x v="0"/>
    <s v="112,000"/>
    <m/>
    <s v="112,500"/>
    <m/>
    <x v="0"/>
    <s v="S"/>
    <n v="-22.811671670946609"/>
    <n v="-47.212775489137456"/>
    <n v="576.16"/>
    <n v="2.44"/>
    <n v="30"/>
    <m/>
    <n v="0"/>
    <s v="Trator 1.7m"/>
    <m/>
    <s v="Não"/>
    <s v="Não"/>
    <s v="Não"/>
    <s v="Não"/>
    <n v="172.84799999999998"/>
    <n v="172.84799999999998"/>
  </r>
  <r>
    <s v="VGSP-330_112,000_ES_CL13"/>
    <x v="0"/>
    <s v="112,000"/>
    <m/>
    <s v="112,500"/>
    <m/>
    <x v="0"/>
    <s v="S"/>
    <n v="-22.81236460393924"/>
    <n v="-47.211766088659452"/>
    <n v="2180.7600000000002"/>
    <n v="3.13"/>
    <n v="30"/>
    <m/>
    <n v="0"/>
    <s v="Trator 1.7m"/>
    <m/>
    <s v="Não"/>
    <s v="Não"/>
    <s v="Não"/>
    <s v="Não"/>
    <n v="654.22800000000007"/>
    <n v="654.22800000000007"/>
  </r>
  <r>
    <s v="VGSP-330_112,000_EN_CL4"/>
    <x v="0"/>
    <s v="112,000"/>
    <m/>
    <s v="112,500"/>
    <m/>
    <x v="0"/>
    <s v="N"/>
    <n v="-22.813025821396351"/>
    <n v="-47.209694580308721"/>
    <n v="1715.57"/>
    <n v="3.41"/>
    <n v="30"/>
    <m/>
    <n v="0"/>
    <s v="Trator 1.7m"/>
    <m/>
    <s v="Não"/>
    <s v="Não"/>
    <s v="Não"/>
    <s v="Não"/>
    <n v="514.67099999999994"/>
    <n v="514.67099999999994"/>
  </r>
  <r>
    <s v="VGSP-330_112,000_EN_CL1"/>
    <x v="0"/>
    <s v="112,000"/>
    <m/>
    <s v="112,500"/>
    <m/>
    <x v="0"/>
    <s v="N"/>
    <n v="-22.815414085817501"/>
    <n v="-47.205692300098733"/>
    <n v="722.04"/>
    <n v="3.61"/>
    <n v="30"/>
    <m/>
    <n v="0"/>
    <s v="Trator 1.7m"/>
    <m/>
    <s v="Não"/>
    <s v="Não"/>
    <s v="Não"/>
    <s v="Não"/>
    <n v="216.61199999999999"/>
    <n v="216.61199999999999"/>
  </r>
  <r>
    <s v="VGSP-330_112,000_ES_CL11"/>
    <x v="0"/>
    <s v="112,000"/>
    <m/>
    <s v="112,500"/>
    <m/>
    <x v="0"/>
    <s v="S"/>
    <n v="-22.81356414387691"/>
    <n v="-47.210108826093922"/>
    <n v="591.25"/>
    <n v="2.6"/>
    <n v="30"/>
    <m/>
    <n v="0"/>
    <s v="Trator 1.7m"/>
    <m/>
    <s v="Não"/>
    <s v="Não"/>
    <s v="Não"/>
    <s v="Não"/>
    <n v="177.375"/>
    <n v="177.375"/>
  </r>
  <r>
    <s v="VGSP-330_112,000_ES_CL8"/>
    <x v="0"/>
    <s v="112,000"/>
    <m/>
    <s v="112,500"/>
    <m/>
    <x v="0"/>
    <s v="S"/>
    <n v="-22.814204508988261"/>
    <n v="-47.209377083295443"/>
    <n v="50.85"/>
    <n v="5.81"/>
    <n v="30"/>
    <m/>
    <n v="0"/>
    <s v="Trator 1.7m"/>
    <m/>
    <s v="Não"/>
    <s v="Não"/>
    <s v="Não"/>
    <s v="Não"/>
    <n v="15.254999999999999"/>
    <n v="15.254999999999999"/>
  </r>
  <r>
    <s v="VGSP-348_112,000_EN_CL2"/>
    <x v="0"/>
    <s v="112,000"/>
    <m/>
    <s v="112,500"/>
    <m/>
    <x v="0"/>
    <s v="N"/>
    <n v="-22.870784706364599"/>
    <n v="-47.265986204664877"/>
    <n v="6.27"/>
    <n v="3.02"/>
    <m/>
    <m/>
    <n v="0"/>
    <m/>
    <m/>
    <s v="Não"/>
    <s v="Não"/>
    <s v="Não"/>
    <s v="Não"/>
    <n v="0"/>
    <n v="0"/>
  </r>
  <r>
    <s v="VGSP-330_112,000_EN_CL7"/>
    <x v="0"/>
    <s v="112,000"/>
    <m/>
    <s v="112,500"/>
    <m/>
    <x v="0"/>
    <s v="N"/>
    <n v="-22.811503227079822"/>
    <n v="-47.211590768702123"/>
    <n v="1599.94"/>
    <n v="4.4800000000000004"/>
    <n v="30"/>
    <m/>
    <n v="0"/>
    <s v="Trator 1.7m"/>
    <m/>
    <s v="Não"/>
    <s v="Não"/>
    <s v="Não"/>
    <s v="Não"/>
    <n v="479.98199999999997"/>
    <n v="479.98199999999997"/>
  </r>
  <r>
    <s v="VGSP-330_112,000_ES_CL10"/>
    <x v="0"/>
    <s v="112,000"/>
    <m/>
    <s v="112,500"/>
    <m/>
    <x v="0"/>
    <s v="S"/>
    <n v="-22.813716958677361"/>
    <n v="-47.209509701381108"/>
    <n v="775"/>
    <n v="4.3499999999999996"/>
    <n v="30"/>
    <m/>
    <n v="0"/>
    <s v="Trator 1.7m"/>
    <m/>
    <s v="Não"/>
    <s v="Não"/>
    <s v="Não"/>
    <s v="Não"/>
    <n v="232.5"/>
    <n v="232.5"/>
  </r>
  <r>
    <s v="VGSP-348_112,000_CC1"/>
    <x v="148"/>
    <s v="112,000"/>
    <m/>
    <s v="112,500"/>
    <n v="0.5"/>
    <x v="1"/>
    <s v="C"/>
    <n v="-22.87183612250443"/>
    <n v="-47.265526835630361"/>
    <n v="1781.72"/>
    <n v="2.4900000000000002"/>
    <n v="80"/>
    <m/>
    <n v="0"/>
    <s v="Trator 1.7m"/>
    <m/>
    <s v="Não"/>
    <s v="Não"/>
    <s v="Não"/>
    <s v="Não"/>
    <n v="1425.3760000000002"/>
    <n v="1425.3760000000002"/>
  </r>
  <r>
    <s v="VGSP-348_112,000_ES_CL2"/>
    <x v="0"/>
    <s v="112,000"/>
    <m/>
    <s v="112,500"/>
    <m/>
    <x v="0"/>
    <s v="S"/>
    <n v="-22.87160198656365"/>
    <n v="-47.271909391478459"/>
    <n v="2418.63"/>
    <n v="3.37"/>
    <n v="45"/>
    <m/>
    <n v="1088.3835000000001"/>
    <s v="Trator com braço articulado"/>
    <m/>
    <s v="Não"/>
    <s v="Sim"/>
    <s v="Não"/>
    <s v="Sim"/>
    <n v="0"/>
    <m/>
  </r>
  <r>
    <s v="VGSP-348_112,000_EN_CL1"/>
    <x v="0"/>
    <s v="112,000"/>
    <m/>
    <s v="112,500"/>
    <m/>
    <x v="0"/>
    <s v="N"/>
    <n v="-22.871625083030931"/>
    <n v="-47.265512296552821"/>
    <n v="684.17"/>
    <n v="2.25"/>
    <n v="80"/>
    <m/>
    <n v="547.33600000000001"/>
    <s v="Trator com braço articulado"/>
    <m/>
    <s v="Não"/>
    <s v="Não"/>
    <s v="Não"/>
    <s v="Sim"/>
    <n v="0"/>
    <m/>
  </r>
  <r>
    <s v="VGSP-348_112,000_EN_CL4"/>
    <x v="0"/>
    <s v="112,000"/>
    <m/>
    <s v="112,500"/>
    <m/>
    <x v="0"/>
    <s v="N"/>
    <n v="-22.87155438313269"/>
    <n v="-47.267749212959593"/>
    <n v="975.05"/>
    <n v="2.89"/>
    <n v="80"/>
    <m/>
    <n v="780.04"/>
    <s v="Trator com braço articulado"/>
    <m/>
    <s v="Não"/>
    <s v="Sim"/>
    <s v="Não"/>
    <s v="Não"/>
    <n v="0"/>
    <m/>
  </r>
  <r>
    <s v="VGSP-330_112,000_CC2"/>
    <x v="149"/>
    <s v="112,000"/>
    <m/>
    <s v="112,500"/>
    <m/>
    <x v="1"/>
    <s v="C"/>
    <n v="-22.81500534628497"/>
    <n v="-47.207049296279493"/>
    <n v="5155.49"/>
    <n v="4.66"/>
    <n v="50"/>
    <m/>
    <n v="0"/>
    <s v="Trator 1.7m"/>
    <m/>
    <s v="Não"/>
    <s v="Não"/>
    <s v="Não"/>
    <s v="Não"/>
    <n v="2577.7449999999999"/>
    <n v="2577.7449999999999"/>
  </r>
  <r>
    <s v="VGSP-348_112,000_ES_CL3"/>
    <x v="0"/>
    <s v="112,000"/>
    <m/>
    <s v="112,500"/>
    <m/>
    <x v="0"/>
    <s v="S"/>
    <n v="-22.871955784576269"/>
    <n v="-47.267795209585799"/>
    <n v="988.46"/>
    <n v="4.92"/>
    <n v="80"/>
    <m/>
    <n v="790.76800000000003"/>
    <s v="Trator com braço articulado"/>
    <m/>
    <s v="Não"/>
    <s v="Não"/>
    <s v="Não"/>
    <s v="Sim"/>
    <n v="0"/>
    <m/>
  </r>
  <r>
    <s v="VGSP-348_112,000_EN_CL3"/>
    <x v="0"/>
    <s v="112,000"/>
    <m/>
    <s v="112,500"/>
    <m/>
    <x v="0"/>
    <s v="N"/>
    <n v="-22.871196628190528"/>
    <n v="-47.271790100569838"/>
    <n v="2372.02"/>
    <n v="3.09"/>
    <n v="70"/>
    <m/>
    <n v="1660.414"/>
    <s v="Trator com braço articulado"/>
    <m/>
    <s v="Não"/>
    <s v="Sim"/>
    <s v="Não"/>
    <s v="Não"/>
    <n v="0"/>
    <m/>
  </r>
  <r>
    <s v="VGSP-330_112,000_ES_CL9"/>
    <x v="0"/>
    <s v="112,000"/>
    <m/>
    <s v="112,500"/>
    <m/>
    <x v="0"/>
    <s v="S"/>
    <n v="-22.813799870681091"/>
    <n v="-47.209761318285103"/>
    <n v="650.88"/>
    <n v="4.55"/>
    <n v="30"/>
    <m/>
    <n v="0"/>
    <s v="Trator 1.7m"/>
    <m/>
    <s v="Não"/>
    <s v="Não"/>
    <s v="Não"/>
    <s v="Não"/>
    <n v="195.26399999999998"/>
    <n v="195.26399999999998"/>
  </r>
  <r>
    <s v="VGSP-348_113,000_EN_CL1"/>
    <x v="0"/>
    <s v="113,000"/>
    <m/>
    <s v="113,500"/>
    <m/>
    <x v="0"/>
    <s v="N"/>
    <n v="-22.866819489036079"/>
    <n v="-47.279841768447277"/>
    <n v="1853.09"/>
    <n v="4.17"/>
    <n v="70"/>
    <m/>
    <n v="0"/>
    <s v="Trator 1.7m"/>
    <m/>
    <s v="Não"/>
    <s v="Não"/>
    <s v="Não"/>
    <s v="Não"/>
    <n v="1297.1629999999998"/>
    <n v="1297.1629999999998"/>
  </r>
  <r>
    <s v="VGSP-348_113,000_CC1"/>
    <x v="150"/>
    <s v="113,000"/>
    <m/>
    <s v="113,500"/>
    <n v="0.5"/>
    <x v="1"/>
    <s v="C"/>
    <n v="-22.869630755015169"/>
    <n v="-47.276572715007177"/>
    <n v="5301.15"/>
    <n v="3.46"/>
    <n v="80"/>
    <m/>
    <n v="0"/>
    <s v="Trator 1.7m"/>
    <m/>
    <s v="Não"/>
    <s v="Não"/>
    <s v="Não"/>
    <s v="Não"/>
    <n v="4240.92"/>
    <n v="4240.92"/>
  </r>
  <r>
    <s v="VGSP-330_113,000_CC5"/>
    <x v="151"/>
    <s v="113,000"/>
    <m/>
    <s v="113,500"/>
    <m/>
    <x v="1"/>
    <s v="C"/>
    <n v="-22.80596089539349"/>
    <n v="-47.217495146101648"/>
    <n v="1605.11"/>
    <n v="3.49"/>
    <n v="0"/>
    <m/>
    <n v="0"/>
    <m/>
    <m/>
    <s v="Sim"/>
    <s v="Não"/>
    <s v="Não"/>
    <s v="Não"/>
    <n v="0"/>
    <m/>
  </r>
  <r>
    <s v="VGSP-330_113,000_EN_CL12"/>
    <x v="0"/>
    <s v="113,000"/>
    <m/>
    <s v="113,500"/>
    <m/>
    <x v="0"/>
    <s v="N"/>
    <n v="-22.805418691146389"/>
    <n v="-47.217620776894947"/>
    <n v="17.45"/>
    <n v="4.26"/>
    <n v="30"/>
    <m/>
    <n v="0"/>
    <s v="Trator 1.7m"/>
    <m/>
    <s v="Não"/>
    <s v="Não"/>
    <s v="Não"/>
    <s v="Não"/>
    <n v="5.2349999999999994"/>
    <n v="5.2349999999999994"/>
  </r>
  <r>
    <s v="VGSP-330_113,000_EN_CL2"/>
    <x v="0"/>
    <s v="113,000"/>
    <m/>
    <s v="113,500"/>
    <m/>
    <x v="0"/>
    <s v="N"/>
    <n v="-22.810098438491881"/>
    <n v="-47.212932899959483"/>
    <n v="1561.7"/>
    <n v="2.95"/>
    <n v="30"/>
    <m/>
    <n v="0"/>
    <s v="Trator 1.7m"/>
    <m/>
    <s v="Não"/>
    <s v="Não"/>
    <s v="Não"/>
    <s v="Não"/>
    <n v="468.51"/>
    <n v="468.51"/>
  </r>
  <r>
    <s v="VGSP-330_113,000_ES_CL2"/>
    <x v="0"/>
    <s v="113,000"/>
    <m/>
    <s v="113,500"/>
    <m/>
    <x v="0"/>
    <s v="S"/>
    <n v="-22.81015186606253"/>
    <n v="-47.213689776446742"/>
    <n v="947.79"/>
    <n v="4.8499999999999996"/>
    <n v="0"/>
    <m/>
    <n v="0"/>
    <m/>
    <m/>
    <s v="Sim"/>
    <s v="Não"/>
    <s v="Não"/>
    <s v="Não"/>
    <n v="0"/>
    <m/>
  </r>
  <r>
    <s v="VGSP-330_113,000_CC1"/>
    <x v="151"/>
    <s v="113,000"/>
    <m/>
    <s v="113,500"/>
    <m/>
    <x v="1"/>
    <s v="C"/>
    <n v="-22.809862130768231"/>
    <n v="-47.213721006322153"/>
    <n v="1380.54"/>
    <n v="4.09"/>
    <n v="50"/>
    <m/>
    <n v="0"/>
    <s v="Trator 1.7m"/>
    <m/>
    <s v="Não"/>
    <s v="Não"/>
    <s v="Não"/>
    <s v="Não"/>
    <n v="690.27"/>
    <n v="690.27"/>
  </r>
  <r>
    <s v="VGSP-330_113,000_ES_CL4"/>
    <x v="0"/>
    <s v="113,000"/>
    <m/>
    <s v="113,500"/>
    <m/>
    <x v="0"/>
    <s v="S"/>
    <n v="-22.80733661155778"/>
    <n v="-47.216621577030537"/>
    <n v="28.82"/>
    <n v="4.9000000000000004"/>
    <n v="0"/>
    <m/>
    <n v="0"/>
    <m/>
    <m/>
    <s v="Não"/>
    <s v="Não"/>
    <s v="Não"/>
    <s v="Não"/>
    <n v="0"/>
    <n v="0"/>
  </r>
  <r>
    <s v="VGSP-330_113,000_ES_CL6"/>
    <x v="0"/>
    <s v="113,000"/>
    <m/>
    <s v="113,500"/>
    <m/>
    <x v="0"/>
    <s v="S"/>
    <n v="-22.804028325634452"/>
    <n v="-47.219347883556608"/>
    <n v="489.3"/>
    <n v="4.84"/>
    <n v="0"/>
    <m/>
    <n v="0"/>
    <m/>
    <m/>
    <s v="Sim"/>
    <s v="Não"/>
    <s v="Não"/>
    <s v="Não"/>
    <n v="0"/>
    <m/>
  </r>
  <r>
    <s v="VGSP-330_113,000_EN_CL5"/>
    <x v="0"/>
    <s v="113,000"/>
    <m/>
    <s v="113,500"/>
    <m/>
    <x v="0"/>
    <s v="N"/>
    <n v="-22.808277499709391"/>
    <n v="-47.214280689108122"/>
    <n v="1411.05"/>
    <n v="2.4700000000000002"/>
    <n v="30"/>
    <m/>
    <n v="0"/>
    <s v="Trator 1.7m"/>
    <m/>
    <s v="Não"/>
    <s v="Não"/>
    <s v="Não"/>
    <s v="Não"/>
    <n v="423.315"/>
    <n v="423.315"/>
  </r>
  <r>
    <s v="VGSP-330_113,000_EN_CL15"/>
    <x v="0"/>
    <s v="113,000"/>
    <m/>
    <s v="113,500"/>
    <m/>
    <x v="0"/>
    <s v="N"/>
    <n v="-22.804370049050949"/>
    <n v="-47.218532307060727"/>
    <n v="173.62"/>
    <n v="3.91"/>
    <n v="30"/>
    <m/>
    <n v="0"/>
    <s v="Trator 1.7m"/>
    <m/>
    <s v="Não"/>
    <s v="Não"/>
    <s v="Não"/>
    <s v="Não"/>
    <n v="52.085999999999999"/>
    <n v="52.085999999999999"/>
  </r>
  <r>
    <s v="VGSP-348_113,000_EN_CL2"/>
    <x v="0"/>
    <s v="113,000"/>
    <m/>
    <s v="113,500"/>
    <m/>
    <x v="0"/>
    <s v="N"/>
    <n v="-22.869460749373779"/>
    <n v="-47.27643673477192"/>
    <n v="1802.96"/>
    <n v="3.48"/>
    <n v="70"/>
    <m/>
    <n v="0"/>
    <s v="Trator 1.7m"/>
    <m/>
    <s v="Não"/>
    <s v="Não"/>
    <s v="Não"/>
    <s v="Não"/>
    <n v="1262.0719999999999"/>
    <n v="1262.0719999999999"/>
  </r>
  <r>
    <s v="VGSP-330_113,000_EN_CL9"/>
    <x v="0"/>
    <s v="113,000"/>
    <m/>
    <s v="113,500"/>
    <m/>
    <x v="0"/>
    <s v="N"/>
    <n v="-22.806778517332461"/>
    <n v="-47.216308634367273"/>
    <n v="151.09"/>
    <n v="4.63"/>
    <n v="30"/>
    <m/>
    <n v="0"/>
    <s v="Trator 1.7m"/>
    <m/>
    <s v="Não"/>
    <s v="Não"/>
    <s v="Não"/>
    <s v="Não"/>
    <n v="45.326999999999998"/>
    <n v="45.326999999999998"/>
  </r>
  <r>
    <s v="VGSP-330_113,000_EN_CL1"/>
    <x v="0"/>
    <s v="113,000"/>
    <m/>
    <s v="113,500"/>
    <m/>
    <x v="0"/>
    <s v="N"/>
    <n v="-22.809795489162031"/>
    <n v="-47.21354219461859"/>
    <n v="986.22"/>
    <n v="3.89"/>
    <n v="30"/>
    <m/>
    <n v="0"/>
    <s v="Trator 1.7m"/>
    <m/>
    <s v="Não"/>
    <s v="Não"/>
    <s v="Não"/>
    <s v="Não"/>
    <n v="295.86599999999999"/>
    <n v="295.86599999999999"/>
  </r>
  <r>
    <s v="VGSP-330_113,000_CC3"/>
    <x v="151"/>
    <s v="113,000"/>
    <m/>
    <s v="113,500"/>
    <m/>
    <x v="1"/>
    <s v="C"/>
    <n v="-22.80850755675463"/>
    <n v="-47.215527029404541"/>
    <n v="3616.03"/>
    <n v="3.53"/>
    <n v="30"/>
    <m/>
    <n v="0"/>
    <s v="Trator 1.7m"/>
    <m/>
    <s v="Não"/>
    <s v="Não"/>
    <s v="Não"/>
    <s v="Não"/>
    <n v="1084.809"/>
    <n v="1084.809"/>
  </r>
  <r>
    <s v="VGSP-330_113,000_CC2"/>
    <x v="151"/>
    <s v="113,000"/>
    <m/>
    <s v="113,500"/>
    <m/>
    <x v="1"/>
    <s v="C"/>
    <n v="-22.809328429709101"/>
    <n v="-47.214785322523781"/>
    <n v="3143.21"/>
    <n v="5.91"/>
    <n v="30"/>
    <m/>
    <n v="0"/>
    <s v="Trator 1.7m"/>
    <m/>
    <s v="Não"/>
    <s v="Não"/>
    <s v="Não"/>
    <s v="Não"/>
    <n v="942.96299999999997"/>
    <n v="942.96299999999997"/>
  </r>
  <r>
    <s v="VGSP-330_113,000_CC7"/>
    <x v="151"/>
    <s v="113,000"/>
    <m/>
    <s v="113,500"/>
    <m/>
    <x v="1"/>
    <s v="C"/>
    <n v="-22.803771270185699"/>
    <n v="-47.219268051469847"/>
    <n v="2148.1"/>
    <n v="4.17"/>
    <n v="30"/>
    <m/>
    <n v="0"/>
    <s v="Trator 1.7m"/>
    <m/>
    <s v="Não"/>
    <s v="Não"/>
    <s v="Não"/>
    <s v="Não"/>
    <n v="644.42999999999995"/>
    <n v="644.42999999999995"/>
  </r>
  <r>
    <s v="VGSP-330_113,000_CC6"/>
    <x v="151"/>
    <s v="113,000"/>
    <m/>
    <s v="113,500"/>
    <m/>
    <x v="1"/>
    <s v="C"/>
    <n v="-22.804547994811799"/>
    <n v="-47.21885071905249"/>
    <n v="295.08999999999997"/>
    <n v="4.42"/>
    <n v="0"/>
    <m/>
    <n v="0"/>
    <m/>
    <m/>
    <s v="Sim"/>
    <s v="Não"/>
    <s v="Não"/>
    <s v="Não"/>
    <n v="0"/>
    <m/>
  </r>
  <r>
    <s v="VGSP-330_113,000_CC4"/>
    <x v="151"/>
    <s v="113,000"/>
    <m/>
    <s v="113,500"/>
    <m/>
    <x v="1"/>
    <s v="C"/>
    <n v="-22.807858594590851"/>
    <n v="-47.21566667543096"/>
    <n v="940.74"/>
    <n v="3.28"/>
    <n v="0"/>
    <m/>
    <n v="0"/>
    <m/>
    <m/>
    <s v="Sim"/>
    <s v="Não"/>
    <s v="Não"/>
    <s v="Não"/>
    <n v="0"/>
    <m/>
  </r>
  <r>
    <s v="VGSP-348_113,000_CC2"/>
    <x v="150"/>
    <s v="113,000"/>
    <m/>
    <s v="113,500"/>
    <n v="0.5"/>
    <x v="1"/>
    <s v="C"/>
    <n v="-22.86695909857653"/>
    <n v="-47.280015100563872"/>
    <n v="5373.8"/>
    <n v="4.68"/>
    <n v="80"/>
    <m/>
    <n v="0"/>
    <s v="Trator 1.7m"/>
    <m/>
    <s v="Não"/>
    <s v="Não"/>
    <s v="Não"/>
    <s v="Não"/>
    <n v="4299.04"/>
    <n v="4299.04"/>
  </r>
  <r>
    <s v="VGSP-330_113,000_EN_CL4"/>
    <x v="0"/>
    <s v="113,000"/>
    <m/>
    <s v="113,500"/>
    <m/>
    <x v="0"/>
    <s v="N"/>
    <n v="-22.80920547859024"/>
    <n v="-47.213782768354783"/>
    <n v="6138.1"/>
    <n v="3.67"/>
    <n v="30"/>
    <m/>
    <n v="0"/>
    <s v="Trator 1.7m"/>
    <m/>
    <s v="Não"/>
    <s v="Não"/>
    <s v="Não"/>
    <s v="Não"/>
    <n v="1841.43"/>
    <n v="1841.43"/>
  </r>
  <r>
    <s v="VGSP-330_113,000_EN_CL3"/>
    <x v="0"/>
    <s v="113,000"/>
    <m/>
    <s v="113,500"/>
    <m/>
    <x v="0"/>
    <s v="N"/>
    <n v="-22.809337544257819"/>
    <n v="-47.213321370041797"/>
    <n v="1401.16"/>
    <n v="3.67"/>
    <n v="30"/>
    <m/>
    <n v="0"/>
    <s v="Trator 1.7m"/>
    <m/>
    <s v="Não"/>
    <s v="Não"/>
    <s v="Não"/>
    <s v="Não"/>
    <n v="420.34800000000001"/>
    <n v="420.34800000000001"/>
  </r>
  <r>
    <s v="VGSP-330_113,000_ES_CL1"/>
    <x v="0"/>
    <s v="113,000"/>
    <m/>
    <s v="113,500"/>
    <m/>
    <x v="0"/>
    <s v="S"/>
    <n v="-22.810435901426221"/>
    <n v="-47.21357640161024"/>
    <n v="534.94000000000005"/>
    <n v="3.62"/>
    <n v="30"/>
    <m/>
    <n v="0"/>
    <s v="Trator 1.7m"/>
    <m/>
    <s v="Não"/>
    <s v="Não"/>
    <s v="Não"/>
    <s v="Não"/>
    <n v="160.482"/>
    <n v="160.482"/>
  </r>
  <r>
    <s v="VGSP-330_113,000_ES_CL5"/>
    <x v="0"/>
    <s v="113,000"/>
    <m/>
    <s v="113,500"/>
    <m/>
    <x v="0"/>
    <s v="S"/>
    <n v="-22.809104885178979"/>
    <n v="-47.215342763030797"/>
    <n v="1377.68"/>
    <n v="5.51"/>
    <n v="30"/>
    <m/>
    <n v="0"/>
    <s v="Trator 1.7m"/>
    <m/>
    <s v="Não"/>
    <s v="Não"/>
    <s v="Não"/>
    <s v="Não"/>
    <n v="413.30400000000003"/>
    <n v="413.30400000000003"/>
  </r>
  <r>
    <s v="VGSP-330_113,000_EN_CL7"/>
    <x v="0"/>
    <s v="113,000"/>
    <m/>
    <s v="113,500"/>
    <m/>
    <x v="0"/>
    <s v="N"/>
    <n v="-22.80808750613177"/>
    <n v="-47.214454481719329"/>
    <n v="79.17"/>
    <n v="2.3199999999999998"/>
    <n v="30"/>
    <m/>
    <n v="0"/>
    <s v="Trator 1.7m"/>
    <m/>
    <s v="Não"/>
    <s v="Não"/>
    <s v="Não"/>
    <s v="Não"/>
    <n v="23.751000000000001"/>
    <n v="23.751000000000001"/>
  </r>
  <r>
    <s v="VGSP-330_113,000_EN_CL10"/>
    <x v="0"/>
    <s v="113,000"/>
    <m/>
    <s v="113,500"/>
    <m/>
    <x v="0"/>
    <s v="N"/>
    <n v="-22.805796251550181"/>
    <n v="-47.217413516920253"/>
    <n v="1535.39"/>
    <n v="3.83"/>
    <n v="30"/>
    <m/>
    <n v="0"/>
    <s v="Trator 1.7m"/>
    <m/>
    <s v="Não"/>
    <s v="Não"/>
    <s v="Não"/>
    <s v="Não"/>
    <n v="460.61700000000002"/>
    <n v="460.61700000000002"/>
  </r>
  <r>
    <s v="VGSP-330_113,000_EN_CL14"/>
    <x v="0"/>
    <s v="113,000"/>
    <m/>
    <s v="113,500"/>
    <m/>
    <x v="0"/>
    <s v="N"/>
    <n v="-22.804436848089448"/>
    <n v="-47.21869301380795"/>
    <n v="425.49"/>
    <n v="3.87"/>
    <n v="30"/>
    <m/>
    <n v="0"/>
    <s v="Trator 1.7m"/>
    <m/>
    <s v="Não"/>
    <s v="Não"/>
    <s v="Não"/>
    <s v="Não"/>
    <n v="127.64699999999999"/>
    <n v="127.64699999999999"/>
  </r>
  <r>
    <s v="VGSP-348_113,000_ES_CL2"/>
    <x v="0"/>
    <s v="113,000"/>
    <m/>
    <s v="113,500"/>
    <m/>
    <x v="0"/>
    <s v="S"/>
    <n v="-22.869817033123319"/>
    <n v="-47.276671897693262"/>
    <n v="1864.06"/>
    <n v="3.49"/>
    <n v="70"/>
    <m/>
    <n v="0"/>
    <s v="Trator 1.7m"/>
    <m/>
    <s v="Não"/>
    <s v="Não"/>
    <s v="Não"/>
    <s v="Não"/>
    <n v="1304.8419999999999"/>
    <n v="1304.8419999999999"/>
  </r>
  <r>
    <s v="VGSP-330_113,000_EN_CL6"/>
    <x v="0"/>
    <s v="113,000"/>
    <m/>
    <s v="113,500"/>
    <m/>
    <x v="0"/>
    <s v="N"/>
    <n v="-22.808271571822669"/>
    <n v="-47.215046837536129"/>
    <n v="258.33"/>
    <n v="2.82"/>
    <n v="30"/>
    <m/>
    <n v="0"/>
    <s v="Trator 1.7m"/>
    <m/>
    <s v="Não"/>
    <s v="Não"/>
    <s v="Não"/>
    <s v="Não"/>
    <n v="77.498999999999995"/>
    <n v="77.498999999999995"/>
  </r>
  <r>
    <s v="VGSP-330_113,000_EN_CL13"/>
    <x v="0"/>
    <s v="113,000"/>
    <m/>
    <s v="113,500"/>
    <m/>
    <x v="0"/>
    <s v="N"/>
    <n v="-22.805031801769861"/>
    <n v="-47.217956458649937"/>
    <n v="112.28"/>
    <n v="4.82"/>
    <n v="30"/>
    <m/>
    <n v="0"/>
    <s v="Trator 1.7m"/>
    <m/>
    <s v="Não"/>
    <s v="Não"/>
    <s v="Não"/>
    <s v="Não"/>
    <n v="33.683999999999997"/>
    <n v="33.683999999999997"/>
  </r>
  <r>
    <s v="VGSP-330_113,000_EN_CL11"/>
    <x v="0"/>
    <s v="113,000"/>
    <m/>
    <s v="113,500"/>
    <m/>
    <x v="0"/>
    <s v="N"/>
    <n v="-22.807472345468401"/>
    <n v="-47.2158116964901"/>
    <n v="441.9"/>
    <n v="3.35"/>
    <n v="30"/>
    <m/>
    <n v="0"/>
    <s v="Trator 1.7m"/>
    <m/>
    <s v="Não"/>
    <s v="Não"/>
    <s v="Não"/>
    <s v="Não"/>
    <n v="132.57"/>
    <n v="132.57"/>
  </r>
  <r>
    <s v="VGSP-330_113,000_EN_CL8"/>
    <x v="0"/>
    <s v="113,000"/>
    <m/>
    <s v="113,500"/>
    <m/>
    <x v="0"/>
    <s v="N"/>
    <n v="-22.807826711962779"/>
    <n v="-47.215243586105458"/>
    <n v="1246.7"/>
    <n v="3.02"/>
    <n v="30"/>
    <m/>
    <n v="0"/>
    <s v="Trator 1.7m"/>
    <m/>
    <s v="Não"/>
    <s v="Não"/>
    <s v="Não"/>
    <s v="Não"/>
    <n v="374.01"/>
    <n v="374.01"/>
  </r>
  <r>
    <s v="VGSP-348_113,000_ES_CL1"/>
    <x v="0"/>
    <s v="113,000"/>
    <m/>
    <s v="113,500"/>
    <m/>
    <x v="0"/>
    <s v="S"/>
    <n v="-22.867131167656019"/>
    <n v="-47.280139886774897"/>
    <n v="1856.08"/>
    <n v="5.14"/>
    <n v="70"/>
    <m/>
    <n v="0"/>
    <s v="Trator 1.7m"/>
    <m/>
    <s v="Não"/>
    <s v="Não"/>
    <s v="Não"/>
    <s v="Não"/>
    <n v="1299.2559999999999"/>
    <n v="1299.2559999999999"/>
  </r>
  <r>
    <s v="VGSP-330_113,000_ES_CL3"/>
    <x v="0"/>
    <s v="113,000"/>
    <m/>
    <s v="113,500"/>
    <m/>
    <x v="0"/>
    <s v="S"/>
    <n v="-22.809316088234151"/>
    <n v="-47.214989690100253"/>
    <n v="2286.39"/>
    <n v="4.3"/>
    <n v="30"/>
    <m/>
    <n v="0"/>
    <s v="Trator 1.7m"/>
    <m/>
    <s v="Não"/>
    <s v="Não"/>
    <s v="Não"/>
    <s v="Não"/>
    <n v="685.91699999999992"/>
    <n v="685.91699999999992"/>
  </r>
  <r>
    <s v="VGSP-348_114,000_EN_CL3"/>
    <x v="0"/>
    <s v="114,000"/>
    <m/>
    <s v="114,500"/>
    <m/>
    <x v="0"/>
    <s v="N"/>
    <n v="-22.863013291545549"/>
    <n v="-47.284337125766818"/>
    <n v="1012.38"/>
    <n v="3.01"/>
    <n v="70"/>
    <m/>
    <n v="0"/>
    <s v="Trator 1.7m"/>
    <m/>
    <s v="Não"/>
    <s v="Não"/>
    <s v="Não"/>
    <s v="Não"/>
    <n v="708.66599999999994"/>
    <n v="708.66599999999994"/>
  </r>
  <r>
    <s v="VGSP-330_114,000_ES_CL2"/>
    <x v="0"/>
    <s v="114,000"/>
    <m/>
    <s v="114,500"/>
    <m/>
    <x v="0"/>
    <s v="S"/>
    <n v="-22.803285885707378"/>
    <n v="-47.221609511237183"/>
    <n v="19.350000000000001"/>
    <n v="1.77"/>
    <n v="0"/>
    <m/>
    <n v="0"/>
    <m/>
    <m/>
    <s v="Não"/>
    <s v="Não"/>
    <s v="Não"/>
    <s v="Não"/>
    <n v="0"/>
    <n v="0"/>
  </r>
  <r>
    <s v="VGSP-348_114,000_CC3"/>
    <x v="152"/>
    <s v="114,000"/>
    <m/>
    <s v="114,500"/>
    <n v="0.5"/>
    <x v="1"/>
    <s v="C"/>
    <n v="-22.865378744449441"/>
    <n v="-47.281889816989242"/>
    <n v="342.01"/>
    <n v="1.32"/>
    <n v="80"/>
    <m/>
    <n v="0"/>
    <s v="Trator 1.7m"/>
    <m/>
    <s v="Não"/>
    <s v="Não"/>
    <s v="Não"/>
    <s v="Não"/>
    <n v="273.608"/>
    <n v="273.608"/>
  </r>
  <r>
    <s v="VGSP-348_114,000_ES_CL4"/>
    <x v="0"/>
    <s v="114,000"/>
    <m/>
    <s v="114,500"/>
    <m/>
    <x v="0"/>
    <s v="S"/>
    <n v="-22.860429318456269"/>
    <n v="-47.289393764709793"/>
    <n v="3548.25"/>
    <n v="5.1100000000000003"/>
    <n v="70"/>
    <m/>
    <n v="0"/>
    <s v="Trator 1.7m"/>
    <m/>
    <s v="Não"/>
    <s v="Não"/>
    <s v="Não"/>
    <s v="Não"/>
    <n v="2483.7749999999996"/>
    <n v="2483.7749999999996"/>
  </r>
  <r>
    <s v="VGSP-348_114,000_ES_CL1"/>
    <x v="0"/>
    <s v="114,000"/>
    <m/>
    <s v="114,500"/>
    <m/>
    <x v="0"/>
    <s v="S"/>
    <n v="-22.86403295668439"/>
    <n v="-47.283834295294248"/>
    <n v="1850.83"/>
    <n v="2.97"/>
    <n v="70"/>
    <m/>
    <n v="0"/>
    <s v="Trator 1.7m"/>
    <m/>
    <s v="Não"/>
    <s v="Não"/>
    <s v="Não"/>
    <s v="Não"/>
    <n v="1295.5809999999999"/>
    <n v="1295.5809999999999"/>
  </r>
  <r>
    <s v="VGSP-348_114,000_ES_CL2"/>
    <x v="0"/>
    <s v="114,000"/>
    <m/>
    <s v="114,500"/>
    <m/>
    <x v="0"/>
    <s v="S"/>
    <n v="-22.86125698180382"/>
    <n v="-47.287910357833788"/>
    <n v="2290.12"/>
    <n v="4.9800000000000004"/>
    <n v="70"/>
    <m/>
    <n v="0"/>
    <s v="Trator 1.7m"/>
    <m/>
    <s v="Não"/>
    <s v="Não"/>
    <s v="Não"/>
    <s v="Não"/>
    <n v="1603.0839999999998"/>
    <n v="1603.0839999999998"/>
  </r>
  <r>
    <s v="VGSP-330_114,000_EN_CL2"/>
    <x v="0"/>
    <s v="114,000"/>
    <m/>
    <s v="114,500"/>
    <m/>
    <x v="0"/>
    <s v="N"/>
    <n v="-22.798449701359061"/>
    <n v="-47.222680983155378"/>
    <n v="1751.7"/>
    <n v="3.32"/>
    <n v="30"/>
    <m/>
    <n v="0"/>
    <s v="Trator 1.7m"/>
    <m/>
    <s v="Não"/>
    <s v="Não"/>
    <s v="Não"/>
    <s v="Não"/>
    <n v="525.51"/>
    <n v="525.51"/>
  </r>
  <r>
    <s v="VGSP-330_114,000_CC4"/>
    <x v="153"/>
    <s v="114,000"/>
    <m/>
    <s v="114,500"/>
    <m/>
    <x v="1"/>
    <s v="C"/>
    <n v="-22.797672735920411"/>
    <n v="-47.223492516208857"/>
    <n v="2289.84"/>
    <n v="3.21"/>
    <n v="50"/>
    <m/>
    <n v="0"/>
    <s v="Trator 1.7m"/>
    <m/>
    <s v="Não"/>
    <s v="Não"/>
    <s v="Não"/>
    <s v="Não"/>
    <n v="1144.92"/>
    <n v="1144.92"/>
  </r>
  <r>
    <s v="VGSP-348_114,000_ES_CL3"/>
    <x v="0"/>
    <s v="114,000"/>
    <m/>
    <s v="114,500"/>
    <m/>
    <x v="0"/>
    <s v="S"/>
    <n v="-22.865511609052881"/>
    <n v="-47.282065548528692"/>
    <n v="82.51"/>
    <n v="0.93"/>
    <n v="0"/>
    <m/>
    <n v="0"/>
    <m/>
    <m/>
    <s v="Não"/>
    <s v="Não"/>
    <s v="Não"/>
    <s v="Não"/>
    <n v="0"/>
    <n v="0"/>
  </r>
  <r>
    <s v="VGSP-330_114,000_ES_CL4"/>
    <x v="0"/>
    <s v="114,000"/>
    <m/>
    <s v="114,500"/>
    <m/>
    <x v="0"/>
    <s v="S"/>
    <n v="-22.801131891646261"/>
    <n v="-47.222099381599477"/>
    <n v="868.3"/>
    <n v="3.25"/>
    <n v="30"/>
    <m/>
    <n v="0"/>
    <s v="Trator 1.7m"/>
    <m/>
    <s v="Não"/>
    <s v="Não"/>
    <s v="Não"/>
    <s v="Não"/>
    <n v="260.48999999999995"/>
    <n v="260.48999999999995"/>
  </r>
  <r>
    <s v="VGSP-330_114,000_ES_CL1"/>
    <x v="0"/>
    <s v="114,000"/>
    <m/>
    <s v="114,500"/>
    <m/>
    <x v="0"/>
    <s v="S"/>
    <n v="-22.803435079457319"/>
    <n v="-47.220888048701077"/>
    <n v="7377.92"/>
    <n v="2.69"/>
    <n v="30"/>
    <m/>
    <n v="0"/>
    <s v="Trator 1.7m"/>
    <m/>
    <s v="Não"/>
    <s v="Não"/>
    <s v="Não"/>
    <s v="Não"/>
    <n v="2213.3759999999997"/>
    <n v="2213.3759999999997"/>
  </r>
  <r>
    <s v="VGSP-330_114,000_CC1"/>
    <x v="153"/>
    <s v="114,000"/>
    <m/>
    <s v="114,500"/>
    <m/>
    <x v="1"/>
    <s v="C"/>
    <n v="-22.802696104562141"/>
    <n v="-47.220179100061713"/>
    <n v="3117.57"/>
    <n v="2.5"/>
    <n v="30"/>
    <m/>
    <n v="0"/>
    <s v="Trator 1.7m"/>
    <m/>
    <s v="Não"/>
    <s v="Não"/>
    <s v="Não"/>
    <s v="Não"/>
    <n v="935.27099999999996"/>
    <n v="935.27099999999996"/>
  </r>
  <r>
    <s v="VGSP-330_114,000_EN_CL1"/>
    <x v="0"/>
    <s v="114,000"/>
    <m/>
    <s v="114,500"/>
    <m/>
    <x v="0"/>
    <s v="N"/>
    <n v="-22.80223149777494"/>
    <n v="-47.220291834018241"/>
    <n v="2208.25"/>
    <n v="2.88"/>
    <n v="30"/>
    <m/>
    <n v="0"/>
    <s v="Trator 1.7m"/>
    <m/>
    <s v="Não"/>
    <s v="Não"/>
    <s v="Não"/>
    <s v="Não"/>
    <n v="662.47500000000002"/>
    <n v="662.47500000000002"/>
  </r>
  <r>
    <s v="VGSP-330_114,000_CC3"/>
    <x v="153"/>
    <s v="114,000"/>
    <m/>
    <s v="114,500"/>
    <m/>
    <x v="1"/>
    <s v="C"/>
    <n v="-22.79946031289948"/>
    <n v="-47.222583878214998"/>
    <n v="2456"/>
    <n v="3.23"/>
    <n v="50"/>
    <m/>
    <n v="0"/>
    <s v="Trator 1.7m"/>
    <m/>
    <s v="Não"/>
    <s v="Não"/>
    <s v="Não"/>
    <s v="Não"/>
    <n v="1228"/>
    <n v="1228"/>
  </r>
  <r>
    <s v="VGSP-348_114,000_CC1"/>
    <x v="152"/>
    <s v="114,000"/>
    <m/>
    <s v="114,500"/>
    <n v="0.5"/>
    <x v="1"/>
    <s v="C"/>
    <n v="-22.863865880841779"/>
    <n v="-47.283699647117288"/>
    <n v="5667.03"/>
    <n v="2.5299999999999998"/>
    <n v="80"/>
    <m/>
    <n v="0"/>
    <s v="Trator 1.7m"/>
    <m/>
    <s v="Não"/>
    <s v="Não"/>
    <s v="Não"/>
    <s v="Não"/>
    <n v="4533.6239999999998"/>
    <n v="4533.6239999999998"/>
  </r>
  <r>
    <s v="VGSP-348_114,000_CC2"/>
    <x v="152"/>
    <s v="114,000"/>
    <m/>
    <s v="114,500"/>
    <n v="0.5"/>
    <x v="1"/>
    <s v="C"/>
    <n v="-22.860988419767221"/>
    <n v="-47.287758375191707"/>
    <n v="6706.23"/>
    <n v="4.54"/>
    <n v="80"/>
    <m/>
    <n v="0"/>
    <s v="Trator 1.7m"/>
    <m/>
    <s v="Não"/>
    <s v="Não"/>
    <s v="Não"/>
    <s v="Não"/>
    <n v="5364.9840000000004"/>
    <n v="5364.9840000000004"/>
  </r>
  <r>
    <s v="VGSP-330_114,000_CC2"/>
    <x v="153"/>
    <s v="114,000"/>
    <m/>
    <s v="114,500"/>
    <m/>
    <x v="1"/>
    <s v="C"/>
    <n v="-22.801713094705679"/>
    <n v="-47.221226420396668"/>
    <n v="4123.03"/>
    <n v="1.93"/>
    <n v="50"/>
    <m/>
    <n v="0"/>
    <s v="Trator 1.7m"/>
    <m/>
    <s v="Não"/>
    <s v="Não"/>
    <s v="Não"/>
    <s v="Não"/>
    <n v="2061.5149999999999"/>
    <n v="2061.5149999999999"/>
  </r>
  <r>
    <s v="VGSP-348_114,000_EN_CL4"/>
    <x v="0"/>
    <s v="114,000"/>
    <m/>
    <s v="114,500"/>
    <m/>
    <x v="0"/>
    <s v="N"/>
    <n v="-22.86095889981603"/>
    <n v="-47.287062385696068"/>
    <n v="1916.25"/>
    <n v="5.17"/>
    <n v="70"/>
    <m/>
    <n v="0"/>
    <s v="Trator 1.7m"/>
    <m/>
    <s v="Não"/>
    <s v="Não"/>
    <s v="Não"/>
    <s v="Não"/>
    <n v="1341.375"/>
    <n v="1341.375"/>
  </r>
  <r>
    <s v="VGSP-348_114,000_EN_CL2"/>
    <x v="0"/>
    <s v="114,000"/>
    <m/>
    <s v="114,500"/>
    <m/>
    <x v="0"/>
    <s v="N"/>
    <n v="-22.86520658739833"/>
    <n v="-47.281773077447838"/>
    <n v="86.55"/>
    <n v="1.17"/>
    <n v="70"/>
    <m/>
    <n v="0"/>
    <s v="Trator 1.7m"/>
    <m/>
    <s v="Não"/>
    <s v="Não"/>
    <s v="Não"/>
    <s v="Não"/>
    <n v="60.584999999999994"/>
    <n v="60.584999999999994"/>
  </r>
  <r>
    <s v="VGSP-348_114,000_EN_CL1"/>
    <x v="0"/>
    <s v="114,000"/>
    <m/>
    <s v="114,500"/>
    <m/>
    <x v="0"/>
    <s v="N"/>
    <n v="-22.864626741156059"/>
    <n v="-47.282403982436428"/>
    <n v="643.30999999999995"/>
    <n v="1.72"/>
    <n v="70"/>
    <m/>
    <n v="0"/>
    <s v="Trator 1.7m"/>
    <m/>
    <s v="Não"/>
    <s v="Não"/>
    <s v="Não"/>
    <s v="Não"/>
    <n v="450.31699999999995"/>
    <n v="450.31699999999995"/>
  </r>
  <r>
    <s v="VGSP-330_114,000_ES_CL5"/>
    <x v="0"/>
    <s v="114,000"/>
    <m/>
    <s v="114,500"/>
    <m/>
    <x v="0"/>
    <s v="S"/>
    <n v="-22.79953880049931"/>
    <n v="-47.222922381848733"/>
    <n v="1339.22"/>
    <n v="3.34"/>
    <n v="30"/>
    <m/>
    <n v="0"/>
    <s v="Trator 1.7m"/>
    <m/>
    <s v="Não"/>
    <s v="Não"/>
    <s v="Não"/>
    <s v="Não"/>
    <n v="401.76600000000002"/>
    <n v="401.76600000000002"/>
  </r>
  <r>
    <s v="VGSP-348_114,000_EN_CL5"/>
    <x v="0"/>
    <s v="114,000"/>
    <m/>
    <s v="114,500"/>
    <m/>
    <x v="0"/>
    <s v="N"/>
    <n v="-22.860054305167271"/>
    <n v="-47.28903147672812"/>
    <n v="3306.84"/>
    <n v="5.08"/>
    <n v="70"/>
    <m/>
    <n v="0"/>
    <s v="Trator 1.7m"/>
    <m/>
    <s v="Não"/>
    <s v="Não"/>
    <s v="Não"/>
    <s v="Não"/>
    <n v="2314.788"/>
    <n v="2314.788"/>
  </r>
  <r>
    <s v="VGSP-330_114,000_ES_CL6"/>
    <x v="0"/>
    <s v="114,000"/>
    <m/>
    <s v="114,500"/>
    <m/>
    <x v="0"/>
    <s v="S"/>
    <n v="-22.797460009162659"/>
    <n v="-47.223989439982837"/>
    <n v="427.89"/>
    <n v="2.86"/>
    <n v="30"/>
    <m/>
    <n v="0"/>
    <s v="Trator 1.7m"/>
    <m/>
    <s v="Não"/>
    <s v="Não"/>
    <s v="Não"/>
    <s v="Não"/>
    <n v="128.36699999999999"/>
    <n v="128.36699999999999"/>
  </r>
  <r>
    <s v="VGSP-330_114,000_ES_CL3"/>
    <x v="0"/>
    <s v="114,000"/>
    <m/>
    <s v="114,500"/>
    <m/>
    <x v="0"/>
    <s v="S"/>
    <n v="-22.802916910267559"/>
    <n v="-47.221214249350901"/>
    <n v="1382.68"/>
    <n v="2.5"/>
    <n v="30"/>
    <m/>
    <n v="0"/>
    <s v="Trator 1.7m"/>
    <m/>
    <s v="Não"/>
    <s v="Não"/>
    <s v="Não"/>
    <s v="Não"/>
    <n v="414.80400000000003"/>
    <n v="414.80400000000003"/>
  </r>
  <r>
    <s v="VGSP-348_114,000_EN_CL6"/>
    <x v="0"/>
    <s v="114,000"/>
    <m/>
    <s v="114,500"/>
    <m/>
    <x v="0"/>
    <s v="N"/>
    <n v="-22.859694832849261"/>
    <n v="-47.289397181248681"/>
    <n v="643.52"/>
    <n v="5.69"/>
    <n v="70"/>
    <m/>
    <n v="0"/>
    <s v="Trator 1.7m"/>
    <m/>
    <s v="Não"/>
    <s v="Não"/>
    <s v="Não"/>
    <s v="Não"/>
    <n v="450.46399999999994"/>
    <n v="450.46399999999994"/>
  </r>
  <r>
    <s v="VGSP-330_115,000_ES_CL5"/>
    <x v="0"/>
    <s v="115,000"/>
    <m/>
    <s v="115,500"/>
    <m/>
    <x v="0"/>
    <s v="S"/>
    <n v="-22.79300782518407"/>
    <n v="-47.22740072886544"/>
    <n v="0.42"/>
    <n v="3.37"/>
    <m/>
    <m/>
    <n v="0"/>
    <m/>
    <m/>
    <s v="Não"/>
    <s v="Não"/>
    <s v="Não"/>
    <s v="Não"/>
    <n v="0"/>
    <n v="0"/>
  </r>
  <r>
    <s v="VGSP-348_115,000_EN_CL6"/>
    <x v="0"/>
    <s v="115,000"/>
    <m/>
    <s v="115,500"/>
    <m/>
    <x v="0"/>
    <s v="N"/>
    <n v="-22.85837443876126"/>
    <n v="-47.290951990874653"/>
    <n v="158.91"/>
    <n v="1.06"/>
    <n v="70"/>
    <m/>
    <n v="0"/>
    <s v="Trator 1.7m"/>
    <m/>
    <s v="Não"/>
    <s v="Não"/>
    <s v="Não"/>
    <s v="Não"/>
    <n v="111.23699999999999"/>
    <n v="111.23699999999999"/>
  </r>
  <r>
    <s v="VGSP-330_115,000_EN_CL2"/>
    <x v="0"/>
    <s v="115,000"/>
    <m/>
    <s v="115,500"/>
    <m/>
    <x v="0"/>
    <s v="N"/>
    <n v="-22.791626380154099"/>
    <n v="-47.22530798448296"/>
    <n v="12.02"/>
    <n v="3.74"/>
    <n v="0"/>
    <m/>
    <n v="0"/>
    <m/>
    <m/>
    <s v="Não"/>
    <s v="Não"/>
    <s v="Não"/>
    <s v="Não"/>
    <n v="0"/>
    <n v="0"/>
  </r>
  <r>
    <s v="VGSP-330_115,000_CC3"/>
    <x v="154"/>
    <s v="115,000"/>
    <m/>
    <s v="115,500"/>
    <m/>
    <x v="1"/>
    <s v="C"/>
    <n v="-22.792351187908189"/>
    <n v="-47.227048022985748"/>
    <n v="6402.08"/>
    <n v="3.09"/>
    <n v="30"/>
    <m/>
    <n v="0"/>
    <s v="Trator 1.7m"/>
    <m/>
    <s v="Não"/>
    <s v="Não"/>
    <s v="Não"/>
    <s v="Não"/>
    <n v="1920.6239999999998"/>
    <n v="1920.6239999999998"/>
  </r>
  <r>
    <s v="VGSP-330_115,000_CC1"/>
    <x v="154"/>
    <s v="115,000"/>
    <m/>
    <s v="115,500"/>
    <m/>
    <x v="1"/>
    <s v="C"/>
    <n v="-22.794733739672871"/>
    <n v="-47.224983612091663"/>
    <n v="6267.78"/>
    <n v="2.2000000000000002"/>
    <n v="50"/>
    <m/>
    <n v="0"/>
    <s v="Trator 1.7m"/>
    <m/>
    <s v="Não"/>
    <s v="Não"/>
    <s v="Não"/>
    <s v="Não"/>
    <n v="3133.89"/>
    <n v="3133.89"/>
  </r>
  <r>
    <s v="VGSP-348_115,000_ES_CL8"/>
    <x v="0"/>
    <s v="115,000"/>
    <m/>
    <s v="115,500"/>
    <m/>
    <x v="0"/>
    <s v="S"/>
    <n v="-22.858473018832321"/>
    <n v="-47.297673066387489"/>
    <n v="1994.04"/>
    <n v="2.73"/>
    <n v="70"/>
    <m/>
    <n v="0"/>
    <s v="Trator 1.7m"/>
    <m/>
    <s v="Não"/>
    <s v="Não"/>
    <s v="Não"/>
    <s v="Não"/>
    <n v="1395.828"/>
    <n v="1395.828"/>
  </r>
  <r>
    <s v="VGSP-330_115,000_EN_CL3"/>
    <x v="0"/>
    <s v="115,000"/>
    <m/>
    <s v="115,500"/>
    <m/>
    <x v="0"/>
    <s v="N"/>
    <n v="-22.792616746285759"/>
    <n v="-47.225275937829821"/>
    <n v="6475.16"/>
    <n v="4.16"/>
    <n v="30"/>
    <m/>
    <n v="0"/>
    <s v="Trator 1.7m"/>
    <m/>
    <s v="Não"/>
    <s v="Não"/>
    <s v="Não"/>
    <s v="Não"/>
    <n v="1942.5479999999998"/>
    <n v="1942.5479999999998"/>
  </r>
  <r>
    <s v="VGSP-330_115,000_CC2"/>
    <x v="154"/>
    <s v="115,000"/>
    <m/>
    <s v="115,500"/>
    <m/>
    <x v="1"/>
    <s v="C"/>
    <n v="-22.793536724783969"/>
    <n v="-47.224994272864457"/>
    <n v="6438.68"/>
    <n v="3.82"/>
    <n v="30"/>
    <m/>
    <n v="0"/>
    <s v="Trator 1.7m"/>
    <m/>
    <s v="Não"/>
    <s v="Não"/>
    <s v="Não"/>
    <s v="Não"/>
    <n v="1931.604"/>
    <n v="1931.604"/>
  </r>
  <r>
    <s v="VGSP-330_115,000_ES_CL6"/>
    <x v="0"/>
    <s v="115,000"/>
    <m/>
    <s v="115,500"/>
    <m/>
    <x v="0"/>
    <s v="S"/>
    <n v="-22.792305037779471"/>
    <n v="-47.227596886839869"/>
    <n v="1271.04"/>
    <n v="3.34"/>
    <n v="30"/>
    <m/>
    <n v="0"/>
    <s v="Trator 1.7m"/>
    <m/>
    <s v="Não"/>
    <s v="Não"/>
    <s v="Não"/>
    <s v="Não"/>
    <n v="381.31199999999995"/>
    <n v="381.31199999999995"/>
  </r>
  <r>
    <s v="VGSP-330_115,000_EN_CL1"/>
    <x v="0"/>
    <s v="115,000"/>
    <m/>
    <s v="115,500"/>
    <m/>
    <x v="0"/>
    <s v="N"/>
    <n v="-22.794233710168211"/>
    <n v="-47.224465811724798"/>
    <n v="2391.37"/>
    <n v="4.37"/>
    <n v="30"/>
    <m/>
    <n v="0"/>
    <s v="Trator 1.7m"/>
    <m/>
    <s v="Não"/>
    <s v="Não"/>
    <s v="Não"/>
    <s v="Não"/>
    <n v="717.41099999999994"/>
    <n v="717.41099999999994"/>
  </r>
  <r>
    <s v="VGSP-330_115,000_EN_CL8"/>
    <x v="0"/>
    <s v="115,000"/>
    <m/>
    <s v="115,500"/>
    <m/>
    <x v="0"/>
    <s v="N"/>
    <n v="-22.788667062845029"/>
    <n v="-47.227704177762767"/>
    <n v="803.83"/>
    <n v="2.17"/>
    <n v="30"/>
    <m/>
    <n v="0"/>
    <s v="Trator 1.7m"/>
    <m/>
    <s v="Não"/>
    <s v="Não"/>
    <s v="Não"/>
    <s v="Não"/>
    <n v="241.149"/>
    <n v="241.149"/>
  </r>
  <r>
    <s v="VGSP-330_115,000_ES_CL2"/>
    <x v="0"/>
    <s v="115,000"/>
    <m/>
    <s v="115,500"/>
    <m/>
    <x v="0"/>
    <s v="S"/>
    <n v="-22.793200162579769"/>
    <n v="-47.228044689886971"/>
    <n v="1828.96"/>
    <n v="4.3899999999999997"/>
    <n v="30"/>
    <m/>
    <n v="0"/>
    <s v="Trator 1.7m"/>
    <m/>
    <s v="Não"/>
    <s v="Não"/>
    <s v="Não"/>
    <s v="Não"/>
    <n v="548.68799999999999"/>
    <n v="548.68799999999999"/>
  </r>
  <r>
    <s v="VGSP-348_115,000_ES_CL7"/>
    <x v="0"/>
    <s v="115,000"/>
    <m/>
    <s v="115,500"/>
    <m/>
    <x v="0"/>
    <s v="S"/>
    <n v="-22.859653148536271"/>
    <n v="-47.292478258515402"/>
    <n v="4714.7299999999996"/>
    <n v="1.8"/>
    <n v="70"/>
    <m/>
    <n v="0"/>
    <s v="Trator 1.7m"/>
    <m/>
    <s v="Não"/>
    <s v="Não"/>
    <s v="Não"/>
    <s v="Não"/>
    <n v="3300.3109999999997"/>
    <n v="3300.3109999999997"/>
  </r>
  <r>
    <s v="VGSP-348_115,000_ES_CL5"/>
    <x v="0"/>
    <s v="115,000"/>
    <m/>
    <s v="115,500"/>
    <m/>
    <x v="0"/>
    <s v="S"/>
    <n v="-22.860176861583788"/>
    <n v="-47.292263493157442"/>
    <n v="699.43"/>
    <n v="1.43"/>
    <n v="70"/>
    <m/>
    <n v="0"/>
    <s v="Trator 1.7m"/>
    <m/>
    <s v="Não"/>
    <s v="Não"/>
    <s v="Não"/>
    <s v="Não"/>
    <n v="489.60099999999994"/>
    <n v="489.60099999999994"/>
  </r>
  <r>
    <s v="VGSP-348_115,000_EN_CL5"/>
    <x v="0"/>
    <s v="115,000"/>
    <m/>
    <s v="115,500"/>
    <m/>
    <x v="0"/>
    <s v="N"/>
    <n v="-22.858609946951461"/>
    <n v="-47.29130856120112"/>
    <n v="724.45"/>
    <n v="2.2000000000000002"/>
    <n v="70"/>
    <m/>
    <n v="0"/>
    <s v="Trator 1.7m"/>
    <m/>
    <s v="Não"/>
    <s v="Não"/>
    <s v="Não"/>
    <s v="Não"/>
    <n v="507.11500000000001"/>
    <n v="507.11500000000001"/>
  </r>
  <r>
    <s v="VGSP-348_115,000_ES_CL6"/>
    <x v="0"/>
    <s v="115,000"/>
    <m/>
    <s v="115,500"/>
    <m/>
    <x v="0"/>
    <s v="S"/>
    <n v="-22.860271290293809"/>
    <n v="-47.292030509925723"/>
    <n v="797.05"/>
    <n v="2.39"/>
    <n v="70"/>
    <m/>
    <n v="0"/>
    <s v="Trator 1.7m"/>
    <m/>
    <s v="Não"/>
    <s v="Não"/>
    <s v="Não"/>
    <s v="Não"/>
    <n v="557.93499999999995"/>
    <n v="557.93499999999995"/>
  </r>
  <r>
    <s v="VGSP-348_115,000_CC1"/>
    <x v="155"/>
    <s v="115,000"/>
    <m/>
    <s v="115,500"/>
    <n v="0.5"/>
    <x v="1"/>
    <s v="C"/>
    <n v="-22.859645213782692"/>
    <n v="-47.290919127518727"/>
    <n v="1544.74"/>
    <n v="4.5999999999999996"/>
    <n v="80"/>
    <m/>
    <n v="0"/>
    <s v="Trator 1.7m"/>
    <m/>
    <s v="Não"/>
    <s v="Não"/>
    <s v="Não"/>
    <s v="Não"/>
    <n v="1235.7920000000001"/>
    <n v="1235.7920000000001"/>
  </r>
  <r>
    <s v="VGSP-348_115,000_ES_CL2"/>
    <x v="0"/>
    <s v="115,000"/>
    <m/>
    <s v="115,500"/>
    <m/>
    <x v="0"/>
    <s v="S"/>
    <n v="-22.86062131838499"/>
    <n v="-47.292284442021888"/>
    <n v="345.32"/>
    <n v="2.84"/>
    <n v="70"/>
    <m/>
    <n v="0"/>
    <s v="Trator 1.7m"/>
    <m/>
    <s v="Não"/>
    <s v="Não"/>
    <s v="Não"/>
    <s v="Não"/>
    <n v="241.72399999999999"/>
    <n v="241.72399999999999"/>
  </r>
  <r>
    <s v="VGSP-348_115,000_ES_CL1"/>
    <x v="0"/>
    <s v="115,000"/>
    <m/>
    <s v="115,500"/>
    <m/>
    <x v="0"/>
    <s v="S"/>
    <n v="-22.860497015918259"/>
    <n v="-47.291708057387332"/>
    <n v="1152.9000000000001"/>
    <n v="3.96"/>
    <n v="70"/>
    <m/>
    <n v="0"/>
    <s v="Trator 1.7m"/>
    <m/>
    <s v="Não"/>
    <s v="Não"/>
    <s v="Não"/>
    <s v="Não"/>
    <n v="807.03"/>
    <n v="807.03"/>
  </r>
  <r>
    <s v="VGSP-330_115,000_EN_CL7"/>
    <x v="0"/>
    <s v="115,000"/>
    <m/>
    <s v="115,500"/>
    <m/>
    <x v="0"/>
    <s v="N"/>
    <n v="-22.790927228179029"/>
    <n v="-47.226513156029952"/>
    <n v="855.14"/>
    <n v="3.54"/>
    <n v="30"/>
    <m/>
    <n v="0"/>
    <s v="Trator 1.7m"/>
    <m/>
    <s v="Não"/>
    <s v="Não"/>
    <s v="Não"/>
    <s v="Não"/>
    <n v="256.54199999999997"/>
    <n v="256.54199999999997"/>
  </r>
  <r>
    <s v="VGSP-330_115,000_ES_CL1"/>
    <x v="0"/>
    <s v="115,000"/>
    <m/>
    <s v="115,500"/>
    <m/>
    <x v="0"/>
    <s v="S"/>
    <n v="-22.79487857826112"/>
    <n v="-47.225319419518037"/>
    <n v="2493.77"/>
    <n v="2.9"/>
    <n v="30"/>
    <m/>
    <n v="0"/>
    <s v="Trator 1.7m"/>
    <m/>
    <s v="Não"/>
    <s v="Não"/>
    <s v="Não"/>
    <s v="Não"/>
    <n v="748.13099999999997"/>
    <n v="748.13099999999997"/>
  </r>
  <r>
    <s v="VGSP-330_115,000_CC4"/>
    <x v="154"/>
    <s v="115,000"/>
    <m/>
    <s v="115,500"/>
    <m/>
    <x v="1"/>
    <s v="C"/>
    <n v="-22.792451801636719"/>
    <n v="-47.22653574935557"/>
    <n v="6"/>
    <n v="3.21"/>
    <n v="0"/>
    <m/>
    <n v="0"/>
    <m/>
    <m/>
    <s v="Não"/>
    <s v="Não"/>
    <s v="Não"/>
    <s v="Não"/>
    <n v="0"/>
    <n v="0"/>
  </r>
  <r>
    <s v="VGSP-348_115,000_ES_CL4"/>
    <x v="0"/>
    <s v="115,000"/>
    <m/>
    <s v="115,500"/>
    <m/>
    <x v="0"/>
    <s v="S"/>
    <n v="-22.859943711900289"/>
    <n v="-47.291296155361621"/>
    <n v="4934.05"/>
    <n v="4.17"/>
    <n v="70"/>
    <m/>
    <n v="0"/>
    <s v="Trator 1.7m"/>
    <m/>
    <s v="Não"/>
    <s v="Não"/>
    <s v="Não"/>
    <s v="Não"/>
    <n v="3453.835"/>
    <n v="3453.835"/>
  </r>
  <r>
    <s v="VGSP-330_115,000_CC5"/>
    <x v="154"/>
    <s v="115,000"/>
    <m/>
    <s v="115,500"/>
    <m/>
    <x v="1"/>
    <s v="C"/>
    <n v="-22.79005072902094"/>
    <n v="-47.227345948978282"/>
    <n v="6028.12"/>
    <n v="2.79"/>
    <n v="50"/>
    <m/>
    <n v="0"/>
    <s v="Trator 1.7m"/>
    <m/>
    <s v="Não"/>
    <s v="Não"/>
    <s v="Não"/>
    <s v="Não"/>
    <n v="3014.06"/>
    <n v="3014.06"/>
  </r>
  <r>
    <s v="VGSP-330_115,000_ES_CL4"/>
    <x v="0"/>
    <s v="115,000"/>
    <m/>
    <s v="115,500"/>
    <m/>
    <x v="0"/>
    <s v="S"/>
    <n v="-22.7929427851752"/>
    <n v="-47.226573417628373"/>
    <n v="3752.34"/>
    <n v="3.72"/>
    <n v="30"/>
    <m/>
    <n v="0"/>
    <s v="Trator 1.7m"/>
    <m/>
    <s v="Não"/>
    <s v="Não"/>
    <s v="Não"/>
    <s v="Não"/>
    <n v="1125.702"/>
    <n v="1125.702"/>
  </r>
  <r>
    <s v="VGSP-348_115,000_ES_CL9"/>
    <x v="0"/>
    <s v="115,000"/>
    <m/>
    <s v="115,500"/>
    <m/>
    <x v="0"/>
    <s v="S"/>
    <n v="-22.85974535773294"/>
    <n v="-47.293449956755211"/>
    <n v="1849.28"/>
    <n v="1.89"/>
    <n v="70"/>
    <m/>
    <n v="0"/>
    <s v="Trator 1.7m"/>
    <m/>
    <s v="Não"/>
    <s v="Não"/>
    <s v="Não"/>
    <s v="Não"/>
    <n v="1294.4959999999999"/>
    <n v="1294.4959999999999"/>
  </r>
  <r>
    <s v="VGSP-348_115,000_EN_CL8"/>
    <x v="0"/>
    <s v="115,000"/>
    <m/>
    <s v="115,500"/>
    <m/>
    <x v="0"/>
    <s v="N"/>
    <n v="-22.857814300784401"/>
    <n v="-47.2977386805563"/>
    <n v="2248.09"/>
    <n v="1.82"/>
    <n v="70"/>
    <m/>
    <n v="0"/>
    <s v="Trator 1.7m"/>
    <m/>
    <s v="Não"/>
    <s v="Não"/>
    <s v="Não"/>
    <s v="Não"/>
    <n v="1573.663"/>
    <n v="1573.663"/>
  </r>
  <r>
    <s v="VGSP-330_115,000_EN_CL4"/>
    <x v="0"/>
    <s v="115,000"/>
    <m/>
    <s v="115,500"/>
    <m/>
    <x v="0"/>
    <s v="N"/>
    <n v="-22.791991957708721"/>
    <n v="-47.225214917172728"/>
    <n v="360.46"/>
    <n v="4.55"/>
    <n v="30"/>
    <m/>
    <n v="0"/>
    <s v="Trator 1.7m"/>
    <m/>
    <s v="Não"/>
    <s v="Não"/>
    <s v="Não"/>
    <s v="Não"/>
    <n v="108.13799999999999"/>
    <n v="108.13799999999999"/>
  </r>
  <r>
    <s v="VGSP-348_115,000_EN_CL1"/>
    <x v="0"/>
    <s v="115,000"/>
    <m/>
    <s v="115,500"/>
    <m/>
    <x v="0"/>
    <s v="N"/>
    <n v="-22.859266156894169"/>
    <n v="-47.290882326135637"/>
    <n v="4602.03"/>
    <n v="3.78"/>
    <n v="70"/>
    <m/>
    <n v="0"/>
    <s v="Trator 1.7m"/>
    <m/>
    <s v="Não"/>
    <s v="Não"/>
    <s v="Não"/>
    <s v="Não"/>
    <n v="3221.4209999999998"/>
    <n v="3221.4209999999998"/>
  </r>
  <r>
    <s v="VGSP-348_115,000_EN_CL2"/>
    <x v="0"/>
    <s v="115,000"/>
    <m/>
    <s v="115,500"/>
    <m/>
    <x v="0"/>
    <s v="N"/>
    <n v="-22.85900413205518"/>
    <n v="-47.291855788903781"/>
    <n v="3300.84"/>
    <n v="2.6"/>
    <n v="70"/>
    <m/>
    <n v="0"/>
    <s v="Trator 1.7m"/>
    <m/>
    <s v="Não"/>
    <s v="Não"/>
    <s v="Não"/>
    <s v="Não"/>
    <n v="2310.5879999999997"/>
    <n v="2310.5879999999997"/>
  </r>
  <r>
    <s v="VGSP-330_115,000_EN_CL5"/>
    <x v="0"/>
    <s v="115,000"/>
    <m/>
    <s v="115,500"/>
    <m/>
    <x v="0"/>
    <s v="N"/>
    <n v="-22.791936599436301"/>
    <n v="-47.225432306697677"/>
    <n v="146.65"/>
    <n v="3.7"/>
    <n v="30"/>
    <m/>
    <n v="0"/>
    <s v="Trator 1.7m"/>
    <m/>
    <s v="Não"/>
    <s v="Não"/>
    <s v="Não"/>
    <s v="Não"/>
    <n v="43.994999999999997"/>
    <n v="43.994999999999997"/>
  </r>
  <r>
    <s v="VGSP-330_115,000_EN_CL6"/>
    <x v="0"/>
    <s v="115,000"/>
    <m/>
    <s v="115,500"/>
    <m/>
    <x v="0"/>
    <s v="N"/>
    <n v="-22.792107235479801"/>
    <n v="-47.225751082832822"/>
    <n v="225.69"/>
    <n v="3.93"/>
    <n v="30"/>
    <m/>
    <n v="0"/>
    <s v="Trator 1.7m"/>
    <m/>
    <s v="Não"/>
    <s v="Não"/>
    <s v="Não"/>
    <s v="Não"/>
    <n v="67.706999999999994"/>
    <n v="67.706999999999994"/>
  </r>
  <r>
    <s v="VGSP-348_115,000_EN_CL3"/>
    <x v="0"/>
    <s v="115,000"/>
    <m/>
    <s v="115,500"/>
    <m/>
    <x v="0"/>
    <s v="N"/>
    <n v="-22.858651217865429"/>
    <n v="-47.290664141915713"/>
    <n v="942.98"/>
    <n v="3.83"/>
    <n v="70"/>
    <m/>
    <n v="0"/>
    <s v="Trator 1.7m"/>
    <m/>
    <s v="Não"/>
    <s v="Não"/>
    <s v="Não"/>
    <s v="Não"/>
    <n v="660.08600000000001"/>
    <n v="660.08600000000001"/>
  </r>
  <r>
    <s v="VGSP-348_115,000_ES_CL3"/>
    <x v="0"/>
    <s v="115,000"/>
    <m/>
    <s v="115,500"/>
    <m/>
    <x v="0"/>
    <s v="S"/>
    <n v="-22.860499853939121"/>
    <n v="-47.292394595549027"/>
    <n v="95.93"/>
    <n v="2.0499999999999998"/>
    <n v="0"/>
    <m/>
    <n v="0"/>
    <m/>
    <m/>
    <s v="Não"/>
    <s v="Não"/>
    <s v="Não"/>
    <s v="Não"/>
    <n v="0"/>
    <n v="0"/>
  </r>
  <r>
    <s v="VGSP-348_115,000_EN_CL4"/>
    <x v="0"/>
    <s v="115,000"/>
    <m/>
    <s v="115,500"/>
    <m/>
    <x v="0"/>
    <s v="N"/>
    <n v="-22.858724070473588"/>
    <n v="-47.291081414916022"/>
    <n v="688.54"/>
    <n v="1.86"/>
    <n v="70"/>
    <m/>
    <n v="0"/>
    <s v="Trator 1.7m"/>
    <m/>
    <s v="Não"/>
    <s v="Não"/>
    <s v="Não"/>
    <s v="Não"/>
    <n v="481.97799999999995"/>
    <n v="481.97799999999995"/>
  </r>
  <r>
    <s v="VGSP-348_115,000_EN_CL9"/>
    <x v="0"/>
    <s v="115,000"/>
    <m/>
    <s v="115,500"/>
    <m/>
    <x v="0"/>
    <s v="N"/>
    <n v="-22.858582711493231"/>
    <n v="-47.292725108531052"/>
    <n v="2091.84"/>
    <n v="2.0099999999999998"/>
    <n v="70"/>
    <m/>
    <n v="0"/>
    <s v="Trator 1.7m"/>
    <m/>
    <s v="Não"/>
    <s v="Não"/>
    <s v="Não"/>
    <s v="Não"/>
    <n v="1464.288"/>
    <n v="1464.288"/>
  </r>
  <r>
    <s v="VGSP-330_115,000_ES_CL3"/>
    <x v="0"/>
    <s v="115,000"/>
    <m/>
    <s v="115,500"/>
    <m/>
    <x v="0"/>
    <s v="S"/>
    <n v="-22.792661746253689"/>
    <n v="-47.226751369577457"/>
    <n v="56.55"/>
    <n v="3.11"/>
    <n v="0"/>
    <m/>
    <n v="0"/>
    <m/>
    <m/>
    <s v="Não"/>
    <s v="Não"/>
    <s v="Não"/>
    <s v="Não"/>
    <n v="0"/>
    <n v="0"/>
  </r>
  <r>
    <s v="VGSP-348_115,000_EN_CL7"/>
    <x v="0"/>
    <s v="115,000"/>
    <m/>
    <s v="115,500"/>
    <m/>
    <x v="0"/>
    <s v="N"/>
    <n v="-22.85825208712086"/>
    <n v="-47.291071390151863"/>
    <n v="413.77"/>
    <n v="1.35"/>
    <n v="70"/>
    <m/>
    <n v="0"/>
    <s v="Trator 1.7m"/>
    <m/>
    <s v="Não"/>
    <s v="Não"/>
    <s v="Não"/>
    <s v="Não"/>
    <n v="289.63899999999995"/>
    <n v="289.63899999999995"/>
  </r>
  <r>
    <s v="VGSP-348_115,000_CC3"/>
    <x v="155"/>
    <s v="115,000"/>
    <m/>
    <s v="115,500"/>
    <n v="0.5"/>
    <x v="1"/>
    <s v="C"/>
    <n v="-22.859065826936551"/>
    <n v="-47.293494954752589"/>
    <n v="4388.22"/>
    <n v="1.91"/>
    <n v="80"/>
    <m/>
    <n v="0"/>
    <s v="Trator 1.7m"/>
    <m/>
    <s v="Não"/>
    <s v="Não"/>
    <s v="Não"/>
    <s v="Não"/>
    <n v="3510.5760000000005"/>
    <n v="3510.5760000000005"/>
  </r>
  <r>
    <s v="VGSP-348_115,000_CC2"/>
    <x v="155"/>
    <s v="115,000"/>
    <m/>
    <s v="115,500"/>
    <n v="0.5"/>
    <x v="1"/>
    <s v="C"/>
    <n v="-22.85822264088711"/>
    <n v="-47.29747028489021"/>
    <n v="5498.26"/>
    <n v="2.3199999999999998"/>
    <n v="80"/>
    <m/>
    <n v="0"/>
    <s v="Trator 1.7m"/>
    <m/>
    <s v="Não"/>
    <s v="Não"/>
    <s v="Não"/>
    <s v="Não"/>
    <n v="4398.6080000000002"/>
    <n v="4398.6080000000002"/>
  </r>
  <r>
    <s v="VGSP-330_115,000_EN_CL9"/>
    <x v="0"/>
    <s v="115,000"/>
    <m/>
    <s v="115,500"/>
    <m/>
    <x v="0"/>
    <s v="N"/>
    <n v="-22.792288126029241"/>
    <n v="-47.22621340813469"/>
    <n v="84.9"/>
    <n v="2.2999999999999998"/>
    <n v="50"/>
    <m/>
    <n v="0"/>
    <s v="Trator 1.7m"/>
    <m/>
    <s v="Não"/>
    <s v="Não"/>
    <s v="Não"/>
    <s v="Não"/>
    <n v="42.45"/>
    <n v="42.45"/>
  </r>
  <r>
    <s v="VGSP-348_116,000_CC2"/>
    <x v="156"/>
    <s v="116,000"/>
    <m/>
    <s v="116,500"/>
    <n v="0.5"/>
    <x v="1"/>
    <s v="C"/>
    <n v="-22.85709469234007"/>
    <n v="-47.302769217822487"/>
    <n v="4677.38"/>
    <n v="4.76"/>
    <n v="80"/>
    <m/>
    <n v="0"/>
    <s v="Trator 1.7m"/>
    <m/>
    <s v="Não"/>
    <s v="Não"/>
    <s v="Não"/>
    <s v="Não"/>
    <n v="3741.9040000000005"/>
    <n v="3741.9040000000005"/>
  </r>
  <r>
    <s v="VGSP-330_116,000_EN_CL1"/>
    <x v="0"/>
    <s v="116,000"/>
    <m/>
    <s v="116,500"/>
    <m/>
    <x v="0"/>
    <s v="N"/>
    <n v="-22.78558107293313"/>
    <n v="-47.229210222205353"/>
    <n v="2022.99"/>
    <n v="3.45"/>
    <n v="30"/>
    <m/>
    <n v="0"/>
    <s v="Trator 1.7m"/>
    <m/>
    <s v="Não"/>
    <s v="Não"/>
    <s v="Não"/>
    <s v="Não"/>
    <n v="606.89699999999993"/>
    <n v="606.89699999999993"/>
  </r>
  <r>
    <s v="VGSP-330_116,000_EN_CL2"/>
    <x v="0"/>
    <s v="116,000"/>
    <m/>
    <s v="116,500"/>
    <m/>
    <x v="0"/>
    <s v="N"/>
    <n v="-22.78163495026412"/>
    <n v="-47.231249234355012"/>
    <n v="1737.37"/>
    <n v="2.2799999999999998"/>
    <n v="30"/>
    <m/>
    <n v="0"/>
    <s v="Trator 1.7m"/>
    <m/>
    <s v="Não"/>
    <s v="Não"/>
    <s v="Não"/>
    <s v="Não"/>
    <n v="521.2109999999999"/>
    <n v="521.2109999999999"/>
  </r>
  <r>
    <s v="VGSP-330_116,000_EN_CL3"/>
    <x v="0"/>
    <s v="116,000"/>
    <m/>
    <s v="116,500"/>
    <m/>
    <x v="0"/>
    <s v="N"/>
    <n v="-22.77959302353716"/>
    <n v="-47.232252767666182"/>
    <n v="198.15"/>
    <n v="3.38"/>
    <n v="30"/>
    <m/>
    <n v="0"/>
    <s v="Trator 1.7m"/>
    <m/>
    <s v="Não"/>
    <s v="Não"/>
    <s v="Não"/>
    <s v="Não"/>
    <n v="59.445"/>
    <n v="59.445"/>
  </r>
  <r>
    <s v="VGSP-330_116,000_ES_CL3"/>
    <x v="0"/>
    <s v="116,000"/>
    <m/>
    <s v="116,500"/>
    <m/>
    <x v="0"/>
    <s v="S"/>
    <n v="-22.779689054704139"/>
    <n v="-47.232845158054722"/>
    <n v="11.05"/>
    <n v="2.36"/>
    <n v="30"/>
    <m/>
    <n v="0"/>
    <s v="Trator 1.7m"/>
    <m/>
    <s v="Não"/>
    <s v="Não"/>
    <s v="Não"/>
    <s v="Não"/>
    <n v="3.3149999999999999"/>
    <n v="3.3149999999999999"/>
  </r>
  <r>
    <s v="VGSP-330_116,000_ES_CL2"/>
    <x v="0"/>
    <s v="116,000"/>
    <m/>
    <s v="116,500"/>
    <m/>
    <x v="0"/>
    <s v="S"/>
    <n v="-22.78142733064195"/>
    <n v="-47.231975949408877"/>
    <n v="858.53"/>
    <n v="2.56"/>
    <n v="30"/>
    <m/>
    <n v="0"/>
    <s v="Trator 1.7m"/>
    <m/>
    <s v="Não"/>
    <s v="Não"/>
    <s v="Não"/>
    <s v="Não"/>
    <n v="257.55899999999997"/>
    <n v="257.55899999999997"/>
  </r>
  <r>
    <s v="VGSP-330_116,000_ES_CL1"/>
    <x v="0"/>
    <s v="116,000"/>
    <m/>
    <s v="116,500"/>
    <m/>
    <x v="0"/>
    <s v="S"/>
    <n v="-22.78254708991129"/>
    <n v="-47.231454957681628"/>
    <n v="4.8099999999999996"/>
    <n v="2.92"/>
    <n v="0"/>
    <m/>
    <n v="0"/>
    <m/>
    <m/>
    <s v="Não"/>
    <s v="Não"/>
    <s v="Não"/>
    <s v="Não"/>
    <n v="0"/>
    <n v="0"/>
  </r>
  <r>
    <s v="VGSP-330_116,000_CC1"/>
    <x v="157"/>
    <s v="116,000"/>
    <m/>
    <s v="116,500"/>
    <m/>
    <x v="1"/>
    <s v="C"/>
    <n v="-22.7856728434929"/>
    <n v="-47.229561544438923"/>
    <n v="6109.3"/>
    <n v="3.1"/>
    <n v="50"/>
    <m/>
    <n v="0"/>
    <s v="Trator 1.7m"/>
    <m/>
    <s v="Não"/>
    <s v="Não"/>
    <s v="Não"/>
    <s v="Não"/>
    <n v="3054.65"/>
    <n v="3054.65"/>
  </r>
  <r>
    <s v="VGSP-330_116,000_CC2"/>
    <x v="157"/>
    <s v="116,000"/>
    <m/>
    <s v="116,500"/>
    <m/>
    <x v="1"/>
    <s v="C"/>
    <n v="-22.781560547433749"/>
    <n v="-47.23164067480365"/>
    <n v="5566.15"/>
    <n v="2.5099999999999998"/>
    <n v="50"/>
    <m/>
    <n v="0"/>
    <s v="Trator 1.7m"/>
    <m/>
    <s v="Não"/>
    <s v="Não"/>
    <s v="Não"/>
    <s v="Não"/>
    <n v="2783.0749999999998"/>
    <n v="2783.0749999999998"/>
  </r>
  <r>
    <s v="VGSP-348_116,000_ES_CL2"/>
    <x v="0"/>
    <s v="116,000"/>
    <m/>
    <s v="116,500"/>
    <m/>
    <x v="0"/>
    <s v="S"/>
    <n v="-22.85644091650579"/>
    <n v="-47.306849604000917"/>
    <n v="1748.41"/>
    <n v="3.65"/>
    <n v="75"/>
    <m/>
    <n v="0"/>
    <s v="Trator 1.7m"/>
    <m/>
    <s v="Não"/>
    <s v="Não"/>
    <s v="Não"/>
    <s v="Não"/>
    <n v="1311.3075000000001"/>
    <n v="1311.3075000000001"/>
  </r>
  <r>
    <s v="VGSP-348_116,000_ES_CL1"/>
    <x v="0"/>
    <s v="116,000"/>
    <m/>
    <s v="116,500"/>
    <m/>
    <x v="0"/>
    <s v="S"/>
    <n v="-22.857638696864718"/>
    <n v="-47.300267806330737"/>
    <n v="322.85000000000002"/>
    <n v="2.16"/>
    <n v="0"/>
    <m/>
    <n v="0"/>
    <m/>
    <m/>
    <s v="Não"/>
    <s v="Não"/>
    <s v="Não"/>
    <s v="Não"/>
    <n v="0"/>
    <n v="0"/>
  </r>
  <r>
    <s v="VGSP-348_116,000_EN_CL2"/>
    <x v="0"/>
    <s v="116,000"/>
    <m/>
    <s v="116,500"/>
    <m/>
    <x v="0"/>
    <s v="N"/>
    <n v="-22.856735163485311"/>
    <n v="-47.302233541535777"/>
    <n v="1955.81"/>
    <n v="3.44"/>
    <n v="70"/>
    <m/>
    <n v="0"/>
    <s v="Trator 1.7m"/>
    <m/>
    <s v="Não"/>
    <s v="Não"/>
    <s v="Não"/>
    <s v="Não"/>
    <n v="1369.0669999999998"/>
    <n v="1369.0669999999998"/>
  </r>
  <r>
    <s v="VGSP-348_116,000_ES_CL3"/>
    <x v="0"/>
    <s v="116,000"/>
    <m/>
    <s v="116,500"/>
    <m/>
    <x v="0"/>
    <s v="S"/>
    <n v="-22.857600385211011"/>
    <n v="-47.302390244666462"/>
    <n v="2079.0500000000002"/>
    <n v="4.08"/>
    <n v="70"/>
    <m/>
    <n v="0"/>
    <s v="Trator 1.7m"/>
    <m/>
    <s v="Não"/>
    <s v="Não"/>
    <s v="Não"/>
    <s v="Não"/>
    <n v="1455.335"/>
    <n v="1455.335"/>
  </r>
  <r>
    <s v="VGSP-348_116,000_EN_CL1"/>
    <x v="0"/>
    <s v="116,000"/>
    <m/>
    <s v="116,500"/>
    <m/>
    <x v="0"/>
    <s v="N"/>
    <n v="-22.856043255519172"/>
    <n v="-47.306706314896168"/>
    <n v="1811.77"/>
    <n v="3.41"/>
    <n v="60"/>
    <m/>
    <n v="1087.0619999999999"/>
    <s v="Trator com braço articulado"/>
    <m/>
    <s v="Não"/>
    <s v="Sim"/>
    <s v="Não"/>
    <s v="Sim"/>
    <n v="0"/>
    <m/>
  </r>
  <r>
    <s v="VGSP-348_116,000_CC1"/>
    <x v="156"/>
    <s v="116,000"/>
    <m/>
    <s v="116,500"/>
    <n v="0.5"/>
    <x v="1"/>
    <s v="C"/>
    <n v="-22.856233790812379"/>
    <n v="-47.306787900956053"/>
    <n v="5288.38"/>
    <n v="3.54"/>
    <n v="80"/>
    <m/>
    <n v="0"/>
    <s v="Trator 1.7m"/>
    <m/>
    <s v="Não"/>
    <s v="Não"/>
    <s v="Não"/>
    <s v="Não"/>
    <n v="4230.7040000000006"/>
    <n v="4230.7040000000006"/>
  </r>
  <r>
    <s v="VGSP-348_117,000_ES_CL2"/>
    <x v="0"/>
    <s v="117,000"/>
    <m/>
    <s v="117,500"/>
    <m/>
    <x v="0"/>
    <s v="S"/>
    <n v="-22.85551539553866"/>
    <n v="-47.31114558779575"/>
    <n v="1874.35"/>
    <n v="4.3"/>
    <n v="90"/>
    <m/>
    <n v="0"/>
    <s v="Trator 1.7m"/>
    <m/>
    <s v="Não"/>
    <s v="Não"/>
    <s v="Não"/>
    <s v="Não"/>
    <n v="1686.915"/>
    <n v="1686.915"/>
  </r>
  <r>
    <s v="VGSP-348_117,000_ES_CL5"/>
    <x v="0"/>
    <s v="117,000"/>
    <m/>
    <s v="117,500"/>
    <m/>
    <x v="0"/>
    <s v="S"/>
    <n v="-22.854343209189899"/>
    <n v="-47.317526561032381"/>
    <n v="1455.24"/>
    <n v="2.2200000000000002"/>
    <n v="70"/>
    <m/>
    <n v="0"/>
    <s v="Trator 1.7m"/>
    <m/>
    <s v="Não"/>
    <s v="Não"/>
    <s v="Não"/>
    <s v="Não"/>
    <n v="1018.6679999999999"/>
    <n v="1018.6679999999999"/>
  </r>
  <r>
    <s v="VGSP-348_117,000_ES_CL4"/>
    <x v="0"/>
    <s v="117,000"/>
    <m/>
    <s v="117,500"/>
    <m/>
    <x v="0"/>
    <s v="S"/>
    <n v="-22.854387496036232"/>
    <n v="-47.317155573307389"/>
    <n v="243.29"/>
    <n v="2.82"/>
    <n v="0"/>
    <m/>
    <n v="0"/>
    <m/>
    <m/>
    <s v="Não"/>
    <s v="Não"/>
    <s v="Não"/>
    <s v="Não"/>
    <n v="0"/>
    <n v="0"/>
  </r>
  <r>
    <s v="VGSP-348_117,000_CC1"/>
    <x v="158"/>
    <s v="117,000"/>
    <m/>
    <s v="117,500"/>
    <n v="0.5"/>
    <x v="1"/>
    <s v="C"/>
    <n v="-22.854358187441811"/>
    <n v="-47.315594789452717"/>
    <n v="5701.2"/>
    <n v="2.83"/>
    <n v="80"/>
    <m/>
    <n v="0"/>
    <s v="Trator 1.7m"/>
    <m/>
    <s v="Não"/>
    <s v="Não"/>
    <s v="Não"/>
    <s v="Não"/>
    <n v="4560.96"/>
    <n v="4560.96"/>
  </r>
  <r>
    <s v="VGSP-348_117,000_CC2"/>
    <x v="158"/>
    <s v="117,000"/>
    <m/>
    <s v="117,500"/>
    <n v="0.5"/>
    <x v="1"/>
    <s v="C"/>
    <n v="-22.85531878627015"/>
    <n v="-47.311085806119507"/>
    <n v="5650.29"/>
    <n v="4.16"/>
    <n v="80"/>
    <m/>
    <n v="0"/>
    <s v="Trator 1.7m"/>
    <m/>
    <s v="Não"/>
    <s v="Não"/>
    <s v="Não"/>
    <s v="Não"/>
    <n v="4520.232"/>
    <n v="4520.232"/>
  </r>
  <r>
    <s v="VGSP-330_117,000_CC"/>
    <x v="159"/>
    <s v="117,000"/>
    <m/>
    <s v="117,500"/>
    <m/>
    <x v="1"/>
    <s v="C"/>
    <n v="-22.773656971946181"/>
    <n v="-47.235922914372651"/>
    <n v="4855.03"/>
    <n v="2.96"/>
    <n v="50"/>
    <m/>
    <n v="0"/>
    <s v="Trator 1.7m"/>
    <m/>
    <s v="Não"/>
    <s v="Não"/>
    <s v="Não"/>
    <s v="Não"/>
    <n v="2427.5149999999999"/>
    <n v="2427.5149999999999"/>
  </r>
  <r>
    <s v="VGSP-330_117,000_EN_CL2"/>
    <x v="0"/>
    <s v="117,000"/>
    <m/>
    <s v="117,500"/>
    <m/>
    <x v="0"/>
    <s v="N"/>
    <n v="-22.776714329530019"/>
    <n v="-47.233747661566163"/>
    <n v="58.53"/>
    <n v="4.0199999999999996"/>
    <n v="30"/>
    <m/>
    <n v="0"/>
    <s v="Trator 1.7m"/>
    <m/>
    <s v="Não"/>
    <s v="Não"/>
    <s v="Não"/>
    <s v="Não"/>
    <n v="17.559000000000001"/>
    <n v="17.559000000000001"/>
  </r>
  <r>
    <s v="VGSP-348_117,000_ES_CL6"/>
    <x v="0"/>
    <s v="117,000"/>
    <m/>
    <s v="117,500"/>
    <m/>
    <x v="0"/>
    <s v="S"/>
    <n v="-22.854289807399262"/>
    <n v="-47.316848213393477"/>
    <n v="86.38"/>
    <n v="2.93"/>
    <n v="0"/>
    <m/>
    <n v="0"/>
    <m/>
    <m/>
    <s v="Não"/>
    <s v="Não"/>
    <s v="Não"/>
    <s v="Não"/>
    <n v="0"/>
    <n v="0"/>
  </r>
  <r>
    <s v="VGSP-348_117,000_EN_CL1"/>
    <x v="0"/>
    <s v="117,000"/>
    <m/>
    <s v="117,500"/>
    <m/>
    <x v="0"/>
    <s v="N"/>
    <n v="-22.85392013217507"/>
    <n v="-47.315541273919067"/>
    <n v="1981.77"/>
    <n v="2.4700000000000002"/>
    <n v="70"/>
    <m/>
    <n v="0"/>
    <s v="Trator 1.7m"/>
    <m/>
    <s v="Não"/>
    <s v="Não"/>
    <s v="Não"/>
    <s v="Não"/>
    <n v="1387.2389999999998"/>
    <n v="1387.2389999999998"/>
  </r>
  <r>
    <s v="VGSP-348_117,000_EN_CL5"/>
    <x v="0"/>
    <s v="117,000"/>
    <m/>
    <s v="117,500"/>
    <m/>
    <x v="0"/>
    <s v="N"/>
    <n v="-22.853644270888239"/>
    <n v="-47.317319753722998"/>
    <n v="767.4"/>
    <n v="2"/>
    <n v="70"/>
    <m/>
    <n v="0"/>
    <s v="Trator 1.7m"/>
    <m/>
    <s v="Não"/>
    <s v="Não"/>
    <s v="Não"/>
    <s v="Não"/>
    <n v="537.17999999999995"/>
    <n v="537.17999999999995"/>
  </r>
  <r>
    <s v="VGSP-348_117,000_EN_CL2"/>
    <x v="0"/>
    <s v="117,000"/>
    <m/>
    <s v="117,500"/>
    <m/>
    <x v="0"/>
    <s v="N"/>
    <n v="-22.855086425539849"/>
    <n v="-47.311080144955064"/>
    <n v="1879.86"/>
    <n v="3.77"/>
    <n v="70"/>
    <m/>
    <n v="1315.9019999999998"/>
    <s v="Trator com braço articulado"/>
    <m/>
    <s v="Não"/>
    <s v="Sim"/>
    <s v="Não"/>
    <s v="Não"/>
    <n v="0"/>
    <m/>
  </r>
  <r>
    <s v="VGSP-330_117,000_EN_CL5"/>
    <x v="0"/>
    <s v="117,000"/>
    <m/>
    <s v="117,500"/>
    <m/>
    <x v="0"/>
    <s v="N"/>
    <n v="-22.773064357797519"/>
    <n v="-47.235863818118602"/>
    <n v="70.069999999999993"/>
    <n v="1.35"/>
    <n v="0"/>
    <m/>
    <n v="0"/>
    <m/>
    <m/>
    <s v="Não"/>
    <s v="Não"/>
    <s v="Não"/>
    <s v="Não"/>
    <n v="0"/>
    <n v="0"/>
  </r>
  <r>
    <s v="VGSP-348_117,000_EN_CL3"/>
    <x v="0"/>
    <s v="117,000"/>
    <m/>
    <s v="117,500"/>
    <m/>
    <x v="0"/>
    <s v="N"/>
    <n v="-22.854238639439519"/>
    <n v="-47.314972140769939"/>
    <n v="4165.4399999999996"/>
    <n v="2.57"/>
    <n v="70"/>
    <m/>
    <n v="0"/>
    <s v="Trator 1.7m"/>
    <m/>
    <s v="Não"/>
    <s v="Não"/>
    <s v="Não"/>
    <s v="Não"/>
    <n v="2915.8079999999995"/>
    <n v="2915.8079999999995"/>
  </r>
  <r>
    <s v="VGSP-330_117,000_EN_CL6"/>
    <x v="0"/>
    <s v="117,000"/>
    <m/>
    <s v="117,500"/>
    <m/>
    <x v="0"/>
    <s v="N"/>
    <n v="-22.77207232593717"/>
    <n v="-47.236667195803243"/>
    <n v="1093.03"/>
    <n v="2.17"/>
    <n v="30"/>
    <m/>
    <n v="0"/>
    <s v="Trator 1.7m"/>
    <m/>
    <s v="Não"/>
    <s v="Não"/>
    <s v="Não"/>
    <s v="Não"/>
    <n v="327.90899999999999"/>
    <n v="327.90899999999999"/>
  </r>
  <r>
    <s v="VGSP-330_117,000_EN_CL1"/>
    <x v="0"/>
    <s v="117,000"/>
    <m/>
    <s v="117,500"/>
    <m/>
    <x v="0"/>
    <s v="N"/>
    <n v="-22.77853495638464"/>
    <n v="-47.232785422753842"/>
    <n v="935.84"/>
    <n v="2.2000000000000002"/>
    <n v="30"/>
    <m/>
    <n v="0"/>
    <s v="Trator 1.7m"/>
    <m/>
    <s v="Não"/>
    <s v="Não"/>
    <s v="Não"/>
    <s v="Não"/>
    <n v="280.75200000000001"/>
    <n v="280.75200000000001"/>
  </r>
  <r>
    <s v="VGSP-330_117,000_EN_CL3"/>
    <x v="0"/>
    <s v="117,000"/>
    <m/>
    <s v="117,500"/>
    <m/>
    <x v="0"/>
    <s v="N"/>
    <n v="-22.775961452169209"/>
    <n v="-47.234071298286608"/>
    <n v="854.37"/>
    <n v="3.34"/>
    <n v="30"/>
    <m/>
    <n v="0"/>
    <s v="Trator 1.7m"/>
    <m/>
    <s v="Não"/>
    <s v="Não"/>
    <s v="Não"/>
    <s v="Não"/>
    <n v="256.31099999999998"/>
    <n v="256.31099999999998"/>
  </r>
  <r>
    <s v="VGSP-330_117,000_EN_CL4"/>
    <x v="0"/>
    <s v="117,000"/>
    <m/>
    <s v="117,500"/>
    <m/>
    <x v="0"/>
    <s v="N"/>
    <n v="-22.774071213012579"/>
    <n v="-47.235196834450662"/>
    <n v="1022.18"/>
    <n v="3.16"/>
    <n v="30"/>
    <m/>
    <n v="0"/>
    <s v="Trator 1.7m"/>
    <m/>
    <s v="Não"/>
    <s v="Não"/>
    <s v="Não"/>
    <s v="Não"/>
    <n v="306.654"/>
    <n v="306.654"/>
  </r>
  <r>
    <s v="VGSP-330_117,000_ES_CL4"/>
    <x v="0"/>
    <s v="117,000"/>
    <m/>
    <s v="117,500"/>
    <m/>
    <x v="0"/>
    <s v="S"/>
    <n v="-22.77356733850926"/>
    <n v="-47.23645944861638"/>
    <n v="4937.8599999999997"/>
    <n v="4.29"/>
    <n v="30"/>
    <m/>
    <n v="0"/>
    <s v="Trator 1.7m"/>
    <m/>
    <s v="Não"/>
    <s v="Não"/>
    <s v="Não"/>
    <s v="Não"/>
    <n v="1481.3579999999999"/>
    <n v="1481.3579999999999"/>
  </r>
  <r>
    <s v="VGSP-330_117,000_ES_CL3"/>
    <x v="0"/>
    <s v="117,000"/>
    <m/>
    <s v="117,500"/>
    <m/>
    <x v="0"/>
    <s v="S"/>
    <n v="-22.777166219816849"/>
    <n v="-47.234132667073602"/>
    <n v="861.23"/>
    <n v="2.9"/>
    <n v="30"/>
    <m/>
    <n v="0"/>
    <s v="Trator 1.7m"/>
    <m/>
    <s v="Não"/>
    <s v="Não"/>
    <s v="Não"/>
    <s v="Não"/>
    <n v="258.36899999999997"/>
    <n v="258.36899999999997"/>
  </r>
  <r>
    <s v="VGSP-330_117,000_ES_CL1"/>
    <x v="0"/>
    <s v="117,000"/>
    <m/>
    <s v="117,500"/>
    <m/>
    <x v="0"/>
    <s v="S"/>
    <n v="-22.777325472426671"/>
    <n v="-47.23378000899794"/>
    <n v="6013.83"/>
    <n v="2.5099999999999998"/>
    <n v="50"/>
    <m/>
    <n v="0"/>
    <s v="Trator 1.7m"/>
    <m/>
    <s v="Não"/>
    <s v="Não"/>
    <s v="Não"/>
    <s v="Não"/>
    <n v="3006.915"/>
    <n v="3006.915"/>
  </r>
  <r>
    <s v="VGSP-330_117,000_ES_CL2"/>
    <x v="0"/>
    <s v="117,000"/>
    <m/>
    <s v="117,500"/>
    <m/>
    <x v="0"/>
    <s v="S"/>
    <n v="-22.77890620282917"/>
    <n v="-47.233246409359538"/>
    <n v="344.93"/>
    <n v="1.44"/>
    <n v="30"/>
    <m/>
    <n v="0"/>
    <s v="Trator 1.7m"/>
    <m/>
    <s v="Não"/>
    <s v="Não"/>
    <s v="Não"/>
    <s v="Não"/>
    <n v="103.479"/>
    <n v="103.479"/>
  </r>
  <r>
    <s v="VGSP-348_117,000_ES_CL3"/>
    <x v="0"/>
    <s v="117,000"/>
    <m/>
    <s v="117,500"/>
    <m/>
    <x v="0"/>
    <s v="S"/>
    <n v="-22.854433555783189"/>
    <n v="-47.317829683771649"/>
    <n v="519.91999999999996"/>
    <n v="1.41"/>
    <n v="70"/>
    <m/>
    <n v="0"/>
    <s v="Trator 1.7m"/>
    <m/>
    <s v="Não"/>
    <s v="Não"/>
    <s v="Não"/>
    <s v="Não"/>
    <n v="363.94399999999996"/>
    <n v="363.94399999999996"/>
  </r>
  <r>
    <s v="VGSP-348_117,000_ES_CL1"/>
    <x v="0"/>
    <s v="117,000"/>
    <m/>
    <s v="117,500"/>
    <m/>
    <x v="0"/>
    <s v="S"/>
    <n v="-22.854663792169831"/>
    <n v="-47.315349586132193"/>
    <n v="1677.35"/>
    <n v="2.84"/>
    <n v="70"/>
    <m/>
    <n v="0"/>
    <s v="Trator 1.7m"/>
    <m/>
    <s v="Não"/>
    <s v="Não"/>
    <s v="Não"/>
    <s v="Não"/>
    <n v="1174.1449999999998"/>
    <n v="1174.1449999999998"/>
  </r>
  <r>
    <s v="VGSP-348_117,000_ES_CL7"/>
    <x v="0"/>
    <s v="117,000"/>
    <m/>
    <s v="117,500"/>
    <m/>
    <x v="0"/>
    <s v="S"/>
    <n v="-22.854499526022291"/>
    <n v="-47.318076990581183"/>
    <n v="4.16"/>
    <n v="1.64"/>
    <n v="0"/>
    <m/>
    <n v="0"/>
    <m/>
    <m/>
    <s v="Não"/>
    <s v="Não"/>
    <s v="Não"/>
    <s v="Não"/>
    <n v="0"/>
    <n v="0"/>
  </r>
  <r>
    <s v="VGSP-348_117,000_EN_CL4"/>
    <x v="0"/>
    <s v="117,000"/>
    <m/>
    <s v="117,500"/>
    <m/>
    <x v="0"/>
    <s v="N"/>
    <n v="-22.854693448916841"/>
    <n v="-47.313018517592667"/>
    <n v="269.69"/>
    <n v="3.49"/>
    <n v="70"/>
    <m/>
    <n v="0"/>
    <s v="Trator 1.7m"/>
    <m/>
    <s v="Não"/>
    <s v="Não"/>
    <s v="Não"/>
    <s v="Não"/>
    <n v="188.78299999999999"/>
    <n v="188.78299999999999"/>
  </r>
  <r>
    <s v="VGSP-348_118,000_ES_CL1"/>
    <x v="0"/>
    <s v="118,000"/>
    <m/>
    <s v="118,500"/>
    <m/>
    <x v="0"/>
    <s v="S"/>
    <n v="-22.854126919962312"/>
    <n v="-47.318128161343367"/>
    <n v="304.64"/>
    <n v="1.56"/>
    <n v="70"/>
    <m/>
    <n v="0"/>
    <s v="Trator 1.7m"/>
    <m/>
    <s v="Não"/>
    <s v="Não"/>
    <s v="Não"/>
    <s v="Não"/>
    <n v="213.24799999999999"/>
    <n v="213.24799999999999"/>
  </r>
  <r>
    <s v="VGSP-330_118,000_ES_CL3"/>
    <x v="0"/>
    <s v="118,000"/>
    <m/>
    <s v="118,500"/>
    <m/>
    <x v="0"/>
    <s v="S"/>
    <n v="-22.767764671065219"/>
    <n v="-47.24307107867326"/>
    <n v="1806.78"/>
    <n v="10.9"/>
    <n v="30"/>
    <m/>
    <n v="0"/>
    <s v="Trator 1.7m"/>
    <m/>
    <s v="Não"/>
    <s v="Não"/>
    <s v="Não"/>
    <s v="Não"/>
    <n v="542.03399999999999"/>
    <n v="542.03399999999999"/>
  </r>
  <r>
    <s v="VGSP-348_118,000_EN_CL6"/>
    <x v="0"/>
    <s v="118,000"/>
    <m/>
    <s v="118,500"/>
    <m/>
    <x v="0"/>
    <s v="N"/>
    <n v="-22.852898016195219"/>
    <n v="-47.321181244187507"/>
    <n v="1236.04"/>
    <n v="3.97"/>
    <n v="70"/>
    <m/>
    <n v="0"/>
    <s v="Trator 1.7m"/>
    <m/>
    <s v="Não"/>
    <s v="Não"/>
    <s v="Não"/>
    <s v="Não"/>
    <n v="865.22799999999995"/>
    <n v="865.22799999999995"/>
  </r>
  <r>
    <s v="VGSP-330_118,000_ES_CL4"/>
    <x v="0"/>
    <s v="118,000"/>
    <m/>
    <s v="118,500"/>
    <m/>
    <x v="0"/>
    <s v="S"/>
    <n v="-22.76929972588729"/>
    <n v="-47.240835857839073"/>
    <n v="694.14"/>
    <n v="3"/>
    <n v="50"/>
    <m/>
    <n v="0"/>
    <s v="Trator 1.7m"/>
    <m/>
    <s v="Não"/>
    <s v="Não"/>
    <s v="Não"/>
    <s v="Não"/>
    <n v="347.07"/>
    <n v="347.07"/>
  </r>
  <r>
    <s v="VGSP-330_118,000_EN_CL2"/>
    <x v="0"/>
    <s v="118,000"/>
    <m/>
    <s v="118,500"/>
    <m/>
    <x v="0"/>
    <s v="N"/>
    <n v="-22.767391295262389"/>
    <n v="-47.242770742212208"/>
    <n v="1727.77"/>
    <n v="6.73"/>
    <n v="30"/>
    <m/>
    <n v="0"/>
    <s v="Trator 1.7m"/>
    <m/>
    <s v="Não"/>
    <s v="Não"/>
    <s v="Não"/>
    <s v="Não"/>
    <n v="518.33100000000002"/>
    <n v="518.33100000000002"/>
  </r>
  <r>
    <s v="VGSP-330_118,000_EN_CL1"/>
    <x v="0"/>
    <s v="118,000"/>
    <m/>
    <s v="118,500"/>
    <m/>
    <x v="0"/>
    <s v="N"/>
    <n v="-22.769733736830251"/>
    <n v="-47.239143748903189"/>
    <n v="1992.86"/>
    <n v="3.48"/>
    <n v="30"/>
    <m/>
    <n v="0"/>
    <s v="Trator 1.7m"/>
    <m/>
    <s v="Não"/>
    <s v="Não"/>
    <s v="Não"/>
    <s v="Não"/>
    <n v="597.85799999999995"/>
    <n v="597.85799999999995"/>
  </r>
  <r>
    <s v="VGSP-348_118,000_ES_CL5"/>
    <x v="0"/>
    <s v="118,000"/>
    <m/>
    <s v="118,500"/>
    <m/>
    <x v="0"/>
    <s v="S"/>
    <n v="-22.85178615779845"/>
    <n v="-47.325141290225787"/>
    <n v="2403.12"/>
    <n v="2.13"/>
    <n v="70"/>
    <m/>
    <n v="0"/>
    <s v="Trator 1.7m"/>
    <m/>
    <s v="Não"/>
    <s v="Não"/>
    <s v="Não"/>
    <s v="Não"/>
    <n v="1682.1839999999997"/>
    <n v="1682.1839999999997"/>
  </r>
  <r>
    <s v="VGSP-348_118,000_EN_CL2"/>
    <x v="0"/>
    <s v="118,000"/>
    <m/>
    <s v="118,500"/>
    <m/>
    <x v="0"/>
    <s v="N"/>
    <n v="-22.853298875844992"/>
    <n v="-47.318807916916477"/>
    <n v="2054.87"/>
    <n v="1.64"/>
    <n v="70"/>
    <m/>
    <n v="0"/>
    <s v="Trator 1.7m"/>
    <m/>
    <s v="Não"/>
    <s v="Não"/>
    <s v="Não"/>
    <s v="Não"/>
    <n v="1438.4089999999999"/>
    <n v="1438.4089999999999"/>
  </r>
  <r>
    <s v="VGSP-330_118,000_CC"/>
    <x v="160"/>
    <s v="118,000"/>
    <m/>
    <s v="118,500"/>
    <m/>
    <x v="1"/>
    <s v="C"/>
    <n v="-22.767518202401849"/>
    <n v="-47.24299714428863"/>
    <n v="4465.2700000000004"/>
    <n v="10.24"/>
    <n v="50"/>
    <m/>
    <n v="0"/>
    <s v="Trator 1.7m"/>
    <m/>
    <s v="Não"/>
    <s v="Não"/>
    <s v="Não"/>
    <s v="Não"/>
    <n v="2232.6350000000002"/>
    <n v="2232.6350000000002"/>
  </r>
  <r>
    <s v="VGSP-348_118,000_EN_CL3"/>
    <x v="0"/>
    <s v="118,000"/>
    <m/>
    <s v="118,500"/>
    <m/>
    <x v="0"/>
    <s v="N"/>
    <n v="-22.8531563445218"/>
    <n v="-47.319480628645152"/>
    <n v="224.66"/>
    <n v="2.09"/>
    <n v="70"/>
    <m/>
    <n v="0"/>
    <s v="Trator 1.7m"/>
    <m/>
    <s v="Não"/>
    <s v="Não"/>
    <s v="Não"/>
    <s v="Não"/>
    <n v="157.262"/>
    <n v="157.262"/>
  </r>
  <r>
    <s v="VGSP-348_118,000_ES_CL4"/>
    <x v="0"/>
    <s v="118,000"/>
    <m/>
    <s v="118,500"/>
    <m/>
    <x v="0"/>
    <s v="S"/>
    <n v="-22.852763644574299"/>
    <n v="-47.323172079174988"/>
    <n v="1653.05"/>
    <n v="2.0699999999999998"/>
    <n v="70"/>
    <m/>
    <n v="0"/>
    <s v="Trator 1.7m"/>
    <m/>
    <s v="Não"/>
    <s v="Não"/>
    <s v="Não"/>
    <s v="Não"/>
    <n v="1157.135"/>
    <n v="1157.135"/>
  </r>
  <r>
    <s v="VGSP-348_118,000_ES_CL3"/>
    <x v="0"/>
    <s v="118,000"/>
    <m/>
    <s v="118,500"/>
    <m/>
    <x v="0"/>
    <s v="S"/>
    <n v="-22.8533102919999"/>
    <n v="-47.321526515308157"/>
    <n v="4416.88"/>
    <n v="1.81"/>
    <n v="70"/>
    <m/>
    <n v="0"/>
    <s v="Trator 1.7m"/>
    <m/>
    <s v="Não"/>
    <s v="Não"/>
    <s v="Não"/>
    <s v="Não"/>
    <n v="3091.8159999999998"/>
    <n v="3091.8159999999998"/>
  </r>
  <r>
    <s v="VGSP-348_118,000_ES_CL6"/>
    <x v="0"/>
    <s v="118,000"/>
    <m/>
    <s v="118,500"/>
    <m/>
    <x v="0"/>
    <s v="S"/>
    <n v="-22.853806191415099"/>
    <n v="-47.320460793652522"/>
    <n v="2059.5"/>
    <n v="1.77"/>
    <n v="70"/>
    <m/>
    <n v="0"/>
    <s v="Trator 1.7m"/>
    <m/>
    <s v="Não"/>
    <s v="Não"/>
    <s v="Não"/>
    <s v="Não"/>
    <n v="1441.6499999999999"/>
    <n v="1441.6499999999999"/>
  </r>
  <r>
    <s v="VGSP-348_118,000_CC2"/>
    <x v="161"/>
    <s v="118,000"/>
    <m/>
    <s v="118,500"/>
    <n v="0.5"/>
    <x v="1"/>
    <s v="C"/>
    <n v="-22.85334119667947"/>
    <n v="-47.320246550730182"/>
    <n v="5997.71"/>
    <n v="2.62"/>
    <n v="80"/>
    <m/>
    <n v="0"/>
    <s v="Trator 1.7m"/>
    <m/>
    <s v="Não"/>
    <s v="Não"/>
    <s v="Não"/>
    <s v="Não"/>
    <n v="4798.1680000000006"/>
    <n v="4798.1680000000006"/>
  </r>
  <r>
    <s v="VGSP-348_118,000_ES_CL2"/>
    <x v="0"/>
    <s v="118,000"/>
    <m/>
    <s v="118,500"/>
    <m/>
    <x v="0"/>
    <s v="S"/>
    <n v="-22.85393803523446"/>
    <n v="-47.319094459852927"/>
    <n v="1199.05"/>
    <n v="2.73"/>
    <n v="70"/>
    <m/>
    <n v="0"/>
    <s v="Trator 1.7m"/>
    <m/>
    <s v="Não"/>
    <s v="Não"/>
    <s v="Não"/>
    <s v="Não"/>
    <n v="839.33499999999992"/>
    <n v="839.33499999999992"/>
  </r>
  <r>
    <s v="VGSP-330_118,000_ES_CL2"/>
    <x v="0"/>
    <s v="118,000"/>
    <m/>
    <s v="118,500"/>
    <m/>
    <x v="0"/>
    <s v="S"/>
    <n v="-22.770291295049951"/>
    <n v="-47.240520919305027"/>
    <n v="1265.8800000000001"/>
    <n v="3.96"/>
    <n v="30"/>
    <m/>
    <n v="0"/>
    <s v="Trator 1.7m"/>
    <m/>
    <s v="Não"/>
    <s v="Não"/>
    <s v="Não"/>
    <s v="Não"/>
    <n v="379.76400000000001"/>
    <n v="379.76400000000001"/>
  </r>
  <r>
    <s v="VGSP-330_118,000_ES_CL1"/>
    <x v="0"/>
    <s v="118,000"/>
    <m/>
    <s v="118,500"/>
    <m/>
    <x v="0"/>
    <s v="S"/>
    <n v="-22.77158329136882"/>
    <n v="-47.239063713871268"/>
    <n v="319.58"/>
    <n v="4.5199999999999996"/>
    <n v="30"/>
    <m/>
    <n v="0"/>
    <s v="Trator 1.7m"/>
    <m/>
    <s v="Não"/>
    <s v="Não"/>
    <s v="Não"/>
    <s v="Não"/>
    <n v="95.873999999999995"/>
    <n v="95.873999999999995"/>
  </r>
  <r>
    <s v="VGSP-348_118,000_EN_CL4"/>
    <x v="0"/>
    <s v="118,000"/>
    <m/>
    <s v="118,500"/>
    <m/>
    <x v="0"/>
    <s v="N"/>
    <n v="-22.85312179963665"/>
    <n v="-47.318810912233957"/>
    <n v="385.92"/>
    <n v="1"/>
    <n v="70"/>
    <m/>
    <n v="0"/>
    <s v="Trator 1.7m"/>
    <m/>
    <s v="Não"/>
    <s v="Não"/>
    <s v="Não"/>
    <s v="Não"/>
    <n v="270.14400000000001"/>
    <n v="270.14400000000001"/>
  </r>
  <r>
    <s v="VGSP-348_118,000_CC1"/>
    <x v="161"/>
    <s v="118,000"/>
    <m/>
    <s v="118,500"/>
    <n v="0.5"/>
    <x v="1"/>
    <s v="C"/>
    <n v="-22.851637619647921"/>
    <n v="-47.324876691880668"/>
    <n v="6050.63"/>
    <n v="2.72"/>
    <n v="80"/>
    <m/>
    <n v="0"/>
    <s v="Trator 1.7m"/>
    <m/>
    <s v="Não"/>
    <s v="Não"/>
    <s v="Não"/>
    <s v="Não"/>
    <n v="4840.5039999999999"/>
    <n v="4840.5039999999999"/>
  </r>
  <r>
    <s v="VGSP-348_118,000_EN_CL1"/>
    <x v="0"/>
    <s v="118,000"/>
    <m/>
    <s v="118,500"/>
    <m/>
    <x v="0"/>
    <s v="N"/>
    <n v="-22.853121375322431"/>
    <n v="-47.318152097769023"/>
    <n v="455.51"/>
    <n v="1.79"/>
    <n v="70"/>
    <m/>
    <n v="0"/>
    <s v="Trator 1.7m"/>
    <m/>
    <s v="Não"/>
    <s v="Não"/>
    <s v="Não"/>
    <s v="Não"/>
    <n v="318.85699999999997"/>
    <n v="318.85699999999997"/>
  </r>
  <r>
    <s v="VGSP-348_118,000_EN_CL5"/>
    <x v="0"/>
    <s v="118,000"/>
    <m/>
    <s v="118,500"/>
    <m/>
    <x v="0"/>
    <s v="N"/>
    <n v="-22.8514451430778"/>
    <n v="-47.324799414286588"/>
    <n v="2020.41"/>
    <n v="3.01"/>
    <n v="70"/>
    <m/>
    <n v="0"/>
    <s v="Trator 1.7m"/>
    <m/>
    <s v="Não"/>
    <s v="Não"/>
    <s v="Não"/>
    <s v="Não"/>
    <n v="1414.287"/>
    <n v="1414.287"/>
  </r>
  <r>
    <s v="VGSP-348_119,000_ES_CL1"/>
    <x v="0"/>
    <s v="119,000"/>
    <m/>
    <s v="119,500"/>
    <m/>
    <x v="0"/>
    <s v="S"/>
    <n v="-22.850584611629039"/>
    <n v="-47.327262522151351"/>
    <n v="175.68"/>
    <n v="0.49"/>
    <n v="70"/>
    <m/>
    <n v="0"/>
    <s v="Trator 1.7m"/>
    <m/>
    <s v="Não"/>
    <s v="Não"/>
    <s v="Não"/>
    <s v="Não"/>
    <n v="122.976"/>
    <n v="122.976"/>
  </r>
  <r>
    <s v="VGSP-348_119,000_ES_CL5"/>
    <x v="0"/>
    <s v="119,000"/>
    <m/>
    <s v="119,500"/>
    <m/>
    <x v="0"/>
    <s v="S"/>
    <n v="-22.84920466802263"/>
    <n v="-47.32973289345292"/>
    <n v="976.45"/>
    <n v="6.26"/>
    <n v="70"/>
    <m/>
    <n v="0"/>
    <s v="Trator 1.7m"/>
    <m/>
    <s v="Não"/>
    <s v="Não"/>
    <s v="Não"/>
    <s v="Não"/>
    <n v="683.51499999999999"/>
    <n v="683.51499999999999"/>
  </r>
  <r>
    <s v="VGSP-348_119,000_ES_CL2"/>
    <x v="0"/>
    <s v="119,000"/>
    <m/>
    <s v="119,500"/>
    <m/>
    <x v="0"/>
    <s v="S"/>
    <n v="-22.850295666587591"/>
    <n v="-47.327758841881312"/>
    <n v="304.51"/>
    <n v="1.42"/>
    <n v="70"/>
    <m/>
    <n v="0"/>
    <s v="Trator 1.7m"/>
    <m/>
    <s v="Não"/>
    <s v="Não"/>
    <s v="Não"/>
    <s v="Não"/>
    <n v="213.15699999999998"/>
    <n v="213.15699999999998"/>
  </r>
  <r>
    <s v="VGSP-330_119,000_EN_CL3"/>
    <x v="0"/>
    <s v="119,000"/>
    <m/>
    <s v="119,500"/>
    <m/>
    <x v="0"/>
    <s v="N"/>
    <n v="-22.76087482722312"/>
    <n v="-47.249836914414942"/>
    <n v="4077.92"/>
    <n v="7.48"/>
    <n v="50"/>
    <m/>
    <n v="0"/>
    <s v="Trator 1.7m"/>
    <m/>
    <s v="Não"/>
    <s v="Não"/>
    <s v="Não"/>
    <s v="Não"/>
    <n v="2038.96"/>
    <n v="2038.96"/>
  </r>
  <r>
    <s v="VGSP-330_119,000_ES_CL5"/>
    <x v="0"/>
    <s v="119,000"/>
    <m/>
    <s v="119,500"/>
    <m/>
    <x v="0"/>
    <s v="S"/>
    <n v="-22.761423324627032"/>
    <n v="-47.251020361821169"/>
    <n v="611.84"/>
    <n v="4.3899999999999997"/>
    <n v="50"/>
    <m/>
    <n v="0"/>
    <s v="Trator 1.7m"/>
    <m/>
    <s v="Não"/>
    <s v="Não"/>
    <s v="Não"/>
    <s v="Não"/>
    <n v="305.92"/>
    <n v="305.92"/>
  </r>
  <r>
    <s v="VGSP-330_119,000_ES_CL6"/>
    <x v="0"/>
    <s v="119,000"/>
    <m/>
    <s v="119,500"/>
    <m/>
    <x v="0"/>
    <s v="S"/>
    <n v="-22.761377902079509"/>
    <n v="-47.251423387305778"/>
    <n v="277.04000000000002"/>
    <n v="1.98"/>
    <n v="50"/>
    <m/>
    <n v="0"/>
    <s v="Trator 1.7m"/>
    <m/>
    <s v="Não"/>
    <s v="Não"/>
    <s v="Não"/>
    <s v="Não"/>
    <n v="138.52000000000001"/>
    <n v="138.52000000000001"/>
  </r>
  <r>
    <s v="VGSP-348_119,000_EN_CL1"/>
    <x v="0"/>
    <s v="119,000"/>
    <m/>
    <s v="119,500"/>
    <m/>
    <x v="0"/>
    <s v="N"/>
    <n v="-22.849956782542339"/>
    <n v="-47.327507158474177"/>
    <n v="566.38"/>
    <n v="1.18"/>
    <n v="70"/>
    <m/>
    <n v="0"/>
    <s v="Trator 1.7m"/>
    <m/>
    <s v="Não"/>
    <s v="Não"/>
    <s v="Não"/>
    <s v="Não"/>
    <n v="396.46599999999995"/>
    <n v="396.46599999999995"/>
  </r>
  <r>
    <s v="VGSP-330_119,000_ES_CL4"/>
    <x v="0"/>
    <s v="119,000"/>
    <m/>
    <s v="119,500"/>
    <m/>
    <x v="0"/>
    <s v="S"/>
    <n v="-22.763124262425521"/>
    <n v="-47.24808031705561"/>
    <n v="480.25"/>
    <n v="12.21"/>
    <n v="0"/>
    <m/>
    <n v="0"/>
    <m/>
    <m/>
    <s v="Sim"/>
    <s v="Não"/>
    <s v="Não"/>
    <s v="Não"/>
    <n v="0"/>
    <m/>
  </r>
  <r>
    <s v="VGSP-330_119,000_EN_CL1"/>
    <x v="0"/>
    <s v="119,000"/>
    <m/>
    <s v="119,500"/>
    <m/>
    <x v="0"/>
    <s v="N"/>
    <n v="-22.76471645268564"/>
    <n v="-47.245982614202013"/>
    <n v="1822.98"/>
    <n v="9.76"/>
    <n v="30"/>
    <m/>
    <n v="0"/>
    <s v="Trator 1.7m"/>
    <m/>
    <s v="Não"/>
    <s v="Não"/>
    <s v="Não"/>
    <s v="Não"/>
    <n v="546.89400000000001"/>
    <n v="546.89400000000001"/>
  </r>
  <r>
    <s v="VGSP-330_119,000_EN_CL7"/>
    <x v="0"/>
    <s v="119,000"/>
    <m/>
    <s v="119,500"/>
    <m/>
    <x v="0"/>
    <s v="N"/>
    <n v="-22.75986640128054"/>
    <n v="-47.249982208038787"/>
    <n v="1116.29"/>
    <n v="10.74"/>
    <n v="50"/>
    <m/>
    <n v="0"/>
    <s v="Trator 1.7m"/>
    <m/>
    <s v="Não"/>
    <s v="Não"/>
    <s v="Não"/>
    <s v="Não"/>
    <n v="558.14499999999998"/>
    <n v="558.14499999999998"/>
  </r>
  <r>
    <s v="VGSP-330_119,000_EN_CL4"/>
    <x v="0"/>
    <s v="119,000"/>
    <m/>
    <s v="119,500"/>
    <m/>
    <x v="0"/>
    <s v="N"/>
    <n v="-22.760149445321002"/>
    <n v="-47.250030419839149"/>
    <n v="2159.66"/>
    <n v="5.47"/>
    <n v="50"/>
    <m/>
    <n v="0"/>
    <s v="Trator 1.7m"/>
    <m/>
    <s v="Não"/>
    <s v="Não"/>
    <s v="Não"/>
    <s v="Não"/>
    <n v="1079.83"/>
    <n v="1079.83"/>
  </r>
  <r>
    <s v="VGSP-330_119,000_ES_CL1"/>
    <x v="0"/>
    <s v="119,000"/>
    <m/>
    <s v="119,500"/>
    <m/>
    <x v="0"/>
    <s v="S"/>
    <n v="-22.765051288572401"/>
    <n v="-47.246268516036757"/>
    <n v="1631.56"/>
    <n v="6.24"/>
    <n v="30"/>
    <m/>
    <n v="0"/>
    <s v="Trator 1.7m"/>
    <m/>
    <s v="Não"/>
    <s v="Não"/>
    <s v="Não"/>
    <s v="Não"/>
    <n v="489.46799999999996"/>
    <n v="489.46799999999996"/>
  </r>
  <r>
    <s v="VGSP-330_119,000_ES_CL11"/>
    <x v="0"/>
    <s v="119,000"/>
    <m/>
    <s v="119,500"/>
    <m/>
    <x v="0"/>
    <s v="S"/>
    <n v="-22.760212999025502"/>
    <n v="-47.251125046950648"/>
    <n v="410.34"/>
    <n v="4.17"/>
    <n v="0"/>
    <m/>
    <n v="0"/>
    <m/>
    <m/>
    <s v="Sim"/>
    <s v="Não"/>
    <s v="Não"/>
    <s v="Não"/>
    <n v="0"/>
    <m/>
  </r>
  <r>
    <s v="VGSP-348_119,000_CC2"/>
    <x v="162"/>
    <s v="119,000"/>
    <m/>
    <s v="119,500"/>
    <n v="0.5"/>
    <x v="1"/>
    <s v="C"/>
    <n v="-22.84901664551251"/>
    <n v="-47.329614569098887"/>
    <n v="2854.56"/>
    <n v="5.45"/>
    <n v="80"/>
    <m/>
    <n v="0"/>
    <s v="Trator 1.7m"/>
    <m/>
    <s v="Não"/>
    <s v="Não"/>
    <s v="Não"/>
    <s v="Não"/>
    <n v="2283.6480000000001"/>
    <n v="2283.6480000000001"/>
  </r>
  <r>
    <s v="VGSP-348_119,000_EN_CL3"/>
    <x v="0"/>
    <s v="119,000"/>
    <m/>
    <s v="119,500"/>
    <m/>
    <x v="0"/>
    <s v="N"/>
    <n v="-22.848843036298032"/>
    <n v="-47.32949891902679"/>
    <n v="991.25"/>
    <n v="3.64"/>
    <n v="70"/>
    <m/>
    <n v="0"/>
    <s v="Trator 1.7m"/>
    <m/>
    <s v="Não"/>
    <s v="Não"/>
    <s v="Não"/>
    <s v="Não"/>
    <n v="693.875"/>
    <n v="693.875"/>
  </r>
  <r>
    <s v="VGSP-330_119,000_ES_CL2"/>
    <x v="0"/>
    <s v="119,000"/>
    <m/>
    <s v="119,500"/>
    <m/>
    <x v="0"/>
    <s v="S"/>
    <n v="-22.76346205092981"/>
    <n v="-47.248070002885477"/>
    <n v="102.48"/>
    <n v="8.07"/>
    <n v="0"/>
    <m/>
    <n v="0"/>
    <m/>
    <m/>
    <s v="Não"/>
    <s v="Não"/>
    <s v="Não"/>
    <s v="Não"/>
    <n v="0"/>
    <n v="0"/>
  </r>
  <r>
    <s v="VGSP-348_119,000_EN_CL2"/>
    <x v="0"/>
    <s v="119,000"/>
    <m/>
    <s v="119,500"/>
    <m/>
    <x v="0"/>
    <s v="N"/>
    <n v="-22.84694094505161"/>
    <n v="-47.33289812590025"/>
    <n v="2270.1799999999998"/>
    <n v="1.84"/>
    <n v="70"/>
    <m/>
    <n v="0"/>
    <s v="Trator 1.7m"/>
    <m/>
    <s v="Não"/>
    <s v="Não"/>
    <s v="Não"/>
    <s v="Não"/>
    <n v="1589.1259999999997"/>
    <n v="1589.1259999999997"/>
  </r>
  <r>
    <s v="VGSP-330_119,000_ES_CL3"/>
    <x v="0"/>
    <s v="119,000"/>
    <m/>
    <s v="119,500"/>
    <m/>
    <x v="0"/>
    <s v="S"/>
    <n v="-22.765017632517232"/>
    <n v="-47.245980430848398"/>
    <n v="3871.1"/>
    <n v="9.9"/>
    <n v="50"/>
    <m/>
    <n v="0"/>
    <s v="Trator 1.7m"/>
    <m/>
    <s v="Não"/>
    <s v="Não"/>
    <s v="Não"/>
    <s v="Não"/>
    <n v="1935.55"/>
    <n v="1935.55"/>
  </r>
  <r>
    <s v="VGSP-330_119,000_EN_CL2"/>
    <x v="0"/>
    <s v="119,000"/>
    <m/>
    <s v="119,500"/>
    <m/>
    <x v="0"/>
    <s v="N"/>
    <n v="-22.76165735836247"/>
    <n v="-47.248842693960107"/>
    <n v="1845.76"/>
    <n v="10.59"/>
    <n v="50"/>
    <m/>
    <n v="0"/>
    <s v="Trator 1.7m"/>
    <m/>
    <s v="Não"/>
    <s v="Não"/>
    <s v="Não"/>
    <s v="Não"/>
    <n v="922.88"/>
    <n v="922.88"/>
  </r>
  <r>
    <s v="VGSP-348_119,000_ES_CL3"/>
    <x v="0"/>
    <s v="119,000"/>
    <m/>
    <s v="119,500"/>
    <m/>
    <x v="0"/>
    <s v="S"/>
    <n v="-22.850014854109279"/>
    <n v="-47.328282696674272"/>
    <n v="93.43"/>
    <n v="3.89"/>
    <n v="0"/>
    <m/>
    <n v="0"/>
    <m/>
    <m/>
    <s v="Não"/>
    <s v="Não"/>
    <s v="Não"/>
    <s v="Não"/>
    <n v="0"/>
    <n v="0"/>
  </r>
  <r>
    <s v="VGSP-330_119,000_EN_CL5"/>
    <x v="0"/>
    <s v="119,000"/>
    <m/>
    <s v="119,500"/>
    <m/>
    <x v="0"/>
    <s v="N"/>
    <n v="-22.760047862575931"/>
    <n v="-47.250656163655577"/>
    <n v="3466.42"/>
    <n v="3.86"/>
    <n v="50"/>
    <m/>
    <n v="0"/>
    <s v="Trator 1.7m"/>
    <m/>
    <s v="Não"/>
    <s v="Não"/>
    <s v="Não"/>
    <s v="Não"/>
    <n v="1733.21"/>
    <n v="1733.21"/>
  </r>
  <r>
    <s v="VGSP-330_119,000_EN_CL6"/>
    <x v="0"/>
    <s v="119,000"/>
    <m/>
    <s v="119,500"/>
    <m/>
    <x v="0"/>
    <s v="N"/>
    <n v="-22.76004708830158"/>
    <n v="-47.249573702289332"/>
    <n v="460.57"/>
    <n v="11.37"/>
    <n v="50"/>
    <m/>
    <n v="0"/>
    <s v="Trator 1.7m"/>
    <m/>
    <s v="Não"/>
    <s v="Não"/>
    <s v="Não"/>
    <s v="Não"/>
    <n v="230.285"/>
    <n v="230.285"/>
  </r>
  <r>
    <s v="VGSP-330_119,000_ES_CL7"/>
    <x v="0"/>
    <s v="119,000"/>
    <m/>
    <s v="119,500"/>
    <m/>
    <x v="0"/>
    <s v="S"/>
    <n v="-22.761160861031321"/>
    <n v="-47.250679738309628"/>
    <n v="811.68"/>
    <n v="6.31"/>
    <n v="50"/>
    <m/>
    <n v="0"/>
    <s v="Trator 1.7m"/>
    <m/>
    <s v="Não"/>
    <s v="Não"/>
    <s v="Não"/>
    <s v="Não"/>
    <n v="405.84"/>
    <n v="405.84"/>
  </r>
  <r>
    <s v="VGSP-330_119,000_ES_CL10"/>
    <x v="0"/>
    <s v="119,000"/>
    <m/>
    <s v="119,500"/>
    <m/>
    <x v="0"/>
    <s v="S"/>
    <n v="-22.76086872567198"/>
    <n v="-47.251511796313032"/>
    <n v="681.71"/>
    <n v="2.29"/>
    <n v="50"/>
    <m/>
    <n v="0"/>
    <s v="Trator 1.7m"/>
    <m/>
    <s v="Não"/>
    <s v="Não"/>
    <s v="Não"/>
    <s v="Não"/>
    <n v="340.85500000000002"/>
    <n v="340.85500000000002"/>
  </r>
  <r>
    <s v="VGSP-330_119,000_ES_CL8"/>
    <x v="0"/>
    <s v="119,000"/>
    <m/>
    <s v="119,500"/>
    <m/>
    <x v="0"/>
    <s v="S"/>
    <n v="-22.761114939233629"/>
    <n v="-47.251128047051743"/>
    <n v="1138.8"/>
    <n v="3.69"/>
    <n v="50"/>
    <m/>
    <n v="0"/>
    <s v="Trator 1.7m"/>
    <m/>
    <s v="Não"/>
    <s v="Não"/>
    <s v="Não"/>
    <s v="Não"/>
    <n v="569.4"/>
    <n v="569.4"/>
  </r>
  <r>
    <s v="VGSP-348_119,000_CC3"/>
    <x v="162"/>
    <s v="119,000"/>
    <m/>
    <s v="119,500"/>
    <n v="0.5"/>
    <x v="1"/>
    <s v="C"/>
    <n v="-22.847121256000889"/>
    <n v="-47.332996622032518"/>
    <n v="6278.44"/>
    <n v="2.04"/>
    <n v="80"/>
    <m/>
    <n v="0"/>
    <s v="Trator 1.7m"/>
    <m/>
    <s v="Não"/>
    <s v="Não"/>
    <s v="Não"/>
    <s v="Não"/>
    <n v="5022.7520000000004"/>
    <n v="5022.7520000000004"/>
  </r>
  <r>
    <s v="VGSP-330_119,000_ES_CL9"/>
    <x v="0"/>
    <s v="119,000"/>
    <m/>
    <s v="119,500"/>
    <m/>
    <x v="0"/>
    <s v="S"/>
    <n v="-22.760658038006511"/>
    <n v="-47.251214112302577"/>
    <n v="1667.56"/>
    <n v="2.93"/>
    <n v="50"/>
    <m/>
    <n v="0"/>
    <s v="Trator 1.7m"/>
    <m/>
    <s v="Não"/>
    <s v="Não"/>
    <s v="Não"/>
    <s v="Não"/>
    <n v="833.78"/>
    <n v="833.78"/>
  </r>
  <r>
    <s v="VGSP-348_119,000_CC1"/>
    <x v="162"/>
    <s v="119,000"/>
    <m/>
    <s v="119,500"/>
    <n v="0.5"/>
    <x v="1"/>
    <s v="C"/>
    <n v="-22.850148543951072"/>
    <n v="-47.327610105726528"/>
    <n v="1580.45"/>
    <n v="1.77"/>
    <n v="80"/>
    <m/>
    <n v="0"/>
    <s v="Trator 1.7m"/>
    <m/>
    <s v="Não"/>
    <s v="Não"/>
    <s v="Não"/>
    <s v="Não"/>
    <n v="1264.3600000000001"/>
    <n v="1264.3600000000001"/>
  </r>
  <r>
    <s v="VGSP-348_119,000_ES_CL4"/>
    <x v="0"/>
    <s v="119,000"/>
    <m/>
    <s v="119,500"/>
    <m/>
    <x v="0"/>
    <s v="S"/>
    <n v="-22.847298629903911"/>
    <n v="-47.333107170883828"/>
    <n v="2269.27"/>
    <n v="2.33"/>
    <n v="70"/>
    <m/>
    <n v="0"/>
    <s v="Trator 1.7m"/>
    <m/>
    <s v="Não"/>
    <s v="Não"/>
    <s v="Não"/>
    <s v="Não"/>
    <n v="1588.4889999999998"/>
    <n v="1588.4889999999998"/>
  </r>
  <r>
    <s v="VGSP-348_120,000_CC2"/>
    <x v="163"/>
    <s v="120,000"/>
    <m/>
    <s v="120,500"/>
    <n v="0.5"/>
    <x v="1"/>
    <s v="C"/>
    <n v="-22.84209222783452"/>
    <n v="-47.341966354264869"/>
    <n v="6573.16"/>
    <n v="4.47"/>
    <n v="80"/>
    <m/>
    <n v="0"/>
    <s v="Trator 1.7m"/>
    <m/>
    <s v="Não"/>
    <s v="Não"/>
    <s v="Não"/>
    <s v="Não"/>
    <n v="5258.5280000000002"/>
    <n v="5258.5280000000002"/>
  </r>
  <r>
    <s v="VGSP-330_120,000_CC2"/>
    <x v="164"/>
    <s v="120,000"/>
    <m/>
    <s v="120,500"/>
    <m/>
    <x v="1"/>
    <s v="C"/>
    <n v="-22.755887056169431"/>
    <n v="-47.25563552353352"/>
    <n v="1360.11"/>
    <n v="3.74"/>
    <n v="0"/>
    <m/>
    <n v="0"/>
    <m/>
    <m/>
    <s v="Não"/>
    <s v="Não"/>
    <s v="Não"/>
    <s v="Não"/>
    <n v="0"/>
    <n v="0"/>
  </r>
  <r>
    <s v="VGSP-330_120,000_CC3"/>
    <x v="164"/>
    <s v="120,000"/>
    <m/>
    <s v="120,500"/>
    <m/>
    <x v="1"/>
    <s v="C"/>
    <n v="-22.755347097869318"/>
    <n v="-47.257411305690027"/>
    <n v="10619.3"/>
    <n v="3.22"/>
    <n v="50"/>
    <m/>
    <n v="0"/>
    <s v="Trator 1.7m"/>
    <m/>
    <s v="Não"/>
    <s v="Não"/>
    <s v="Não"/>
    <s v="Não"/>
    <n v="5309.65"/>
    <n v="5309.65"/>
  </r>
  <r>
    <s v="VGSP-330_120,000_EN_CL8"/>
    <x v="0"/>
    <s v="120,000"/>
    <m/>
    <s v="120,500"/>
    <m/>
    <x v="0"/>
    <s v="N"/>
    <n v="-22.753244928329401"/>
    <n v="-47.257266169374049"/>
    <n v="1453.16"/>
    <n v="3.19"/>
    <n v="50"/>
    <m/>
    <n v="0"/>
    <s v="Trator 1.7m"/>
    <m/>
    <s v="Não"/>
    <s v="Não"/>
    <s v="Não"/>
    <s v="Não"/>
    <n v="726.58"/>
    <n v="726.58"/>
  </r>
  <r>
    <s v="VGSP-330_120,000_CC1"/>
    <x v="164"/>
    <s v="120,000"/>
    <m/>
    <s v="120,500"/>
    <m/>
    <x v="1"/>
    <s v="C"/>
    <n v="-22.758364455108961"/>
    <n v="-47.253052653337463"/>
    <n v="1768.64"/>
    <n v="5.62"/>
    <n v="0"/>
    <m/>
    <n v="0"/>
    <m/>
    <m/>
    <s v="Sim"/>
    <s v="Não"/>
    <s v="Não"/>
    <s v="Não"/>
    <n v="0"/>
    <m/>
  </r>
  <r>
    <s v="VGSP-330_120,000_CC6"/>
    <x v="164"/>
    <s v="120,000"/>
    <m/>
    <s v="120,500"/>
    <m/>
    <x v="1"/>
    <s v="C"/>
    <n v="-22.75426269602681"/>
    <n v="-47.258294784563162"/>
    <n v="11711.62"/>
    <n v="1.51"/>
    <n v="50"/>
    <m/>
    <n v="0"/>
    <s v="Trator 1.7m"/>
    <m/>
    <s v="Não"/>
    <s v="Não"/>
    <s v="Não"/>
    <s v="Não"/>
    <n v="5855.81"/>
    <n v="5855.81"/>
  </r>
  <r>
    <s v="VGSP-348_120,000_EN_CL2"/>
    <x v="0"/>
    <s v="120,000"/>
    <m/>
    <s v="120,500"/>
    <m/>
    <x v="0"/>
    <s v="N"/>
    <n v="-22.84444650600744"/>
    <n v="-47.337348400998479"/>
    <n v="2001.6"/>
    <n v="1.78"/>
    <n v="80"/>
    <m/>
    <n v="1601.28"/>
    <s v="Trator 4.7m, Trator com braço articulado"/>
    <m/>
    <s v="Não"/>
    <s v="Não"/>
    <s v="Não"/>
    <s v="Sim"/>
    <n v="0"/>
    <m/>
  </r>
  <r>
    <s v="VGSP-348_120,000_ES_CL1"/>
    <x v="0"/>
    <s v="120,000"/>
    <m/>
    <s v="120,500"/>
    <m/>
    <x v="0"/>
    <s v="S"/>
    <n v="-22.842276358349309"/>
    <n v="-47.342070627152403"/>
    <n v="2326.4899999999998"/>
    <n v="4.46"/>
    <n v="70"/>
    <m/>
    <n v="0"/>
    <s v="Trator 1.7m"/>
    <m/>
    <s v="Não"/>
    <s v="Não"/>
    <s v="Não"/>
    <s v="Não"/>
    <n v="1628.5429999999997"/>
    <n v="1628.5429999999997"/>
  </r>
  <r>
    <s v="VGSP-330_120,000_EN_CL6"/>
    <x v="0"/>
    <s v="120,000"/>
    <m/>
    <s v="120,500"/>
    <m/>
    <x v="0"/>
    <s v="N"/>
    <n v="-22.753425564997489"/>
    <n v="-47.257254827250577"/>
    <n v="7697.29"/>
    <n v="4.13"/>
    <n v="50"/>
    <m/>
    <n v="0"/>
    <s v="Trator 1.7m"/>
    <m/>
    <s v="Não"/>
    <s v="Não"/>
    <s v="Não"/>
    <s v="Não"/>
    <n v="3848.645"/>
    <n v="3848.645"/>
  </r>
  <r>
    <s v="VGSP-330_120,000_EN_CL2"/>
    <x v="0"/>
    <s v="120,000"/>
    <m/>
    <s v="120,500"/>
    <m/>
    <x v="0"/>
    <s v="N"/>
    <n v="-22.757300730628589"/>
    <n v="-47.253710497754852"/>
    <n v="732.17"/>
    <n v="2.76"/>
    <n v="50"/>
    <m/>
    <n v="0"/>
    <s v="Trator 1.7m"/>
    <m/>
    <s v="Não"/>
    <s v="Não"/>
    <s v="Não"/>
    <s v="Não"/>
    <n v="366.08499999999998"/>
    <n v="366.08499999999998"/>
  </r>
  <r>
    <s v="VGSP-330_120,000_EN_CL5"/>
    <x v="0"/>
    <s v="120,000"/>
    <m/>
    <s v="120,500"/>
    <m/>
    <x v="0"/>
    <s v="N"/>
    <n v="-22.75479484869231"/>
    <n v="-47.256317343408739"/>
    <n v="0.5"/>
    <n v="2.39"/>
    <m/>
    <m/>
    <n v="0"/>
    <m/>
    <m/>
    <s v="Não"/>
    <s v="Não"/>
    <s v="Não"/>
    <s v="Não"/>
    <n v="0"/>
    <n v="0"/>
  </r>
  <r>
    <s v="VGSP-348_120,000_ES_CL2"/>
    <x v="0"/>
    <s v="120,000"/>
    <m/>
    <s v="120,500"/>
    <m/>
    <x v="0"/>
    <s v="S"/>
    <n v="-22.844802630142539"/>
    <n v="-47.337558153143917"/>
    <n v="2003.74"/>
    <n v="1.87"/>
    <n v="70"/>
    <m/>
    <n v="0"/>
    <s v="Trator 1.7m"/>
    <m/>
    <s v="Não"/>
    <s v="Não"/>
    <s v="Não"/>
    <s v="Não"/>
    <n v="1402.6179999999999"/>
    <n v="1402.6179999999999"/>
  </r>
  <r>
    <s v="VGSP-348_120,000_EN_CL1"/>
    <x v="0"/>
    <s v="120,000"/>
    <m/>
    <s v="120,500"/>
    <m/>
    <x v="0"/>
    <s v="N"/>
    <n v="-22.84194921118625"/>
    <n v="-47.341797838702433"/>
    <n v="2270.96"/>
    <n v="4.3099999999999996"/>
    <n v="80"/>
    <m/>
    <n v="1816.768"/>
    <s v="Trator com braço articulado"/>
    <m/>
    <s v="Não"/>
    <s v="Não"/>
    <s v="Não"/>
    <s v="Sim"/>
    <n v="0"/>
    <m/>
  </r>
  <r>
    <s v="VGSP-348_120,000_CC1"/>
    <x v="163"/>
    <s v="120,000"/>
    <m/>
    <s v="120,500"/>
    <n v="0.5"/>
    <x v="1"/>
    <s v="C"/>
    <n v="-22.844626196181331"/>
    <n v="-47.337447319336583"/>
    <n v="5520"/>
    <n v="1.62"/>
    <n v="80"/>
    <m/>
    <n v="0"/>
    <s v="Trator 1.7m"/>
    <m/>
    <s v="Não"/>
    <s v="Não"/>
    <s v="Não"/>
    <s v="Não"/>
    <n v="4416"/>
    <n v="4416"/>
  </r>
  <r>
    <s v="VGSP-330_120,000_ES_CL4"/>
    <x v="0"/>
    <s v="120,000"/>
    <m/>
    <s v="120,500"/>
    <m/>
    <x v="0"/>
    <s v="S"/>
    <n v="-22.755455159424251"/>
    <n v="-47.259273461596358"/>
    <n v="947.35"/>
    <n v="2.59"/>
    <n v="50"/>
    <m/>
    <n v="0"/>
    <s v="Trator 1.7m"/>
    <m/>
    <s v="Não"/>
    <s v="Não"/>
    <s v="Não"/>
    <s v="Não"/>
    <n v="473.67500000000001"/>
    <n v="473.67500000000001"/>
  </r>
  <r>
    <s v="VGSP-330_120,000_ES_CL5"/>
    <x v="0"/>
    <s v="120,000"/>
    <m/>
    <s v="120,500"/>
    <m/>
    <x v="0"/>
    <s v="S"/>
    <n v="-22.755401430232691"/>
    <n v="-47.259017321309742"/>
    <n v="1171.72"/>
    <n v="2.77"/>
    <n v="50"/>
    <m/>
    <n v="0"/>
    <s v="Trator 1.7m"/>
    <m/>
    <s v="Não"/>
    <s v="Não"/>
    <s v="Não"/>
    <s v="Não"/>
    <n v="585.86"/>
    <n v="585.86"/>
  </r>
  <r>
    <s v="VGSP-330_120,000_EN_CL1"/>
    <x v="0"/>
    <s v="120,000"/>
    <m/>
    <s v="120,500"/>
    <m/>
    <x v="0"/>
    <s v="N"/>
    <n v="-22.758756430176678"/>
    <n v="-47.252184007701928"/>
    <n v="1032.07"/>
    <n v="6.37"/>
    <n v="50"/>
    <m/>
    <n v="0"/>
    <s v="Trator 1.7m"/>
    <m/>
    <s v="Não"/>
    <s v="Não"/>
    <s v="Não"/>
    <s v="Não"/>
    <n v="516.03499999999997"/>
    <n v="516.03499999999997"/>
  </r>
  <r>
    <s v="VGSP-330_120,000_ES_CL3"/>
    <x v="0"/>
    <s v="120,000"/>
    <m/>
    <s v="120,500"/>
    <m/>
    <x v="0"/>
    <s v="S"/>
    <n v="-22.755643707807621"/>
    <n v="-47.25754241236713"/>
    <n v="188.59"/>
    <n v="4.25"/>
    <n v="50"/>
    <m/>
    <n v="0"/>
    <s v="Trator 1.7m"/>
    <m/>
    <s v="Não"/>
    <s v="Não"/>
    <s v="Não"/>
    <s v="Não"/>
    <n v="94.295000000000002"/>
    <n v="94.295000000000002"/>
  </r>
  <r>
    <s v="VGSP-330_120,000_CC5"/>
    <x v="164"/>
    <s v="120,000"/>
    <m/>
    <s v="120,500"/>
    <m/>
    <x v="1"/>
    <s v="C"/>
    <n v="-22.75497643856302"/>
    <n v="-47.25903658738855"/>
    <n v="1863.24"/>
    <n v="1.48"/>
    <n v="50"/>
    <m/>
    <n v="0"/>
    <s v="Trator 1.7m"/>
    <m/>
    <s v="Não"/>
    <s v="Não"/>
    <s v="Não"/>
    <s v="Não"/>
    <n v="931.62"/>
    <n v="931.62"/>
  </r>
  <r>
    <s v="VGSP-330_120,000_ES_CL1"/>
    <x v="0"/>
    <s v="120,000"/>
    <m/>
    <s v="120,500"/>
    <m/>
    <x v="0"/>
    <s v="S"/>
    <n v="-22.758579965067341"/>
    <n v="-47.253240784816597"/>
    <n v="1866.7"/>
    <n v="3.93"/>
    <n v="50"/>
    <m/>
    <n v="0"/>
    <s v="Trator 1.7m"/>
    <m/>
    <s v="Não"/>
    <s v="Não"/>
    <s v="Não"/>
    <s v="Não"/>
    <n v="933.35"/>
    <n v="933.35"/>
  </r>
  <r>
    <s v="VGSP-330_120,000_ES_CL2"/>
    <x v="0"/>
    <s v="120,000"/>
    <m/>
    <s v="120,500"/>
    <m/>
    <x v="0"/>
    <s v="S"/>
    <n v="-22.756179814782762"/>
    <n v="-47.255986315101701"/>
    <n v="1175.27"/>
    <n v="3.89"/>
    <n v="50"/>
    <m/>
    <n v="0"/>
    <s v="Trator 1.7m"/>
    <m/>
    <s v="Não"/>
    <s v="Não"/>
    <s v="Não"/>
    <s v="Não"/>
    <n v="587.63499999999999"/>
    <n v="587.63499999999999"/>
  </r>
  <r>
    <s v="VGSP-330_120,000_EN_CL7"/>
    <x v="0"/>
    <s v="120,000"/>
    <m/>
    <s v="120,500"/>
    <m/>
    <x v="0"/>
    <s v="N"/>
    <n v="-22.753145890895858"/>
    <n v="-47.257703036820452"/>
    <n v="2800.59"/>
    <n v="3.34"/>
    <n v="50"/>
    <m/>
    <n v="0"/>
    <s v="Trator 1.7m"/>
    <m/>
    <s v="Não"/>
    <s v="Não"/>
    <s v="Não"/>
    <s v="Não"/>
    <n v="1400.2950000000001"/>
    <n v="1400.2950000000001"/>
  </r>
  <r>
    <s v="VGSP-330_120,000_ES_CL6"/>
    <x v="0"/>
    <s v="120,000"/>
    <m/>
    <s v="120,500"/>
    <m/>
    <x v="0"/>
    <s v="S"/>
    <n v="-22.754311099557981"/>
    <n v="-47.259042335909257"/>
    <n v="6778.14"/>
    <n v="1.73"/>
    <n v="50"/>
    <m/>
    <n v="0"/>
    <s v="Trator 1.7m"/>
    <m/>
    <s v="Não"/>
    <s v="Não"/>
    <s v="Não"/>
    <s v="Não"/>
    <n v="3389.07"/>
    <n v="3389.07"/>
  </r>
  <r>
    <s v="VGSP-330_120,000_EN_CL4"/>
    <x v="0"/>
    <s v="120,000"/>
    <m/>
    <s v="120,500"/>
    <m/>
    <x v="0"/>
    <s v="N"/>
    <n v="-22.756125638389211"/>
    <n v="-47.254967721480227"/>
    <n v="587.30999999999995"/>
    <n v="3.67"/>
    <n v="50"/>
    <m/>
    <n v="0"/>
    <s v="Trator 1.7m"/>
    <m/>
    <s v="Não"/>
    <s v="Não"/>
    <s v="Não"/>
    <s v="Não"/>
    <n v="293.65499999999997"/>
    <n v="293.65499999999997"/>
  </r>
  <r>
    <s v="VGSP-330_120,000_EN_CL3"/>
    <x v="0"/>
    <s v="120,000"/>
    <m/>
    <s v="120,500"/>
    <m/>
    <x v="0"/>
    <s v="N"/>
    <n v="-22.75668555396684"/>
    <n v="-47.254346798369824"/>
    <n v="23.42"/>
    <n v="1.04"/>
    <n v="0"/>
    <m/>
    <n v="0"/>
    <m/>
    <m/>
    <s v="Não"/>
    <s v="Não"/>
    <s v="Não"/>
    <s v="Não"/>
    <n v="0"/>
    <n v="0"/>
  </r>
  <r>
    <s v="VGSP-330_120,000_CC4"/>
    <x v="164"/>
    <s v="120,000"/>
    <m/>
    <s v="120,500"/>
    <m/>
    <x v="1"/>
    <s v="C"/>
    <n v="-22.754966070595859"/>
    <n v="-47.257371414716708"/>
    <n v="5971.26"/>
    <n v="2.12"/>
    <n v="50"/>
    <m/>
    <n v="0"/>
    <s v="Trator 1.7m"/>
    <m/>
    <s v="Não"/>
    <s v="Não"/>
    <s v="Não"/>
    <s v="Não"/>
    <n v="2985.63"/>
    <n v="2985.63"/>
  </r>
  <r>
    <s v="VGSP-330_121,000_ES_CL1"/>
    <x v="0"/>
    <s v="121,000"/>
    <m/>
    <s v="121,500"/>
    <m/>
    <x v="0"/>
    <s v="S"/>
    <n v="-22.754161298060549"/>
    <n v="-47.259316865316457"/>
    <n v="1242.46"/>
    <n v="2.1"/>
    <n v="50"/>
    <m/>
    <n v="0"/>
    <s v="Trator 1.7m"/>
    <m/>
    <s v="Não"/>
    <s v="Não"/>
    <s v="Não"/>
    <s v="Não"/>
    <n v="621.23"/>
    <n v="621.23"/>
  </r>
  <r>
    <s v="VGSP-330_121,000_EN_CL6"/>
    <x v="0"/>
    <s v="121,000"/>
    <m/>
    <s v="121,500"/>
    <m/>
    <x v="0"/>
    <s v="N"/>
    <n v="-22.74799289343991"/>
    <n v="-47.263443912861263"/>
    <n v="1909.28"/>
    <n v="3.23"/>
    <n v="50"/>
    <m/>
    <n v="0"/>
    <s v="Trator 1.7m"/>
    <m/>
    <s v="Não"/>
    <s v="Não"/>
    <s v="Não"/>
    <s v="Não"/>
    <n v="954.64"/>
    <n v="954.64"/>
  </r>
  <r>
    <s v="VGSP-330_121,000_EN_CL4"/>
    <x v="0"/>
    <s v="121,000"/>
    <m/>
    <s v="121,500"/>
    <m/>
    <x v="0"/>
    <s v="N"/>
    <n v="-22.75069242818611"/>
    <n v="-47.260602186608082"/>
    <n v="738.08"/>
    <n v="3.11"/>
    <n v="50"/>
    <m/>
    <n v="0"/>
    <s v="Trator 1.7m"/>
    <m/>
    <s v="Não"/>
    <s v="Não"/>
    <s v="Não"/>
    <s v="Não"/>
    <n v="369.04"/>
    <n v="369.04"/>
  </r>
  <r>
    <s v="VGSP-348_121,000_ES_CL1"/>
    <x v="0"/>
    <s v="121,000"/>
    <m/>
    <s v="121,500"/>
    <m/>
    <x v="0"/>
    <s v="S"/>
    <n v="-22.837405447721611"/>
    <n v="-47.350755698334588"/>
    <n v="2003.7"/>
    <n v="4.9000000000000004"/>
    <n v="80"/>
    <m/>
    <n v="1602.96"/>
    <s v="Trator com braço articulado"/>
    <m/>
    <s v="Não"/>
    <s v="Sim"/>
    <s v="Não"/>
    <s v="Não"/>
    <n v="0"/>
    <m/>
  </r>
  <r>
    <s v="VGSP-330_121,000_EN_CL5"/>
    <x v="0"/>
    <s v="121,000"/>
    <m/>
    <s v="121,500"/>
    <m/>
    <x v="0"/>
    <s v="N"/>
    <n v="-22.7505267718361"/>
    <n v="-47.260956094985197"/>
    <n v="885.02"/>
    <n v="2.72"/>
    <n v="50"/>
    <m/>
    <n v="0"/>
    <s v="Trator 1.7m"/>
    <m/>
    <s v="Não"/>
    <s v="Não"/>
    <s v="Não"/>
    <s v="Não"/>
    <n v="442.51"/>
    <n v="442.51"/>
  </r>
  <r>
    <s v="VGSP-348_121,000_EN_CL1"/>
    <x v="0"/>
    <s v="121,000"/>
    <m/>
    <s v="121,500"/>
    <m/>
    <x v="0"/>
    <s v="N"/>
    <n v="-22.837040520332881"/>
    <n v="-47.350542405949547"/>
    <n v="2004.49"/>
    <n v="4.68"/>
    <n v="80"/>
    <m/>
    <n v="1603.5920000000001"/>
    <s v="Trator com braço articulado"/>
    <m/>
    <s v="Não"/>
    <s v="Sim"/>
    <s v="Não"/>
    <s v="Sim"/>
    <n v="0"/>
    <m/>
  </r>
  <r>
    <s v="VGSP-348_121,000_EN_CL2"/>
    <x v="0"/>
    <s v="121,000"/>
    <m/>
    <s v="121,500"/>
    <m/>
    <x v="0"/>
    <s v="N"/>
    <n v="-22.839417350028629"/>
    <n v="-47.346309163159098"/>
    <n v="2061.0100000000002"/>
    <n v="6.36"/>
    <n v="80"/>
    <m/>
    <n v="1648.8080000000002"/>
    <s v="Trator com braço articulado"/>
    <m/>
    <s v="Não"/>
    <s v="Sim"/>
    <s v="Não"/>
    <s v="Sim"/>
    <n v="0"/>
    <m/>
  </r>
  <r>
    <s v="VGSP-330_121,000_ES_CL3"/>
    <x v="0"/>
    <s v="121,000"/>
    <m/>
    <s v="121,500"/>
    <m/>
    <x v="0"/>
    <s v="S"/>
    <n v="-22.75089381824812"/>
    <n v="-47.261139282378302"/>
    <n v="993.76"/>
    <n v="1.87"/>
    <n v="50"/>
    <m/>
    <n v="0"/>
    <s v="Trator 1.7m"/>
    <m/>
    <s v="Não"/>
    <s v="Não"/>
    <s v="Não"/>
    <s v="Não"/>
    <n v="496.88"/>
    <n v="496.88"/>
  </r>
  <r>
    <s v="VGSP-330_121,000_ES_CL4"/>
    <x v="0"/>
    <s v="121,000"/>
    <m/>
    <s v="121,500"/>
    <m/>
    <x v="0"/>
    <s v="S"/>
    <n v="-22.749929888797681"/>
    <n v="-47.262149865688791"/>
    <n v="229"/>
    <n v="2.77"/>
    <n v="50"/>
    <m/>
    <n v="0"/>
    <s v="Trator 1.7m"/>
    <m/>
    <s v="Não"/>
    <s v="Não"/>
    <s v="Não"/>
    <s v="Não"/>
    <n v="114.5"/>
    <n v="114.5"/>
  </r>
  <r>
    <s v="VGSP-330_121,000_ES_CL5"/>
    <x v="0"/>
    <s v="121,000"/>
    <m/>
    <s v="121,500"/>
    <m/>
    <x v="0"/>
    <s v="S"/>
    <n v="-22.748251899948912"/>
    <n v="-47.26387054405911"/>
    <n v="1874.02"/>
    <n v="2.41"/>
    <n v="50"/>
    <m/>
    <n v="0"/>
    <s v="Trator 1.7m"/>
    <m/>
    <s v="Não"/>
    <s v="Não"/>
    <s v="Não"/>
    <s v="Não"/>
    <n v="937.01"/>
    <n v="937.01"/>
  </r>
  <r>
    <s v="VGSP-348_121,000_ES_CL2"/>
    <x v="0"/>
    <s v="121,000"/>
    <m/>
    <s v="121,500"/>
    <m/>
    <x v="0"/>
    <s v="S"/>
    <n v="-22.839752089135111"/>
    <n v="-47.346584914104128"/>
    <n v="2004.23"/>
    <n v="6.43"/>
    <n v="55"/>
    <m/>
    <n v="1102.3265000000001"/>
    <s v="Trator com braço articulado"/>
    <m/>
    <s v="Não"/>
    <s v="Sim"/>
    <s v="Não"/>
    <s v="Sim"/>
    <n v="0"/>
    <m/>
  </r>
  <r>
    <s v="VGSP-330_121,000_EN_CL1"/>
    <x v="0"/>
    <s v="121,000"/>
    <m/>
    <s v="121,500"/>
    <m/>
    <x v="0"/>
    <s v="N"/>
    <n v="-22.752471300298559"/>
    <n v="-47.258756088397043"/>
    <n v="229.24"/>
    <n v="4.0999999999999996"/>
    <n v="50"/>
    <m/>
    <n v="0"/>
    <s v="Trator 1.7m"/>
    <m/>
    <s v="Não"/>
    <s v="Não"/>
    <s v="Não"/>
    <s v="Não"/>
    <n v="114.62"/>
    <n v="114.62"/>
  </r>
  <r>
    <s v="VGSP-348_121,000_CC2"/>
    <x v="165"/>
    <s v="121,000"/>
    <m/>
    <s v="121,500"/>
    <n v="0.5"/>
    <x v="1"/>
    <s v="C"/>
    <n v="-22.837222104984811"/>
    <n v="-47.350650796493603"/>
    <n v="5528.8"/>
    <n v="4.8099999999999996"/>
    <n v="80"/>
    <m/>
    <n v="0"/>
    <s v="Trator 1.7m"/>
    <m/>
    <s v="Não"/>
    <s v="Não"/>
    <s v="Não"/>
    <s v="Não"/>
    <n v="4423.04"/>
    <n v="4423.04"/>
  </r>
  <r>
    <s v="VGSP-348_121,000_CC1"/>
    <x v="165"/>
    <s v="121,000"/>
    <m/>
    <s v="121,500"/>
    <n v="0.5"/>
    <x v="1"/>
    <s v="C"/>
    <n v="-22.839592151186849"/>
    <n v="-47.346424448482082"/>
    <n v="5690.33"/>
    <n v="6.33"/>
    <n v="80"/>
    <m/>
    <n v="0"/>
    <s v="Trator 1.7m"/>
    <m/>
    <s v="Não"/>
    <s v="Não"/>
    <s v="Não"/>
    <s v="Não"/>
    <n v="4552.2640000000001"/>
    <n v="4552.2640000000001"/>
  </r>
  <r>
    <s v="VGSP-330_121,000_EN_CL7"/>
    <x v="0"/>
    <s v="121,000"/>
    <m/>
    <s v="121,500"/>
    <m/>
    <x v="0"/>
    <s v="N"/>
    <n v="-22.749534308886261"/>
    <n v="-47.261797496632163"/>
    <n v="5.7"/>
    <n v="2.75"/>
    <m/>
    <m/>
    <n v="0"/>
    <m/>
    <m/>
    <s v="Não"/>
    <s v="Não"/>
    <s v="Não"/>
    <s v="Não"/>
    <n v="0"/>
    <n v="0"/>
  </r>
  <r>
    <s v="VGSP-330_121,000_EN_CL2"/>
    <x v="0"/>
    <s v="121,000"/>
    <m/>
    <s v="121,500"/>
    <m/>
    <x v="0"/>
    <s v="N"/>
    <n v="-22.752146953068699"/>
    <n v="-47.259104131891227"/>
    <n v="505.22"/>
    <n v="6.31"/>
    <n v="50"/>
    <m/>
    <n v="0"/>
    <s v="Trator 1.7m"/>
    <m/>
    <s v="Não"/>
    <s v="Não"/>
    <s v="Não"/>
    <s v="Não"/>
    <n v="252.61"/>
    <n v="252.61"/>
  </r>
  <r>
    <s v="VGSP-330_121,000_ES_CL2"/>
    <x v="0"/>
    <s v="121,000"/>
    <m/>
    <s v="121,500"/>
    <m/>
    <x v="0"/>
    <s v="S"/>
    <n v="-22.752118144866131"/>
    <n v="-47.259845977872587"/>
    <n v="1076.25"/>
    <n v="4.2300000000000004"/>
    <n v="50"/>
    <m/>
    <n v="0"/>
    <s v="Trator 1.7m"/>
    <m/>
    <s v="Não"/>
    <s v="Não"/>
    <s v="Não"/>
    <s v="Não"/>
    <n v="538.125"/>
    <n v="538.125"/>
  </r>
  <r>
    <s v="VGSP-330_121,000_EN_CL3"/>
    <x v="0"/>
    <s v="121,000"/>
    <m/>
    <s v="121,500"/>
    <m/>
    <x v="0"/>
    <s v="N"/>
    <n v="-22.751607892878241"/>
    <n v="-47.259651491946236"/>
    <n v="875.87"/>
    <n v="5.27"/>
    <n v="50"/>
    <m/>
    <n v="0"/>
    <s v="Trator 1.7m"/>
    <m/>
    <s v="Não"/>
    <s v="Não"/>
    <s v="Não"/>
    <s v="Não"/>
    <n v="437.935"/>
    <n v="437.935"/>
  </r>
  <r>
    <s v="VGSP-348_122,000_EN_CL4"/>
    <x v="0"/>
    <s v="122,000"/>
    <m/>
    <s v="122,500"/>
    <m/>
    <x v="0"/>
    <s v="N"/>
    <n v="-22.831457136079489"/>
    <n v="-47.360497072986092"/>
    <n v="819.86"/>
    <n v="2.86"/>
    <n v="70"/>
    <m/>
    <n v="0"/>
    <s v="Trator 1.7m"/>
    <m/>
    <s v="Não"/>
    <s v="Não"/>
    <s v="Não"/>
    <s v="Não"/>
    <n v="573.90199999999993"/>
    <n v="573.90199999999993"/>
  </r>
  <r>
    <s v="VGSP-330_122,000_ES_CL1"/>
    <x v="0"/>
    <s v="122,000"/>
    <m/>
    <s v="122,500"/>
    <m/>
    <x v="0"/>
    <s v="S"/>
    <n v="-22.745283792223681"/>
    <n v="-47.266976748647728"/>
    <n v="1899.54"/>
    <n v="3.44"/>
    <n v="50"/>
    <m/>
    <n v="0"/>
    <s v="Trator 1.7m"/>
    <m/>
    <s v="Não"/>
    <s v="Não"/>
    <s v="Não"/>
    <s v="Não"/>
    <n v="949.77"/>
    <n v="949.77"/>
  </r>
  <r>
    <s v="VGSP-348_122,000_EN_CL2"/>
    <x v="0"/>
    <s v="122,000"/>
    <m/>
    <s v="122,500"/>
    <m/>
    <x v="0"/>
    <s v="N"/>
    <n v="-22.83488017093466"/>
    <n v="-47.354399001874462"/>
    <n v="1697.04"/>
    <n v="2.5499999999999998"/>
    <n v="70"/>
    <m/>
    <n v="0"/>
    <s v="Trator 1.7m"/>
    <m/>
    <s v="Não"/>
    <s v="Não"/>
    <s v="Não"/>
    <s v="Não"/>
    <n v="1187.9279999999999"/>
    <n v="1187.9279999999999"/>
  </r>
  <r>
    <s v="VGSP-348_122,000_CC3"/>
    <x v="166"/>
    <s v="122,000"/>
    <m/>
    <s v="122,500"/>
    <n v="0.5"/>
    <x v="1"/>
    <s v="C"/>
    <n v="-22.83162399897374"/>
    <n v="-47.360628600723082"/>
    <n v="2376.7600000000002"/>
    <n v="2.84"/>
    <n v="80"/>
    <m/>
    <n v="0"/>
    <s v="Trator 1.7m"/>
    <m/>
    <s v="Não"/>
    <s v="Não"/>
    <s v="Não"/>
    <s v="Não"/>
    <n v="1901.4080000000004"/>
    <n v="1901.4080000000004"/>
  </r>
  <r>
    <s v="VGSP-348_122,000_ES_CL2"/>
    <x v="0"/>
    <s v="122,000"/>
    <m/>
    <s v="122,500"/>
    <m/>
    <x v="0"/>
    <s v="S"/>
    <n v="-22.835238848452409"/>
    <n v="-47.354605134818598"/>
    <n v="1695.84"/>
    <n v="2.96"/>
    <n v="70"/>
    <m/>
    <n v="0"/>
    <s v="Trator 1.7m"/>
    <m/>
    <s v="Não"/>
    <s v="Não"/>
    <s v="Não"/>
    <s v="Não"/>
    <n v="1187.088"/>
    <n v="1187.088"/>
  </r>
  <r>
    <s v="VGSP-348_122,000_ES_CL1"/>
    <x v="0"/>
    <s v="122,000"/>
    <m/>
    <s v="122,500"/>
    <m/>
    <x v="0"/>
    <s v="S"/>
    <n v="-22.833434309033709"/>
    <n v="-47.358060651712798"/>
    <n v="1607.84"/>
    <n v="2.8"/>
    <n v="70"/>
    <m/>
    <n v="0"/>
    <s v="Trator 1.7m"/>
    <m/>
    <s v="Não"/>
    <s v="Não"/>
    <s v="Não"/>
    <s v="Não"/>
    <n v="1125.4879999999998"/>
    <n v="1125.4879999999998"/>
  </r>
  <r>
    <s v="VGSP-330_122,000_ES_CL2"/>
    <x v="0"/>
    <s v="122,000"/>
    <m/>
    <s v="122,500"/>
    <m/>
    <x v="0"/>
    <s v="S"/>
    <n v="-22.74224483024603"/>
    <n v="-47.27033759738768"/>
    <n v="1961.75"/>
    <n v="3.63"/>
    <n v="50"/>
    <m/>
    <n v="0"/>
    <s v="Trator 1.7m"/>
    <m/>
    <s v="Não"/>
    <s v="Não"/>
    <s v="Não"/>
    <s v="Não"/>
    <n v="980.875"/>
    <n v="980.875"/>
  </r>
  <r>
    <s v="VGSP-348_122,000_EN_CL1"/>
    <x v="0"/>
    <s v="122,000"/>
    <m/>
    <s v="122,500"/>
    <m/>
    <x v="0"/>
    <s v="N"/>
    <n v="-22.832896130406219"/>
    <n v="-47.357698855899827"/>
    <n v="1575.13"/>
    <n v="2.2000000000000002"/>
    <n v="70"/>
    <m/>
    <n v="0"/>
    <s v="Trator 1.7m"/>
    <m/>
    <s v="Não"/>
    <s v="Não"/>
    <s v="Não"/>
    <s v="Não"/>
    <n v="1102.5909999999999"/>
    <n v="1102.5909999999999"/>
  </r>
  <r>
    <s v="VGSP-330_122,000_EN_CL2"/>
    <x v="0"/>
    <s v="122,000"/>
    <m/>
    <s v="122,500"/>
    <m/>
    <x v="0"/>
    <s v="N"/>
    <n v="-22.7418771109548"/>
    <n v="-47.270033906193078"/>
    <n v="1964.35"/>
    <n v="3.3"/>
    <n v="50"/>
    <m/>
    <n v="0"/>
    <s v="Trator 1.7m"/>
    <m/>
    <s v="Não"/>
    <s v="Não"/>
    <s v="Não"/>
    <s v="Não"/>
    <n v="982.17499999999995"/>
    <n v="982.17499999999995"/>
  </r>
  <r>
    <s v="VGSP-348_122,000_ES_CL3"/>
    <x v="0"/>
    <s v="122,000"/>
    <m/>
    <s v="122,500"/>
    <m/>
    <x v="0"/>
    <s v="S"/>
    <n v="-22.83287230363015"/>
    <n v="-47.359005793466103"/>
    <n v="2880.49"/>
    <n v="2.27"/>
    <n v="70"/>
    <m/>
    <n v="0"/>
    <s v="Trator 1.7m"/>
    <m/>
    <s v="Não"/>
    <s v="Não"/>
    <s v="Não"/>
    <s v="Não"/>
    <n v="2016.3429999999996"/>
    <n v="2016.3429999999996"/>
  </r>
  <r>
    <s v="VGSP-330_122,000_EN_CL1"/>
    <x v="0"/>
    <s v="122,000"/>
    <m/>
    <s v="122,500"/>
    <m/>
    <x v="0"/>
    <s v="N"/>
    <n v="-22.744928399798351"/>
    <n v="-47.266659874621013"/>
    <n v="1871.91"/>
    <n v="3.34"/>
    <n v="50"/>
    <m/>
    <n v="0"/>
    <s v="Trator 1.7m"/>
    <m/>
    <s v="Não"/>
    <s v="Não"/>
    <s v="Não"/>
    <s v="Não"/>
    <n v="935.95500000000004"/>
    <n v="935.95500000000004"/>
  </r>
  <r>
    <s v="VGSP-348_122,000_CC1"/>
    <x v="166"/>
    <s v="122,000"/>
    <m/>
    <s v="122,500"/>
    <n v="0.5"/>
    <x v="1"/>
    <s v="C"/>
    <n v="-22.83505458330637"/>
    <n v="-47.354517351799267"/>
    <n v="4782.8"/>
    <n v="2.62"/>
    <n v="80"/>
    <m/>
    <n v="0"/>
    <s v="Trator 1.7m"/>
    <m/>
    <s v="Não"/>
    <s v="Não"/>
    <s v="Não"/>
    <s v="Não"/>
    <n v="3826.2400000000002"/>
    <n v="3826.2400000000002"/>
  </r>
  <r>
    <s v="VGSP-348_122,000_CC2"/>
    <x v="166"/>
    <s v="122,000"/>
    <m/>
    <s v="122,500"/>
    <n v="0.5"/>
    <x v="1"/>
    <s v="C"/>
    <n v="-22.833177915014421"/>
    <n v="-47.357867234875542"/>
    <n v="4475.37"/>
    <n v="2.56"/>
    <n v="80"/>
    <m/>
    <n v="0"/>
    <s v="Trator 1.7m"/>
    <m/>
    <s v="Não"/>
    <s v="Não"/>
    <s v="Não"/>
    <s v="Não"/>
    <n v="3580.2960000000003"/>
    <n v="3580.2960000000003"/>
  </r>
  <r>
    <s v="VGSP-348_122,000_ES_CL4"/>
    <x v="0"/>
    <s v="122,000"/>
    <m/>
    <s v="122,500"/>
    <m/>
    <x v="0"/>
    <s v="S"/>
    <n v="-22.83182157339191"/>
    <n v="-47.360725094163513"/>
    <n v="805.87"/>
    <n v="2.02"/>
    <n v="70"/>
    <m/>
    <n v="0"/>
    <s v="Trator 1.7m"/>
    <m/>
    <s v="Não"/>
    <s v="Não"/>
    <s v="Não"/>
    <s v="Não"/>
    <n v="564.10899999999992"/>
    <n v="564.10899999999992"/>
  </r>
  <r>
    <s v="VGSP-348_122,000_EN_CL3"/>
    <x v="0"/>
    <s v="122,000"/>
    <m/>
    <s v="122,500"/>
    <m/>
    <x v="0"/>
    <s v="N"/>
    <n v="-22.83237614679544"/>
    <n v="-47.358696298835078"/>
    <n v="2969.23"/>
    <n v="2.08"/>
    <n v="70"/>
    <m/>
    <n v="0"/>
    <s v="Trator 1.7m"/>
    <m/>
    <s v="Não"/>
    <s v="Não"/>
    <s v="Não"/>
    <s v="Não"/>
    <n v="2078.4609999999998"/>
    <n v="2078.4609999999998"/>
  </r>
  <r>
    <s v="VGSP-330_123,000_EN_CL1"/>
    <x v="0"/>
    <s v="123,000"/>
    <m/>
    <s v="123,500"/>
    <m/>
    <x v="0"/>
    <s v="N"/>
    <n v="-22.740422343786591"/>
    <n v="-47.271991192922947"/>
    <n v="99.41"/>
    <n v="4.38"/>
    <n v="50"/>
    <m/>
    <n v="0"/>
    <s v="Trator 1.7m"/>
    <m/>
    <s v="Não"/>
    <s v="Não"/>
    <s v="Não"/>
    <s v="Não"/>
    <n v="49.704999999999998"/>
    <n v="49.704999999999998"/>
  </r>
  <r>
    <s v="VGSP-330_123,000_EN_CL3"/>
    <x v="0"/>
    <s v="123,000"/>
    <m/>
    <s v="123,500"/>
    <m/>
    <x v="0"/>
    <s v="N"/>
    <n v="-22.739346256230029"/>
    <n v="-47.274133636681803"/>
    <n v="1709.42"/>
    <n v="2.76"/>
    <n v="50"/>
    <m/>
    <n v="0"/>
    <s v="Trator 1.7m"/>
    <m/>
    <s v="Não"/>
    <s v="Não"/>
    <s v="Não"/>
    <s v="Não"/>
    <n v="854.71"/>
    <n v="854.71"/>
  </r>
  <r>
    <s v="VGSP-348_123,000_ES_CL1"/>
    <x v="0"/>
    <s v="123,000"/>
    <m/>
    <s v="123,500"/>
    <m/>
    <x v="0"/>
    <s v="S"/>
    <n v="-22.830245198501359"/>
    <n v="-47.363509526114633"/>
    <n v="1874.48"/>
    <n v="2.96"/>
    <n v="70"/>
    <m/>
    <n v="0"/>
    <s v="Trator 1.7m"/>
    <m/>
    <s v="Não"/>
    <s v="Não"/>
    <s v="Não"/>
    <s v="Não"/>
    <n v="1312.136"/>
    <n v="1312.136"/>
  </r>
  <r>
    <s v="VGSP-330_123,000_EN_CL8"/>
    <x v="0"/>
    <s v="123,000"/>
    <m/>
    <s v="123,500"/>
    <m/>
    <x v="0"/>
    <s v="N"/>
    <n v="-22.736780193254969"/>
    <n v="-47.27974639906337"/>
    <n v="945.75"/>
    <n v="4.7"/>
    <n v="50"/>
    <m/>
    <n v="0"/>
    <s v="Trator 1.7m"/>
    <m/>
    <s v="Não"/>
    <s v="Não"/>
    <s v="Não"/>
    <s v="Não"/>
    <n v="472.875"/>
    <n v="472.875"/>
  </r>
  <r>
    <s v="VGSP-348_123,000_CC1"/>
    <x v="167"/>
    <s v="123,000"/>
    <m/>
    <s v="123,500"/>
    <n v="0.5"/>
    <x v="1"/>
    <s v="C"/>
    <n v="-22.830085098985759"/>
    <n v="-47.363372534136758"/>
    <n v="5404.63"/>
    <n v="2.39"/>
    <n v="80"/>
    <m/>
    <n v="0"/>
    <s v="Trator 1.7m"/>
    <m/>
    <s v="Não"/>
    <s v="Não"/>
    <s v="Não"/>
    <s v="Não"/>
    <n v="4323.7040000000006"/>
    <n v="4323.7040000000006"/>
  </r>
  <r>
    <s v="VGSP-348_123,000_CC2"/>
    <x v="167"/>
    <s v="123,000"/>
    <m/>
    <s v="123,500"/>
    <n v="0.5"/>
    <x v="1"/>
    <s v="C"/>
    <n v="-22.827805167490059"/>
    <n v="-47.367436253760332"/>
    <n v="5893.67"/>
    <n v="2.95"/>
    <n v="80"/>
    <m/>
    <n v="0"/>
    <s v="Trator 1.7m"/>
    <m/>
    <s v="Não"/>
    <s v="Não"/>
    <s v="Não"/>
    <s v="Não"/>
    <n v="4714.9360000000006"/>
    <n v="4714.9360000000006"/>
  </r>
  <r>
    <s v="VGSP-330_123,000_EN_CL7"/>
    <x v="0"/>
    <s v="123,000"/>
    <m/>
    <s v="123,500"/>
    <m/>
    <x v="0"/>
    <s v="N"/>
    <n v="-22.737249261947358"/>
    <n v="-47.278742643776177"/>
    <n v="59.56"/>
    <n v="5.08"/>
    <n v="50"/>
    <m/>
    <n v="0"/>
    <s v="Trator 1.7m"/>
    <m/>
    <s v="Não"/>
    <s v="Não"/>
    <s v="Não"/>
    <s v="Não"/>
    <n v="29.78"/>
    <n v="29.78"/>
  </r>
  <r>
    <s v="VGSP-330_123,000_EN_CL5"/>
    <x v="0"/>
    <s v="123,000"/>
    <m/>
    <s v="123,500"/>
    <m/>
    <x v="0"/>
    <s v="N"/>
    <n v="-22.737915055602379"/>
    <n v="-47.277371776372853"/>
    <n v="1294.22"/>
    <n v="3.47"/>
    <n v="50"/>
    <m/>
    <n v="0"/>
    <s v="Trator 1.7m"/>
    <m/>
    <s v="Não"/>
    <s v="Não"/>
    <s v="Não"/>
    <s v="Não"/>
    <n v="647.11"/>
    <n v="647.11"/>
  </r>
  <r>
    <s v="VGSP-348_123,000_EN_CL2"/>
    <x v="0"/>
    <s v="123,000"/>
    <m/>
    <s v="123,500"/>
    <m/>
    <x v="0"/>
    <s v="N"/>
    <n v="-22.827641768138481"/>
    <n v="-47.367302375319042"/>
    <n v="2081.0700000000002"/>
    <n v="2.4500000000000002"/>
    <n v="70"/>
    <m/>
    <n v="0"/>
    <s v="Trator 1.7m"/>
    <m/>
    <s v="Não"/>
    <s v="Não"/>
    <s v="Não"/>
    <s v="Não"/>
    <n v="1456.749"/>
    <n v="1456.749"/>
  </r>
  <r>
    <s v="VGSP-330_123,000_EN_CL4"/>
    <x v="0"/>
    <s v="123,000"/>
    <m/>
    <s v="123,500"/>
    <m/>
    <x v="0"/>
    <s v="N"/>
    <n v="-22.739395585169891"/>
    <n v="-47.274297342392202"/>
    <n v="1874.37"/>
    <n v="2.94"/>
    <n v="50"/>
    <m/>
    <n v="0"/>
    <s v="Trator 1.7m"/>
    <m/>
    <s v="Não"/>
    <s v="Não"/>
    <s v="Não"/>
    <s v="Não"/>
    <n v="937.18499999999995"/>
    <n v="937.18499999999995"/>
  </r>
  <r>
    <s v="VGSP-330_123,000_EN_CL6"/>
    <x v="0"/>
    <s v="123,000"/>
    <m/>
    <s v="123,500"/>
    <m/>
    <x v="0"/>
    <s v="N"/>
    <n v="-22.738333550979881"/>
    <n v="-47.27625522020341"/>
    <n v="291.92"/>
    <n v="2.96"/>
    <n v="50"/>
    <m/>
    <n v="0"/>
    <s v="Trator 1.7m"/>
    <m/>
    <s v="Não"/>
    <s v="Não"/>
    <s v="Não"/>
    <s v="Não"/>
    <n v="145.96"/>
    <n v="145.96"/>
  </r>
  <r>
    <s v="VGSP-348_123,000_ES_CL2"/>
    <x v="0"/>
    <s v="123,000"/>
    <m/>
    <s v="123,500"/>
    <m/>
    <x v="0"/>
    <s v="S"/>
    <n v="-22.827970082898538"/>
    <n v="-47.367571464259782"/>
    <n v="2024.24"/>
    <n v="3.37"/>
    <n v="70"/>
    <m/>
    <n v="0"/>
    <s v="Trator 1.7m"/>
    <m/>
    <s v="Não"/>
    <s v="Não"/>
    <s v="Não"/>
    <s v="Não"/>
    <n v="1416.9679999999998"/>
    <n v="1416.9679999999998"/>
  </r>
  <r>
    <s v="VGSP-330_123,000_ES_CL1"/>
    <x v="0"/>
    <s v="123,000"/>
    <m/>
    <s v="123,500"/>
    <m/>
    <x v="0"/>
    <s v="S"/>
    <n v="-22.739877802264129"/>
    <n v="-47.274095867091589"/>
    <n v="1787.32"/>
    <n v="3.63"/>
    <n v="50"/>
    <m/>
    <n v="0"/>
    <s v="Trator 1.7m"/>
    <m/>
    <s v="Não"/>
    <s v="Não"/>
    <s v="Não"/>
    <s v="Não"/>
    <n v="893.66"/>
    <n v="893.66"/>
  </r>
  <r>
    <s v="VGSP-348_123,000_EN_CL1"/>
    <x v="0"/>
    <s v="123,000"/>
    <m/>
    <s v="123,500"/>
    <m/>
    <x v="0"/>
    <s v="N"/>
    <n v="-22.829919383089859"/>
    <n v="-47.36324400663355"/>
    <n v="1816.25"/>
    <n v="2.2000000000000002"/>
    <n v="70"/>
    <m/>
    <n v="0"/>
    <s v="Trator 1.7m"/>
    <m/>
    <s v="Não"/>
    <s v="Não"/>
    <s v="Não"/>
    <s v="Não"/>
    <n v="1271.375"/>
    <n v="1271.375"/>
  </r>
  <r>
    <s v="VGSP-330_123,000_EN_CL2"/>
    <x v="0"/>
    <s v="123,000"/>
    <m/>
    <s v="123,500"/>
    <m/>
    <x v="0"/>
    <s v="N"/>
    <n v="-22.738372340616468"/>
    <n v="-47.276041650891472"/>
    <n v="80.88"/>
    <n v="3.74"/>
    <n v="50"/>
    <m/>
    <n v="0"/>
    <s v="Trator 1.7m"/>
    <m/>
    <s v="Não"/>
    <s v="Não"/>
    <s v="Não"/>
    <s v="Não"/>
    <n v="40.44"/>
    <n v="40.44"/>
  </r>
  <r>
    <s v="VGSP-330_123,000_ES_CL2"/>
    <x v="0"/>
    <s v="123,000"/>
    <m/>
    <s v="123,500"/>
    <m/>
    <x v="0"/>
    <s v="S"/>
    <n v="-22.737805357224989"/>
    <n v="-47.278420838556663"/>
    <n v="2214.58"/>
    <n v="3.15"/>
    <n v="50"/>
    <m/>
    <n v="0"/>
    <s v="Trator 1.7m"/>
    <m/>
    <s v="Não"/>
    <s v="Não"/>
    <s v="Não"/>
    <s v="Não"/>
    <n v="1107.29"/>
    <n v="1107.29"/>
  </r>
  <r>
    <s v="VGSP-330_124,000_EN_CL4"/>
    <x v="0"/>
    <s v="124,000"/>
    <m/>
    <s v="124,500"/>
    <m/>
    <x v="0"/>
    <s v="N"/>
    <n v="-22.73354098794502"/>
    <n v="-47.286482771140108"/>
    <n v="65.12"/>
    <n v="1.53"/>
    <n v="50"/>
    <m/>
    <n v="0"/>
    <s v="Trator 1.7m"/>
    <m/>
    <s v="Não"/>
    <s v="Não"/>
    <s v="Não"/>
    <s v="Não"/>
    <n v="32.56"/>
    <n v="32.56"/>
  </r>
  <r>
    <s v="VGSP-330_124,000_EN_CL2"/>
    <x v="0"/>
    <s v="124,000"/>
    <m/>
    <s v="124,500"/>
    <m/>
    <x v="0"/>
    <s v="N"/>
    <n v="-22.735240671377991"/>
    <n v="-47.28288175316797"/>
    <n v="2500.39"/>
    <n v="4.47"/>
    <n v="50"/>
    <m/>
    <n v="0"/>
    <s v="Trator 1.7m"/>
    <m/>
    <s v="Não"/>
    <s v="Não"/>
    <s v="Não"/>
    <s v="Não"/>
    <n v="1250.1949999999999"/>
    <n v="1250.1949999999999"/>
  </r>
  <r>
    <s v="VGSP-330_124,000_EN_CL1"/>
    <x v="0"/>
    <s v="124,000"/>
    <m/>
    <s v="124,500"/>
    <m/>
    <x v="0"/>
    <s v="N"/>
    <n v="-22.7359137925122"/>
    <n v="-47.28153760934363"/>
    <n v="720.71"/>
    <n v="4.5999999999999996"/>
    <n v="50"/>
    <m/>
    <n v="0"/>
    <s v="Trator 1.7m"/>
    <m/>
    <s v="Não"/>
    <s v="Não"/>
    <s v="Não"/>
    <s v="Não"/>
    <n v="360.35500000000002"/>
    <n v="360.35500000000002"/>
  </r>
  <r>
    <s v="VGSP-330_124,000_ES_CL2"/>
    <x v="0"/>
    <s v="124,000"/>
    <m/>
    <s v="124,500"/>
    <m/>
    <x v="0"/>
    <s v="S"/>
    <n v="-22.73502443140023"/>
    <n v="-47.284329221626933"/>
    <n v="441.61"/>
    <n v="4.49"/>
    <n v="50"/>
    <m/>
    <n v="0"/>
    <s v="Trator 1.7m"/>
    <m/>
    <s v="Não"/>
    <s v="Não"/>
    <s v="Não"/>
    <s v="Não"/>
    <n v="220.80500000000001"/>
    <n v="220.80500000000001"/>
  </r>
  <r>
    <s v="VGSP-330_124,000_ES_CL7"/>
    <x v="0"/>
    <s v="124,000"/>
    <m/>
    <s v="124,500"/>
    <m/>
    <x v="0"/>
    <s v="S"/>
    <n v="-22.732565513640349"/>
    <n v="-47.289007028697426"/>
    <n v="376.95"/>
    <n v="6.54"/>
    <n v="50"/>
    <m/>
    <n v="0"/>
    <s v="Trator 1.7m"/>
    <m/>
    <s v="Não"/>
    <s v="Não"/>
    <s v="Não"/>
    <s v="Não"/>
    <n v="188.47499999999999"/>
    <n v="188.47499999999999"/>
  </r>
  <r>
    <s v="VGSP-348_124,000_EN_CL3"/>
    <x v="0"/>
    <s v="124,000"/>
    <m/>
    <s v="124,500"/>
    <m/>
    <x v="0"/>
    <s v="N"/>
    <n v="-22.821481428750559"/>
    <n v="-47.377686313275767"/>
    <n v="538.66999999999996"/>
    <n v="2.4300000000000002"/>
    <n v="70"/>
    <m/>
    <n v="0"/>
    <s v="Trator 1.7m"/>
    <m/>
    <s v="Não"/>
    <s v="Não"/>
    <s v="Não"/>
    <s v="Não"/>
    <n v="377.06899999999996"/>
    <n v="377.06899999999996"/>
  </r>
  <r>
    <s v="VGSP-348_124,000_EN_CL2"/>
    <x v="0"/>
    <s v="124,000"/>
    <m/>
    <s v="124,500"/>
    <m/>
    <x v="0"/>
    <s v="N"/>
    <n v="-22.822722270671289"/>
    <n v="-47.375868833031618"/>
    <n v="2109.04"/>
    <n v="2.44"/>
    <n v="70"/>
    <m/>
    <n v="0"/>
    <s v="Trator 1.7m"/>
    <m/>
    <s v="Não"/>
    <s v="Não"/>
    <s v="Não"/>
    <s v="Não"/>
    <n v="1476.328"/>
    <n v="1476.328"/>
  </r>
  <r>
    <s v="VGSP-348_124,000_ES_CL1"/>
    <x v="0"/>
    <s v="124,000"/>
    <m/>
    <s v="124,500"/>
    <m/>
    <x v="0"/>
    <s v="S"/>
    <n v="-22.825597037778511"/>
    <n v="-47.37181615176096"/>
    <n v="2047.96"/>
    <n v="2.84"/>
    <n v="70"/>
    <m/>
    <n v="0"/>
    <s v="Trator 1.7m"/>
    <m/>
    <s v="Não"/>
    <s v="Não"/>
    <s v="Não"/>
    <s v="Não"/>
    <n v="1433.5719999999999"/>
    <n v="1433.5719999999999"/>
  </r>
  <r>
    <s v="VGSP-330_124,000_EN_CL3"/>
    <x v="0"/>
    <s v="124,000"/>
    <m/>
    <s v="124,500"/>
    <m/>
    <x v="0"/>
    <s v="N"/>
    <n v="-22.73365204472033"/>
    <n v="-47.286207073621242"/>
    <n v="305.08999999999997"/>
    <n v="1.96"/>
    <n v="50"/>
    <m/>
    <n v="0"/>
    <s v="Trator 1.7m"/>
    <m/>
    <s v="Não"/>
    <s v="Não"/>
    <s v="Não"/>
    <s v="Não"/>
    <n v="152.54499999999999"/>
    <n v="152.54499999999999"/>
  </r>
  <r>
    <s v="VGSP-330_124,000_EN_CL5"/>
    <x v="0"/>
    <s v="124,000"/>
    <m/>
    <s v="124,500"/>
    <m/>
    <x v="0"/>
    <s v="N"/>
    <n v="-22.732861766731819"/>
    <n v="-47.287805702364913"/>
    <n v="1318.9"/>
    <n v="4.0199999999999996"/>
    <n v="50"/>
    <m/>
    <n v="0"/>
    <s v="Trator 1.7m"/>
    <m/>
    <s v="Não"/>
    <s v="Não"/>
    <s v="Não"/>
    <s v="Não"/>
    <n v="659.45"/>
    <n v="659.45"/>
  </r>
  <r>
    <s v="VGSP-348_124,000_CC1"/>
    <x v="168"/>
    <s v="124,000"/>
    <m/>
    <s v="124,500"/>
    <n v="0.5"/>
    <x v="1"/>
    <s v="C"/>
    <n v="-22.825407962741352"/>
    <n v="-47.37171272100619"/>
    <n v="5984.43"/>
    <n v="2.89"/>
    <n v="80"/>
    <m/>
    <n v="0"/>
    <s v="Trator 1.7m"/>
    <m/>
    <s v="Não"/>
    <s v="Não"/>
    <s v="Não"/>
    <s v="Não"/>
    <n v="4787.5440000000008"/>
    <n v="4787.5440000000008"/>
  </r>
  <r>
    <s v="VGSP-348_124,000_CC2"/>
    <x v="168"/>
    <s v="124,000"/>
    <m/>
    <s v="124,500"/>
    <n v="0.5"/>
    <x v="1"/>
    <s v="C"/>
    <n v="-22.82297324463913"/>
    <n v="-47.375931761138439"/>
    <n v="5998.29"/>
    <n v="2.93"/>
    <n v="80"/>
    <m/>
    <n v="0"/>
    <s v="Trator 1.7m"/>
    <m/>
    <s v="Não"/>
    <s v="Não"/>
    <s v="Não"/>
    <s v="Não"/>
    <n v="4798.6320000000005"/>
    <n v="4798.6320000000005"/>
  </r>
  <r>
    <s v="VGSP-330_124,000_ES_CL3"/>
    <x v="0"/>
    <s v="124,000"/>
    <m/>
    <s v="124,500"/>
    <m/>
    <x v="0"/>
    <s v="S"/>
    <n v="-22.734781014978228"/>
    <n v="-47.284953871279193"/>
    <n v="142.91999999999999"/>
    <n v="2.5499999999999998"/>
    <n v="50"/>
    <m/>
    <n v="0"/>
    <s v="Trator 1.7m"/>
    <m/>
    <s v="Não"/>
    <s v="Não"/>
    <s v="Não"/>
    <s v="Não"/>
    <n v="71.459999999999994"/>
    <n v="71.459999999999994"/>
  </r>
  <r>
    <s v="VGSP-330_124,000_ES_CL5"/>
    <x v="0"/>
    <s v="124,000"/>
    <m/>
    <s v="124,500"/>
    <m/>
    <x v="0"/>
    <s v="S"/>
    <n v="-22.733397968095151"/>
    <n v="-47.287647528108103"/>
    <n v="1051.1199999999999"/>
    <n v="1.88"/>
    <n v="50"/>
    <m/>
    <n v="0"/>
    <s v="Trator 1.7m"/>
    <m/>
    <s v="Não"/>
    <s v="Não"/>
    <s v="Não"/>
    <s v="Não"/>
    <n v="525.55999999999995"/>
    <n v="525.55999999999995"/>
  </r>
  <r>
    <s v="VGSP-348_124,000_ES_CL2"/>
    <x v="0"/>
    <s v="124,000"/>
    <m/>
    <s v="124,500"/>
    <m/>
    <x v="0"/>
    <s v="S"/>
    <n v="-22.82316347587771"/>
    <n v="-47.376031991564147"/>
    <n v="2033.95"/>
    <n v="3.42"/>
    <n v="70"/>
    <m/>
    <n v="0"/>
    <s v="Trator 1.7m"/>
    <m/>
    <s v="Não"/>
    <s v="Não"/>
    <s v="Não"/>
    <s v="Não"/>
    <n v="1423.7649999999999"/>
    <n v="1423.7649999999999"/>
  </r>
  <r>
    <s v="VGSP-330_124,000_ES_CL4"/>
    <x v="0"/>
    <s v="124,000"/>
    <m/>
    <s v="124,500"/>
    <m/>
    <x v="0"/>
    <s v="S"/>
    <n v="-22.734343597267252"/>
    <n v="-47.285776960957897"/>
    <n v="1239.5999999999999"/>
    <n v="1.36"/>
    <n v="50"/>
    <m/>
    <n v="0"/>
    <s v="Trator 1.7m"/>
    <m/>
    <s v="Não"/>
    <s v="Não"/>
    <s v="Não"/>
    <s v="Não"/>
    <n v="619.79999999999995"/>
    <n v="619.79999999999995"/>
  </r>
  <r>
    <s v="VGSP-330_124,000_ES_CL1"/>
    <x v="0"/>
    <s v="124,000"/>
    <m/>
    <s v="124,500"/>
    <m/>
    <x v="0"/>
    <s v="S"/>
    <n v="-22.73597753611585"/>
    <n v="-47.282277583754798"/>
    <n v="1347.08"/>
    <n v="3.99"/>
    <n v="50"/>
    <m/>
    <n v="0"/>
    <s v="Trator 1.7m"/>
    <m/>
    <s v="Não"/>
    <s v="Não"/>
    <s v="Não"/>
    <s v="Não"/>
    <n v="673.54"/>
    <n v="673.54"/>
  </r>
  <r>
    <s v="VGSP-330_124,000_ES_CL6"/>
    <x v="0"/>
    <s v="124,000"/>
    <m/>
    <s v="124,500"/>
    <m/>
    <x v="0"/>
    <s v="S"/>
    <n v="-22.732818045591241"/>
    <n v="-47.288655066251508"/>
    <n v="124.66"/>
    <n v="5.29"/>
    <n v="50"/>
    <m/>
    <n v="0"/>
    <s v="Trator 1.7m"/>
    <m/>
    <s v="Não"/>
    <s v="Não"/>
    <s v="Não"/>
    <s v="Não"/>
    <n v="62.33"/>
    <n v="62.33"/>
  </r>
  <r>
    <s v="VGSP-348_124,000_EN_CL1"/>
    <x v="0"/>
    <s v="124,000"/>
    <m/>
    <s v="124,500"/>
    <m/>
    <x v="0"/>
    <s v="N"/>
    <n v="-22.825227812522051"/>
    <n v="-47.371603142220302"/>
    <n v="2049.2199999999998"/>
    <n v="2.87"/>
    <n v="70"/>
    <m/>
    <n v="0"/>
    <s v="Trator 1.7m"/>
    <m/>
    <s v="Não"/>
    <s v="Não"/>
    <s v="Não"/>
    <s v="Não"/>
    <n v="1434.4539999999997"/>
    <n v="1434.4539999999997"/>
  </r>
  <r>
    <s v="VGSP-330_125,000_ES_CL4"/>
    <x v="0"/>
    <s v="125,000"/>
    <m/>
    <s v="125,500"/>
    <m/>
    <x v="0"/>
    <s v="S"/>
    <n v="-22.728350867530509"/>
    <n v="-47.293332145694812"/>
    <n v="2044.66"/>
    <n v="2.16"/>
    <n v="50"/>
    <m/>
    <n v="0"/>
    <s v="Trator 1.7m"/>
    <m/>
    <s v="Não"/>
    <s v="Não"/>
    <s v="Não"/>
    <s v="Não"/>
    <n v="1022.33"/>
    <n v="1022.33"/>
  </r>
  <r>
    <s v="VGSP-330_125,000_ES_CL3"/>
    <x v="0"/>
    <s v="125,000"/>
    <m/>
    <s v="125,500"/>
    <m/>
    <x v="0"/>
    <s v="S"/>
    <n v="-22.72922945431576"/>
    <n v="-47.292084565387917"/>
    <n v="4841.3999999999996"/>
    <n v="5.15"/>
    <n v="50"/>
    <m/>
    <n v="0"/>
    <s v="Trator 1.7m"/>
    <m/>
    <s v="Não"/>
    <s v="Não"/>
    <s v="Não"/>
    <s v="Não"/>
    <n v="2420.6999999999998"/>
    <n v="2420.6999999999998"/>
  </r>
  <r>
    <s v="VGSP-330_125,000_EN_CL5"/>
    <x v="0"/>
    <s v="125,000"/>
    <m/>
    <s v="125,500"/>
    <m/>
    <x v="0"/>
    <s v="N"/>
    <n v="-22.728076427062881"/>
    <n v="-47.291601724015699"/>
    <n v="2029.15"/>
    <n v="4.8600000000000003"/>
    <n v="50"/>
    <m/>
    <n v="0"/>
    <s v="Trator 1.7m"/>
    <m/>
    <s v="Não"/>
    <s v="Não"/>
    <s v="Não"/>
    <s v="Não"/>
    <n v="1014.575"/>
    <n v="1014.575"/>
  </r>
  <r>
    <s v="VGSP-330_125,000_EN_CL2"/>
    <x v="0"/>
    <s v="125,000"/>
    <m/>
    <s v="125,500"/>
    <m/>
    <x v="0"/>
    <s v="N"/>
    <n v="-22.72780634189747"/>
    <n v="-47.291378847956459"/>
    <n v="2772.54"/>
    <n v="6.49"/>
    <n v="50"/>
    <m/>
    <n v="0"/>
    <s v="Trator 1.7m"/>
    <m/>
    <s v="Não"/>
    <s v="Não"/>
    <s v="Não"/>
    <s v="Não"/>
    <n v="1386.27"/>
    <n v="1386.27"/>
  </r>
  <r>
    <s v="VGSP-348_125,000_ES_CL1"/>
    <x v="0"/>
    <s v="125,000"/>
    <m/>
    <s v="125,500"/>
    <m/>
    <x v="0"/>
    <s v="S"/>
    <n v="-22.82142768350792"/>
    <n v="-47.378694376440038"/>
    <n v="652.30999999999995"/>
    <n v="1.98"/>
    <n v="70"/>
    <m/>
    <n v="0"/>
    <s v="Trator 1.7m"/>
    <m/>
    <s v="Não"/>
    <s v="Não"/>
    <s v="Não"/>
    <s v="Não"/>
    <n v="456.6169999999999"/>
    <n v="456.6169999999999"/>
  </r>
  <r>
    <s v="VGSP-330_125,000_EN_CL7"/>
    <x v="0"/>
    <s v="125,000"/>
    <m/>
    <s v="125,500"/>
    <m/>
    <x v="0"/>
    <s v="N"/>
    <n v="-22.724705677696772"/>
    <n v="-47.292800659373917"/>
    <n v="1425.93"/>
    <n v="4.78"/>
    <n v="50"/>
    <m/>
    <n v="0"/>
    <s v="Trator 1.7m"/>
    <m/>
    <s v="Não"/>
    <s v="Não"/>
    <s v="Não"/>
    <s v="Não"/>
    <n v="712.96500000000003"/>
    <n v="712.96500000000003"/>
  </r>
  <r>
    <s v="VGSP-330_125,000_ES_CL5"/>
    <x v="0"/>
    <s v="125,000"/>
    <m/>
    <s v="125,500"/>
    <m/>
    <x v="0"/>
    <s v="S"/>
    <n v="-22.725102236392331"/>
    <n v="-47.293487708281368"/>
    <n v="7047.26"/>
    <n v="3.42"/>
    <n v="50"/>
    <m/>
    <n v="0"/>
    <s v="Trator 1.7m"/>
    <m/>
    <s v="Não"/>
    <s v="Não"/>
    <s v="Não"/>
    <s v="Não"/>
    <n v="3523.63"/>
    <n v="3523.63"/>
  </r>
  <r>
    <s v="VGSP-348_125,000_EN_CL2"/>
    <x v="0"/>
    <s v="125,000"/>
    <m/>
    <s v="125,500"/>
    <m/>
    <x v="0"/>
    <s v="N"/>
    <n v="-22.82035509776825"/>
    <n v="-47.378914511963558"/>
    <n v="11316.74"/>
    <n v="2.04"/>
    <n v="70"/>
    <m/>
    <n v="0"/>
    <s v="Trator 1.7m"/>
    <m/>
    <s v="Não"/>
    <s v="Não"/>
    <s v="Não"/>
    <s v="Não"/>
    <n v="7921.7179999999989"/>
    <n v="7921.7179999999989"/>
  </r>
  <r>
    <s v="VGSP-348_125,000_ES_CL2"/>
    <x v="0"/>
    <s v="125,000"/>
    <m/>
    <s v="125,500"/>
    <m/>
    <x v="0"/>
    <s v="S"/>
    <n v="-22.819961082687978"/>
    <n v="-47.380404500722292"/>
    <n v="13282.32"/>
    <n v="2.02"/>
    <n v="70"/>
    <m/>
    <n v="0"/>
    <s v="Trator 1.7m"/>
    <m/>
    <s v="Não"/>
    <s v="Não"/>
    <s v="Não"/>
    <s v="Não"/>
    <n v="9297.6239999999998"/>
    <n v="9297.6239999999998"/>
  </r>
  <r>
    <s v="VGSP-330_125,000_CC4"/>
    <x v="169"/>
    <s v="125,000"/>
    <m/>
    <s v="125,500"/>
    <m/>
    <x v="1"/>
    <s v="C"/>
    <n v="-22.72708228527787"/>
    <n v="-47.293084253054808"/>
    <n v="6053.58"/>
    <n v="3.27"/>
    <n v="50"/>
    <m/>
    <n v="0"/>
    <s v="Trator 1.7m"/>
    <m/>
    <s v="Não"/>
    <s v="Não"/>
    <s v="Não"/>
    <s v="Não"/>
    <n v="3026.79"/>
    <n v="3026.79"/>
  </r>
  <r>
    <s v="VGSP-330_125,000_CC3"/>
    <x v="169"/>
    <s v="125,000"/>
    <m/>
    <s v="125,500"/>
    <m/>
    <x v="1"/>
    <s v="C"/>
    <n v="-22.727439531211161"/>
    <n v="-47.292761332400787"/>
    <n v="6341.74"/>
    <n v="4.67"/>
    <n v="50"/>
    <m/>
    <n v="0"/>
    <s v="Trator 1.7m"/>
    <m/>
    <s v="Não"/>
    <s v="Não"/>
    <s v="Não"/>
    <s v="Não"/>
    <n v="3170.87"/>
    <n v="3170.87"/>
  </r>
  <r>
    <s v="VGSP-330_125,000_CC1"/>
    <x v="169"/>
    <s v="125,000"/>
    <m/>
    <s v="125,500"/>
    <m/>
    <x v="1"/>
    <s v="C"/>
    <n v="-22.72823557505853"/>
    <n v="-47.292554580234587"/>
    <n v="2666.47"/>
    <n v="4.24"/>
    <n v="50"/>
    <m/>
    <n v="0"/>
    <s v="Trator 1.7m"/>
    <m/>
    <s v="Não"/>
    <s v="Não"/>
    <s v="Não"/>
    <s v="Não"/>
    <n v="1333.2349999999999"/>
    <n v="1333.2349999999999"/>
  </r>
  <r>
    <s v="VGSP-348_125,000_ES_CL3"/>
    <x v="0"/>
    <s v="125,000"/>
    <m/>
    <s v="125,500"/>
    <m/>
    <x v="0"/>
    <s v="S"/>
    <n v="-22.81860715522221"/>
    <n v="-47.381794121455343"/>
    <n v="1217.57"/>
    <n v="1.05"/>
    <n v="70"/>
    <m/>
    <n v="0"/>
    <s v="Trator 1.7m"/>
    <m/>
    <s v="Não"/>
    <s v="Não"/>
    <s v="Não"/>
    <s v="Não"/>
    <n v="852.29899999999986"/>
    <n v="852.29899999999986"/>
  </r>
  <r>
    <s v="VGSP-330_125,000_CC2"/>
    <x v="169"/>
    <s v="125,000"/>
    <m/>
    <s v="125,500"/>
    <m/>
    <x v="1"/>
    <s v="C"/>
    <n v="-22.72863616603064"/>
    <n v="-47.292462224917912"/>
    <n v="4492.99"/>
    <n v="3.91"/>
    <n v="50"/>
    <m/>
    <n v="0"/>
    <s v="Trator 1.7m"/>
    <m/>
    <s v="Não"/>
    <s v="Não"/>
    <s v="Não"/>
    <s v="Não"/>
    <n v="2246.4949999999999"/>
    <n v="2246.4949999999999"/>
  </r>
  <r>
    <s v="VGSP-330_125,000_EN_CL1"/>
    <x v="0"/>
    <s v="125,000"/>
    <m/>
    <s v="125,500"/>
    <m/>
    <x v="0"/>
    <s v="N"/>
    <n v="-22.72956509141995"/>
    <n v="-47.290723802096501"/>
    <n v="4008.74"/>
    <n v="3.99"/>
    <n v="50"/>
    <m/>
    <n v="0"/>
    <s v="Trator 1.7m"/>
    <m/>
    <s v="Não"/>
    <s v="Não"/>
    <s v="Não"/>
    <s v="Não"/>
    <n v="2004.37"/>
    <n v="2004.37"/>
  </r>
  <r>
    <s v="VGSP-348_125,000_EN_CL4"/>
    <x v="0"/>
    <s v="125,000"/>
    <m/>
    <s v="125,500"/>
    <m/>
    <x v="0"/>
    <s v="N"/>
    <n v="-22.81895090804715"/>
    <n v="-47.38053737222095"/>
    <n v="789.91"/>
    <n v="1.57"/>
    <n v="70"/>
    <m/>
    <n v="0"/>
    <s v="Trator 1.7m"/>
    <m/>
    <s v="Não"/>
    <s v="Não"/>
    <s v="Não"/>
    <s v="Não"/>
    <n v="552.9369999999999"/>
    <n v="552.9369999999999"/>
  </r>
  <r>
    <s v="VGSP-330_125,000_ES_CL2"/>
    <x v="0"/>
    <s v="125,000"/>
    <m/>
    <s v="125,500"/>
    <m/>
    <x v="0"/>
    <s v="S"/>
    <n v="-22.728525871196659"/>
    <n v="-47.294107719309352"/>
    <n v="374.91"/>
    <n v="2.85"/>
    <n v="50"/>
    <m/>
    <n v="0"/>
    <s v="Trator 1.7m"/>
    <m/>
    <s v="Não"/>
    <s v="Não"/>
    <s v="Não"/>
    <s v="Não"/>
    <n v="187.45500000000001"/>
    <n v="187.45500000000001"/>
  </r>
  <r>
    <s v="VGSP-330_125,000_EN_CL3"/>
    <x v="0"/>
    <s v="125,000"/>
    <m/>
    <s v="125,500"/>
    <m/>
    <x v="0"/>
    <s v="N"/>
    <n v="-22.729079276724921"/>
    <n v="-47.291305138783663"/>
    <n v="3405.14"/>
    <n v="3.16"/>
    <n v="50"/>
    <m/>
    <n v="0"/>
    <s v="Trator 1.7m"/>
    <m/>
    <s v="Não"/>
    <s v="Não"/>
    <s v="Não"/>
    <s v="Não"/>
    <n v="1702.57"/>
    <n v="1702.57"/>
  </r>
  <r>
    <s v="VGSP-330_125,000_EN_CL6"/>
    <x v="0"/>
    <s v="125,000"/>
    <m/>
    <s v="125,500"/>
    <m/>
    <x v="0"/>
    <s v="N"/>
    <n v="-22.72595174372135"/>
    <n v="-47.292396422355168"/>
    <n v="3725.04"/>
    <n v="4.9400000000000004"/>
    <n v="50"/>
    <m/>
    <n v="0"/>
    <s v="Trator 1.7m"/>
    <m/>
    <s v="Não"/>
    <s v="Não"/>
    <s v="Não"/>
    <s v="Não"/>
    <n v="1862.52"/>
    <n v="1862.52"/>
  </r>
  <r>
    <s v="VGSP-348_125,000_EN_CL3"/>
    <x v="0"/>
    <s v="125,000"/>
    <m/>
    <s v="125,500"/>
    <m/>
    <x v="0"/>
    <s v="N"/>
    <n v="-22.816718317352102"/>
    <n v="-47.383037141280717"/>
    <n v="2076.94"/>
    <n v="1.64"/>
    <n v="70"/>
    <m/>
    <n v="0"/>
    <s v="Trator 1.7m"/>
    <m/>
    <s v="Não"/>
    <s v="Não"/>
    <s v="Não"/>
    <s v="Não"/>
    <n v="1453.8579999999999"/>
    <n v="1453.8579999999999"/>
  </r>
  <r>
    <s v="VGSP-348_125,000_CC1"/>
    <x v="170"/>
    <s v="125,000"/>
    <m/>
    <s v="125,500"/>
    <n v="0.5"/>
    <x v="1"/>
    <s v="C"/>
    <n v="-22.82010871445193"/>
    <n v="-47.379703816847822"/>
    <n v="5625.57"/>
    <n v="1.63"/>
    <n v="80"/>
    <m/>
    <n v="0"/>
    <s v="Trator 1.7m"/>
    <m/>
    <s v="Não"/>
    <s v="Não"/>
    <s v="Não"/>
    <s v="Não"/>
    <n v="4500.4560000000001"/>
    <n v="4500.4560000000001"/>
  </r>
  <r>
    <s v="VGSP-348_125,000_EN_CL1"/>
    <x v="0"/>
    <s v="125,000"/>
    <m/>
    <s v="125,500"/>
    <m/>
    <x v="0"/>
    <s v="N"/>
    <n v="-22.821102794275241"/>
    <n v="-47.377627040626699"/>
    <n v="11.62"/>
    <n v="2.56"/>
    <n v="0"/>
    <m/>
    <n v="0"/>
    <m/>
    <m/>
    <s v="Não"/>
    <s v="Não"/>
    <s v="Não"/>
    <s v="Não"/>
    <n v="0"/>
    <n v="0"/>
  </r>
  <r>
    <s v="VGSP-348_125,000_CC2"/>
    <x v="170"/>
    <s v="125,000"/>
    <m/>
    <s v="125,500"/>
    <n v="0.5"/>
    <x v="1"/>
    <s v="C"/>
    <n v="-22.816866992515219"/>
    <n v="-47.383193651671853"/>
    <n v="6044"/>
    <n v="1.67"/>
    <n v="80"/>
    <m/>
    <n v="0"/>
    <s v="Trator 1.7m"/>
    <m/>
    <s v="Não"/>
    <s v="Não"/>
    <s v="Não"/>
    <s v="Não"/>
    <n v="4835.2"/>
    <n v="4835.2"/>
  </r>
  <r>
    <s v="VGSP-330_125,000_ES_CL1"/>
    <x v="0"/>
    <s v="125,000"/>
    <m/>
    <s v="125,500"/>
    <m/>
    <x v="0"/>
    <s v="S"/>
    <n v="-22.730290179216471"/>
    <n v="-47.291395521492412"/>
    <n v="2453.5"/>
    <n v="4.7"/>
    <n v="50"/>
    <m/>
    <n v="0"/>
    <s v="Trator 1.7m"/>
    <m/>
    <s v="Não"/>
    <s v="Não"/>
    <s v="Não"/>
    <s v="Não"/>
    <n v="1226.75"/>
    <n v="1226.75"/>
  </r>
  <r>
    <s v="VGSP-330_125,000_EN_CL4"/>
    <x v="0"/>
    <s v="125,000"/>
    <m/>
    <s v="125,500"/>
    <m/>
    <x v="0"/>
    <s v="N"/>
    <n v="-22.72842476631881"/>
    <n v="-47.291455406909982"/>
    <n v="2233.15"/>
    <n v="3.75"/>
    <n v="50"/>
    <m/>
    <n v="0"/>
    <s v="Trator 1.7m"/>
    <m/>
    <s v="Não"/>
    <s v="Não"/>
    <s v="Não"/>
    <s v="Não"/>
    <n v="1116.575"/>
    <n v="1116.575"/>
  </r>
  <r>
    <s v="VGSP-348_125,000_ES_CL4"/>
    <x v="0"/>
    <s v="125,000"/>
    <m/>
    <s v="125,500"/>
    <m/>
    <x v="0"/>
    <s v="S"/>
    <n v="-22.81700260045875"/>
    <n v="-47.383401705407493"/>
    <n v="2050.67"/>
    <n v="1.53"/>
    <n v="70"/>
    <m/>
    <n v="0"/>
    <s v="Trator 1.7m"/>
    <m/>
    <s v="Não"/>
    <s v="Não"/>
    <s v="Não"/>
    <s v="Não"/>
    <n v="1435.4690000000001"/>
    <n v="1435.4690000000001"/>
  </r>
  <r>
    <s v="VGSP-348_126,000_ES_CL2"/>
    <x v="0"/>
    <s v="126,000"/>
    <m/>
    <s v="126,500"/>
    <m/>
    <x v="0"/>
    <s v="S"/>
    <n v="-22.81073329618491"/>
    <n v="-47.390056539579511"/>
    <n v="2040.68"/>
    <n v="1.98"/>
    <n v="70"/>
    <m/>
    <n v="0"/>
    <s v="Trator 1.7m"/>
    <m/>
    <s v="Não"/>
    <s v="Não"/>
    <s v="Não"/>
    <s v="Não"/>
    <n v="1428.4759999999999"/>
    <n v="1428.4759999999999"/>
  </r>
  <r>
    <s v="VGSP-348_126,000_ES_CL1"/>
    <x v="0"/>
    <s v="126,000"/>
    <m/>
    <s v="126,500"/>
    <m/>
    <x v="0"/>
    <s v="S"/>
    <n v="-22.812194204317748"/>
    <n v="-47.388188516749707"/>
    <n v="126.53"/>
    <n v="3.12"/>
    <n v="0"/>
    <m/>
    <n v="0"/>
    <m/>
    <m/>
    <s v="Não"/>
    <s v="Não"/>
    <s v="Não"/>
    <s v="Não"/>
    <n v="0"/>
    <n v="0"/>
  </r>
  <r>
    <s v="VGSP-330_126,000_EN_CL5"/>
    <x v="0"/>
    <s v="126,000"/>
    <m/>
    <s v="126,500"/>
    <m/>
    <x v="0"/>
    <s v="N"/>
    <n v="-22.71625904746741"/>
    <n v="-47.296015527390182"/>
    <n v="970.56"/>
    <n v="1.1399999999999999"/>
    <n v="50"/>
    <m/>
    <n v="0"/>
    <s v="Trator 1.7m"/>
    <m/>
    <s v="Não"/>
    <s v="Não"/>
    <s v="Não"/>
    <s v="Não"/>
    <n v="485.28"/>
    <n v="485.28"/>
  </r>
  <r>
    <s v="VGSP-330_126,000_EN_CL4"/>
    <x v="0"/>
    <s v="126,000"/>
    <m/>
    <s v="126,500"/>
    <m/>
    <x v="0"/>
    <s v="N"/>
    <n v="-22.716587104409019"/>
    <n v="-47.29602295324711"/>
    <n v="139.81"/>
    <n v="0.53"/>
    <n v="50"/>
    <m/>
    <n v="0"/>
    <s v="Trator 1.7m"/>
    <m/>
    <s v="Não"/>
    <s v="Não"/>
    <s v="Não"/>
    <s v="Não"/>
    <n v="69.905000000000001"/>
    <n v="69.905000000000001"/>
  </r>
  <r>
    <s v="VGSP-348_126,000_ES_CL3"/>
    <x v="0"/>
    <s v="126,000"/>
    <m/>
    <s v="126,500"/>
    <m/>
    <x v="0"/>
    <s v="S"/>
    <n v="-22.81386020292009"/>
    <n v="-47.386725232575657"/>
    <n v="1854.76"/>
    <n v="1.85"/>
    <n v="70"/>
    <m/>
    <n v="0"/>
    <s v="Trator 1.7m"/>
    <m/>
    <s v="Não"/>
    <s v="Não"/>
    <s v="Não"/>
    <s v="Não"/>
    <n v="1298.3319999999999"/>
    <n v="1298.3319999999999"/>
  </r>
  <r>
    <s v="VGSP-330_126,000_ES_CL2"/>
    <x v="0"/>
    <s v="126,000"/>
    <m/>
    <s v="126,500"/>
    <m/>
    <x v="0"/>
    <s v="S"/>
    <n v="-22.718620271742051"/>
    <n v="-47.294791839342437"/>
    <n v="905.05"/>
    <n v="1.65"/>
    <n v="50"/>
    <m/>
    <n v="0"/>
    <s v="Trator 1.7m"/>
    <m/>
    <s v="Não"/>
    <s v="Não"/>
    <s v="Não"/>
    <s v="Não"/>
    <n v="452.52499999999998"/>
    <n v="452.52499999999998"/>
  </r>
  <r>
    <s v="VGSP-330_126,000_EN_CL2"/>
    <x v="0"/>
    <s v="126,000"/>
    <m/>
    <s v="126,500"/>
    <m/>
    <x v="0"/>
    <s v="N"/>
    <n v="-22.720100810522549"/>
    <n v="-47.294901865120792"/>
    <n v="538.54999999999995"/>
    <n v="2.16"/>
    <n v="50"/>
    <m/>
    <n v="0"/>
    <s v="Trator 1.7m"/>
    <m/>
    <s v="Não"/>
    <s v="Não"/>
    <s v="Não"/>
    <s v="Não"/>
    <n v="269.27499999999998"/>
    <n v="269.27499999999998"/>
  </r>
  <r>
    <s v="VGSP-348_126,000_EN_CL1"/>
    <x v="0"/>
    <s v="126,000"/>
    <m/>
    <s v="126,500"/>
    <m/>
    <x v="0"/>
    <s v="N"/>
    <n v="-22.812078893120219"/>
    <n v="-47.387956892167999"/>
    <n v="1.83"/>
    <n v="2.73"/>
    <n v="0"/>
    <m/>
    <n v="0"/>
    <m/>
    <m/>
    <s v="Não"/>
    <s v="Não"/>
    <s v="Não"/>
    <s v="Não"/>
    <n v="0"/>
    <n v="0"/>
  </r>
  <r>
    <s v="VGSP-330_126,000_ES_CL4"/>
    <x v="0"/>
    <s v="126,000"/>
    <m/>
    <s v="126,500"/>
    <m/>
    <x v="0"/>
    <s v="S"/>
    <n v="-22.71690536585621"/>
    <n v="-47.295254692466933"/>
    <n v="1642.11"/>
    <n v="1.77"/>
    <n v="50"/>
    <m/>
    <n v="0"/>
    <s v="Trator 1.7m"/>
    <m/>
    <s v="Não"/>
    <s v="Não"/>
    <s v="Não"/>
    <s v="Não"/>
    <n v="821.05499999999995"/>
    <n v="821.05499999999995"/>
  </r>
  <r>
    <s v="VGSP-330_126,000_ES_CL1"/>
    <x v="0"/>
    <s v="126,000"/>
    <m/>
    <s v="126,500"/>
    <m/>
    <x v="0"/>
    <s v="S"/>
    <n v="-22.71872646134571"/>
    <n v="-47.294771710996997"/>
    <n v="774.84"/>
    <n v="1.68"/>
    <m/>
    <m/>
    <n v="0"/>
    <m/>
    <m/>
    <s v="Não"/>
    <s v="Não"/>
    <s v="Não"/>
    <s v="Não"/>
    <n v="0"/>
    <n v="0"/>
  </r>
  <r>
    <s v="VGSP-330_126,000_ES_CL3"/>
    <x v="0"/>
    <s v="126,000"/>
    <m/>
    <s v="126,500"/>
    <m/>
    <x v="0"/>
    <s v="S"/>
    <n v="-22.716863805871391"/>
    <n v="-47.295318383687722"/>
    <n v="1003.02"/>
    <n v="1.86"/>
    <m/>
    <m/>
    <n v="0"/>
    <m/>
    <m/>
    <s v="Não"/>
    <s v="Não"/>
    <s v="Não"/>
    <s v="Não"/>
    <n v="0"/>
    <n v="0"/>
  </r>
  <r>
    <s v="VGSP-330_126,000_ES_CL6"/>
    <x v="0"/>
    <s v="126,000"/>
    <m/>
    <s v="126,500"/>
    <m/>
    <x v="0"/>
    <s v="S"/>
    <n v="-22.715578653067471"/>
    <n v="-47.295752193278261"/>
    <n v="312.64999999999998"/>
    <n v="3.29"/>
    <n v="50"/>
    <m/>
    <n v="0"/>
    <s v="Trator 1.7m"/>
    <m/>
    <s v="Não"/>
    <s v="Não"/>
    <s v="Não"/>
    <s v="Não"/>
    <n v="156.32499999999999"/>
    <n v="156.32499999999999"/>
  </r>
  <r>
    <s v="VGSP-348_126,000_EN_CL2"/>
    <x v="0"/>
    <s v="126,000"/>
    <m/>
    <s v="126,500"/>
    <m/>
    <x v="0"/>
    <s v="N"/>
    <n v="-22.813572173386049"/>
    <n v="-47.386391416560024"/>
    <n v="1843.45"/>
    <n v="2.41"/>
    <n v="70"/>
    <m/>
    <n v="0"/>
    <s v="Trator 1.7m"/>
    <m/>
    <s v="Não"/>
    <s v="Não"/>
    <s v="Não"/>
    <s v="Não"/>
    <n v="1290.415"/>
    <n v="1290.415"/>
  </r>
  <r>
    <s v="VGSP-330_126,000_EN_CL3"/>
    <x v="0"/>
    <s v="126,000"/>
    <m/>
    <s v="126,500"/>
    <m/>
    <x v="0"/>
    <s v="N"/>
    <n v="-22.71929790714314"/>
    <n v="-47.295144220826117"/>
    <n v="1086.5"/>
    <n v="2.82"/>
    <n v="50"/>
    <m/>
    <n v="0"/>
    <s v="Trator 1.7m"/>
    <m/>
    <s v="Não"/>
    <s v="Não"/>
    <s v="Não"/>
    <s v="Não"/>
    <n v="543.25"/>
    <n v="543.25"/>
  </r>
  <r>
    <s v="VGSP-330_126,000_ES_CL7"/>
    <x v="0"/>
    <s v="126,000"/>
    <m/>
    <s v="126,500"/>
    <m/>
    <x v="0"/>
    <s v="S"/>
    <n v="-22.715354803936279"/>
    <n v="-47.296024127234617"/>
    <n v="23.92"/>
    <n v="0.66"/>
    <n v="0"/>
    <m/>
    <n v="0"/>
    <m/>
    <m/>
    <s v="Não"/>
    <s v="Não"/>
    <s v="Não"/>
    <s v="Não"/>
    <n v="0"/>
    <n v="0"/>
  </r>
  <r>
    <s v="VGSP-330_126,000_CC2"/>
    <x v="171"/>
    <s v="126,000"/>
    <m/>
    <s v="126,500"/>
    <m/>
    <x v="1"/>
    <s v="C"/>
    <n v="-22.721357107913299"/>
    <n v="-47.293828099465912"/>
    <n v="2910.69"/>
    <n v="3.15"/>
    <n v="50"/>
    <m/>
    <n v="0"/>
    <s v="Trator 1.7m"/>
    <m/>
    <s v="Não"/>
    <s v="Não"/>
    <s v="Não"/>
    <s v="Não"/>
    <n v="1455.345"/>
    <n v="1455.345"/>
  </r>
  <r>
    <s v="VGSP-330_126,000_ES_CL5"/>
    <x v="0"/>
    <s v="126,000"/>
    <m/>
    <s v="126,500"/>
    <m/>
    <x v="0"/>
    <s v="S"/>
    <n v="-22.71577469265306"/>
    <n v="-47.295503962840449"/>
    <n v="106.1"/>
    <n v="3.24"/>
    <n v="50"/>
    <m/>
    <n v="0"/>
    <s v="Trator 1.7m"/>
    <m/>
    <s v="Não"/>
    <s v="Não"/>
    <s v="Não"/>
    <s v="Não"/>
    <n v="53.05"/>
    <n v="53.05"/>
  </r>
  <r>
    <s v="VGSP-348_126,000_CC1"/>
    <x v="172"/>
    <s v="126,000"/>
    <m/>
    <s v="126,500"/>
    <n v="0.5"/>
    <x v="1"/>
    <s v="C"/>
    <n v="-22.81373948243705"/>
    <n v="-47.386530361059769"/>
    <n v="5268.3"/>
    <n v="2.04"/>
    <n v="80"/>
    <m/>
    <n v="0"/>
    <s v="Trator 1.7m"/>
    <m/>
    <s v="Não"/>
    <s v="Não"/>
    <s v="Não"/>
    <s v="Não"/>
    <n v="4214.6400000000003"/>
    <n v="4214.6400000000003"/>
  </r>
  <r>
    <s v="VGSP-348_126,000_EN_CL3"/>
    <x v="0"/>
    <s v="126,000"/>
    <m/>
    <s v="126,500"/>
    <m/>
    <x v="0"/>
    <s v="N"/>
    <n v="-22.809698042915372"/>
    <n v="-47.390534596405068"/>
    <n v="1085.3699999999999"/>
    <n v="3.56"/>
    <n v="70"/>
    <m/>
    <n v="0"/>
    <s v="Trator 1.7m"/>
    <m/>
    <s v="Não"/>
    <s v="Não"/>
    <s v="Não"/>
    <s v="Não"/>
    <n v="759.7589999999999"/>
    <n v="759.7589999999999"/>
  </r>
  <r>
    <s v="VGSP-348_126,000_CC2"/>
    <x v="172"/>
    <s v="126,000"/>
    <m/>
    <s v="126,500"/>
    <n v="0.5"/>
    <x v="1"/>
    <s v="C"/>
    <n v="-22.810539557660629"/>
    <n v="-47.389945389355077"/>
    <n v="5324.98"/>
    <n v="2.4500000000000002"/>
    <n v="80"/>
    <m/>
    <n v="0"/>
    <s v="Trator 1.7m"/>
    <m/>
    <s v="Não"/>
    <s v="Não"/>
    <s v="Não"/>
    <s v="Não"/>
    <n v="4259.9839999999995"/>
    <n v="4259.9839999999995"/>
  </r>
  <r>
    <s v="VGSP-330_126,000_CC1"/>
    <x v="171"/>
    <s v="126,000"/>
    <m/>
    <s v="126,500"/>
    <m/>
    <x v="1"/>
    <s v="C"/>
    <n v="-22.722015021946572"/>
    <n v="-47.294236727230683"/>
    <n v="6107.16"/>
    <n v="1.9"/>
    <n v="50"/>
    <m/>
    <n v="0"/>
    <s v="Trator 1.7m"/>
    <m/>
    <s v="Não"/>
    <s v="Não"/>
    <s v="Não"/>
    <s v="Não"/>
    <n v="3053.58"/>
    <n v="3053.58"/>
  </r>
  <r>
    <s v="VGSP-330_126,000_EN_CL1"/>
    <x v="0"/>
    <s v="126,000"/>
    <m/>
    <s v="126,500"/>
    <m/>
    <x v="0"/>
    <s v="N"/>
    <n v="-22.722207152925581"/>
    <n v="-47.293582456542687"/>
    <n v="870.27"/>
    <n v="3.96"/>
    <n v="50"/>
    <m/>
    <n v="0"/>
    <s v="Trator 1.7m"/>
    <m/>
    <s v="Não"/>
    <s v="Não"/>
    <s v="Não"/>
    <s v="Não"/>
    <n v="435.13499999999999"/>
    <n v="435.13499999999999"/>
  </r>
  <r>
    <s v="VGSP-330_126,000_CC4"/>
    <x v="171"/>
    <s v="126,000"/>
    <m/>
    <s v="126,500"/>
    <m/>
    <x v="1"/>
    <s v="C"/>
    <n v="-22.719995194408089"/>
    <n v="-47.294376803495858"/>
    <n v="412.4"/>
    <n v="1.55"/>
    <n v="50"/>
    <m/>
    <n v="0"/>
    <s v="Trator 1.7m"/>
    <m/>
    <s v="Não"/>
    <s v="Não"/>
    <s v="Não"/>
    <s v="Não"/>
    <n v="206.2"/>
    <n v="206.2"/>
  </r>
  <r>
    <s v="VGSP-330_126,000_CC3"/>
    <x v="171"/>
    <s v="126,000"/>
    <m/>
    <s v="126,500"/>
    <m/>
    <x v="1"/>
    <s v="C"/>
    <n v="-22.720528398278031"/>
    <n v="-47.294155317513052"/>
    <n v="927.59"/>
    <n v="2.02"/>
    <n v="50"/>
    <m/>
    <n v="0"/>
    <s v="Trator 1.7m"/>
    <m/>
    <s v="Não"/>
    <s v="Não"/>
    <s v="Não"/>
    <s v="Não"/>
    <n v="463.79500000000002"/>
    <n v="463.79500000000002"/>
  </r>
  <r>
    <s v="VGSP-348_127,000_ES_CL4"/>
    <x v="0"/>
    <s v="127,000"/>
    <m/>
    <s v="127,500"/>
    <m/>
    <x v="0"/>
    <s v="S"/>
    <n v="-22.803207988710071"/>
    <n v="-47.398673505698419"/>
    <n v="1034.42"/>
    <n v="2.8"/>
    <n v="70"/>
    <m/>
    <n v="0"/>
    <s v="Trator 1.7m"/>
    <m/>
    <s v="Não"/>
    <s v="Não"/>
    <s v="Não"/>
    <s v="Não"/>
    <n v="724.09400000000005"/>
    <n v="724.09400000000005"/>
  </r>
  <r>
    <s v="VGSP-348_127,000_ES_CL1"/>
    <x v="0"/>
    <s v="127,000"/>
    <m/>
    <s v="127,500"/>
    <m/>
    <x v="0"/>
    <s v="S"/>
    <n v="-22.804902325109289"/>
    <n v="-47.396315348600567"/>
    <n v="1123.44"/>
    <n v="5.21"/>
    <n v="70"/>
    <m/>
    <n v="0"/>
    <s v="Trator 1.7m"/>
    <m/>
    <s v="Não"/>
    <s v="Não"/>
    <s v="Não"/>
    <s v="Não"/>
    <n v="786.40800000000002"/>
    <n v="786.40800000000002"/>
  </r>
  <r>
    <s v="VGSP-348_127,000_ES_CL3"/>
    <x v="0"/>
    <s v="127,000"/>
    <m/>
    <s v="127,500"/>
    <m/>
    <x v="0"/>
    <s v="S"/>
    <n v="-22.803442400621499"/>
    <n v="-47.39819956515781"/>
    <n v="2876.01"/>
    <n v="1.78"/>
    <n v="70"/>
    <m/>
    <n v="0"/>
    <s v="Trator 1.7m"/>
    <m/>
    <s v="Não"/>
    <s v="Não"/>
    <s v="Não"/>
    <s v="Não"/>
    <n v="2013.2070000000001"/>
    <n v="2013.2070000000001"/>
  </r>
  <r>
    <s v="VGSP-330_127,000_ES_CL4"/>
    <x v="0"/>
    <s v="127,000"/>
    <m/>
    <s v="127,500"/>
    <m/>
    <x v="0"/>
    <s v="S"/>
    <n v="-22.71178604147304"/>
    <n v="-47.29726756029126"/>
    <n v="827.32"/>
    <n v="2.2999999999999998"/>
    <n v="50"/>
    <m/>
    <n v="0"/>
    <s v="Trator 1.7m"/>
    <m/>
    <s v="Não"/>
    <s v="Não"/>
    <s v="Não"/>
    <s v="Não"/>
    <n v="413.66"/>
    <n v="413.66"/>
  </r>
  <r>
    <s v="VGSP-330_127,000_ES_CL2"/>
    <x v="0"/>
    <s v="127,000"/>
    <m/>
    <s v="127,500"/>
    <m/>
    <x v="0"/>
    <s v="S"/>
    <n v="-22.71405434841181"/>
    <n v="-47.29625922904863"/>
    <n v="1578.87"/>
    <n v="2.73"/>
    <n v="50"/>
    <m/>
    <n v="0"/>
    <s v="Trator 1.7m"/>
    <m/>
    <s v="Não"/>
    <s v="Não"/>
    <s v="Não"/>
    <s v="Não"/>
    <n v="789.43499999999995"/>
    <n v="789.43499999999995"/>
  </r>
  <r>
    <s v="VGSP-330_127,000_ES_CL3"/>
    <x v="0"/>
    <s v="127,000"/>
    <m/>
    <s v="127,500"/>
    <m/>
    <x v="0"/>
    <s v="S"/>
    <n v="-22.714194140698861"/>
    <n v="-47.296094668205143"/>
    <n v="156.74"/>
    <n v="4.7699999999999996"/>
    <n v="50"/>
    <m/>
    <n v="0"/>
    <s v="Trator 1.7m"/>
    <m/>
    <s v="Não"/>
    <s v="Não"/>
    <s v="Não"/>
    <s v="Não"/>
    <n v="78.37"/>
    <n v="78.37"/>
  </r>
  <r>
    <s v="VGSP-348_127,000_EN_CL2"/>
    <x v="0"/>
    <s v="127,000"/>
    <m/>
    <s v="127,500"/>
    <m/>
    <x v="0"/>
    <s v="N"/>
    <n v="-22.804578742283439"/>
    <n v="-47.396027393522033"/>
    <n v="1141.2"/>
    <n v="3.7"/>
    <n v="70"/>
    <m/>
    <n v="0"/>
    <s v="Trator 1.7m"/>
    <m/>
    <s v="Não"/>
    <s v="Não"/>
    <s v="Não"/>
    <s v="Não"/>
    <n v="798.84"/>
    <n v="798.84"/>
  </r>
  <r>
    <s v="VGSP-348_127,000_EN_CL1"/>
    <x v="0"/>
    <s v="127,000"/>
    <m/>
    <s v="127,500"/>
    <m/>
    <x v="0"/>
    <s v="N"/>
    <n v="-22.807264751851289"/>
    <n v="-47.393440868721527"/>
    <n v="6044.89"/>
    <n v="3.62"/>
    <n v="80"/>
    <m/>
    <n v="0"/>
    <s v="Trator 1.7m"/>
    <m/>
    <s v="Não"/>
    <s v="Não"/>
    <s v="Não"/>
    <s v="Não"/>
    <n v="4835.9120000000003"/>
    <n v="4835.9120000000003"/>
  </r>
  <r>
    <s v="VGSP-348_127,000_CC2"/>
    <x v="173"/>
    <s v="127,000"/>
    <m/>
    <s v="127,500"/>
    <n v="0.5"/>
    <x v="1"/>
    <s v="C"/>
    <n v="-22.802959556410318"/>
    <n v="-47.398366671902288"/>
    <n v="2902.62"/>
    <n v="2.35"/>
    <n v="80"/>
    <m/>
    <n v="0"/>
    <s v="Trator 1.7m"/>
    <m/>
    <s v="Não"/>
    <s v="Não"/>
    <s v="Não"/>
    <s v="Não"/>
    <n v="2322.096"/>
    <n v="2322.096"/>
  </r>
  <r>
    <s v="VGSP-330_127,000_CC"/>
    <x v="174"/>
    <s v="127,000"/>
    <m/>
    <s v="127,500"/>
    <m/>
    <x v="1"/>
    <s v="C"/>
    <n v="-22.713944295195951"/>
    <n v="-47.296522029853001"/>
    <n v="2073.1799999999998"/>
    <n v="2.71"/>
    <n v="50"/>
    <m/>
    <n v="0"/>
    <s v="Trator 1.7m"/>
    <m/>
    <s v="Não"/>
    <s v="Não"/>
    <s v="Não"/>
    <s v="Não"/>
    <n v="1036.5899999999999"/>
    <n v="1036.5899999999999"/>
  </r>
  <r>
    <s v="VGSP-330_127,000_EN_CL2"/>
    <x v="0"/>
    <s v="127,000"/>
    <m/>
    <s v="127,500"/>
    <m/>
    <x v="0"/>
    <s v="N"/>
    <n v="-22.70915720647783"/>
    <n v="-47.29964091970654"/>
    <n v="12623.76"/>
    <n v="3.11"/>
    <n v="50"/>
    <m/>
    <n v="0"/>
    <s v="Trator 1.7m"/>
    <m/>
    <s v="Não"/>
    <s v="Não"/>
    <s v="Não"/>
    <s v="Não"/>
    <n v="6311.88"/>
    <n v="6311.88"/>
  </r>
  <r>
    <s v="VGSP-348_127,000_CC1"/>
    <x v="173"/>
    <s v="127,000"/>
    <m/>
    <s v="127,500"/>
    <n v="0.5"/>
    <x v="1"/>
    <s v="C"/>
    <n v="-22.804768822033338"/>
    <n v="-47.396136919667953"/>
    <n v="3164.28"/>
    <n v="4.7699999999999996"/>
    <n v="80"/>
    <m/>
    <n v="0"/>
    <s v="Trator 1.7m"/>
    <m/>
    <s v="Não"/>
    <s v="Não"/>
    <s v="Não"/>
    <s v="Não"/>
    <n v="2531.4240000000004"/>
    <n v="2531.4240000000004"/>
  </r>
  <r>
    <s v="VGSP-348_127,000_EN_CL4"/>
    <x v="0"/>
    <s v="127,000"/>
    <m/>
    <s v="127,500"/>
    <m/>
    <x v="0"/>
    <s v="N"/>
    <n v="-22.803023671216309"/>
    <n v="-47.39778683943878"/>
    <n v="3044.78"/>
    <n v="2.88"/>
    <n v="70"/>
    <m/>
    <n v="0"/>
    <s v="Trator 1.7m"/>
    <m/>
    <s v="Não"/>
    <s v="Não"/>
    <s v="Não"/>
    <s v="Não"/>
    <n v="2131.346"/>
    <n v="2131.346"/>
  </r>
  <r>
    <s v="VGSP-348_127,000_EN_CL5"/>
    <x v="0"/>
    <s v="127,000"/>
    <m/>
    <s v="127,500"/>
    <m/>
    <x v="0"/>
    <s v="N"/>
    <n v="-22.802698280643529"/>
    <n v="-47.398062681005698"/>
    <n v="1045.99"/>
    <n v="2.58"/>
    <n v="70"/>
    <m/>
    <n v="0"/>
    <s v="Trator 1.7m"/>
    <m/>
    <s v="Não"/>
    <s v="Não"/>
    <s v="Não"/>
    <s v="Não"/>
    <n v="732.19299999999998"/>
    <n v="732.19299999999998"/>
  </r>
  <r>
    <s v="VGSP-348_127,000_ES_CL2"/>
    <x v="0"/>
    <s v="127,000"/>
    <m/>
    <s v="127,500"/>
    <m/>
    <x v="0"/>
    <s v="S"/>
    <n v="-22.8074427111242"/>
    <n v="-47.393570922268168"/>
    <n v="2063.6799999999998"/>
    <n v="3.2"/>
    <n v="70"/>
    <m/>
    <n v="0"/>
    <s v="Trator 1.7m"/>
    <m/>
    <s v="Não"/>
    <s v="Não"/>
    <s v="Não"/>
    <s v="Não"/>
    <n v="1444.5759999999998"/>
    <n v="1444.5759999999998"/>
  </r>
  <r>
    <s v="VGSP-348_127,000_EN_CL3"/>
    <x v="0"/>
    <s v="127,000"/>
    <m/>
    <s v="127,500"/>
    <m/>
    <x v="0"/>
    <s v="N"/>
    <n v="-22.80715293838853"/>
    <n v="-47.393248817728633"/>
    <n v="2086.61"/>
    <n v="3.22"/>
    <n v="70"/>
    <m/>
    <n v="0"/>
    <s v="Trator 1.7m"/>
    <m/>
    <s v="Não"/>
    <s v="Não"/>
    <s v="Não"/>
    <s v="Não"/>
    <n v="1460.627"/>
    <n v="1460.627"/>
  </r>
  <r>
    <s v="VGSP-330_127,000_ES_CL5"/>
    <x v="0"/>
    <s v="127,000"/>
    <m/>
    <s v="127,500"/>
    <m/>
    <x v="0"/>
    <s v="S"/>
    <n v="-22.70898287994606"/>
    <n v="-47.299157597201038"/>
    <n v="2112.5"/>
    <n v="2.96"/>
    <n v="50"/>
    <m/>
    <n v="0"/>
    <s v="Trator 1.7m"/>
    <m/>
    <s v="Não"/>
    <s v="Não"/>
    <s v="Não"/>
    <s v="Não"/>
    <n v="1056.25"/>
    <n v="1056.25"/>
  </r>
  <r>
    <s v="VGSP-330_127,000_EN_CL1"/>
    <x v="0"/>
    <s v="127,000"/>
    <m/>
    <s v="127,500"/>
    <m/>
    <x v="0"/>
    <s v="N"/>
    <n v="-22.711829805301502"/>
    <n v="-47.297786801115073"/>
    <n v="3307.11"/>
    <n v="5.3"/>
    <n v="50"/>
    <m/>
    <n v="0"/>
    <s v="Trator 1.7m"/>
    <m/>
    <s v="Não"/>
    <s v="Não"/>
    <s v="Não"/>
    <s v="Não"/>
    <n v="1653.5550000000001"/>
    <n v="1653.5550000000001"/>
  </r>
  <r>
    <s v="VGSP-330_127,000_ES_CL1"/>
    <x v="0"/>
    <s v="127,000"/>
    <m/>
    <s v="127,500"/>
    <m/>
    <x v="0"/>
    <s v="S"/>
    <n v="-22.71390924869289"/>
    <n v="-47.296292598405579"/>
    <n v="1960.3"/>
    <n v="2.68"/>
    <n v="50"/>
    <m/>
    <n v="0"/>
    <s v="Trator 1.7m"/>
    <m/>
    <s v="Não"/>
    <s v="Não"/>
    <s v="Não"/>
    <s v="Não"/>
    <n v="980.15"/>
    <n v="980.15"/>
  </r>
  <r>
    <s v="VGSP-330_128,000_EN_CL5"/>
    <x v="0"/>
    <s v="128,000"/>
    <m/>
    <s v="128,500"/>
    <m/>
    <x v="0"/>
    <s v="N"/>
    <n v="-22.70162977268722"/>
    <n v="-47.306524742137107"/>
    <n v="49.4"/>
    <n v="3.17"/>
    <n v="50"/>
    <m/>
    <n v="0"/>
    <s v="Trator 1.7m"/>
    <m/>
    <s v="Não"/>
    <s v="Não"/>
    <s v="Não"/>
    <s v="Não"/>
    <n v="24.7"/>
    <n v="24.7"/>
  </r>
  <r>
    <s v="VGSP-330_128,000_ES_CL3"/>
    <x v="0"/>
    <s v="128,000"/>
    <m/>
    <s v="128,500"/>
    <m/>
    <x v="0"/>
    <s v="S"/>
    <n v="-22.702923892987371"/>
    <n v="-47.304131366477961"/>
    <n v="1218.74"/>
    <n v="3.01"/>
    <n v="50"/>
    <m/>
    <n v="0"/>
    <s v="Trator 1.7m"/>
    <m/>
    <s v="Não"/>
    <s v="Não"/>
    <s v="Não"/>
    <s v="Não"/>
    <n v="609.37"/>
    <n v="609.37"/>
  </r>
  <r>
    <s v="VGSP-330_128,000_EN_CL6"/>
    <x v="0"/>
    <s v="128,000"/>
    <m/>
    <s v="128,500"/>
    <m/>
    <x v="0"/>
    <s v="N"/>
    <n v="-22.701478498862219"/>
    <n v="-47.306294683725902"/>
    <n v="178.72"/>
    <n v="3.75"/>
    <n v="50"/>
    <m/>
    <n v="0"/>
    <s v="Trator 1.7m"/>
    <m/>
    <s v="Não"/>
    <s v="Não"/>
    <s v="Não"/>
    <s v="Não"/>
    <n v="89.36"/>
    <n v="89.36"/>
  </r>
  <r>
    <s v="VGSP-348_128,000_EN_CL3"/>
    <x v="0"/>
    <s v="128,000"/>
    <m/>
    <s v="128,500"/>
    <m/>
    <x v="0"/>
    <s v="N"/>
    <n v="-22.79777123537437"/>
    <n v="-47.406557863764611"/>
    <n v="116.07"/>
    <n v="1.49"/>
    <n v="70"/>
    <m/>
    <n v="0"/>
    <s v="Trator 1.7m"/>
    <m/>
    <s v="Não"/>
    <s v="Não"/>
    <s v="Não"/>
    <s v="Não"/>
    <n v="81.248999999999995"/>
    <n v="81.248999999999995"/>
  </r>
  <r>
    <s v="VGSP-348_128,000_ES_CL1"/>
    <x v="0"/>
    <s v="128,000"/>
    <m/>
    <s v="128,500"/>
    <m/>
    <x v="0"/>
    <s v="S"/>
    <n v="-22.799461483746541"/>
    <n v="-47.404488534639768"/>
    <n v="1755.02"/>
    <n v="2.89"/>
    <n v="70"/>
    <m/>
    <n v="0"/>
    <s v="Trator 1.7m"/>
    <m/>
    <s v="Não"/>
    <s v="Não"/>
    <s v="Não"/>
    <s v="Não"/>
    <n v="1228.5139999999999"/>
    <n v="1228.5139999999999"/>
  </r>
  <r>
    <s v="VGSP-348_128,000_CC1"/>
    <x v="175"/>
    <s v="128,000"/>
    <m/>
    <s v="128,500"/>
    <n v="0.5"/>
    <x v="1"/>
    <s v="C"/>
    <n v="-22.799310498465221"/>
    <n v="-47.404330959225632"/>
    <n v="4868.71"/>
    <n v="2.68"/>
    <n v="80"/>
    <m/>
    <n v="0"/>
    <s v="Trator 1.7m"/>
    <m/>
    <s v="Não"/>
    <s v="Não"/>
    <s v="Não"/>
    <s v="Não"/>
    <n v="3894.9680000000003"/>
    <n v="3894.9680000000003"/>
  </r>
  <r>
    <s v="VGSP-330_128,000_EN_CL8"/>
    <x v="0"/>
    <s v="128,000"/>
    <m/>
    <s v="128,500"/>
    <m/>
    <x v="0"/>
    <s v="N"/>
    <n v="-22.700962998706618"/>
    <n v="-47.306469203051194"/>
    <n v="3081.68"/>
    <n v="3.29"/>
    <n v="50"/>
    <m/>
    <n v="0"/>
    <s v="Trator 1.7m"/>
    <m/>
    <s v="Não"/>
    <s v="Não"/>
    <s v="Não"/>
    <s v="Não"/>
    <n v="1540.84"/>
    <n v="1540.84"/>
  </r>
  <r>
    <s v="VGSP-330_128,000_EN_CL7"/>
    <x v="0"/>
    <s v="128,000"/>
    <m/>
    <s v="128,500"/>
    <m/>
    <x v="0"/>
    <s v="N"/>
    <n v="-22.701387310464501"/>
    <n v="-47.306431468609787"/>
    <n v="49.6"/>
    <n v="4.3899999999999997"/>
    <n v="50"/>
    <m/>
    <n v="0"/>
    <s v="Trator 1.7m"/>
    <m/>
    <s v="Não"/>
    <s v="Não"/>
    <s v="Não"/>
    <s v="Não"/>
    <n v="24.8"/>
    <n v="24.8"/>
  </r>
  <r>
    <s v="VGSP-330_128,000_ES_CL6"/>
    <x v="0"/>
    <s v="128,000"/>
    <m/>
    <s v="128,500"/>
    <m/>
    <x v="0"/>
    <s v="S"/>
    <n v="-22.70086489013595"/>
    <n v="-47.305449305965887"/>
    <n v="135.37"/>
    <n v="4.1100000000000003"/>
    <n v="50"/>
    <m/>
    <n v="0"/>
    <s v="Trator 1.7m"/>
    <m/>
    <s v="Não"/>
    <s v="Não"/>
    <s v="Não"/>
    <s v="Não"/>
    <n v="67.685000000000002"/>
    <n v="67.685000000000002"/>
  </r>
  <r>
    <s v="VGSP-330_128,000_EN_CL4"/>
    <x v="0"/>
    <s v="128,000"/>
    <m/>
    <s v="128,500"/>
    <m/>
    <x v="0"/>
    <s v="N"/>
    <n v="-22.70168903041732"/>
    <n v="-47.305794495388213"/>
    <n v="2051.4499999999998"/>
    <n v="2.25"/>
    <n v="50"/>
    <m/>
    <n v="0"/>
    <s v="Trator 1.7m"/>
    <m/>
    <s v="Não"/>
    <s v="Não"/>
    <s v="Não"/>
    <s v="Não"/>
    <n v="1025.7249999999999"/>
    <n v="1025.7249999999999"/>
  </r>
  <r>
    <s v="VGSP-348_128,000_CC3"/>
    <x v="175"/>
    <s v="128,000"/>
    <m/>
    <s v="128,500"/>
    <n v="0.5"/>
    <x v="1"/>
    <s v="C"/>
    <n v="-22.797957680447809"/>
    <n v="-47.406674323119489"/>
    <n v="268.67"/>
    <n v="1.23"/>
    <n v="80"/>
    <m/>
    <n v="0"/>
    <s v="Trator 1.7m"/>
    <m/>
    <s v="Não"/>
    <s v="Não"/>
    <s v="Não"/>
    <s v="Não"/>
    <n v="214.93600000000004"/>
    <n v="214.93600000000004"/>
  </r>
  <r>
    <s v="VGSP-330_128,000_ES_CL1"/>
    <x v="0"/>
    <s v="128,000"/>
    <m/>
    <s v="128,500"/>
    <m/>
    <x v="0"/>
    <s v="S"/>
    <n v="-22.706763928149751"/>
    <n v="-47.300899906190217"/>
    <n v="323.58999999999997"/>
    <n v="4.2"/>
    <n v="50"/>
    <m/>
    <n v="0"/>
    <s v="Trator 1.7m"/>
    <m/>
    <s v="Não"/>
    <s v="Não"/>
    <s v="Não"/>
    <s v="Não"/>
    <n v="161.79499999999999"/>
    <n v="161.79499999999999"/>
  </r>
  <r>
    <s v="VGSP-330_128,000_ES_CL2"/>
    <x v="0"/>
    <s v="128,000"/>
    <m/>
    <s v="128,500"/>
    <m/>
    <x v="0"/>
    <s v="S"/>
    <n v="-22.706318295536231"/>
    <n v="-47.301262061700299"/>
    <n v="679.38"/>
    <n v="2.72"/>
    <n v="50"/>
    <m/>
    <n v="0"/>
    <s v="Trator 1.7m"/>
    <m/>
    <s v="Não"/>
    <s v="Não"/>
    <s v="Não"/>
    <s v="Não"/>
    <n v="339.69"/>
    <n v="339.69"/>
  </r>
  <r>
    <s v="VGSP-330_128,000_ES_CL4"/>
    <x v="0"/>
    <s v="128,000"/>
    <m/>
    <s v="128,500"/>
    <m/>
    <x v="0"/>
    <s v="S"/>
    <n v="-22.705087702482391"/>
    <n v="-47.302333250728282"/>
    <n v="1205.1199999999999"/>
    <n v="3.48"/>
    <n v="50"/>
    <m/>
    <n v="0"/>
    <s v="Trator 1.7m"/>
    <m/>
    <s v="Não"/>
    <s v="Não"/>
    <s v="Não"/>
    <s v="Não"/>
    <n v="602.55999999999995"/>
    <n v="602.55999999999995"/>
  </r>
  <r>
    <s v="VGSP-330_128,000_ES_CL5"/>
    <x v="0"/>
    <s v="128,000"/>
    <m/>
    <s v="128,500"/>
    <m/>
    <x v="0"/>
    <s v="S"/>
    <n v="-22.701409130308821"/>
    <n v="-47.305293873696428"/>
    <n v="2808.39"/>
    <n v="2.57"/>
    <n v="50"/>
    <m/>
    <n v="0"/>
    <s v="Trator 1.7m"/>
    <m/>
    <s v="Não"/>
    <s v="Não"/>
    <s v="Não"/>
    <s v="Não"/>
    <n v="1404.1949999999999"/>
    <n v="1404.1949999999999"/>
  </r>
  <r>
    <s v="VGSP-330_128,000_ES_CL7"/>
    <x v="0"/>
    <s v="128,000"/>
    <m/>
    <s v="128,500"/>
    <m/>
    <x v="0"/>
    <s v="S"/>
    <n v="-22.700801766933179"/>
    <n v="-47.305114743345563"/>
    <n v="52.68"/>
    <n v="2.79"/>
    <n v="50"/>
    <m/>
    <n v="0"/>
    <s v="Trator 1.7m"/>
    <m/>
    <s v="Não"/>
    <s v="Não"/>
    <s v="Não"/>
    <s v="Não"/>
    <n v="26.34"/>
    <n v="26.34"/>
  </r>
  <r>
    <s v="VGSP-330_128,000_ES_CL9"/>
    <x v="0"/>
    <s v="128,000"/>
    <m/>
    <s v="128,500"/>
    <m/>
    <x v="0"/>
    <s v="S"/>
    <n v="-22.700576759153531"/>
    <n v="-47.305991362897608"/>
    <n v="2372.12"/>
    <n v="3.27"/>
    <n v="50"/>
    <m/>
    <n v="0"/>
    <s v="Trator 1.7m"/>
    <m/>
    <s v="Não"/>
    <s v="Não"/>
    <s v="Não"/>
    <s v="Não"/>
    <n v="1186.06"/>
    <n v="1186.06"/>
  </r>
  <r>
    <s v="VGSP-330_128,000_ES_CL8"/>
    <x v="0"/>
    <s v="128,000"/>
    <m/>
    <s v="128,500"/>
    <m/>
    <x v="0"/>
    <s v="S"/>
    <n v="-22.700456120430001"/>
    <n v="-47.305733446874363"/>
    <n v="473.26"/>
    <n v="3.54"/>
    <n v="50"/>
    <m/>
    <n v="0"/>
    <s v="Trator 1.7m"/>
    <m/>
    <s v="Não"/>
    <s v="Não"/>
    <s v="Não"/>
    <s v="Não"/>
    <n v="236.63"/>
    <n v="236.63"/>
  </r>
  <r>
    <s v="VGSP-348_128,000_CC2"/>
    <x v="175"/>
    <s v="128,000"/>
    <m/>
    <s v="128,500"/>
    <n v="0.5"/>
    <x v="1"/>
    <s v="C"/>
    <n v="-22.801312123188701"/>
    <n v="-47.400893232477152"/>
    <n v="4641.53"/>
    <n v="2.33"/>
    <n v="80"/>
    <m/>
    <n v="0"/>
    <s v="Trator 1.7m"/>
    <m/>
    <s v="Não"/>
    <s v="Não"/>
    <s v="Não"/>
    <s v="Não"/>
    <n v="3713.2240000000002"/>
    <n v="3713.2240000000002"/>
  </r>
  <r>
    <s v="VGSP-330_128,000_EN_CL1"/>
    <x v="0"/>
    <s v="128,000"/>
    <m/>
    <s v="128,500"/>
    <m/>
    <x v="0"/>
    <s v="N"/>
    <n v="-22.705757926825321"/>
    <n v="-47.302429891079669"/>
    <n v="10418.99"/>
    <n v="3.38"/>
    <n v="50"/>
    <m/>
    <n v="0"/>
    <s v="Trator 1.7m"/>
    <m/>
    <s v="Não"/>
    <s v="Não"/>
    <s v="Não"/>
    <s v="Não"/>
    <n v="5209.4949999999999"/>
    <n v="5209.4949999999999"/>
  </r>
  <r>
    <s v="VGSP-330_128,000_CC"/>
    <x v="176"/>
    <s v="128,000"/>
    <m/>
    <s v="128,500"/>
    <m/>
    <x v="1"/>
    <s v="C"/>
    <n v="-22.700743891658789"/>
    <n v="-47.306228252094179"/>
    <n v="784.31"/>
    <n v="2.65"/>
    <n v="50"/>
    <m/>
    <n v="0"/>
    <s v="Trator 1.7m"/>
    <m/>
    <s v="Não"/>
    <s v="Não"/>
    <s v="Não"/>
    <s v="Não"/>
    <n v="392.15499999999997"/>
    <n v="392.15499999999997"/>
  </r>
  <r>
    <s v="VGSP-348_128,000_EN_CL2"/>
    <x v="0"/>
    <s v="128,000"/>
    <m/>
    <s v="128,500"/>
    <m/>
    <x v="0"/>
    <s v="N"/>
    <n v="-22.801139464765669"/>
    <n v="-47.400781648067117"/>
    <n v="1636.72"/>
    <n v="1.74"/>
    <n v="70"/>
    <m/>
    <n v="0"/>
    <s v="Trator 1.7m"/>
    <m/>
    <s v="Não"/>
    <s v="Não"/>
    <s v="Não"/>
    <s v="Não"/>
    <n v="1145.704"/>
    <n v="1145.704"/>
  </r>
  <r>
    <s v="VGSP-348_128,000_EN_CL1"/>
    <x v="0"/>
    <s v="128,000"/>
    <m/>
    <s v="128,500"/>
    <m/>
    <x v="0"/>
    <s v="N"/>
    <n v="-22.799103588860689"/>
    <n v="-47.404269402527127"/>
    <n v="1749.95"/>
    <n v="2.58"/>
    <n v="70"/>
    <m/>
    <n v="0"/>
    <s v="Trator 1.7m"/>
    <m/>
    <s v="Não"/>
    <s v="Não"/>
    <s v="Não"/>
    <s v="Não"/>
    <n v="1224.9649999999999"/>
    <n v="1224.9649999999999"/>
  </r>
  <r>
    <s v="VGSP-348_128,000_ES_CL3"/>
    <x v="0"/>
    <s v="128,000"/>
    <m/>
    <s v="128,500"/>
    <m/>
    <x v="0"/>
    <s v="S"/>
    <n v="-22.798131181267649"/>
    <n v="-47.406789881981076"/>
    <n v="101.56"/>
    <n v="1.26"/>
    <n v="70"/>
    <m/>
    <n v="0"/>
    <s v="Trator 1.7m"/>
    <m/>
    <s v="Não"/>
    <s v="Não"/>
    <s v="Não"/>
    <s v="Não"/>
    <n v="71.091999999999999"/>
    <n v="71.091999999999999"/>
  </r>
  <r>
    <s v="VGSP-348_128,000_ES_CL2"/>
    <x v="0"/>
    <s v="128,000"/>
    <m/>
    <s v="128,500"/>
    <m/>
    <x v="0"/>
    <s v="S"/>
    <n v="-22.801446969561951"/>
    <n v="-47.401079405806421"/>
    <n v="1553.19"/>
    <n v="3.06"/>
    <n v="70"/>
    <m/>
    <n v="0"/>
    <s v="Trator 1.7m"/>
    <m/>
    <s v="Não"/>
    <s v="Não"/>
    <s v="Não"/>
    <s v="Não"/>
    <n v="1087.2329999999999"/>
    <n v="1087.2329999999999"/>
  </r>
  <r>
    <s v="VGSP-330_128,000_EN_CL3"/>
    <x v="0"/>
    <s v="128,000"/>
    <m/>
    <s v="128,500"/>
    <m/>
    <x v="0"/>
    <s v="N"/>
    <n v="-22.701893581386951"/>
    <n v="-47.305874650173372"/>
    <n v="694.03"/>
    <n v="2.37"/>
    <n v="50"/>
    <m/>
    <n v="0"/>
    <s v="Trator 1.7m"/>
    <m/>
    <s v="Não"/>
    <s v="Não"/>
    <s v="Não"/>
    <s v="Não"/>
    <n v="347.01499999999999"/>
    <n v="347.01499999999999"/>
  </r>
  <r>
    <s v="VGSP-330_128,000_EN_CL2"/>
    <x v="0"/>
    <s v="128,000"/>
    <m/>
    <s v="128,500"/>
    <m/>
    <x v="0"/>
    <s v="N"/>
    <n v="-22.70321510493071"/>
    <n v="-47.304568129425121"/>
    <n v="6096.34"/>
    <n v="3.32"/>
    <n v="50"/>
    <m/>
    <n v="0"/>
    <s v="Trator 1.7m"/>
    <m/>
    <s v="Não"/>
    <s v="Não"/>
    <s v="Não"/>
    <s v="Não"/>
    <n v="3048.17"/>
    <n v="3048.17"/>
  </r>
  <r>
    <s v="VGSP-330_129,000_EN_CL6"/>
    <x v="0"/>
    <s v="129,000"/>
    <m/>
    <s v="129,500"/>
    <m/>
    <x v="0"/>
    <s v="N"/>
    <n v="-22.698220822562568"/>
    <n v="-47.308635498260358"/>
    <n v="2118.2199999999998"/>
    <n v="5.37"/>
    <n v="50"/>
    <m/>
    <n v="0"/>
    <s v="Trator 1.7m"/>
    <m/>
    <s v="Não"/>
    <s v="Não"/>
    <s v="Não"/>
    <s v="Não"/>
    <n v="1059.1099999999999"/>
    <n v="1059.1099999999999"/>
  </r>
  <r>
    <s v="VGSP-348_129,000_CC2"/>
    <x v="177"/>
    <s v="129,000"/>
    <m/>
    <s v="129,500"/>
    <n v="0.5"/>
    <x v="1"/>
    <s v="C"/>
    <n v="-22.79392653386018"/>
    <n v="-47.413605622676592"/>
    <n v="36765.699999999997"/>
    <n v="2.63"/>
    <n v="80"/>
    <m/>
    <n v="0"/>
    <s v="Trator 1.7m"/>
    <m/>
    <s v="Não"/>
    <s v="Não"/>
    <s v="Não"/>
    <s v="Não"/>
    <n v="29412.559999999998"/>
    <n v="29412.559999999998"/>
  </r>
  <r>
    <s v="VGSP-348_129,000_ES_CL1"/>
    <x v="0"/>
    <s v="129,000"/>
    <m/>
    <s v="129,500"/>
    <m/>
    <x v="0"/>
    <s v="S"/>
    <n v="-22.794494889374281"/>
    <n v="-47.413574909201188"/>
    <n v="2442.7600000000002"/>
    <n v="2.79"/>
    <n v="70"/>
    <m/>
    <n v="0"/>
    <s v="Trator 1.7m"/>
    <m/>
    <s v="Não"/>
    <s v="Não"/>
    <s v="Não"/>
    <s v="Não"/>
    <n v="1709.932"/>
    <n v="1709.932"/>
  </r>
  <r>
    <s v="VGSP-348_129,000_CC1"/>
    <x v="177"/>
    <s v="129,000"/>
    <m/>
    <s v="129,500"/>
    <n v="0.5"/>
    <x v="1"/>
    <s v="C"/>
    <n v="-22.796442046286408"/>
    <n v="-47.409296284355143"/>
    <n v="9995.5499999999993"/>
    <n v="2.5299999999999998"/>
    <n v="80"/>
    <m/>
    <n v="0"/>
    <s v="Trator 1.7m"/>
    <m/>
    <s v="Não"/>
    <s v="Não"/>
    <s v="Não"/>
    <s v="Não"/>
    <n v="7996.44"/>
    <n v="7996.44"/>
  </r>
  <r>
    <s v="VGSP-348_129,000_EN_CL1"/>
    <x v="0"/>
    <s v="129,000"/>
    <m/>
    <s v="129,500"/>
    <m/>
    <x v="0"/>
    <s v="N"/>
    <n v="-22.793704416755379"/>
    <n v="-47.413038069969502"/>
    <n v="2399.1"/>
    <n v="2.2200000000000002"/>
    <n v="70"/>
    <m/>
    <n v="0"/>
    <s v="Trator 1.7m"/>
    <m/>
    <s v="Não"/>
    <s v="Não"/>
    <s v="Não"/>
    <s v="Não"/>
    <n v="1679.37"/>
    <n v="1679.37"/>
  </r>
  <r>
    <s v="VGSP-330_129,000_EN_CL4"/>
    <x v="0"/>
    <s v="129,000"/>
    <m/>
    <s v="129,500"/>
    <m/>
    <x v="0"/>
    <s v="N"/>
    <n v="-22.698046470241181"/>
    <n v="-47.308727216540042"/>
    <n v="1324.65"/>
    <n v="4.8899999999999997"/>
    <m/>
    <m/>
    <n v="0"/>
    <m/>
    <m/>
    <s v="Não"/>
    <s v="Não"/>
    <s v="Não"/>
    <s v="Não"/>
    <n v="0"/>
    <n v="0"/>
  </r>
  <r>
    <s v="VGSP-330_129,000_EN_CL2"/>
    <x v="0"/>
    <s v="129,000"/>
    <m/>
    <s v="129,500"/>
    <m/>
    <x v="0"/>
    <s v="N"/>
    <n v="-22.70006147082972"/>
    <n v="-47.307121559646347"/>
    <n v="2280.5300000000002"/>
    <n v="4.37"/>
    <n v="50"/>
    <m/>
    <n v="0"/>
    <s v="Trator 1.7m"/>
    <m/>
    <s v="Não"/>
    <s v="Não"/>
    <s v="Não"/>
    <s v="Não"/>
    <n v="1140.2650000000001"/>
    <n v="1140.2650000000001"/>
  </r>
  <r>
    <s v="VGSP-330_129,000_EN_CL1"/>
    <x v="0"/>
    <s v="129,000"/>
    <m/>
    <s v="129,500"/>
    <m/>
    <x v="0"/>
    <s v="N"/>
    <n v="-22.700434058999441"/>
    <n v="-47.307030701836823"/>
    <n v="49.71"/>
    <n v="3.86"/>
    <n v="0"/>
    <m/>
    <n v="0"/>
    <m/>
    <m/>
    <s v="Não"/>
    <s v="Não"/>
    <s v="Não"/>
    <s v="Não"/>
    <n v="0"/>
    <n v="0"/>
  </r>
  <r>
    <s v="VGSP-330_129,000_ES_CL2"/>
    <x v="0"/>
    <s v="129,000"/>
    <m/>
    <s v="129,500"/>
    <m/>
    <x v="0"/>
    <s v="S"/>
    <n v="-22.699848438789509"/>
    <n v="-47.306604385384922"/>
    <n v="2469.58"/>
    <n v="2.96"/>
    <n v="50"/>
    <m/>
    <n v="0"/>
    <s v="Trator 1.7m"/>
    <m/>
    <s v="Não"/>
    <s v="Não"/>
    <s v="Não"/>
    <s v="Não"/>
    <n v="1234.79"/>
    <n v="1234.79"/>
  </r>
  <r>
    <s v="VGSP-348_129,000_EN_CL2"/>
    <x v="0"/>
    <s v="129,000"/>
    <m/>
    <s v="129,500"/>
    <m/>
    <x v="0"/>
    <s v="N"/>
    <n v="-22.796486089368081"/>
    <n v="-47.408658126924763"/>
    <n v="1951.95"/>
    <n v="2.52"/>
    <n v="70"/>
    <m/>
    <n v="0"/>
    <s v="Trator 1.7m"/>
    <m/>
    <s v="Não"/>
    <s v="Não"/>
    <s v="Não"/>
    <s v="Não"/>
    <n v="1366.365"/>
    <n v="1366.365"/>
  </r>
  <r>
    <s v="VGSP-330_129,000_EN_CL3"/>
    <x v="0"/>
    <s v="129,000"/>
    <m/>
    <s v="129,500"/>
    <m/>
    <x v="0"/>
    <s v="N"/>
    <n v="-22.69997078832515"/>
    <n v="-47.307397262482361"/>
    <n v="1.42"/>
    <n v="5.17"/>
    <m/>
    <m/>
    <n v="0"/>
    <m/>
    <m/>
    <s v="Não"/>
    <s v="Não"/>
    <s v="Não"/>
    <s v="Não"/>
    <n v="0"/>
    <n v="0"/>
  </r>
  <r>
    <s v="VGSP-330_129,000_CC1"/>
    <x v="178"/>
    <s v="129,000"/>
    <m/>
    <s v="129,500"/>
    <m/>
    <x v="1"/>
    <s v="C"/>
    <n v="-22.69857436746824"/>
    <n v="-47.30802805524602"/>
    <n v="4197.84"/>
    <n v="3.47"/>
    <n v="50"/>
    <m/>
    <n v="0"/>
    <s v="Trator 1.7m"/>
    <m/>
    <s v="Não"/>
    <s v="Não"/>
    <s v="Não"/>
    <s v="Não"/>
    <n v="2098.92"/>
    <n v="2098.92"/>
  </r>
  <r>
    <s v="VGSP-330_129,000_CC2"/>
    <x v="178"/>
    <s v="129,000"/>
    <m/>
    <s v="129,500"/>
    <m/>
    <x v="1"/>
    <s v="C"/>
    <n v="-22.694283140859419"/>
    <n v="-47.310627489627713"/>
    <n v="6792.72"/>
    <n v="3.39"/>
    <n v="50"/>
    <m/>
    <n v="0"/>
    <s v="Trator 1.7m"/>
    <m/>
    <s v="Não"/>
    <s v="Não"/>
    <s v="Não"/>
    <s v="Não"/>
    <n v="3396.36"/>
    <n v="3396.36"/>
  </r>
  <r>
    <s v="VGSP-330_129,000_EN_CL5"/>
    <x v="0"/>
    <s v="129,000"/>
    <m/>
    <s v="129,500"/>
    <m/>
    <x v="0"/>
    <s v="N"/>
    <n v="-22.69457843429954"/>
    <n v="-47.310754653560792"/>
    <n v="2212.66"/>
    <n v="3.52"/>
    <n v="50"/>
    <m/>
    <n v="0"/>
    <s v="Trator 1.7m"/>
    <m/>
    <s v="Não"/>
    <s v="Não"/>
    <s v="Não"/>
    <s v="Não"/>
    <n v="1106.33"/>
    <n v="1106.33"/>
  </r>
  <r>
    <s v="VGSP-348_129,000_ES_CL2"/>
    <x v="0"/>
    <s v="129,000"/>
    <m/>
    <s v="129,500"/>
    <m/>
    <x v="0"/>
    <s v="S"/>
    <n v="-22.796955873257239"/>
    <n v="-47.408938216196432"/>
    <n v="1948.14"/>
    <n v="3.1"/>
    <n v="70"/>
    <m/>
    <n v="0"/>
    <s v="Trator 1.7m"/>
    <m/>
    <s v="Não"/>
    <s v="Não"/>
    <s v="Não"/>
    <s v="Não"/>
    <n v="1363.6980000000001"/>
    <n v="1363.6980000000001"/>
  </r>
  <r>
    <s v="VGSP-330_129,000_ES_CL1"/>
    <x v="0"/>
    <s v="129,000"/>
    <m/>
    <s v="129,500"/>
    <m/>
    <x v="0"/>
    <s v="S"/>
    <n v="-22.700060885764959"/>
    <n v="-47.306138591318337"/>
    <n v="24.53"/>
    <n v="3.66"/>
    <n v="0"/>
    <m/>
    <n v="0"/>
    <m/>
    <m/>
    <s v="Não"/>
    <s v="Não"/>
    <s v="Não"/>
    <s v="Não"/>
    <n v="0"/>
    <n v="0"/>
  </r>
  <r>
    <s v="VGSP-330_130,000_EN_CL2"/>
    <x v="0"/>
    <s v="130,000"/>
    <m/>
    <s v="130,500"/>
    <m/>
    <x v="0"/>
    <s v="N"/>
    <n v="-22.687460179317259"/>
    <n v="-47.311135116879889"/>
    <n v="163.47"/>
    <n v="3.8"/>
    <n v="50"/>
    <m/>
    <n v="0"/>
    <s v="Trator 1.7m"/>
    <m/>
    <s v="Não"/>
    <s v="Não"/>
    <s v="Não"/>
    <s v="Não"/>
    <n v="81.734999999999999"/>
    <n v="81.734999999999999"/>
  </r>
  <r>
    <s v="VGSP-330_130,000_EN_CL1"/>
    <x v="0"/>
    <s v="130,000"/>
    <m/>
    <s v="130,500"/>
    <m/>
    <x v="0"/>
    <s v="N"/>
    <n v="-22.689901325384248"/>
    <n v="-47.3112721029255"/>
    <n v="2010.83"/>
    <n v="3.02"/>
    <n v="50"/>
    <m/>
    <n v="0"/>
    <s v="Trator 1.7m"/>
    <m/>
    <s v="Não"/>
    <s v="Não"/>
    <s v="Não"/>
    <s v="Não"/>
    <n v="1005.415"/>
    <n v="1005.415"/>
  </r>
  <r>
    <s v="VGSP-330_130,000_CC3"/>
    <x v="179"/>
    <s v="130,000"/>
    <m/>
    <s v="130,500"/>
    <m/>
    <x v="1"/>
    <s v="C"/>
    <n v="-22.687569012866881"/>
    <n v="-47.310877496708009"/>
    <n v="554.03"/>
    <n v="5.68"/>
    <n v="50"/>
    <m/>
    <n v="0"/>
    <s v="Trator 1.7m"/>
    <m/>
    <s v="Não"/>
    <s v="Não"/>
    <s v="Não"/>
    <s v="Não"/>
    <n v="277.01499999999999"/>
    <n v="277.01499999999999"/>
  </r>
  <r>
    <s v="VGSP-348_130,000_EN_CL3"/>
    <x v="0"/>
    <s v="130,000"/>
    <m/>
    <s v="130,500"/>
    <m/>
    <x v="0"/>
    <s v="N"/>
    <n v="-22.791244554968578"/>
    <n v="-47.4171548510256"/>
    <n v="1531.54"/>
    <n v="2.37"/>
    <n v="70"/>
    <m/>
    <n v="0"/>
    <s v="Trator 1.7m"/>
    <m/>
    <s v="Não"/>
    <s v="Não"/>
    <s v="Não"/>
    <s v="Não"/>
    <n v="1072.078"/>
    <n v="1072.078"/>
  </r>
  <r>
    <s v="VGSP-348_130,000_EN_CL4"/>
    <x v="0"/>
    <s v="130,000"/>
    <m/>
    <s v="130,500"/>
    <m/>
    <x v="0"/>
    <s v="N"/>
    <n v="-22.78881973271373"/>
    <n v="-47.421333093131828"/>
    <n v="0"/>
    <n v="1.04"/>
    <m/>
    <m/>
    <n v="0"/>
    <m/>
    <m/>
    <s v="Não"/>
    <s v="Não"/>
    <s v="Não"/>
    <s v="Não"/>
    <n v="0"/>
    <n v="0"/>
  </r>
  <r>
    <s v="VGSP-348_130,000_ES_CL2"/>
    <x v="0"/>
    <s v="130,000"/>
    <m/>
    <s v="130,500"/>
    <m/>
    <x v="0"/>
    <s v="S"/>
    <n v="-22.792182567570531"/>
    <n v="-47.417732714190457"/>
    <n v="1542.26"/>
    <n v="3.21"/>
    <n v="70"/>
    <m/>
    <n v="0"/>
    <s v="Trator 1.7m"/>
    <m/>
    <s v="Não"/>
    <s v="Não"/>
    <s v="Não"/>
    <s v="Não"/>
    <n v="1079.5819999999999"/>
    <n v="1079.5819999999999"/>
  </r>
  <r>
    <s v="VGSP-348_130,000_CC2"/>
    <x v="180"/>
    <s v="130,000"/>
    <m/>
    <s v="130,500"/>
    <n v="0.5"/>
    <x v="1"/>
    <s v="C"/>
    <n v="-22.78971247384407"/>
    <n v="-47.420907901884547"/>
    <n v="36772.629999999997"/>
    <n v="2.2200000000000002"/>
    <n v="80"/>
    <m/>
    <n v="0"/>
    <s v="Trator 1.7m"/>
    <m/>
    <s v="Não"/>
    <s v="Não"/>
    <s v="Não"/>
    <s v="Não"/>
    <n v="29418.103999999999"/>
    <n v="29418.103999999999"/>
  </r>
  <r>
    <s v="VGSP-348_130,000_EN_CL2"/>
    <x v="0"/>
    <s v="130,000"/>
    <m/>
    <s v="130,500"/>
    <m/>
    <x v="0"/>
    <s v="N"/>
    <n v="-22.789188466290721"/>
    <n v="-47.420734816370263"/>
    <n v="1959.14"/>
    <n v="1.81"/>
    <n v="70"/>
    <m/>
    <n v="0"/>
    <s v="Trator 1.7m"/>
    <m/>
    <s v="Não"/>
    <s v="Não"/>
    <s v="Não"/>
    <s v="Não"/>
    <n v="1371.3979999999999"/>
    <n v="1371.3979999999999"/>
  </r>
  <r>
    <s v="VGSP-330_130,000_CC4"/>
    <x v="179"/>
    <s v="130,000"/>
    <m/>
    <s v="130,500"/>
    <m/>
    <x v="1"/>
    <s v="C"/>
    <n v="-22.685241773084559"/>
    <n v="-47.310746235526672"/>
    <n v="5661.55"/>
    <n v="5.12"/>
    <n v="70"/>
    <m/>
    <n v="3963.085"/>
    <s v="Spider"/>
    <m/>
    <s v="Não"/>
    <s v="Sim"/>
    <s v="Não"/>
    <s v="Sim"/>
    <n v="0"/>
    <m/>
  </r>
  <r>
    <s v="VGSP-330_130,000_ES_CL"/>
    <x v="0"/>
    <s v="130,000"/>
    <m/>
    <s v="130,500"/>
    <m/>
    <x v="0"/>
    <s v="S"/>
    <n v="-22.685156128780449"/>
    <n v="-47.310506891368078"/>
    <n v="1540.85"/>
    <n v="5.1100000000000003"/>
    <n v="50"/>
    <m/>
    <n v="0"/>
    <s v="Trator 1.7m"/>
    <m/>
    <s v="Não"/>
    <s v="Não"/>
    <s v="Não"/>
    <s v="Não"/>
    <n v="770.42499999999995"/>
    <n v="770.42499999999995"/>
  </r>
  <r>
    <s v="VGSP-330_130,000_CC2"/>
    <x v="179"/>
    <s v="130,000"/>
    <m/>
    <s v="130,500"/>
    <m/>
    <x v="1"/>
    <s v="C"/>
    <n v="-22.68868664295373"/>
    <n v="-47.310946688937172"/>
    <n v="3435.42"/>
    <n v="2.91"/>
    <n v="50"/>
    <m/>
    <n v="0"/>
    <s v="Trator 1.7m"/>
    <m/>
    <s v="Não"/>
    <s v="Não"/>
    <s v="Não"/>
    <s v="Não"/>
    <n v="1717.71"/>
    <n v="1717.71"/>
  </r>
  <r>
    <s v="VGSP-348_130,000_EN_CL1"/>
    <x v="0"/>
    <s v="130,000"/>
    <m/>
    <s v="130,500"/>
    <m/>
    <x v="0"/>
    <s v="N"/>
    <n v="-22.79136682568689"/>
    <n v="-47.416896573817908"/>
    <n v="0.01"/>
    <n v="2.0699999999999998"/>
    <m/>
    <m/>
    <n v="0"/>
    <m/>
    <m/>
    <s v="Não"/>
    <s v="Não"/>
    <s v="Não"/>
    <s v="Não"/>
    <n v="0"/>
    <n v="0"/>
  </r>
  <r>
    <s v="VGSP-348_130,000_ES_CL1"/>
    <x v="0"/>
    <s v="130,000"/>
    <m/>
    <s v="130,500"/>
    <m/>
    <x v="0"/>
    <s v="S"/>
    <n v="-22.790091682099529"/>
    <n v="-47.421324607989042"/>
    <n v="1942.96"/>
    <n v="2.75"/>
    <n v="70"/>
    <m/>
    <n v="0"/>
    <s v="Trator 1.7m"/>
    <m/>
    <s v="Não"/>
    <s v="Não"/>
    <s v="Não"/>
    <s v="Não"/>
    <n v="1360.0719999999999"/>
    <n v="1360.0719999999999"/>
  </r>
  <r>
    <s v="VGSP-330_130,000_CC1"/>
    <x v="179"/>
    <s v="130,000"/>
    <m/>
    <s v="130,500"/>
    <m/>
    <x v="1"/>
    <s v="C"/>
    <n v="-22.691010824896971"/>
    <n v="-47.311095906935243"/>
    <n v="4137.63"/>
    <n v="3.81"/>
    <n v="50"/>
    <m/>
    <n v="0"/>
    <s v="Trator 1.7m"/>
    <m/>
    <s v="Não"/>
    <s v="Não"/>
    <s v="Não"/>
    <s v="Não"/>
    <n v="2068.8150000000001"/>
    <n v="2068.8150000000001"/>
  </r>
  <r>
    <s v="VGSP-330_130,000_EN_CL3"/>
    <x v="0"/>
    <s v="130,000"/>
    <m/>
    <s v="130,500"/>
    <m/>
    <x v="0"/>
    <s v="N"/>
    <n v="-22.685123516127689"/>
    <n v="-47.310981013207368"/>
    <n v="1664.07"/>
    <n v="5.48"/>
    <n v="50"/>
    <m/>
    <n v="0"/>
    <s v="Trator 1.7m"/>
    <m/>
    <s v="Não"/>
    <s v="Não"/>
    <s v="Não"/>
    <s v="Não"/>
    <n v="832.03499999999997"/>
    <n v="832.03499999999997"/>
  </r>
  <r>
    <s v="VGSP-348_130,000_CC1"/>
    <x v="180"/>
    <s v="130,000"/>
    <m/>
    <s v="130,500"/>
    <n v="0.5"/>
    <x v="1"/>
    <s v="C"/>
    <n v="-22.791708654726492"/>
    <n v="-47.41744373482797"/>
    <n v="31972.43"/>
    <n v="2.68"/>
    <n v="80"/>
    <m/>
    <n v="0"/>
    <s v="Trator 1.7m"/>
    <m/>
    <s v="Não"/>
    <s v="Não"/>
    <s v="Não"/>
    <s v="Não"/>
    <n v="25577.944000000003"/>
    <n v="25577.944000000003"/>
  </r>
  <r>
    <s v="VGSP-330_131,000_CC2"/>
    <x v="181"/>
    <s v="131,000"/>
    <m/>
    <s v="131,500"/>
    <m/>
    <x v="1"/>
    <s v="C"/>
    <n v="-22.681036405014549"/>
    <n v="-47.310773867259577"/>
    <n v="4513.71"/>
    <n v="6.15"/>
    <n v="70"/>
    <m/>
    <n v="3159.5969999999998"/>
    <s v="Spider"/>
    <m/>
    <s v="Não"/>
    <s v="Sim"/>
    <s v="Não"/>
    <s v="Sim"/>
    <n v="0"/>
    <m/>
  </r>
  <r>
    <s v="VGSP-348_131,000_ES_CL2"/>
    <x v="0"/>
    <s v="131,000"/>
    <m/>
    <s v="131,500"/>
    <m/>
    <x v="0"/>
    <s v="S"/>
    <n v="-22.787629855151781"/>
    <n v="-47.425311164743761"/>
    <n v="1993.72"/>
    <n v="1.87"/>
    <n v="70"/>
    <m/>
    <n v="0"/>
    <s v="Trator 1.7m"/>
    <m/>
    <s v="Não"/>
    <s v="Não"/>
    <s v="Não"/>
    <s v="Não"/>
    <n v="1395.604"/>
    <n v="1395.604"/>
  </r>
  <r>
    <s v="VGSP-348_131,000_CC3"/>
    <x v="182"/>
    <s v="131,000"/>
    <m/>
    <s v="131,500"/>
    <n v="0.5"/>
    <x v="1"/>
    <s v="C"/>
    <n v="-22.78369325077513"/>
    <n v="-47.431307972248078"/>
    <n v="2682.45"/>
    <n v="3.1"/>
    <n v="80"/>
    <m/>
    <n v="0"/>
    <s v="Trator 1.7m"/>
    <m/>
    <s v="Não"/>
    <s v="Não"/>
    <s v="Não"/>
    <s v="Não"/>
    <n v="2145.96"/>
    <n v="2145.96"/>
  </r>
  <r>
    <s v="VGSP-348_131,000_EN_CL3"/>
    <x v="0"/>
    <s v="131,000"/>
    <m/>
    <s v="131,500"/>
    <m/>
    <x v="0"/>
    <s v="N"/>
    <n v="-22.783482095494271"/>
    <n v="-47.431259716704723"/>
    <n v="954.33"/>
    <n v="3.03"/>
    <n v="70"/>
    <m/>
    <n v="0"/>
    <s v="Trator 1.7m"/>
    <m/>
    <s v="Não"/>
    <s v="Não"/>
    <s v="Não"/>
    <s v="Não"/>
    <n v="668.03099999999995"/>
    <n v="668.03099999999995"/>
  </r>
  <r>
    <s v="VGSP-330_131,000_EN_CL2"/>
    <x v="0"/>
    <s v="131,000"/>
    <m/>
    <s v="131,500"/>
    <m/>
    <x v="0"/>
    <s v="N"/>
    <n v="-22.680917511236249"/>
    <n v="-47.310981216540497"/>
    <n v="2067.37"/>
    <n v="5.81"/>
    <n v="50"/>
    <m/>
    <n v="0"/>
    <s v="Trator 1.7m"/>
    <m/>
    <s v="Não"/>
    <s v="Não"/>
    <s v="Não"/>
    <s v="Não"/>
    <n v="1033.6849999999999"/>
    <n v="1033.6849999999999"/>
  </r>
  <r>
    <s v="VGSP-330_131,000_ES_CL"/>
    <x v="0"/>
    <s v="131,000"/>
    <m/>
    <s v="131,500"/>
    <m/>
    <x v="0"/>
    <s v="S"/>
    <n v="-22.681124093344401"/>
    <n v="-47.310565843894437"/>
    <n v="2035.42"/>
    <n v="6.62"/>
    <n v="50"/>
    <m/>
    <n v="0"/>
    <s v="Trator 1.7m"/>
    <m/>
    <s v="Não"/>
    <s v="Não"/>
    <s v="Não"/>
    <s v="Não"/>
    <n v="1017.71"/>
    <n v="1017.71"/>
  </r>
  <r>
    <s v="VGSP-348_131,000_EN_CL2"/>
    <x v="0"/>
    <s v="131,000"/>
    <m/>
    <s v="131,500"/>
    <m/>
    <x v="0"/>
    <s v="N"/>
    <n v="-22.786955116848649"/>
    <n v="-47.424905514870993"/>
    <n v="1989.25"/>
    <n v="1.1499999999999999"/>
    <n v="70"/>
    <m/>
    <n v="0"/>
    <s v="Trator 1.7m"/>
    <m/>
    <s v="Não"/>
    <s v="Não"/>
    <s v="Não"/>
    <s v="Não"/>
    <n v="1392.4749999999999"/>
    <n v="1392.4749999999999"/>
  </r>
  <r>
    <s v="VGSP-348_131,000_CC2"/>
    <x v="182"/>
    <s v="131,000"/>
    <m/>
    <s v="131,500"/>
    <n v="0.5"/>
    <x v="1"/>
    <s v="C"/>
    <n v="-22.785348919096549"/>
    <n v="-47.428474678063793"/>
    <n v="5221.58"/>
    <n v="2.4"/>
    <n v="80"/>
    <m/>
    <n v="0"/>
    <s v="Trator 1.7m"/>
    <m/>
    <s v="Não"/>
    <s v="Não"/>
    <s v="Não"/>
    <s v="Não"/>
    <n v="4177.2640000000001"/>
    <n v="4177.2640000000001"/>
  </r>
  <r>
    <s v="VGSP-330_131,000_EN_CL1"/>
    <x v="0"/>
    <s v="131,000"/>
    <m/>
    <s v="131,500"/>
    <m/>
    <x v="0"/>
    <s v="N"/>
    <n v="-22.676686583802478"/>
    <n v="-47.31115546610971"/>
    <n v="1686.96"/>
    <n v="4.5999999999999996"/>
    <n v="50"/>
    <m/>
    <n v="0"/>
    <s v="Trator 1.7m"/>
    <m/>
    <s v="Não"/>
    <s v="Não"/>
    <s v="Não"/>
    <s v="Não"/>
    <n v="843.48"/>
    <n v="843.48"/>
  </r>
  <r>
    <s v="VGSP-348_131,000_ES_CL3"/>
    <x v="0"/>
    <s v="131,000"/>
    <m/>
    <s v="131,500"/>
    <m/>
    <x v="0"/>
    <s v="S"/>
    <n v="-22.783836643822841"/>
    <n v="-47.431479742663228"/>
    <n v="946.12"/>
    <n v="3.76"/>
    <n v="70"/>
    <m/>
    <n v="0"/>
    <s v="Trator 1.7m"/>
    <m/>
    <s v="Não"/>
    <s v="Não"/>
    <s v="Não"/>
    <s v="Não"/>
    <n v="662.28399999999999"/>
    <n v="662.28399999999999"/>
  </r>
  <r>
    <s v="VGSP-348_131,000_ES_CL1"/>
    <x v="0"/>
    <s v="131,000"/>
    <m/>
    <s v="131,500"/>
    <m/>
    <x v="0"/>
    <s v="S"/>
    <n v="-22.785431287933751"/>
    <n v="-47.428786643226033"/>
    <n v="1463.85"/>
    <n v="2.66"/>
    <n v="70"/>
    <m/>
    <n v="0"/>
    <s v="Trator 1.7m"/>
    <m/>
    <s v="Não"/>
    <s v="Não"/>
    <s v="Não"/>
    <s v="Não"/>
    <n v="1024.6949999999999"/>
    <n v="1024.6949999999999"/>
  </r>
  <r>
    <s v="VGSP-348_131,000_EN_CL1"/>
    <x v="0"/>
    <s v="131,000"/>
    <m/>
    <s v="131,500"/>
    <m/>
    <x v="0"/>
    <s v="N"/>
    <n v="-22.78502155524016"/>
    <n v="-47.428535462632397"/>
    <n v="1451.43"/>
    <n v="2.58"/>
    <n v="70"/>
    <m/>
    <n v="0"/>
    <s v="Trator 1.7m"/>
    <m/>
    <s v="Não"/>
    <s v="Não"/>
    <s v="Não"/>
    <s v="Não"/>
    <n v="1016.001"/>
    <n v="1016.001"/>
  </r>
  <r>
    <s v="VGSP-348_131,000_CC1"/>
    <x v="182"/>
    <s v="131,000"/>
    <m/>
    <s v="131,500"/>
    <n v="0.5"/>
    <x v="1"/>
    <s v="C"/>
    <n v="-22.78748295342665"/>
    <n v="-47.42478098050767"/>
    <n v="21882.75"/>
    <n v="1.47"/>
    <n v="80"/>
    <m/>
    <n v="0"/>
    <s v="Trator 1.7m"/>
    <m/>
    <s v="Não"/>
    <s v="Não"/>
    <s v="Não"/>
    <s v="Não"/>
    <n v="17506.2"/>
    <n v="17506.2"/>
  </r>
  <r>
    <s v="VGSP-330_131,000_CC1"/>
    <x v="181"/>
    <s v="131,000"/>
    <m/>
    <s v="131,500"/>
    <m/>
    <x v="1"/>
    <s v="C"/>
    <n v="-22.6766742815669"/>
    <n v="-47.310963412455848"/>
    <n v="3427.03"/>
    <n v="4.24"/>
    <n v="70"/>
    <m/>
    <n v="2398.9209999999998"/>
    <s v="Spider"/>
    <m/>
    <s v="Não"/>
    <s v="Sim"/>
    <s v="Não"/>
    <s v="Sim"/>
    <n v="0"/>
    <m/>
  </r>
  <r>
    <s v="VGSP-348_132,000_ES_CL2"/>
    <x v="0"/>
    <s v="132,000"/>
    <m/>
    <s v="132,500"/>
    <m/>
    <x v="0"/>
    <s v="S"/>
    <n v="-22.77967035035697"/>
    <n v="-47.438674824756369"/>
    <n v="2059.9499999999998"/>
    <n v="3.28"/>
    <n v="70"/>
    <m/>
    <n v="0"/>
    <s v="Trator 1.7m"/>
    <m/>
    <s v="Não"/>
    <s v="Não"/>
    <s v="Não"/>
    <s v="Não"/>
    <n v="1441.9649999999997"/>
    <n v="1441.9649999999997"/>
  </r>
  <r>
    <s v="VGSP-330_132,000_CC1"/>
    <x v="183"/>
    <s v="132,000"/>
    <m/>
    <s v="132,500"/>
    <m/>
    <x v="1"/>
    <s v="C"/>
    <n v="-22.66876307769958"/>
    <n v="-47.314828140811123"/>
    <n v="4405.24"/>
    <n v="2.5"/>
    <n v="70"/>
    <m/>
    <n v="3083.6679999999997"/>
    <s v="Spider"/>
    <m/>
    <s v="Não"/>
    <s v="Sim"/>
    <s v="Não"/>
    <s v="Sim"/>
    <n v="0"/>
    <m/>
  </r>
  <r>
    <s v="VGSP-330_132,000_CC2"/>
    <x v="183"/>
    <s v="132,000"/>
    <m/>
    <s v="132,500"/>
    <m/>
    <x v="1"/>
    <s v="C"/>
    <n v="-22.672699155918039"/>
    <n v="-47.312236051408611"/>
    <n v="4436.24"/>
    <n v="3.43"/>
    <n v="70"/>
    <m/>
    <n v="3105.3679999999995"/>
    <s v="Spider"/>
    <m/>
    <s v="Não"/>
    <s v="Sim"/>
    <s v="Não"/>
    <s v="Sim"/>
    <n v="0"/>
    <m/>
  </r>
  <r>
    <s v="VGSP-348_132,000_CC2"/>
    <x v="184"/>
    <s v="132,000"/>
    <m/>
    <s v="132,500"/>
    <n v="0.5"/>
    <x v="1"/>
    <s v="C"/>
    <n v="-22.781866569555991"/>
    <n v="-47.434471727464313"/>
    <n v="5909.37"/>
    <n v="3.82"/>
    <n v="80"/>
    <m/>
    <n v="0"/>
    <s v="Trator 1.7m"/>
    <m/>
    <s v="Não"/>
    <s v="Não"/>
    <s v="Não"/>
    <s v="Não"/>
    <n v="4727.4960000000001"/>
    <n v="4727.4960000000001"/>
  </r>
  <r>
    <s v="VGSP-330_132,000_ES_CL2"/>
    <x v="0"/>
    <s v="132,000"/>
    <m/>
    <s v="132,500"/>
    <m/>
    <x v="0"/>
    <s v="S"/>
    <n v="-22.66913045680591"/>
    <n v="-47.314336290531742"/>
    <n v="1567.37"/>
    <n v="3.18"/>
    <n v="50"/>
    <m/>
    <n v="0"/>
    <s v="Trator 1.7m"/>
    <m/>
    <s v="Não"/>
    <s v="Não"/>
    <s v="Não"/>
    <s v="Não"/>
    <n v="783.68499999999995"/>
    <n v="783.68499999999995"/>
  </r>
  <r>
    <s v="VGSP-330_132,000_ES_CL1"/>
    <x v="0"/>
    <s v="132,000"/>
    <m/>
    <s v="132,500"/>
    <m/>
    <x v="0"/>
    <s v="S"/>
    <n v="-22.672477179508491"/>
    <n v="-47.312123897544183"/>
    <n v="1958.84"/>
    <n v="3.26"/>
    <n v="50"/>
    <m/>
    <n v="0"/>
    <s v="Trator 1.7m"/>
    <m/>
    <s v="Não"/>
    <s v="Não"/>
    <s v="Não"/>
    <s v="Não"/>
    <n v="979.42"/>
    <n v="979.42"/>
  </r>
  <r>
    <s v="VGSP-348_132,000_EN_CL2"/>
    <x v="0"/>
    <s v="132,000"/>
    <m/>
    <s v="132,500"/>
    <m/>
    <x v="0"/>
    <s v="N"/>
    <n v="-22.779316144170679"/>
    <n v="-47.438459281645947"/>
    <n v="2059.0100000000002"/>
    <n v="3.44"/>
    <n v="70"/>
    <m/>
    <n v="0"/>
    <s v="Trator 1.7m"/>
    <m/>
    <s v="Não"/>
    <s v="Não"/>
    <s v="Não"/>
    <s v="Não"/>
    <n v="1441.307"/>
    <n v="1441.307"/>
  </r>
  <r>
    <s v="VGSP-348_132,000_CC1"/>
    <x v="184"/>
    <s v="132,000"/>
    <m/>
    <s v="132,500"/>
    <n v="0.5"/>
    <x v="1"/>
    <s v="C"/>
    <n v="-22.77952110231579"/>
    <n v="-47.438523824223743"/>
    <n v="6289.34"/>
    <n v="3.72"/>
    <n v="80"/>
    <m/>
    <n v="0"/>
    <s v="Trator 1.7m"/>
    <m/>
    <s v="Não"/>
    <s v="Não"/>
    <s v="Não"/>
    <s v="Não"/>
    <n v="5031.4720000000007"/>
    <n v="5031.4720000000007"/>
  </r>
  <r>
    <s v="VGSP-330_132,000_EN_CL2"/>
    <x v="0"/>
    <s v="132,000"/>
    <m/>
    <s v="132,500"/>
    <m/>
    <x v="0"/>
    <s v="N"/>
    <n v="-22.672785006539819"/>
    <n v="-47.312406276801511"/>
    <n v="1974.05"/>
    <n v="3.8"/>
    <n v="50"/>
    <m/>
    <n v="0"/>
    <s v="Trator 1.7m"/>
    <m/>
    <s v="Não"/>
    <s v="Não"/>
    <s v="Não"/>
    <s v="Não"/>
    <n v="987.02499999999998"/>
    <n v="987.02499999999998"/>
  </r>
  <r>
    <s v="VGSP-348_132,000_EN_CL1"/>
    <x v="0"/>
    <s v="132,000"/>
    <m/>
    <s v="132,500"/>
    <m/>
    <x v="0"/>
    <s v="N"/>
    <n v="-22.781727952139761"/>
    <n v="-47.434288578894432"/>
    <n v="1980.4"/>
    <n v="3.58"/>
    <n v="70"/>
    <m/>
    <n v="0"/>
    <s v="Trator 1.7m"/>
    <m/>
    <s v="Não"/>
    <s v="Não"/>
    <s v="Não"/>
    <s v="Não"/>
    <n v="1386.28"/>
    <n v="1386.28"/>
  </r>
  <r>
    <s v="VGSP-348_132,000_ES_CL1"/>
    <x v="0"/>
    <s v="132,000"/>
    <m/>
    <s v="132,500"/>
    <m/>
    <x v="0"/>
    <s v="S"/>
    <n v="-22.782090166551509"/>
    <n v="-47.434505139867539"/>
    <n v="1982.65"/>
    <n v="4.51"/>
    <n v="70"/>
    <m/>
    <n v="0"/>
    <s v="Trator 1.7m"/>
    <m/>
    <s v="Não"/>
    <s v="Não"/>
    <s v="Não"/>
    <s v="Não"/>
    <n v="1387.855"/>
    <n v="1387.855"/>
  </r>
  <r>
    <s v="VGSP-330_132,000_EN_CL1"/>
    <x v="0"/>
    <s v="132,000"/>
    <m/>
    <s v="132,500"/>
    <m/>
    <x v="0"/>
    <s v="N"/>
    <n v="-22.669652241172731"/>
    <n v="-47.314462804588238"/>
    <n v="1283.17"/>
    <n v="2.4"/>
    <n v="50"/>
    <m/>
    <n v="0"/>
    <s v="Trator 1.7m"/>
    <m/>
    <s v="Não"/>
    <s v="Não"/>
    <s v="Não"/>
    <s v="Não"/>
    <n v="641.58500000000004"/>
    <n v="641.58500000000004"/>
  </r>
  <r>
    <s v="VGSP-330_132,000_EN_CL3"/>
    <x v="0"/>
    <s v="132,000"/>
    <m/>
    <s v="132,500"/>
    <m/>
    <x v="0"/>
    <s v="N"/>
    <n v="-22.667619046645541"/>
    <n v="-47.315850824444183"/>
    <n v="760.19"/>
    <n v="1.81"/>
    <n v="50"/>
    <m/>
    <n v="0"/>
    <s v="Trator 1.7m"/>
    <m/>
    <s v="Não"/>
    <s v="Não"/>
    <s v="Não"/>
    <s v="Não"/>
    <n v="380.09500000000003"/>
    <n v="380.09500000000003"/>
  </r>
  <r>
    <s v="VGSP-330_133,000_CC1"/>
    <x v="185"/>
    <s v="133,000"/>
    <m/>
    <s v="133,500"/>
    <m/>
    <x v="1"/>
    <s v="C"/>
    <n v="-22.66504978683302"/>
    <n v="-47.317357713062073"/>
    <n v="4334.3599999999997"/>
    <n v="2.35"/>
    <n v="70"/>
    <m/>
    <n v="3034.0519999999997"/>
    <s v="Spider"/>
    <m/>
    <s v="Não"/>
    <s v="Sim"/>
    <s v="Não"/>
    <s v="Sim"/>
    <n v="0"/>
    <m/>
  </r>
  <r>
    <s v="VGSP-330_133,000_ES_CL4"/>
    <x v="0"/>
    <s v="133,000"/>
    <m/>
    <s v="133,500"/>
    <m/>
    <x v="0"/>
    <s v="S"/>
    <n v="-22.659553174664559"/>
    <n v="-47.320450625286263"/>
    <n v="39.450000000000003"/>
    <n v="3.98"/>
    <n v="50"/>
    <m/>
    <n v="0"/>
    <s v="Trator 1.7m"/>
    <m/>
    <s v="Não"/>
    <s v="Não"/>
    <s v="Não"/>
    <s v="Não"/>
    <n v="19.725000000000001"/>
    <n v="19.725000000000001"/>
  </r>
  <r>
    <s v="VGSP-348_133,000_EN_CL2"/>
    <x v="0"/>
    <s v="133,000"/>
    <m/>
    <s v="133,500"/>
    <m/>
    <x v="0"/>
    <s v="N"/>
    <n v="-22.773633008823172"/>
    <n v="-47.444769168690932"/>
    <n v="2008.59"/>
    <n v="1.68"/>
    <n v="70"/>
    <m/>
    <n v="0"/>
    <s v="Trator 1.7m"/>
    <m/>
    <s v="Não"/>
    <s v="Não"/>
    <s v="Não"/>
    <s v="Não"/>
    <n v="1406.0129999999999"/>
    <n v="1406.0129999999999"/>
  </r>
  <r>
    <s v="VGSP-330_133,000_CC2"/>
    <x v="185"/>
    <s v="133,000"/>
    <m/>
    <s v="133,500"/>
    <m/>
    <x v="1"/>
    <s v="C"/>
    <n v="-22.663107571466931"/>
    <n v="-47.318674568194112"/>
    <n v="334.06"/>
    <n v="2.31"/>
    <n v="0"/>
    <m/>
    <n v="0"/>
    <m/>
    <m/>
    <s v="Não"/>
    <s v="Não"/>
    <s v="Não"/>
    <s v="Não"/>
    <n v="0"/>
    <n v="0"/>
  </r>
  <r>
    <s v="VGSP-348_133,000_ES_CL3"/>
    <x v="0"/>
    <s v="133,000"/>
    <m/>
    <s v="133,500"/>
    <m/>
    <x v="0"/>
    <s v="S"/>
    <n v="-22.77173320306834"/>
    <n v="-47.445873679609292"/>
    <n v="74.099999999999994"/>
    <n v="2.48"/>
    <n v="0"/>
    <m/>
    <n v="0"/>
    <m/>
    <m/>
    <s v="Não"/>
    <s v="Não"/>
    <s v="Não"/>
    <s v="Não"/>
    <n v="0"/>
    <n v="0"/>
  </r>
  <r>
    <s v="VGSP-330_133,000_EN_CL2"/>
    <x v="0"/>
    <s v="133,000"/>
    <m/>
    <s v="133,500"/>
    <m/>
    <x v="0"/>
    <s v="N"/>
    <n v="-22.665118025524961"/>
    <n v="-47.317548663069459"/>
    <n v="1860.97"/>
    <n v="2.27"/>
    <n v="50"/>
    <m/>
    <n v="0"/>
    <s v="Trator 1.7m"/>
    <m/>
    <s v="Não"/>
    <s v="Não"/>
    <s v="Não"/>
    <s v="Não"/>
    <n v="930.48500000000001"/>
    <n v="930.48500000000001"/>
  </r>
  <r>
    <s v="VGSP-330_133,000_EN_CL1"/>
    <x v="0"/>
    <s v="133,000"/>
    <m/>
    <s v="133,500"/>
    <m/>
    <x v="0"/>
    <s v="N"/>
    <n v="-22.66124299205104"/>
    <n v="-47.320007963329083"/>
    <n v="2128.62"/>
    <n v="3.15"/>
    <n v="50"/>
    <m/>
    <n v="0"/>
    <s v="Trator 1.7m"/>
    <m/>
    <s v="Não"/>
    <s v="Não"/>
    <s v="Não"/>
    <s v="Não"/>
    <n v="1064.31"/>
    <n v="1064.31"/>
  </r>
  <r>
    <s v="VGSP-330_133,000_ES_CL2"/>
    <x v="0"/>
    <s v="133,000"/>
    <m/>
    <s v="133,500"/>
    <m/>
    <x v="0"/>
    <s v="S"/>
    <n v="-22.66138556488"/>
    <n v="-47.319467130517332"/>
    <n v="1832.83"/>
    <n v="3.38"/>
    <n v="50"/>
    <m/>
    <n v="0"/>
    <s v="Trator 1.7m"/>
    <m/>
    <s v="Não"/>
    <s v="Não"/>
    <s v="Não"/>
    <s v="Não"/>
    <n v="916.41499999999996"/>
    <n v="916.41499999999996"/>
  </r>
  <r>
    <s v="VGSP-348_133,000_ES_CL2"/>
    <x v="0"/>
    <s v="133,000"/>
    <m/>
    <s v="133,500"/>
    <m/>
    <x v="0"/>
    <s v="S"/>
    <n v="-22.773754829207022"/>
    <n v="-47.445229167302116"/>
    <n v="2071.63"/>
    <n v="1.92"/>
    <n v="70"/>
    <m/>
    <n v="0"/>
    <s v="Trator 1.7m"/>
    <m/>
    <s v="Não"/>
    <s v="Não"/>
    <s v="Não"/>
    <s v="Não"/>
    <n v="1450.1410000000001"/>
    <n v="1450.1410000000001"/>
  </r>
  <r>
    <s v="VGSP-348_133,000_EN_CL1"/>
    <x v="0"/>
    <s v="133,000"/>
    <m/>
    <s v="133,500"/>
    <m/>
    <x v="0"/>
    <s v="N"/>
    <n v="-22.77694769143698"/>
    <n v="-47.442204279064264"/>
    <n v="1676.32"/>
    <n v="3.34"/>
    <n v="70"/>
    <m/>
    <n v="0"/>
    <s v="Trator 1.7m"/>
    <m/>
    <s v="Não"/>
    <s v="Não"/>
    <s v="Não"/>
    <s v="Não"/>
    <n v="1173.424"/>
    <n v="1173.424"/>
  </r>
  <r>
    <s v="VGSP-348_133,000_ES_CL1"/>
    <x v="0"/>
    <s v="133,000"/>
    <m/>
    <s v="133,500"/>
    <m/>
    <x v="0"/>
    <s v="S"/>
    <n v="-22.777221024830151"/>
    <n v="-47.442520876760348"/>
    <n v="1785.72"/>
    <n v="2.4700000000000002"/>
    <n v="70"/>
    <m/>
    <n v="0"/>
    <s v="Trator 1.7m"/>
    <m/>
    <s v="Não"/>
    <s v="Não"/>
    <s v="Não"/>
    <s v="Não"/>
    <n v="1250.0039999999999"/>
    <n v="1250.0039999999999"/>
  </r>
  <r>
    <s v="VGSP-330_133,000_ES_CL1"/>
    <x v="0"/>
    <s v="133,000"/>
    <m/>
    <s v="133,500"/>
    <m/>
    <x v="0"/>
    <s v="S"/>
    <n v="-22.6633625861895"/>
    <n v="-47.318238913784697"/>
    <n v="315.42"/>
    <n v="2.82"/>
    <n v="50"/>
    <m/>
    <n v="0"/>
    <s v="Trator 1.7m"/>
    <m/>
    <s v="Não"/>
    <s v="Não"/>
    <s v="Não"/>
    <s v="Não"/>
    <n v="157.71"/>
    <n v="157.71"/>
  </r>
  <r>
    <s v="VGSP-348_133,000_CC2"/>
    <x v="186"/>
    <s v="133,000"/>
    <m/>
    <s v="133,500"/>
    <n v="0.5"/>
    <x v="1"/>
    <s v="C"/>
    <n v="-22.77705939883916"/>
    <n v="-47.442392530517068"/>
    <n v="4724.4399999999996"/>
    <n v="3.01"/>
    <n v="80"/>
    <m/>
    <n v="0"/>
    <s v="Trator 1.7m"/>
    <m/>
    <s v="Não"/>
    <s v="Não"/>
    <s v="Não"/>
    <s v="Não"/>
    <n v="3779.5519999999997"/>
    <n v="3779.5519999999997"/>
  </r>
  <r>
    <s v="VGSP-330_133,000_ES_CL3"/>
    <x v="0"/>
    <s v="133,000"/>
    <m/>
    <s v="133,500"/>
    <m/>
    <x v="0"/>
    <s v="S"/>
    <n v="-22.66336290684233"/>
    <n v="-47.318280804347083"/>
    <n v="190.9"/>
    <n v="2.82"/>
    <m/>
    <m/>
    <n v="0"/>
    <m/>
    <m/>
    <s v="Não"/>
    <s v="Não"/>
    <s v="Não"/>
    <s v="Não"/>
    <n v="0"/>
    <n v="0"/>
  </r>
  <r>
    <s v="VGSP-348_133,000_CC1"/>
    <x v="186"/>
    <s v="133,000"/>
    <m/>
    <s v="133,500"/>
    <n v="0.5"/>
    <x v="1"/>
    <s v="C"/>
    <n v="-22.77365090011418"/>
    <n v="-47.445002651219554"/>
    <n v="5383.65"/>
    <n v="1.75"/>
    <n v="80"/>
    <m/>
    <n v="0"/>
    <s v="Trator 1.7m"/>
    <m/>
    <s v="Não"/>
    <s v="Não"/>
    <s v="Não"/>
    <s v="Não"/>
    <n v="4306.92"/>
    <n v="4306.92"/>
  </r>
  <r>
    <s v="VGSP-330_133,000_ES_CL5"/>
    <x v="0"/>
    <s v="133,000"/>
    <m/>
    <s v="133,500"/>
    <m/>
    <x v="0"/>
    <s v="S"/>
    <n v="-22.65926468195504"/>
    <n v="-47.32062843510942"/>
    <n v="340.99"/>
    <n v="2.86"/>
    <n v="50"/>
    <m/>
    <n v="0"/>
    <s v="Trator 1.7m"/>
    <m/>
    <s v="Não"/>
    <s v="Não"/>
    <s v="Não"/>
    <s v="Não"/>
    <n v="170.495"/>
    <n v="170.495"/>
  </r>
  <r>
    <s v="VGSP-348_134,000_ES_CL7"/>
    <x v="0"/>
    <s v="134,000"/>
    <m/>
    <s v="134,500"/>
    <m/>
    <x v="0"/>
    <s v="S"/>
    <n v="-22.76529754269669"/>
    <n v="-47.447580741891713"/>
    <n v="7813.23"/>
    <n v="3.08"/>
    <n v="70"/>
    <m/>
    <n v="0"/>
    <s v="Trator 1.7m"/>
    <m/>
    <s v="Não"/>
    <s v="Não"/>
    <s v="Não"/>
    <s v="Não"/>
    <n v="5469.2609999999995"/>
    <n v="5469.2609999999995"/>
  </r>
  <r>
    <s v="VGSP-348_134,000_ES_CL11"/>
    <x v="0"/>
    <s v="134,000"/>
    <m/>
    <s v="134,500"/>
    <m/>
    <x v="0"/>
    <s v="S"/>
    <n v="-22.764190615822461"/>
    <n v="-47.446590684575213"/>
    <n v="21072.47"/>
    <n v="5.24"/>
    <n v="70"/>
    <m/>
    <n v="0"/>
    <s v="Trator 1.7m"/>
    <m/>
    <s v="Não"/>
    <s v="Não"/>
    <s v="Não"/>
    <s v="Não"/>
    <n v="14750.728999999999"/>
    <n v="14750.728999999999"/>
  </r>
  <r>
    <s v="VGSP-348_134,000_EN_CL7"/>
    <x v="0"/>
    <s v="134,000"/>
    <m/>
    <s v="134,500"/>
    <m/>
    <x v="0"/>
    <s v="N"/>
    <n v="-22.764525353896079"/>
    <n v="-47.443847873567577"/>
    <n v="18601.78"/>
    <n v="2.76"/>
    <n v="70"/>
    <m/>
    <n v="0"/>
    <s v="Trator 1.7m"/>
    <m/>
    <s v="Não"/>
    <s v="Não"/>
    <s v="Não"/>
    <s v="Não"/>
    <n v="13021.245999999999"/>
    <n v="13021.245999999999"/>
  </r>
  <r>
    <s v="VGSP-348_134,000_ES_CL10"/>
    <x v="0"/>
    <s v="134,000"/>
    <m/>
    <s v="134,500"/>
    <m/>
    <x v="0"/>
    <s v="S"/>
    <n v="-22.76468491601301"/>
    <n v="-47.448027652778258"/>
    <n v="2811.41"/>
    <n v="4.22"/>
    <n v="70"/>
    <m/>
    <n v="0"/>
    <s v="Trator 1.7m"/>
    <m/>
    <s v="Não"/>
    <s v="Não"/>
    <s v="Não"/>
    <s v="Não"/>
    <n v="1967.9869999999999"/>
    <n v="1967.9869999999999"/>
  </r>
  <r>
    <s v="VGSP-348_134,000_ES_CL8"/>
    <x v="0"/>
    <s v="134,000"/>
    <m/>
    <s v="134,500"/>
    <m/>
    <x v="0"/>
    <s v="S"/>
    <n v="-22.765884446865758"/>
    <n v="-47.446666470099657"/>
    <n v="15759.08"/>
    <n v="3.51"/>
    <n v="70"/>
    <m/>
    <n v="0"/>
    <s v="Trator 1.7m"/>
    <m/>
    <s v="Não"/>
    <s v="Não"/>
    <s v="Não"/>
    <s v="Não"/>
    <n v="11031.356"/>
    <n v="11031.356"/>
  </r>
  <r>
    <s v="VGSP-348_134,000_ES_CL9"/>
    <x v="0"/>
    <s v="134,000"/>
    <m/>
    <s v="134,500"/>
    <m/>
    <x v="0"/>
    <s v="S"/>
    <n v="-22.766659293786731"/>
    <n v="-47.446665590099222"/>
    <n v="5324.64"/>
    <n v="3.6"/>
    <n v="70"/>
    <m/>
    <n v="0"/>
    <s v="Trator 1.7m"/>
    <m/>
    <s v="Não"/>
    <s v="Não"/>
    <s v="Não"/>
    <s v="Não"/>
    <n v="3727.248"/>
    <n v="3727.248"/>
  </r>
  <r>
    <s v="VGSP-348_134,000_ES_CL14"/>
    <x v="0"/>
    <s v="134,000"/>
    <m/>
    <s v="134,500"/>
    <m/>
    <x v="0"/>
    <s v="S"/>
    <n v="-22.76317881793193"/>
    <n v="-47.447355011416313"/>
    <n v="2373.58"/>
    <n v="5.13"/>
    <n v="70"/>
    <m/>
    <n v="0"/>
    <s v="Trator 1.7m"/>
    <m/>
    <s v="Não"/>
    <s v="Não"/>
    <s v="Não"/>
    <s v="Não"/>
    <n v="1661.5059999999999"/>
    <n v="1661.5059999999999"/>
  </r>
  <r>
    <s v="VGSP-348_134,000_ES_CL6"/>
    <x v="0"/>
    <s v="134,000"/>
    <m/>
    <s v="134,500"/>
    <m/>
    <x v="0"/>
    <s v="S"/>
    <n v="-22.76735671032684"/>
    <n v="-47.446484181153252"/>
    <n v="9040.32"/>
    <n v="3.18"/>
    <n v="70"/>
    <m/>
    <n v="0"/>
    <s v="Trator 1.7m"/>
    <m/>
    <s v="Não"/>
    <s v="Não"/>
    <s v="Não"/>
    <s v="Não"/>
    <n v="6328.2239999999993"/>
    <n v="6328.2239999999993"/>
  </r>
  <r>
    <s v="VGSP-330_134,000_ES_CL3"/>
    <x v="0"/>
    <s v="134,000"/>
    <m/>
    <s v="134,500"/>
    <m/>
    <x v="0"/>
    <s v="S"/>
    <n v="-22.654407822308109"/>
    <n v="-47.32311484225221"/>
    <n v="336.62"/>
    <n v="2.52"/>
    <n v="50"/>
    <m/>
    <n v="0"/>
    <s v="Trator 1.7m"/>
    <m/>
    <s v="Não"/>
    <s v="Não"/>
    <s v="Não"/>
    <s v="Não"/>
    <n v="168.31"/>
    <n v="168.31"/>
  </r>
  <r>
    <s v="VGSP-330_134,000_ES_CL4"/>
    <x v="0"/>
    <s v="134,000"/>
    <m/>
    <s v="134,500"/>
    <m/>
    <x v="0"/>
    <s v="S"/>
    <n v="-22.653651737658691"/>
    <n v="-47.323459815762817"/>
    <n v="2113.64"/>
    <n v="2.5499999999999998"/>
    <n v="50"/>
    <m/>
    <n v="0"/>
    <s v="Trator 1.7m"/>
    <m/>
    <s v="Não"/>
    <s v="Não"/>
    <s v="Não"/>
    <s v="Não"/>
    <n v="1056.82"/>
    <n v="1056.82"/>
  </r>
  <r>
    <s v="VGSP-348_134,000_ES_CL3"/>
    <x v="0"/>
    <s v="134,000"/>
    <m/>
    <s v="134,500"/>
    <m/>
    <x v="0"/>
    <s v="S"/>
    <n v="-22.765786367658681"/>
    <n v="-47.447778531624401"/>
    <n v="534.24"/>
    <n v="4.6399999999999997"/>
    <n v="70"/>
    <m/>
    <n v="0"/>
    <s v="Trator 1.7m"/>
    <m/>
    <s v="Não"/>
    <s v="Não"/>
    <s v="Não"/>
    <s v="Não"/>
    <n v="373.96799999999996"/>
    <n v="373.96799999999996"/>
  </r>
  <r>
    <s v="VGSP-330_134,000_ES_CL5"/>
    <x v="0"/>
    <s v="134,000"/>
    <m/>
    <s v="134,500"/>
    <m/>
    <x v="0"/>
    <s v="S"/>
    <n v="-22.652820506165991"/>
    <n v="-47.323823176991937"/>
    <n v="326.7"/>
    <n v="5.52"/>
    <n v="50"/>
    <m/>
    <n v="0"/>
    <s v="Trator 1.7m"/>
    <m/>
    <s v="Não"/>
    <s v="Não"/>
    <s v="Não"/>
    <s v="Não"/>
    <n v="163.35"/>
    <n v="163.35"/>
  </r>
  <r>
    <s v="VGSP-348_134,000_EN_CL3"/>
    <x v="0"/>
    <s v="134,000"/>
    <m/>
    <s v="134,500"/>
    <m/>
    <x v="0"/>
    <s v="N"/>
    <n v="-22.767622619705332"/>
    <n v="-47.444942313826417"/>
    <n v="7241.5"/>
    <n v="2.89"/>
    <n v="70"/>
    <m/>
    <n v="0"/>
    <s v="Trator 1.7m"/>
    <m/>
    <s v="Não"/>
    <s v="Não"/>
    <s v="Não"/>
    <s v="Não"/>
    <n v="5069.0499999999993"/>
    <n v="5069.0499999999993"/>
  </r>
  <r>
    <s v="VGSP-348_134,000_ES_CL12"/>
    <x v="0"/>
    <s v="134,000"/>
    <m/>
    <s v="134,500"/>
    <m/>
    <x v="0"/>
    <s v="S"/>
    <n v="-22.763655650733511"/>
    <n v="-47.446977244953949"/>
    <n v="13608.44"/>
    <n v="4.3899999999999997"/>
    <n v="70"/>
    <m/>
    <n v="0"/>
    <s v="Trator 1.7m"/>
    <m/>
    <s v="Não"/>
    <s v="Não"/>
    <s v="Não"/>
    <s v="Não"/>
    <n v="9525.9079999999994"/>
    <n v="9525.9079999999994"/>
  </r>
  <r>
    <s v="VGSP-348_134,000_ES_CL2"/>
    <x v="0"/>
    <s v="134,000"/>
    <m/>
    <s v="134,500"/>
    <m/>
    <x v="0"/>
    <s v="S"/>
    <n v="-22.768869151779828"/>
    <n v="-47.446526284992643"/>
    <n v="2462.8000000000002"/>
    <n v="2.8"/>
    <n v="70"/>
    <m/>
    <n v="0"/>
    <s v="Trator 1.7m"/>
    <m/>
    <s v="Não"/>
    <s v="Não"/>
    <s v="Não"/>
    <s v="Não"/>
    <n v="1723.96"/>
    <n v="1723.96"/>
  </r>
  <r>
    <s v="VGSP-330_134,000_ES_CL1"/>
    <x v="0"/>
    <s v="134,000"/>
    <m/>
    <s v="134,500"/>
    <m/>
    <x v="0"/>
    <s v="S"/>
    <n v="-22.65759301028174"/>
    <n v="-47.321512176746033"/>
    <n v="1319.13"/>
    <n v="3.6"/>
    <n v="50"/>
    <m/>
    <n v="0"/>
    <s v="Trator 1.7m"/>
    <m/>
    <s v="Não"/>
    <s v="Não"/>
    <s v="Não"/>
    <s v="Não"/>
    <n v="659.56500000000005"/>
    <n v="659.56500000000005"/>
  </r>
  <r>
    <s v="VGSP-330_134,000_EN_CL3"/>
    <x v="0"/>
    <s v="134,000"/>
    <m/>
    <s v="134,500"/>
    <m/>
    <x v="0"/>
    <s v="N"/>
    <n v="-22.65589542809095"/>
    <n v="-47.322810799564728"/>
    <n v="966.21"/>
    <n v="2.74"/>
    <n v="70"/>
    <m/>
    <n v="676.34699999999998"/>
    <s v="Trator com braço articulado"/>
    <m/>
    <s v="Não"/>
    <s v="Sim"/>
    <s v="Não"/>
    <s v="Sim"/>
    <n v="0"/>
    <m/>
  </r>
  <r>
    <s v="VGSP-348_134,000_CC1"/>
    <x v="187"/>
    <s v="134,000"/>
    <m/>
    <s v="134,500"/>
    <n v="0.5"/>
    <x v="1"/>
    <s v="C"/>
    <n v="-22.769004147191911"/>
    <n v="-47.445776542101761"/>
    <n v="5704.64"/>
    <n v="2.66"/>
    <n v="80"/>
    <m/>
    <n v="0"/>
    <s v="Trator 1.7m"/>
    <m/>
    <s v="Não"/>
    <s v="Não"/>
    <s v="Não"/>
    <s v="Não"/>
    <n v="4563.7120000000004"/>
    <n v="4563.7120000000004"/>
  </r>
  <r>
    <s v="VGSP-330_134,000_EN_CL1"/>
    <x v="0"/>
    <s v="134,000"/>
    <m/>
    <s v="134,500"/>
    <m/>
    <x v="0"/>
    <s v="N"/>
    <n v="-22.657978885453691"/>
    <n v="-47.321727281176798"/>
    <n v="1091.56"/>
    <n v="2.79"/>
    <n v="50"/>
    <m/>
    <n v="0"/>
    <s v="Trator 1.7m"/>
    <m/>
    <s v="Não"/>
    <s v="Não"/>
    <s v="Não"/>
    <s v="Não"/>
    <n v="545.78"/>
    <n v="545.78"/>
  </r>
  <r>
    <s v="VGSP-330_134,000_ES_CL2"/>
    <x v="0"/>
    <s v="134,000"/>
    <m/>
    <s v="134,500"/>
    <m/>
    <x v="0"/>
    <s v="S"/>
    <n v="-22.655579808533538"/>
    <n v="-47.322564568479827"/>
    <n v="814.51"/>
    <n v="3.44"/>
    <n v="50"/>
    <m/>
    <n v="0"/>
    <s v="Trator 1.7m"/>
    <m/>
    <s v="Não"/>
    <s v="Não"/>
    <s v="Não"/>
    <s v="Não"/>
    <n v="407.255"/>
    <n v="407.255"/>
  </r>
  <r>
    <s v="VGSP-330_134,000_EN_CL2"/>
    <x v="0"/>
    <s v="134,000"/>
    <m/>
    <s v="134,500"/>
    <m/>
    <x v="0"/>
    <s v="N"/>
    <n v="-22.65367063060166"/>
    <n v="-47.323927805960608"/>
    <n v="1209.81"/>
    <n v="3.54"/>
    <n v="70"/>
    <m/>
    <n v="846.86699999999996"/>
    <s v="Trator com braço articulado"/>
    <m/>
    <s v="Não"/>
    <s v="Sim"/>
    <s v="Não"/>
    <s v="Sim"/>
    <n v="0"/>
    <m/>
  </r>
  <r>
    <s v="VGSP-348_134,000_EN_CL2"/>
    <x v="0"/>
    <s v="134,000"/>
    <m/>
    <s v="134,500"/>
    <m/>
    <x v="0"/>
    <s v="N"/>
    <n v="-22.76665692267402"/>
    <n v="-47.442331457450223"/>
    <n v="1141.19"/>
    <n v="3.7"/>
    <n v="70"/>
    <m/>
    <n v="0"/>
    <s v="Trator 1.7m"/>
    <m/>
    <s v="Não"/>
    <s v="Não"/>
    <s v="Não"/>
    <s v="Não"/>
    <n v="798.83299999999997"/>
    <n v="798.83299999999997"/>
  </r>
  <r>
    <s v="VGSP-330_134,000_ES_CL6"/>
    <x v="0"/>
    <s v="134,000"/>
    <m/>
    <s v="134,500"/>
    <m/>
    <x v="0"/>
    <s v="S"/>
    <n v="-22.651312591303679"/>
    <n v="-47.324508877394642"/>
    <n v="1121.9100000000001"/>
    <n v="4.67"/>
    <n v="50"/>
    <m/>
    <n v="0"/>
    <s v="Trator 1.7m"/>
    <m/>
    <s v="Não"/>
    <s v="Não"/>
    <s v="Não"/>
    <s v="Não"/>
    <n v="560.95500000000004"/>
    <n v="560.95500000000004"/>
  </r>
  <r>
    <s v="VGSP-330_134,000_EN_CL5"/>
    <x v="0"/>
    <s v="134,000"/>
    <m/>
    <s v="134,500"/>
    <m/>
    <x v="0"/>
    <s v="N"/>
    <n v="-22.650731439513809"/>
    <n v="-47.32514523744733"/>
    <n v="444.44"/>
    <n v="4.8"/>
    <n v="50"/>
    <m/>
    <n v="0"/>
    <s v="Trator 1.7m"/>
    <m/>
    <s v="Não"/>
    <s v="Não"/>
    <s v="Não"/>
    <s v="Não"/>
    <n v="222.22"/>
    <n v="222.22"/>
  </r>
  <r>
    <s v="VGSP-348_134,000_CC3"/>
    <x v="187"/>
    <s v="134,000"/>
    <m/>
    <s v="134,500"/>
    <n v="0.5"/>
    <x v="1"/>
    <s v="C"/>
    <n v="-22.763169858849569"/>
    <n v="-47.44557911528139"/>
    <n v="5360.76"/>
    <n v="4.13"/>
    <n v="80"/>
    <m/>
    <n v="0"/>
    <s v="Trator 1.7m"/>
    <m/>
    <s v="Não"/>
    <s v="Não"/>
    <s v="Não"/>
    <s v="Não"/>
    <n v="4288.6080000000002"/>
    <n v="4288.6080000000002"/>
  </r>
  <r>
    <s v="VGSP-348_134,000_EN_CL10"/>
    <x v="0"/>
    <s v="134,000"/>
    <m/>
    <s v="134,500"/>
    <m/>
    <x v="0"/>
    <s v="N"/>
    <n v="-22.766944199494439"/>
    <n v="-47.444784715522253"/>
    <n v="8778.98"/>
    <n v="4.1500000000000004"/>
    <n v="70"/>
    <m/>
    <n v="0"/>
    <s v="Trator 1.7m"/>
    <m/>
    <s v="Não"/>
    <s v="Não"/>
    <s v="Não"/>
    <s v="Não"/>
    <n v="6145.2859999999991"/>
    <n v="6145.2859999999991"/>
  </r>
  <r>
    <s v="VGSP-348_134,000_ES_CL4"/>
    <x v="0"/>
    <s v="134,000"/>
    <m/>
    <s v="134,500"/>
    <m/>
    <x v="0"/>
    <s v="S"/>
    <n v="-22.768720369763429"/>
    <n v="-47.445975786268939"/>
    <n v="4125.42"/>
    <n v="2.63"/>
    <n v="70"/>
    <m/>
    <n v="0"/>
    <s v="Trator 1.7m"/>
    <m/>
    <s v="Não"/>
    <s v="Não"/>
    <s v="Não"/>
    <s v="Não"/>
    <n v="2887.7939999999999"/>
    <n v="2887.7939999999999"/>
  </r>
  <r>
    <s v="VGSP-348_134,000_ES_CL1"/>
    <x v="0"/>
    <s v="134,000"/>
    <m/>
    <s v="134,500"/>
    <m/>
    <x v="0"/>
    <s v="S"/>
    <n v="-22.766034067906201"/>
    <n v="-47.445684869120711"/>
    <n v="1199.9000000000001"/>
    <n v="1.52"/>
    <n v="80"/>
    <m/>
    <n v="0"/>
    <s v="Trator 1.7m"/>
    <m/>
    <s v="Não"/>
    <s v="Não"/>
    <s v="Não"/>
    <s v="Não"/>
    <n v="959.92000000000007"/>
    <n v="959.92000000000007"/>
  </r>
  <r>
    <s v="VGSP-330_134,000_EN_CL4"/>
    <x v="0"/>
    <s v="134,000"/>
    <m/>
    <s v="134,500"/>
    <m/>
    <x v="0"/>
    <s v="N"/>
    <n v="-22.65188048734322"/>
    <n v="-47.324732932532427"/>
    <n v="605.08000000000004"/>
    <n v="5.38"/>
    <n v="50"/>
    <m/>
    <n v="0"/>
    <s v="Trator 1.7m"/>
    <m/>
    <s v="Não"/>
    <s v="Não"/>
    <s v="Não"/>
    <s v="Não"/>
    <n v="302.54000000000002"/>
    <n v="302.54000000000002"/>
  </r>
  <r>
    <s v="VGSP-348_134,000_ES_CL5"/>
    <x v="0"/>
    <s v="134,000"/>
    <m/>
    <s v="134,500"/>
    <m/>
    <x v="0"/>
    <s v="S"/>
    <n v="-22.76602480119778"/>
    <n v="-47.445883556499282"/>
    <n v="808.16"/>
    <n v="1.43"/>
    <n v="70"/>
    <m/>
    <n v="0"/>
    <s v="Trator 1.7m"/>
    <m/>
    <s v="Não"/>
    <s v="Não"/>
    <s v="Não"/>
    <s v="Não"/>
    <n v="565.71199999999999"/>
    <n v="565.71199999999999"/>
  </r>
  <r>
    <s v="VGSP-348_134,000_EN_CL5"/>
    <x v="0"/>
    <s v="134,000"/>
    <m/>
    <s v="134,500"/>
    <m/>
    <x v="0"/>
    <s v="N"/>
    <n v="-22.766126433731898"/>
    <n v="-47.443174162675312"/>
    <n v="2761.3"/>
    <n v="2.2599999999999998"/>
    <n v="70"/>
    <m/>
    <n v="0"/>
    <s v="Trator 1.7m"/>
    <m/>
    <s v="Não"/>
    <s v="Não"/>
    <s v="Não"/>
    <s v="Não"/>
    <n v="1932.91"/>
    <n v="1932.91"/>
  </r>
  <r>
    <s v="VGSP-348_134,000_EN_CL4"/>
    <x v="0"/>
    <s v="134,000"/>
    <m/>
    <s v="134,500"/>
    <m/>
    <x v="0"/>
    <s v="N"/>
    <n v="-22.766334648515979"/>
    <n v="-47.443646485860313"/>
    <n v="5302.26"/>
    <n v="3.8"/>
    <n v="70"/>
    <m/>
    <n v="0"/>
    <s v="Trator 1.7m"/>
    <m/>
    <s v="Não"/>
    <s v="Não"/>
    <s v="Não"/>
    <s v="Não"/>
    <n v="3711.5819999999999"/>
    <n v="3711.5819999999999"/>
  </r>
  <r>
    <s v="VGSP-348_134,000_CC2"/>
    <x v="187"/>
    <s v="134,000"/>
    <m/>
    <s v="134,500"/>
    <n v="0.5"/>
    <x v="1"/>
    <s v="C"/>
    <n v="-22.763204252011239"/>
    <n v="-47.445380102256593"/>
    <n v="3956.93"/>
    <n v="3.34"/>
    <n v="70"/>
    <m/>
    <n v="0"/>
    <s v="Trator 1.7m"/>
    <m/>
    <s v="Não"/>
    <s v="Não"/>
    <s v="Não"/>
    <s v="Não"/>
    <n v="2769.8509999999997"/>
    <n v="2769.8509999999997"/>
  </r>
  <r>
    <s v="VGSP-348_134,000_EN_CL1"/>
    <x v="0"/>
    <s v="134,000"/>
    <m/>
    <s v="134,500"/>
    <m/>
    <x v="0"/>
    <s v="N"/>
    <n v="-22.768930151010149"/>
    <n v="-47.445021772182947"/>
    <n v="2375.8200000000002"/>
    <n v="2.39"/>
    <n v="70"/>
    <m/>
    <n v="0"/>
    <s v="Trator 1.7m"/>
    <m/>
    <s v="Não"/>
    <s v="Não"/>
    <s v="Não"/>
    <s v="Não"/>
    <n v="1663.0740000000001"/>
    <n v="1663.0740000000001"/>
  </r>
  <r>
    <s v="VGSP-348_134,000_ES_CL13"/>
    <x v="0"/>
    <s v="134,000"/>
    <m/>
    <s v="134,500"/>
    <m/>
    <x v="0"/>
    <s v="S"/>
    <n v="-22.76312197117954"/>
    <n v="-47.445780598285488"/>
    <n v="3826.44"/>
    <n v="5.08"/>
    <n v="70"/>
    <m/>
    <n v="0"/>
    <s v="Trator 1.7m"/>
    <m/>
    <s v="Não"/>
    <s v="Não"/>
    <s v="Não"/>
    <s v="Não"/>
    <n v="2678.5079999999998"/>
    <n v="2678.5079999999998"/>
  </r>
  <r>
    <s v="VGSP-348_134,000_EN_CL8"/>
    <x v="0"/>
    <s v="134,000"/>
    <m/>
    <s v="134,500"/>
    <m/>
    <x v="0"/>
    <s v="N"/>
    <n v="-22.768530557672712"/>
    <n v="-47.445576197805927"/>
    <n v="3205.9"/>
    <n v="2.41"/>
    <n v="70"/>
    <m/>
    <n v="0"/>
    <s v="Trator 1.7m"/>
    <m/>
    <s v="Não"/>
    <s v="Não"/>
    <s v="Não"/>
    <s v="Não"/>
    <n v="2244.13"/>
    <n v="2244.13"/>
  </r>
  <r>
    <s v="VGSP-348_134,000_EN_CL9"/>
    <x v="0"/>
    <s v="134,000"/>
    <m/>
    <s v="134,500"/>
    <m/>
    <x v="0"/>
    <s v="N"/>
    <n v="-22.766066910391292"/>
    <n v="-47.445487903026979"/>
    <n v="721.98"/>
    <n v="2.2599999999999998"/>
    <n v="70"/>
    <m/>
    <n v="0"/>
    <s v="Trator 1.7m"/>
    <m/>
    <s v="Não"/>
    <s v="Não"/>
    <s v="Não"/>
    <s v="Não"/>
    <n v="505.38599999999997"/>
    <n v="505.38599999999997"/>
  </r>
  <r>
    <s v="VGSP-348_134,000_EN_CL12"/>
    <x v="0"/>
    <s v="134,000"/>
    <m/>
    <s v="134,500"/>
    <m/>
    <x v="0"/>
    <s v="N"/>
    <n v="-22.764195511309062"/>
    <n v="-47.44343652999838"/>
    <n v="3229.84"/>
    <n v="2.77"/>
    <n v="70"/>
    <m/>
    <n v="0"/>
    <s v="Trator 1.7m"/>
    <m/>
    <s v="Não"/>
    <s v="Não"/>
    <s v="Não"/>
    <s v="Não"/>
    <n v="2260.8879999999999"/>
    <n v="2260.8879999999999"/>
  </r>
  <r>
    <s v="VGSP-348_134,000_EN_CL11"/>
    <x v="0"/>
    <s v="134,000"/>
    <m/>
    <s v="134,500"/>
    <m/>
    <x v="0"/>
    <s v="N"/>
    <n v="-22.76622255623964"/>
    <n v="-47.444764342169648"/>
    <n v="10568.59"/>
    <n v="3.63"/>
    <n v="70"/>
    <m/>
    <n v="0"/>
    <s v="Trator 1.7m"/>
    <m/>
    <s v="Não"/>
    <s v="Não"/>
    <s v="Não"/>
    <s v="Não"/>
    <n v="7398.0129999999999"/>
    <n v="7398.0129999999999"/>
  </r>
  <r>
    <s v="VGSP-348_134,000_EN_CL6"/>
    <x v="0"/>
    <s v="134,000"/>
    <m/>
    <s v="134,500"/>
    <m/>
    <x v="0"/>
    <s v="N"/>
    <n v="-22.764619519811429"/>
    <n v="-47.444346665152047"/>
    <n v="35848.61"/>
    <n v="3.02"/>
    <n v="70"/>
    <m/>
    <n v="0"/>
    <s v="Trator 1.7m"/>
    <m/>
    <s v="Não"/>
    <s v="Não"/>
    <s v="Não"/>
    <s v="Não"/>
    <n v="25094.026999999998"/>
    <n v="25094.026999999998"/>
  </r>
  <r>
    <s v="VGSP-330_135,000_EN_CL1"/>
    <x v="0"/>
    <s v="135,000"/>
    <m/>
    <s v="135,500"/>
    <m/>
    <x v="0"/>
    <s v="N"/>
    <n v="-22.649373322596979"/>
    <n v="-47.325693167788472"/>
    <n v="892.56"/>
    <n v="5.6"/>
    <n v="50"/>
    <m/>
    <n v="0"/>
    <s v="Trator 1.7m"/>
    <m/>
    <s v="Não"/>
    <s v="Não"/>
    <s v="Não"/>
    <s v="Não"/>
    <n v="446.28"/>
    <n v="446.28"/>
  </r>
  <r>
    <s v="VGSP-330_135,000_EN_CL3"/>
    <x v="0"/>
    <s v="135,000"/>
    <m/>
    <s v="135,500"/>
    <m/>
    <x v="0"/>
    <s v="N"/>
    <n v="-22.644349969065459"/>
    <n v="-47.327353462805704"/>
    <n v="2001.92"/>
    <n v="3.96"/>
    <n v="50"/>
    <m/>
    <n v="0"/>
    <s v="Trator 1.7m"/>
    <m/>
    <s v="Não"/>
    <s v="Não"/>
    <s v="Não"/>
    <s v="Não"/>
    <n v="1000.96"/>
    <n v="1000.96"/>
  </r>
  <r>
    <s v="VGSP-348_135,000_ES_CL3"/>
    <x v="0"/>
    <s v="135,000"/>
    <m/>
    <s v="135,500"/>
    <m/>
    <x v="0"/>
    <s v="S"/>
    <n v="-22.75525302944785"/>
    <n v="-47.445465212449882"/>
    <n v="2061.44"/>
    <n v="3.73"/>
    <n v="70"/>
    <m/>
    <n v="0"/>
    <s v="Trator 1.7m"/>
    <m/>
    <s v="Não"/>
    <s v="Não"/>
    <s v="Não"/>
    <s v="Não"/>
    <n v="1443.008"/>
    <n v="1443.008"/>
  </r>
  <r>
    <s v="VGSP-348_135,000_EN_CL3"/>
    <x v="0"/>
    <s v="135,000"/>
    <m/>
    <s v="135,500"/>
    <m/>
    <x v="0"/>
    <s v="N"/>
    <n v="-22.759542371253279"/>
    <n v="-47.445116940471777"/>
    <n v="1466.43"/>
    <n v="4.03"/>
    <n v="70"/>
    <m/>
    <n v="0"/>
    <s v="Trator 1.7m"/>
    <m/>
    <s v="Não"/>
    <s v="Não"/>
    <s v="Não"/>
    <s v="Não"/>
    <n v="1026.501"/>
    <n v="1026.501"/>
  </r>
  <r>
    <s v="VGSP-348_135,000_ES_CL1"/>
    <x v="0"/>
    <s v="135,000"/>
    <m/>
    <s v="135,500"/>
    <m/>
    <x v="0"/>
    <s v="S"/>
    <n v="-22.760007672067651"/>
    <n v="-47.445662450922853"/>
    <n v="2231.71"/>
    <n v="5.29"/>
    <n v="70"/>
    <m/>
    <n v="0"/>
    <s v="Trator 1.7m"/>
    <m/>
    <s v="Não"/>
    <s v="Não"/>
    <s v="Não"/>
    <s v="Não"/>
    <n v="1562.1969999999999"/>
    <n v="1562.1969999999999"/>
  </r>
  <r>
    <s v="VGSP-348_135,000_CC1"/>
    <x v="188"/>
    <s v="135,000"/>
    <m/>
    <s v="135,500"/>
    <n v="0.5"/>
    <x v="1"/>
    <s v="C"/>
    <n v="-22.759553885598841"/>
    <n v="-47.445436983707523"/>
    <n v="4205.8900000000003"/>
    <n v="4.96"/>
    <n v="80"/>
    <m/>
    <n v="0"/>
    <s v="Trator 1.7m"/>
    <m/>
    <s v="Não"/>
    <s v="Não"/>
    <s v="Não"/>
    <s v="Não"/>
    <n v="3364.7120000000004"/>
    <n v="3364.7120000000004"/>
  </r>
  <r>
    <s v="VGSP-348_135,000_EN_CL1"/>
    <x v="0"/>
    <s v="135,000"/>
    <m/>
    <s v="135,500"/>
    <m/>
    <x v="0"/>
    <s v="N"/>
    <n v="-22.760378588247189"/>
    <n v="-47.445285701741483"/>
    <n v="1624.81"/>
    <n v="3.74"/>
    <n v="70"/>
    <m/>
    <n v="0"/>
    <s v="Trator 1.7m"/>
    <m/>
    <s v="Não"/>
    <s v="Não"/>
    <s v="Não"/>
    <s v="Não"/>
    <n v="1137.367"/>
    <n v="1137.367"/>
  </r>
  <r>
    <s v="VGSP-348_135,000_ES_CL2"/>
    <x v="0"/>
    <s v="135,000"/>
    <m/>
    <s v="135,500"/>
    <m/>
    <x v="0"/>
    <s v="S"/>
    <n v="-22.759511867708099"/>
    <n v="-47.445757837559213"/>
    <n v="1448.88"/>
    <n v="5.01"/>
    <n v="70"/>
    <m/>
    <n v="0"/>
    <s v="Trator 1.7m"/>
    <m/>
    <s v="Não"/>
    <s v="Não"/>
    <s v="Não"/>
    <s v="Não"/>
    <n v="1014.216"/>
    <n v="1014.216"/>
  </r>
  <r>
    <s v="VGSP-348_135,000_ES_CL4"/>
    <x v="0"/>
    <s v="135,000"/>
    <m/>
    <s v="135,500"/>
    <m/>
    <x v="0"/>
    <s v="S"/>
    <n v="-22.757589583369711"/>
    <n v="-47.445582313866517"/>
    <n v="12.55"/>
    <n v="5.44"/>
    <n v="0"/>
    <m/>
    <n v="0"/>
    <m/>
    <m/>
    <s v="Não"/>
    <s v="Não"/>
    <s v="Não"/>
    <s v="Não"/>
    <n v="0"/>
    <n v="0"/>
  </r>
  <r>
    <s v="VGSP-348_135,000_CC3"/>
    <x v="188"/>
    <s v="135,000"/>
    <m/>
    <s v="135,500"/>
    <n v="0.5"/>
    <x v="1"/>
    <s v="C"/>
    <n v="-22.757650067254222"/>
    <n v="-47.445367805709473"/>
    <n v="103.72"/>
    <n v="4.9000000000000004"/>
    <n v="0"/>
    <m/>
    <n v="0"/>
    <m/>
    <m/>
    <s v="Não"/>
    <s v="Não"/>
    <s v="Não"/>
    <s v="Não"/>
    <n v="0"/>
    <n v="0"/>
  </r>
  <r>
    <s v="VGSP-330_135,000_EN_CL2"/>
    <x v="0"/>
    <s v="135,000"/>
    <m/>
    <s v="135,500"/>
    <m/>
    <x v="0"/>
    <s v="N"/>
    <n v="-22.64760849226165"/>
    <n v="-47.32637865551753"/>
    <n v="997.05"/>
    <n v="5.51"/>
    <n v="50"/>
    <m/>
    <n v="0"/>
    <s v="Trator 1.7m"/>
    <m/>
    <s v="Não"/>
    <s v="Não"/>
    <s v="Não"/>
    <s v="Não"/>
    <n v="498.52499999999998"/>
    <n v="498.52499999999998"/>
  </r>
  <r>
    <s v="VGSP-330_135,000_ES_CL1"/>
    <x v="0"/>
    <s v="135,000"/>
    <m/>
    <s v="135,500"/>
    <m/>
    <x v="0"/>
    <s v="S"/>
    <n v="-22.64825990991752"/>
    <n v="-47.325700416558348"/>
    <n v="1763.2"/>
    <n v="5.82"/>
    <n v="70"/>
    <m/>
    <n v="1234.24"/>
    <s v="Trator com braço articulado, Spider"/>
    <m/>
    <s v="Não"/>
    <s v="Sim"/>
    <s v="Não"/>
    <s v="Sim"/>
    <n v="0"/>
    <m/>
  </r>
  <r>
    <s v="VGSP-348_135,000_CC2"/>
    <x v="188"/>
    <s v="135,000"/>
    <m/>
    <s v="135,500"/>
    <n v="0.5"/>
    <x v="1"/>
    <s v="C"/>
    <n v="-22.755275985891402"/>
    <n v="-47.445282735351739"/>
    <n v="5958.07"/>
    <n v="3.67"/>
    <n v="80"/>
    <m/>
    <n v="0"/>
    <s v="Trator 1.7m"/>
    <m/>
    <s v="Não"/>
    <s v="Não"/>
    <s v="Não"/>
    <s v="Não"/>
    <n v="4766.4560000000001"/>
    <n v="4766.4560000000001"/>
  </r>
  <r>
    <s v="VGSP-348_135,000_EN_CL2"/>
    <x v="0"/>
    <s v="135,000"/>
    <m/>
    <s v="135,500"/>
    <m/>
    <x v="0"/>
    <s v="N"/>
    <n v="-22.755306226950871"/>
    <n v="-47.445083462563012"/>
    <n v="2056.21"/>
    <n v="3.53"/>
    <n v="70"/>
    <m/>
    <n v="0"/>
    <s v="Trator 1.7m"/>
    <m/>
    <s v="Não"/>
    <s v="Não"/>
    <s v="Não"/>
    <s v="Não"/>
    <n v="1439.347"/>
    <n v="1439.347"/>
  </r>
  <r>
    <s v="VGSP-330_135,000_ES_CL2"/>
    <x v="0"/>
    <s v="135,000"/>
    <m/>
    <s v="135,500"/>
    <m/>
    <x v="0"/>
    <s v="S"/>
    <n v="-22.64419528015156"/>
    <n v="-47.327028174088142"/>
    <n v="2001.61"/>
    <n v="4.88"/>
    <n v="50"/>
    <m/>
    <n v="0"/>
    <s v="Trator 1.7m"/>
    <m/>
    <s v="Não"/>
    <s v="Não"/>
    <s v="Não"/>
    <s v="Não"/>
    <n v="1000.8049999999999"/>
    <n v="1000.8049999999999"/>
  </r>
  <r>
    <s v="VGSP-330_136,000_EN_CL6"/>
    <x v="0"/>
    <s v="136,000"/>
    <m/>
    <s v="136,500"/>
    <m/>
    <x v="0"/>
    <s v="N"/>
    <n v="-22.638120101799899"/>
    <n v="-47.330550242921682"/>
    <n v="1683.27"/>
    <n v="2.31"/>
    <n v="50"/>
    <m/>
    <n v="0"/>
    <s v="Trator 1.7m"/>
    <m/>
    <s v="Não"/>
    <s v="Não"/>
    <s v="Não"/>
    <s v="Não"/>
    <n v="841.63499999999999"/>
    <n v="841.63499999999999"/>
  </r>
  <r>
    <s v="VGSP-330_136,000_ES_CL5"/>
    <x v="0"/>
    <s v="136,000"/>
    <m/>
    <s v="136,500"/>
    <m/>
    <x v="0"/>
    <s v="S"/>
    <n v="-22.6380649112178"/>
    <n v="-47.330039186399453"/>
    <n v="9.6"/>
    <n v="3.95"/>
    <n v="0"/>
    <m/>
    <n v="0"/>
    <m/>
    <m/>
    <s v="Não"/>
    <s v="Não"/>
    <s v="Não"/>
    <s v="Não"/>
    <n v="0"/>
    <n v="0"/>
  </r>
  <r>
    <s v="VGSP-330_136,000_CC3"/>
    <x v="189"/>
    <s v="136,000"/>
    <m/>
    <s v="136,500"/>
    <m/>
    <x v="1"/>
    <s v="C"/>
    <n v="-22.638976088190962"/>
    <n v="-47.32954768420084"/>
    <n v="1217.3699999999999"/>
    <n v="3.01"/>
    <n v="0"/>
    <m/>
    <n v="0"/>
    <m/>
    <m/>
    <s v="Não"/>
    <s v="Não"/>
    <s v="Não"/>
    <s v="Não"/>
    <n v="0"/>
    <n v="0"/>
  </r>
  <r>
    <s v="VGSP-348_136,000_ES_CL2"/>
    <x v="0"/>
    <s v="136,000"/>
    <m/>
    <s v="136,500"/>
    <m/>
    <x v="0"/>
    <s v="S"/>
    <n v="-22.75098190103818"/>
    <n v="-47.445389677277973"/>
    <n v="1729.04"/>
    <n v="5.6"/>
    <n v="70"/>
    <m/>
    <n v="0"/>
    <s v="Trator 1.7m"/>
    <m/>
    <s v="Não"/>
    <s v="Não"/>
    <s v="Não"/>
    <s v="Não"/>
    <n v="1210.328"/>
    <n v="1210.328"/>
  </r>
  <r>
    <s v="VGSP-330_136,000_EN_CL3"/>
    <x v="0"/>
    <s v="136,000"/>
    <m/>
    <s v="136,500"/>
    <m/>
    <x v="0"/>
    <s v="N"/>
    <n v="-22.634739827973618"/>
    <n v="-47.333407767410357"/>
    <n v="15.31"/>
    <n v="0.85"/>
    <n v="0"/>
    <m/>
    <n v="0"/>
    <m/>
    <m/>
    <s v="Não"/>
    <s v="Não"/>
    <s v="Não"/>
    <s v="Não"/>
    <n v="0"/>
    <n v="0"/>
  </r>
  <r>
    <s v="VGSP-348_136,000_ES_CL1"/>
    <x v="0"/>
    <s v="136,000"/>
    <m/>
    <s v="136,500"/>
    <m/>
    <x v="0"/>
    <s v="S"/>
    <n v="-22.746914533222721"/>
    <n v="-47.446435191610171"/>
    <n v="2019.12"/>
    <n v="4.6100000000000003"/>
    <n v="70"/>
    <m/>
    <n v="0"/>
    <s v="Trator 1.7m"/>
    <m/>
    <s v="Não"/>
    <s v="Não"/>
    <s v="Não"/>
    <s v="Não"/>
    <n v="1413.3839999999998"/>
    <n v="1413.3839999999998"/>
  </r>
  <r>
    <s v="VGSP-330_136,000_ES_CL7"/>
    <x v="0"/>
    <s v="136,000"/>
    <m/>
    <s v="136,500"/>
    <m/>
    <x v="0"/>
    <s v="S"/>
    <n v="-22.637104810293511"/>
    <n v="-47.330780686839411"/>
    <n v="1064.8900000000001"/>
    <n v="2.62"/>
    <n v="50"/>
    <m/>
    <n v="0"/>
    <s v="Trator 1.7m"/>
    <m/>
    <s v="Não"/>
    <s v="Não"/>
    <s v="Não"/>
    <s v="Não"/>
    <n v="532.44500000000005"/>
    <n v="532.44500000000005"/>
  </r>
  <r>
    <s v="VGSP-330_136,000_ES_CL3"/>
    <x v="0"/>
    <s v="136,000"/>
    <m/>
    <s v="136,500"/>
    <m/>
    <x v="0"/>
    <s v="S"/>
    <n v="-22.639245362345289"/>
    <n v="-47.328440904927049"/>
    <n v="133.88999999999999"/>
    <n v="2.64"/>
    <n v="50"/>
    <m/>
    <n v="0"/>
    <s v="Trator 1.7m"/>
    <m/>
    <s v="Não"/>
    <s v="Não"/>
    <s v="Não"/>
    <s v="Não"/>
    <n v="66.944999999999993"/>
    <n v="66.944999999999993"/>
  </r>
  <r>
    <s v="VGSP-330_136,000_ES_CL1"/>
    <x v="0"/>
    <s v="136,000"/>
    <m/>
    <s v="136,500"/>
    <m/>
    <x v="0"/>
    <s v="S"/>
    <n v="-22.64063906053018"/>
    <n v="-47.328056702033557"/>
    <n v="1272.0899999999999"/>
    <n v="2.56"/>
    <n v="50"/>
    <m/>
    <n v="0"/>
    <s v="Trator 1.7m"/>
    <m/>
    <s v="Não"/>
    <s v="Não"/>
    <s v="Não"/>
    <s v="Não"/>
    <n v="636.04499999999996"/>
    <n v="636.04499999999996"/>
  </r>
  <r>
    <s v="VGSP-330_136,000_CC2"/>
    <x v="189"/>
    <s v="136,000"/>
    <m/>
    <s v="136,500"/>
    <m/>
    <x v="1"/>
    <s v="C"/>
    <n v="-22.637402613947049"/>
    <n v="-47.33082957400115"/>
    <n v="747.72"/>
    <n v="2.23"/>
    <n v="0"/>
    <m/>
    <n v="0"/>
    <m/>
    <m/>
    <s v="Não"/>
    <s v="Não"/>
    <s v="Não"/>
    <s v="Não"/>
    <n v="0"/>
    <n v="0"/>
  </r>
  <r>
    <s v="VGSP-330_136,000_ES_CL8"/>
    <x v="0"/>
    <s v="136,000"/>
    <m/>
    <s v="136,500"/>
    <m/>
    <x v="0"/>
    <s v="S"/>
    <n v="-22.63630902973016"/>
    <n v="-47.331511473644277"/>
    <n v="62.8"/>
    <n v="2.56"/>
    <n v="50"/>
    <m/>
    <n v="0"/>
    <s v="Trator 1.7m"/>
    <m/>
    <s v="Não"/>
    <s v="Não"/>
    <s v="Não"/>
    <s v="Não"/>
    <n v="31.4"/>
    <n v="31.4"/>
  </r>
  <r>
    <s v="VGSP-348_136,000_EN_CL2"/>
    <x v="0"/>
    <s v="136,000"/>
    <m/>
    <s v="136,500"/>
    <m/>
    <x v="0"/>
    <s v="N"/>
    <n v="-22.750981811172402"/>
    <n v="-47.444995245353986"/>
    <n v="1781.65"/>
    <n v="5.9"/>
    <n v="70"/>
    <m/>
    <n v="0"/>
    <s v="Trator 1.7m"/>
    <m/>
    <s v="Não"/>
    <s v="Não"/>
    <s v="Não"/>
    <s v="Não"/>
    <n v="1247.155"/>
    <n v="1247.155"/>
  </r>
  <r>
    <s v="VGSP-348_136,000_EN_CL1"/>
    <x v="0"/>
    <s v="136,000"/>
    <m/>
    <s v="136,500"/>
    <m/>
    <x v="0"/>
    <s v="N"/>
    <n v="-22.746809411585481"/>
    <n v="-47.446067946757523"/>
    <n v="2064.48"/>
    <n v="3.34"/>
    <n v="70"/>
    <m/>
    <n v="0"/>
    <s v="Trator 1.7m"/>
    <m/>
    <s v="Não"/>
    <s v="Não"/>
    <s v="Não"/>
    <s v="Não"/>
    <n v="1445.136"/>
    <n v="1445.136"/>
  </r>
  <r>
    <s v="VGSP-330_136,000_EN_CL5"/>
    <x v="0"/>
    <s v="136,000"/>
    <m/>
    <s v="136,500"/>
    <m/>
    <x v="0"/>
    <s v="N"/>
    <n v="-22.639540049480889"/>
    <n v="-47.330004676718438"/>
    <n v="5729.69"/>
    <n v="4.46"/>
    <n v="50"/>
    <m/>
    <n v="0"/>
    <s v="Trator 1.7m"/>
    <m/>
    <s v="Não"/>
    <s v="Não"/>
    <s v="Não"/>
    <s v="Não"/>
    <n v="2864.8449999999998"/>
    <n v="2864.8449999999998"/>
  </r>
  <r>
    <s v="VGSP-348_136,000_CC2"/>
    <x v="190"/>
    <s v="136,000"/>
    <m/>
    <s v="136,500"/>
    <n v="0.5"/>
    <x v="1"/>
    <s v="C"/>
    <n v="-22.750993961560461"/>
    <n v="-47.445206968040161"/>
    <n v="4823.88"/>
    <n v="6.07"/>
    <n v="80"/>
    <m/>
    <n v="0"/>
    <s v="Trator 1.7m"/>
    <m/>
    <s v="Não"/>
    <s v="Não"/>
    <s v="Não"/>
    <s v="Não"/>
    <n v="3859.1040000000003"/>
    <n v="3859.1040000000003"/>
  </r>
  <r>
    <s v="VGSP-330_136,000_EN_CL7"/>
    <x v="0"/>
    <s v="136,000"/>
    <m/>
    <s v="136,500"/>
    <m/>
    <x v="0"/>
    <s v="N"/>
    <n v="-22.635682767531922"/>
    <n v="-47.332299170050881"/>
    <n v="1975.83"/>
    <n v="1.44"/>
    <n v="0"/>
    <m/>
    <n v="0"/>
    <m/>
    <m/>
    <s v="Não"/>
    <s v="Não"/>
    <s v="Não"/>
    <s v="Não"/>
    <n v="0"/>
    <n v="0"/>
  </r>
  <r>
    <s v="VGSP-330_136,000_EN_CL4"/>
    <x v="0"/>
    <s v="136,000"/>
    <m/>
    <s v="136,500"/>
    <m/>
    <x v="0"/>
    <s v="N"/>
    <n v="-22.640132175446151"/>
    <n v="-47.329123692587018"/>
    <n v="2191.09"/>
    <n v="5.98"/>
    <n v="50"/>
    <m/>
    <n v="0"/>
    <s v="Trator 1.7m"/>
    <m/>
    <s v="Não"/>
    <s v="Não"/>
    <s v="Não"/>
    <s v="Não"/>
    <n v="1095.5450000000001"/>
    <n v="1095.5450000000001"/>
  </r>
  <r>
    <s v="VGSP-348_136,000_CC1"/>
    <x v="190"/>
    <s v="136,000"/>
    <m/>
    <s v="136,500"/>
    <n v="0.5"/>
    <x v="1"/>
    <s v="C"/>
    <n v="-22.746856366847219"/>
    <n v="-47.446245827745919"/>
    <n v="5825.53"/>
    <n v="3.73"/>
    <n v="80"/>
    <m/>
    <n v="0"/>
    <s v="Trator 1.7m"/>
    <m/>
    <s v="Não"/>
    <s v="Não"/>
    <s v="Não"/>
    <s v="Não"/>
    <n v="4660.424"/>
    <n v="4660.424"/>
  </r>
  <r>
    <s v="VGSP-330_136,000_CC1"/>
    <x v="189"/>
    <s v="136,000"/>
    <m/>
    <s v="136,500"/>
    <m/>
    <x v="1"/>
    <s v="C"/>
    <n v="-22.638898872940452"/>
    <n v="-47.330065241342588"/>
    <n v="5937.95"/>
    <n v="3.14"/>
    <n v="50"/>
    <m/>
    <n v="0"/>
    <s v="Trator 1.7m"/>
    <m/>
    <s v="Não"/>
    <s v="Não"/>
    <s v="Não"/>
    <s v="Não"/>
    <n v="2968.9749999999999"/>
    <n v="2968.9749999999999"/>
  </r>
  <r>
    <s v="VGSP-330_136,000_ES_CL9"/>
    <x v="0"/>
    <s v="136,000"/>
    <m/>
    <s v="136,500"/>
    <m/>
    <x v="0"/>
    <s v="S"/>
    <n v="-22.635439190193139"/>
    <n v="-47.332229948464871"/>
    <n v="1078.9000000000001"/>
    <n v="1.64"/>
    <n v="50"/>
    <m/>
    <n v="0"/>
    <s v="Trator 1.7m"/>
    <m/>
    <s v="Não"/>
    <s v="Não"/>
    <s v="Não"/>
    <s v="Não"/>
    <n v="539.45000000000005"/>
    <n v="539.45000000000005"/>
  </r>
  <r>
    <s v="VGSP-330_136,000_EN_CL2"/>
    <x v="0"/>
    <s v="136,000"/>
    <m/>
    <s v="136,500"/>
    <m/>
    <x v="0"/>
    <s v="N"/>
    <n v="-22.6366414794979"/>
    <n v="-47.331802073469071"/>
    <n v="1995.33"/>
    <n v="1.25"/>
    <n v="50"/>
    <m/>
    <n v="0"/>
    <s v="Trator 1.7m"/>
    <m/>
    <s v="Não"/>
    <s v="Não"/>
    <s v="Não"/>
    <s v="Não"/>
    <n v="997.66499999999996"/>
    <n v="997.66499999999996"/>
  </r>
  <r>
    <s v="VGSP-330_136,000_EN_CL1"/>
    <x v="0"/>
    <s v="136,000"/>
    <m/>
    <s v="136,500"/>
    <m/>
    <x v="0"/>
    <s v="N"/>
    <n v="-22.640328645315609"/>
    <n v="-47.329390355751947"/>
    <n v="2100.67"/>
    <n v="4.83"/>
    <n v="50"/>
    <m/>
    <n v="0"/>
    <s v="Trator 1.7m"/>
    <m/>
    <s v="Não"/>
    <s v="Não"/>
    <s v="Não"/>
    <s v="Não"/>
    <n v="1050.335"/>
    <n v="1050.335"/>
  </r>
  <r>
    <s v="VGSP-330_136,000_ES_CL6"/>
    <x v="0"/>
    <s v="136,000"/>
    <m/>
    <s v="136,500"/>
    <m/>
    <x v="0"/>
    <s v="S"/>
    <n v="-22.638596414449069"/>
    <n v="-47.329190822124112"/>
    <n v="810.29"/>
    <n v="3.68"/>
    <n v="50"/>
    <m/>
    <n v="0"/>
    <s v="Trator 1.7m"/>
    <m/>
    <s v="Não"/>
    <s v="Não"/>
    <s v="Não"/>
    <s v="Não"/>
    <n v="405.14499999999998"/>
    <n v="405.14499999999998"/>
  </r>
  <r>
    <s v="VGSP-330_136,000_ES_CL2"/>
    <x v="0"/>
    <s v="136,000"/>
    <m/>
    <s v="136,500"/>
    <m/>
    <x v="0"/>
    <s v="S"/>
    <n v="-22.640035721105061"/>
    <n v="-47.32845570584356"/>
    <n v="3849.97"/>
    <n v="2.94"/>
    <n v="50"/>
    <m/>
    <n v="0"/>
    <s v="Trator 1.7m"/>
    <m/>
    <s v="Não"/>
    <s v="Não"/>
    <s v="Não"/>
    <s v="Não"/>
    <n v="1924.9849999999999"/>
    <n v="1924.9849999999999"/>
  </r>
  <r>
    <s v="VGSP-330_136,000_ES_CL4"/>
    <x v="0"/>
    <s v="136,000"/>
    <m/>
    <s v="136,500"/>
    <m/>
    <x v="0"/>
    <s v="S"/>
    <n v="-22.638872146479368"/>
    <n v="-47.329236542606658"/>
    <n v="4040.47"/>
    <n v="3.64"/>
    <n v="50"/>
    <m/>
    <n v="0"/>
    <s v="Trator 1.7m"/>
    <m/>
    <s v="Não"/>
    <s v="Não"/>
    <s v="Não"/>
    <s v="Não"/>
    <n v="2020.2349999999999"/>
    <n v="2020.2349999999999"/>
  </r>
  <r>
    <s v="VGSP-330_137,000_EN_CL1"/>
    <x v="0"/>
    <s v="137,000"/>
    <m/>
    <s v="137,500"/>
    <m/>
    <x v="0"/>
    <s v="N"/>
    <n v="-22.63412963096274"/>
    <n v="-47.333868633875753"/>
    <n v="615.04999999999995"/>
    <n v="2.41"/>
    <n v="50"/>
    <m/>
    <n v="0"/>
    <s v="Trator 1.7m"/>
    <m/>
    <s v="Não"/>
    <s v="Não"/>
    <s v="Não"/>
    <s v="Não"/>
    <n v="307.52499999999998"/>
    <n v="307.52499999999998"/>
  </r>
  <r>
    <s v="VGSP-330_137,000_EN_CL2"/>
    <x v="0"/>
    <s v="137,000"/>
    <m/>
    <s v="137,500"/>
    <m/>
    <x v="0"/>
    <s v="N"/>
    <n v="-22.632202203549671"/>
    <n v="-47.33560943468563"/>
    <n v="1244.8800000000001"/>
    <n v="4.82"/>
    <n v="50"/>
    <m/>
    <n v="0"/>
    <s v="Trator 1.7m"/>
    <m/>
    <s v="Não"/>
    <s v="Não"/>
    <s v="Não"/>
    <s v="Não"/>
    <n v="622.44000000000005"/>
    <n v="622.44000000000005"/>
  </r>
  <r>
    <s v="VGSP-348_137,000_ES_CL2"/>
    <x v="0"/>
    <s v="137,000"/>
    <m/>
    <s v="137,500"/>
    <m/>
    <x v="0"/>
    <s v="S"/>
    <n v="-22.743406857520469"/>
    <n v="-47.449021793422887"/>
    <n v="1796.68"/>
    <n v="4.38"/>
    <n v="70"/>
    <m/>
    <n v="0"/>
    <s v="Trator 1.7m"/>
    <m/>
    <s v="Não"/>
    <s v="Não"/>
    <s v="Não"/>
    <s v="Não"/>
    <n v="1257.6759999999999"/>
    <n v="1257.6759999999999"/>
  </r>
  <r>
    <s v="VGSP-330_137,000_ES_CL2"/>
    <x v="0"/>
    <s v="137,000"/>
    <m/>
    <s v="137,500"/>
    <m/>
    <x v="0"/>
    <s v="S"/>
    <n v="-22.631044433460001"/>
    <n v="-47.336079348099382"/>
    <n v="973.9"/>
    <n v="5.85"/>
    <n v="50"/>
    <m/>
    <n v="0"/>
    <s v="Trator 1.7m"/>
    <m/>
    <s v="Não"/>
    <s v="Não"/>
    <s v="Não"/>
    <s v="Não"/>
    <n v="486.95"/>
    <n v="486.95"/>
  </r>
  <r>
    <s v="VGSP-330_137,000_ES_CL1"/>
    <x v="0"/>
    <s v="137,000"/>
    <m/>
    <s v="137,500"/>
    <m/>
    <x v="0"/>
    <s v="S"/>
    <n v="-22.63276530218792"/>
    <n v="-47.334544523799131"/>
    <n v="1987.6"/>
    <n v="6.95"/>
    <n v="50"/>
    <m/>
    <n v="0"/>
    <s v="Trator 1.7m"/>
    <m/>
    <s v="Não"/>
    <s v="Não"/>
    <s v="Não"/>
    <s v="Não"/>
    <n v="993.8"/>
    <n v="993.8"/>
  </r>
  <r>
    <s v="VGSP-330_137,000_EN_CL6"/>
    <x v="0"/>
    <s v="137,000"/>
    <m/>
    <s v="137,500"/>
    <m/>
    <x v="0"/>
    <s v="N"/>
    <n v="-22.628142739245799"/>
    <n v="-47.339403113035559"/>
    <n v="530.85"/>
    <n v="1.57"/>
    <n v="50"/>
    <m/>
    <n v="0"/>
    <s v="Trator 1.7m"/>
    <m/>
    <s v="Não"/>
    <s v="Não"/>
    <s v="Não"/>
    <s v="Não"/>
    <n v="265.42500000000001"/>
    <n v="265.42500000000001"/>
  </r>
  <r>
    <s v="VGSP-348_137,000_CC2"/>
    <x v="191"/>
    <s v="137,000"/>
    <m/>
    <s v="137,500"/>
    <n v="0.5"/>
    <x v="1"/>
    <s v="C"/>
    <n v="-22.74331665960295"/>
    <n v="-47.448846772801801"/>
    <n v="5291.03"/>
    <n v="4.3099999999999996"/>
    <n v="80"/>
    <m/>
    <n v="0"/>
    <s v="Trator 1.7m"/>
    <m/>
    <s v="Não"/>
    <s v="Não"/>
    <s v="Não"/>
    <s v="Não"/>
    <n v="4232.8239999999996"/>
    <n v="4232.8239999999996"/>
  </r>
  <r>
    <s v="VGSP-330_137,000_EN_CL4"/>
    <x v="0"/>
    <s v="137,000"/>
    <m/>
    <s v="137,500"/>
    <m/>
    <x v="0"/>
    <s v="N"/>
    <n v="-22.63276578504032"/>
    <n v="-47.334831274388463"/>
    <n v="3740.23"/>
    <n v="5.28"/>
    <n v="70"/>
    <m/>
    <n v="2618.1610000000001"/>
    <s v="Spider"/>
    <m/>
    <s v="Não"/>
    <s v="Sim"/>
    <s v="Não"/>
    <s v="Sim"/>
    <n v="0"/>
    <m/>
  </r>
  <r>
    <s v="VGSP-348_137,000_EN_CL2"/>
    <x v="0"/>
    <s v="137,000"/>
    <m/>
    <s v="137,500"/>
    <m/>
    <x v="0"/>
    <s v="N"/>
    <n v="-22.74320671085043"/>
    <n v="-47.4487060016097"/>
    <n v="1839.94"/>
    <n v="3.99"/>
    <n v="70"/>
    <m/>
    <n v="0"/>
    <s v="Trator 1.7m"/>
    <m/>
    <s v="Não"/>
    <s v="Não"/>
    <s v="Não"/>
    <s v="Não"/>
    <n v="1287.9579999999999"/>
    <n v="1287.9579999999999"/>
  </r>
  <r>
    <s v="VGSP-348_137,000_EN_CL1"/>
    <x v="0"/>
    <s v="137,000"/>
    <m/>
    <s v="137,500"/>
    <m/>
    <x v="0"/>
    <s v="N"/>
    <n v="-22.739927530190311"/>
    <n v="-47.452532987355887"/>
    <n v="2446"/>
    <n v="4.78"/>
    <n v="70"/>
    <m/>
    <n v="0"/>
    <s v="Trator 1.7m"/>
    <m/>
    <s v="Não"/>
    <s v="Não"/>
    <s v="Não"/>
    <s v="Não"/>
    <n v="1712.1999999999998"/>
    <n v="1712.1999999999998"/>
  </r>
  <r>
    <s v="VGSP-348_137,000_CC1"/>
    <x v="191"/>
    <s v="137,000"/>
    <m/>
    <s v="137,500"/>
    <n v="0.5"/>
    <x v="1"/>
    <s v="C"/>
    <n v="-22.740069307790112"/>
    <n v="-47.452658137376517"/>
    <n v="6679.39"/>
    <n v="4.87"/>
    <n v="80"/>
    <m/>
    <n v="0"/>
    <s v="Trator 1.7m"/>
    <m/>
    <s v="Não"/>
    <s v="Não"/>
    <s v="Não"/>
    <s v="Não"/>
    <n v="5343.5120000000006"/>
    <n v="5343.5120000000006"/>
  </r>
  <r>
    <s v="VGSP-330_137,000_EN_CL5"/>
    <x v="0"/>
    <s v="137,000"/>
    <m/>
    <s v="137,500"/>
    <m/>
    <x v="0"/>
    <s v="N"/>
    <n v="-22.62926730176034"/>
    <n v="-47.338071162852373"/>
    <n v="3911.26"/>
    <n v="4.3099999999999996"/>
    <n v="70"/>
    <m/>
    <n v="2737.8820000000001"/>
    <s v="Spider"/>
    <m/>
    <s v="Não"/>
    <s v="Sim"/>
    <s v="Não"/>
    <s v="Sim"/>
    <n v="0"/>
    <m/>
  </r>
  <r>
    <s v="VGSP-330_137,000_ES_CL4"/>
    <x v="0"/>
    <s v="137,000"/>
    <m/>
    <s v="137,500"/>
    <m/>
    <x v="0"/>
    <s v="S"/>
    <n v="-22.628661723096631"/>
    <n v="-47.338254594328731"/>
    <n v="7848.51"/>
    <n v="3.62"/>
    <n v="50"/>
    <m/>
    <n v="0"/>
    <s v="Trator 1.7m"/>
    <m/>
    <s v="Não"/>
    <s v="Não"/>
    <s v="Não"/>
    <s v="Não"/>
    <n v="3924.2550000000001"/>
    <n v="3924.2550000000001"/>
  </r>
  <r>
    <s v="VGSP-330_137,000_ES_CL3"/>
    <x v="0"/>
    <s v="137,000"/>
    <m/>
    <s v="137,500"/>
    <m/>
    <x v="0"/>
    <s v="S"/>
    <n v="-22.630370415233411"/>
    <n v="-47.33667246012368"/>
    <n v="2637.31"/>
    <n v="6.16"/>
    <n v="50"/>
    <m/>
    <n v="0"/>
    <s v="Trator 1.7m"/>
    <m/>
    <s v="Não"/>
    <s v="Não"/>
    <s v="Não"/>
    <s v="Não"/>
    <n v="1318.655"/>
    <n v="1318.655"/>
  </r>
  <r>
    <s v="VGSP-348_137,000_ES_CL1"/>
    <x v="0"/>
    <s v="137,000"/>
    <m/>
    <s v="137,500"/>
    <m/>
    <x v="0"/>
    <s v="S"/>
    <n v="-22.740175557433091"/>
    <n v="-47.452811654581048"/>
    <n v="2443.7399999999998"/>
    <n v="5.05"/>
    <n v="70"/>
    <m/>
    <n v="0"/>
    <s v="Trator 1.7m"/>
    <m/>
    <s v="Não"/>
    <s v="Não"/>
    <s v="Não"/>
    <s v="Não"/>
    <n v="1710.6179999999997"/>
    <n v="1710.6179999999997"/>
  </r>
  <r>
    <s v="VGSP-330_137,000_EN_CL3"/>
    <x v="0"/>
    <s v="137,000"/>
    <m/>
    <s v="137,500"/>
    <m/>
    <x v="0"/>
    <s v="N"/>
    <n v="-22.630014509011438"/>
    <n v="-47.337645281430888"/>
    <n v="1309.3599999999999"/>
    <n v="4.54"/>
    <n v="50"/>
    <m/>
    <n v="0"/>
    <s v="Trator 1.7m"/>
    <m/>
    <s v="Não"/>
    <s v="Não"/>
    <s v="Não"/>
    <s v="Não"/>
    <n v="654.67999999999995"/>
    <n v="654.67999999999995"/>
  </r>
  <r>
    <s v="VGSP-330_138,000_ES_CL2"/>
    <x v="0"/>
    <s v="138,000"/>
    <m/>
    <s v="138,500"/>
    <m/>
    <x v="0"/>
    <s v="S"/>
    <n v="-22.623630466878041"/>
    <n v="-47.342987540121733"/>
    <n v="4069.6"/>
    <n v="4.72"/>
    <n v="50"/>
    <m/>
    <n v="0"/>
    <s v="Trator 1.7m"/>
    <m/>
    <s v="Não"/>
    <s v="Não"/>
    <s v="Não"/>
    <s v="Não"/>
    <n v="2034.8"/>
    <n v="2034.8"/>
  </r>
  <r>
    <s v="VGSP-348_138,000_ES_CL1"/>
    <x v="0"/>
    <s v="138,000"/>
    <m/>
    <s v="138,500"/>
    <m/>
    <x v="0"/>
    <s v="S"/>
    <n v="-22.734866874331409"/>
    <n v="-47.459191325601722"/>
    <n v="930.99"/>
    <n v="5"/>
    <n v="70"/>
    <m/>
    <n v="0"/>
    <s v="Trator 1.7m"/>
    <m/>
    <s v="Não"/>
    <s v="Não"/>
    <s v="Não"/>
    <s v="Não"/>
    <n v="651.69299999999998"/>
    <n v="651.69299999999998"/>
  </r>
  <r>
    <s v="VGSP-330_138,000_EN_CL4"/>
    <x v="0"/>
    <s v="138,000"/>
    <m/>
    <s v="138,500"/>
    <m/>
    <x v="0"/>
    <s v="N"/>
    <n v="-22.62287160319022"/>
    <n v="-47.344338494145518"/>
    <n v="2021.81"/>
    <n v="3.92"/>
    <n v="50"/>
    <m/>
    <n v="0"/>
    <s v="Trator 1.7m"/>
    <m/>
    <s v="Não"/>
    <s v="Não"/>
    <s v="Não"/>
    <s v="Não"/>
    <n v="1010.905"/>
    <n v="1010.905"/>
  </r>
  <r>
    <s v="VGSP-330_138,000_ES_CL1"/>
    <x v="0"/>
    <s v="138,000"/>
    <m/>
    <s v="138,500"/>
    <m/>
    <x v="0"/>
    <s v="S"/>
    <n v="-22.625856498815061"/>
    <n v="-47.340888448091022"/>
    <n v="9890.5300000000007"/>
    <n v="3.06"/>
    <n v="50"/>
    <m/>
    <n v="0"/>
    <s v="Trator 1.7m"/>
    <m/>
    <s v="Não"/>
    <s v="Não"/>
    <s v="Não"/>
    <s v="Não"/>
    <n v="4945.2650000000003"/>
    <n v="4945.2650000000003"/>
  </r>
  <r>
    <s v="VGSP-348_138,000_CC2"/>
    <x v="192"/>
    <s v="138,000"/>
    <m/>
    <s v="138,500"/>
    <n v="0.5"/>
    <x v="1"/>
    <s v="C"/>
    <n v="-22.73683390544635"/>
    <n v="-47.456545385186047"/>
    <n v="5272.6"/>
    <n v="6"/>
    <n v="80"/>
    <m/>
    <n v="0"/>
    <s v="Trator 1.7m"/>
    <m/>
    <s v="Não"/>
    <s v="Não"/>
    <s v="Não"/>
    <s v="Não"/>
    <n v="4218.0800000000008"/>
    <n v="4218.0800000000008"/>
  </r>
  <r>
    <s v="VGSP-330_138,000_ES_CL3"/>
    <x v="0"/>
    <s v="138,000"/>
    <m/>
    <s v="138,500"/>
    <m/>
    <x v="0"/>
    <s v="S"/>
    <n v="-22.621995172434641"/>
    <n v="-47.344592288002353"/>
    <n v="1307.8800000000001"/>
    <n v="2.9"/>
    <n v="80"/>
    <m/>
    <n v="1046.3040000000001"/>
    <s v="Trator com braço articulado"/>
    <m/>
    <s v="Não"/>
    <s v="Sim"/>
    <s v="Não"/>
    <s v="Sim"/>
    <n v="0"/>
    <m/>
  </r>
  <r>
    <s v="VGSP-348_138,000_EN_CL2"/>
    <x v="0"/>
    <s v="138,000"/>
    <m/>
    <s v="138,500"/>
    <m/>
    <x v="0"/>
    <s v="N"/>
    <n v="-22.736712886291421"/>
    <n v="-47.456420810388657"/>
    <n v="1835.69"/>
    <n v="5.99"/>
    <n v="70"/>
    <m/>
    <n v="0"/>
    <s v="Trator 1.7m"/>
    <m/>
    <s v="Não"/>
    <s v="Não"/>
    <s v="Não"/>
    <s v="Não"/>
    <n v="1284.9829999999999"/>
    <n v="1284.9829999999999"/>
  </r>
  <r>
    <s v="VGSP-330_138,000_EN_CL3"/>
    <x v="0"/>
    <s v="138,000"/>
    <m/>
    <s v="138,500"/>
    <m/>
    <x v="0"/>
    <s v="N"/>
    <n v="-22.626138701473561"/>
    <n v="-47.341271677641423"/>
    <n v="1818.99"/>
    <n v="3.29"/>
    <n v="50"/>
    <m/>
    <n v="0"/>
    <s v="Trator 1.7m"/>
    <m/>
    <s v="Não"/>
    <s v="Não"/>
    <s v="Não"/>
    <s v="Não"/>
    <n v="909.495"/>
    <n v="909.495"/>
  </r>
  <r>
    <s v="VGSP-348_138,000_CC1"/>
    <x v="192"/>
    <s v="138,000"/>
    <m/>
    <s v="138,500"/>
    <n v="0.5"/>
    <x v="1"/>
    <s v="C"/>
    <n v="-22.73475450463906"/>
    <n v="-47.459052542527971"/>
    <n v="2503.94"/>
    <n v="4.95"/>
    <n v="80"/>
    <m/>
    <n v="0"/>
    <s v="Trator 1.7m"/>
    <m/>
    <s v="Não"/>
    <s v="Não"/>
    <s v="Não"/>
    <s v="Não"/>
    <n v="2003.152"/>
    <n v="2003.152"/>
  </r>
  <r>
    <s v="VGSP-330_138,000_EN_CL1"/>
    <x v="0"/>
    <s v="138,000"/>
    <m/>
    <s v="138,500"/>
    <m/>
    <x v="0"/>
    <s v="N"/>
    <n v="-22.626051968943131"/>
    <n v="-47.341092493133367"/>
    <n v="3514"/>
    <n v="3.03"/>
    <n v="70"/>
    <m/>
    <n v="2459.7999999999997"/>
    <s v="Spider"/>
    <m/>
    <s v="Não"/>
    <s v="Sim"/>
    <s v="Não"/>
    <s v="Sim"/>
    <n v="0"/>
    <m/>
  </r>
  <r>
    <s v="VGSP-348_138,000_ES_CL2"/>
    <x v="0"/>
    <s v="138,000"/>
    <m/>
    <s v="138,500"/>
    <m/>
    <x v="0"/>
    <s v="S"/>
    <n v="-22.736948651172629"/>
    <n v="-47.456683422153347"/>
    <n v="1835.74"/>
    <n v="6.22"/>
    <n v="70"/>
    <m/>
    <n v="0"/>
    <s v="Trator 1.7m"/>
    <m/>
    <s v="Não"/>
    <s v="Não"/>
    <s v="Não"/>
    <s v="Não"/>
    <n v="1285.018"/>
    <n v="1285.018"/>
  </r>
  <r>
    <s v="VGSP-348_138,000_EN_CL1"/>
    <x v="0"/>
    <s v="138,000"/>
    <m/>
    <s v="138,500"/>
    <m/>
    <x v="0"/>
    <s v="N"/>
    <n v="-22.73462341608672"/>
    <n v="-47.458937285868551"/>
    <n v="940.84"/>
    <n v="5.73"/>
    <n v="70"/>
    <m/>
    <n v="0"/>
    <s v="Trator 1.7m"/>
    <m/>
    <s v="Não"/>
    <s v="Não"/>
    <s v="Não"/>
    <s v="Não"/>
    <n v="658.58799999999997"/>
    <n v="658.58799999999997"/>
  </r>
  <r>
    <s v="VGSP-330_138,000_EN_CL2"/>
    <x v="0"/>
    <s v="138,000"/>
    <m/>
    <s v="138,500"/>
    <m/>
    <x v="0"/>
    <s v="N"/>
    <n v="-22.623160684707639"/>
    <n v="-47.343808121619183"/>
    <n v="2798.94"/>
    <n v="3.8"/>
    <n v="70"/>
    <m/>
    <n v="1959.2579999999998"/>
    <s v="Spider"/>
    <m/>
    <s v="Não"/>
    <s v="Sim"/>
    <s v="Não"/>
    <s v="Sim"/>
    <n v="0"/>
    <m/>
  </r>
  <r>
    <s v="VGSP-330_139,000_EN_CL2"/>
    <x v="0"/>
    <s v="139,000"/>
    <m/>
    <s v="139,500"/>
    <m/>
    <x v="0"/>
    <s v="N"/>
    <n v="-22.619249668808848"/>
    <n v="-47.347710330513422"/>
    <n v="1771.16"/>
    <n v="2.68"/>
    <n v="70"/>
    <m/>
    <n v="1239.8119999999999"/>
    <s v="Trator com braço articulado"/>
    <m/>
    <s v="Não"/>
    <s v="Sim"/>
    <s v="Não"/>
    <s v="Sim"/>
    <n v="0"/>
    <m/>
  </r>
  <r>
    <s v="VGSP-348_139,000_EN_CL1"/>
    <x v="0"/>
    <s v="139,000"/>
    <m/>
    <s v="139,500"/>
    <m/>
    <x v="0"/>
    <s v="N"/>
    <n v="-22.72490812637249"/>
    <n v="-47.463543261042332"/>
    <n v="2226.81"/>
    <n v="3.34"/>
    <n v="70"/>
    <m/>
    <n v="0"/>
    <s v="Trator 1.7m"/>
    <m/>
    <s v="Não"/>
    <s v="Não"/>
    <s v="Não"/>
    <s v="Não"/>
    <n v="1558.7669999999998"/>
    <n v="1558.7669999999998"/>
  </r>
  <r>
    <s v="VGSP-330_139,000_ES_CL8"/>
    <x v="0"/>
    <s v="139,000"/>
    <m/>
    <s v="139,500"/>
    <m/>
    <x v="0"/>
    <s v="S"/>
    <n v="-22.61484384612454"/>
    <n v="-47.35113703352188"/>
    <n v="2884.65"/>
    <n v="6.07"/>
    <n v="50"/>
    <m/>
    <n v="0"/>
    <s v="Trator 1.7m"/>
    <m/>
    <s v="Não"/>
    <s v="Não"/>
    <s v="Não"/>
    <s v="Não"/>
    <n v="1442.325"/>
    <n v="1442.325"/>
  </r>
  <r>
    <s v="VGSP-330_139,000_ES_CL7"/>
    <x v="0"/>
    <s v="139,000"/>
    <m/>
    <s v="139,500"/>
    <m/>
    <x v="0"/>
    <s v="S"/>
    <n v="-22.615270307048402"/>
    <n v="-47.350940750935727"/>
    <n v="127.25"/>
    <n v="5.72"/>
    <n v="50"/>
    <m/>
    <n v="0"/>
    <s v="Trator 1.7m"/>
    <m/>
    <s v="Não"/>
    <s v="Não"/>
    <s v="Não"/>
    <s v="Não"/>
    <n v="63.625"/>
    <n v="63.625"/>
  </r>
  <r>
    <s v="VGSP-330_139,000_EN_CL3"/>
    <x v="0"/>
    <s v="139,000"/>
    <m/>
    <s v="139,500"/>
    <m/>
    <x v="0"/>
    <s v="N"/>
    <n v="-22.616564837548658"/>
    <n v="-47.350271318114963"/>
    <n v="1451.11"/>
    <n v="3.4"/>
    <n v="50"/>
    <m/>
    <n v="0"/>
    <s v="Trator 1.7m"/>
    <m/>
    <s v="Não"/>
    <s v="Não"/>
    <s v="Não"/>
    <s v="Não"/>
    <n v="725.55499999999995"/>
    <n v="725.55499999999995"/>
  </r>
  <r>
    <s v="VGSP-330_139,000_ES_CL1"/>
    <x v="0"/>
    <s v="139,000"/>
    <m/>
    <s v="139,500"/>
    <m/>
    <x v="0"/>
    <s v="S"/>
    <n v="-22.619211804421351"/>
    <n v="-47.347253136161143"/>
    <n v="1993.21"/>
    <n v="4.8600000000000003"/>
    <n v="70"/>
    <m/>
    <n v="1395.2469999999998"/>
    <s v="Trator com braço articulado"/>
    <m/>
    <s v="Não"/>
    <s v="Sim"/>
    <s v="Não"/>
    <s v="Sim"/>
    <n v="0"/>
    <m/>
  </r>
  <r>
    <s v="VGSP-330_139,000_ES_CL2"/>
    <x v="0"/>
    <s v="139,000"/>
    <m/>
    <s v="139,500"/>
    <m/>
    <x v="0"/>
    <s v="S"/>
    <n v="-22.61711464680576"/>
    <n v="-47.34917968077508"/>
    <n v="898.76"/>
    <n v="3.45"/>
    <n v="50"/>
    <m/>
    <n v="0"/>
    <s v="Trator 1.7m"/>
    <m/>
    <s v="Não"/>
    <s v="Não"/>
    <s v="Não"/>
    <s v="Não"/>
    <n v="449.38"/>
    <n v="449.38"/>
  </r>
  <r>
    <s v="VGSP-330_139,000_ES_CL4"/>
    <x v="0"/>
    <s v="139,000"/>
    <m/>
    <s v="139,500"/>
    <m/>
    <x v="0"/>
    <s v="S"/>
    <n v="-22.61821000684861"/>
    <n v="-47.347958293507723"/>
    <n v="944.55"/>
    <n v="5.65"/>
    <n v="50"/>
    <m/>
    <n v="0"/>
    <s v="Trator 1.7m"/>
    <m/>
    <s v="Não"/>
    <s v="Não"/>
    <s v="Não"/>
    <s v="Não"/>
    <n v="472.27499999999998"/>
    <n v="472.27499999999998"/>
  </r>
  <r>
    <s v="VGSP-330_139,000_ES_CL3"/>
    <x v="0"/>
    <s v="139,000"/>
    <m/>
    <s v="139,500"/>
    <m/>
    <x v="0"/>
    <s v="S"/>
    <n v="-22.618298131567379"/>
    <n v="-47.347968613470478"/>
    <n v="999.12"/>
    <n v="5.1100000000000003"/>
    <n v="50"/>
    <m/>
    <n v="0"/>
    <s v="Trator 1.7m"/>
    <m/>
    <s v="Não"/>
    <s v="Não"/>
    <s v="Não"/>
    <s v="Não"/>
    <n v="499.56"/>
    <n v="499.56"/>
  </r>
  <r>
    <s v="VGSP-348_139,000_ES_CL2"/>
    <x v="0"/>
    <s v="139,000"/>
    <m/>
    <s v="139,500"/>
    <m/>
    <x v="0"/>
    <s v="S"/>
    <n v="-22.729760571885059"/>
    <n v="-47.463210643332062"/>
    <n v="2130.1"/>
    <n v="2.36"/>
    <n v="70"/>
    <m/>
    <n v="0"/>
    <s v="Trator 1.7m"/>
    <m/>
    <s v="Não"/>
    <s v="Não"/>
    <s v="Não"/>
    <s v="Não"/>
    <n v="1491.07"/>
    <n v="1491.07"/>
  </r>
  <r>
    <s v="VGSP-348_139,000_CC2"/>
    <x v="193"/>
    <s v="139,000"/>
    <m/>
    <s v="139,500"/>
    <n v="0.5"/>
    <x v="1"/>
    <s v="C"/>
    <n v="-22.72967542489107"/>
    <n v="-47.463051886726277"/>
    <n v="5787.72"/>
    <n v="2.59"/>
    <n v="80"/>
    <m/>
    <n v="0"/>
    <s v="Trator 1.7m"/>
    <m/>
    <s v="Não"/>
    <s v="Não"/>
    <s v="Não"/>
    <s v="Não"/>
    <n v="4630.1760000000004"/>
    <n v="4630.1760000000004"/>
  </r>
  <r>
    <s v="VGSP-348_139,000_CC1"/>
    <x v="193"/>
    <s v="139,000"/>
    <m/>
    <s v="139,500"/>
    <n v="0.5"/>
    <x v="1"/>
    <s v="C"/>
    <n v="-22.724914153773629"/>
    <n v="-47.46372887980646"/>
    <n v="6384.26"/>
    <n v="3.03"/>
    <n v="80"/>
    <m/>
    <n v="0"/>
    <s v="Trator 1.7m"/>
    <m/>
    <s v="Não"/>
    <s v="Não"/>
    <s v="Não"/>
    <s v="Não"/>
    <n v="5107.4080000000004"/>
    <n v="5107.4080000000004"/>
  </r>
  <r>
    <s v="VGSP-330_139,000_ES_CL5"/>
    <x v="0"/>
    <s v="139,000"/>
    <m/>
    <s v="139,500"/>
    <m/>
    <x v="0"/>
    <s v="S"/>
    <n v="-22.6157285527621"/>
    <n v="-47.350338624156137"/>
    <n v="2128.8200000000002"/>
    <n v="4.63"/>
    <n v="50"/>
    <m/>
    <n v="0"/>
    <s v="Trator 1.7m"/>
    <m/>
    <s v="Não"/>
    <s v="Não"/>
    <s v="Não"/>
    <s v="Não"/>
    <n v="1064.4100000000001"/>
    <n v="1064.4100000000001"/>
  </r>
  <r>
    <s v="VGSP-330_139,000_EN_CL1"/>
    <x v="0"/>
    <s v="139,000"/>
    <m/>
    <s v="139,500"/>
    <m/>
    <x v="0"/>
    <s v="N"/>
    <n v="-22.620928979696838"/>
    <n v="-47.346167140007807"/>
    <n v="274.43"/>
    <n v="6.21"/>
    <n v="50"/>
    <m/>
    <n v="0"/>
    <s v="Trator 1.7m"/>
    <m/>
    <s v="Não"/>
    <s v="Não"/>
    <s v="Não"/>
    <s v="Não"/>
    <n v="137.215"/>
    <n v="137.215"/>
  </r>
  <r>
    <s v="VGSP-330_139,000_ES_CL6"/>
    <x v="0"/>
    <s v="139,000"/>
    <m/>
    <s v="139,500"/>
    <m/>
    <x v="0"/>
    <s v="S"/>
    <n v="-22.614233642730149"/>
    <n v="-47.351873884283172"/>
    <n v="108.12"/>
    <n v="3.3"/>
    <n v="50"/>
    <m/>
    <n v="0"/>
    <s v="Trator 1.7m"/>
    <m/>
    <s v="Não"/>
    <s v="Não"/>
    <s v="Não"/>
    <s v="Não"/>
    <n v="54.06"/>
    <n v="54.06"/>
  </r>
  <r>
    <s v="VGSP-348_139,000_EN_CL2"/>
    <x v="0"/>
    <s v="139,000"/>
    <m/>
    <s v="139,500"/>
    <m/>
    <x v="0"/>
    <s v="N"/>
    <n v="-22.729591087709949"/>
    <n v="-47.462882594141647"/>
    <n v="2032.06"/>
    <n v="2.63"/>
    <n v="70"/>
    <m/>
    <n v="0"/>
    <s v="Trator 1.7m"/>
    <m/>
    <s v="Não"/>
    <s v="Não"/>
    <s v="Não"/>
    <s v="Não"/>
    <n v="1422.4419999999998"/>
    <n v="1422.4419999999998"/>
  </r>
  <r>
    <s v="VGSP-348_139,000_ES_CL1"/>
    <x v="0"/>
    <s v="139,000"/>
    <m/>
    <s v="139,500"/>
    <m/>
    <x v="0"/>
    <s v="S"/>
    <n v="-22.7249206408734"/>
    <n v="-47.463912312428207"/>
    <n v="2272.88"/>
    <n v="3.21"/>
    <n v="70"/>
    <m/>
    <n v="0"/>
    <s v="Trator 1.7m"/>
    <m/>
    <s v="Não"/>
    <s v="Não"/>
    <s v="Não"/>
    <s v="Não"/>
    <n v="1591.0160000000001"/>
    <n v="1591.0160000000001"/>
  </r>
  <r>
    <s v="VGSP-330_139,000_EN_CL4"/>
    <x v="0"/>
    <s v="139,000"/>
    <m/>
    <s v="139,500"/>
    <m/>
    <x v="0"/>
    <s v="N"/>
    <n v="-22.61529302072119"/>
    <n v="-47.351660774490917"/>
    <n v="2957.47"/>
    <n v="3.49"/>
    <n v="50"/>
    <m/>
    <n v="0"/>
    <s v="Trator 1.7m"/>
    <m/>
    <s v="Não"/>
    <s v="Não"/>
    <s v="Não"/>
    <s v="Não"/>
    <n v="1478.7349999999999"/>
    <n v="1478.7349999999999"/>
  </r>
  <r>
    <s v="VGSP-330_139,000_EN_CL5"/>
    <x v="0"/>
    <s v="139,000"/>
    <m/>
    <s v="139,500"/>
    <m/>
    <x v="0"/>
    <s v="N"/>
    <n v="-22.615128649995231"/>
    <n v="-47.351946269896182"/>
    <n v="749.15"/>
    <n v="3.77"/>
    <n v="50"/>
    <m/>
    <n v="0"/>
    <s v="Trator 1.7m"/>
    <m/>
    <s v="Não"/>
    <s v="Não"/>
    <s v="Não"/>
    <s v="Não"/>
    <n v="374.57499999999999"/>
    <n v="374.57499999999999"/>
  </r>
  <r>
    <s v="VGSP-348_140,000_EN_CL1"/>
    <x v="0"/>
    <s v="140,000"/>
    <m/>
    <s v="140,500"/>
    <m/>
    <x v="0"/>
    <s v="N"/>
    <n v="-22.716217565646279"/>
    <n v="-47.460659663243703"/>
    <n v="2084.85"/>
    <n v="4.75"/>
    <n v="70"/>
    <m/>
    <n v="0"/>
    <s v="Trator 1.7m"/>
    <m/>
    <s v="Não"/>
    <s v="Não"/>
    <s v="Não"/>
    <s v="Não"/>
    <n v="1459.3949999999998"/>
    <n v="1459.3949999999998"/>
  </r>
  <r>
    <s v="VGSP-330_140,000_ES_CL1"/>
    <x v="0"/>
    <s v="140,000"/>
    <m/>
    <s v="140,500"/>
    <m/>
    <x v="0"/>
    <s v="S"/>
    <n v="-22.612665061034679"/>
    <n v="-47.353467497057537"/>
    <n v="1935.04"/>
    <n v="3.93"/>
    <n v="70"/>
    <m/>
    <n v="1354.5279999999998"/>
    <s v="Trator com braço articulado"/>
    <m/>
    <s v="Não"/>
    <s v="Sim"/>
    <s v="Não"/>
    <s v="Sim"/>
    <n v="0"/>
    <m/>
  </r>
  <r>
    <s v="VGSP-330_140,000_ES_CL3"/>
    <x v="0"/>
    <s v="140,000"/>
    <m/>
    <s v="140,500"/>
    <m/>
    <x v="0"/>
    <s v="S"/>
    <n v="-22.610721467830569"/>
    <n v="-47.356244159825557"/>
    <n v="91.35"/>
    <n v="1.45"/>
    <n v="50"/>
    <m/>
    <n v="0"/>
    <s v="Trator 1.7m"/>
    <m/>
    <s v="Não"/>
    <s v="Não"/>
    <s v="Não"/>
    <s v="Não"/>
    <n v="45.674999999999997"/>
    <n v="45.674999999999997"/>
  </r>
  <r>
    <s v="VGSP-330_140,000_EN_CL5"/>
    <x v="0"/>
    <s v="140,000"/>
    <m/>
    <s v="140,500"/>
    <m/>
    <x v="0"/>
    <s v="N"/>
    <n v="-22.609009741216621"/>
    <n v="-47.360055902301369"/>
    <n v="950.81"/>
    <n v="5.69"/>
    <n v="50"/>
    <m/>
    <n v="0"/>
    <s v="Trator 1.7m"/>
    <m/>
    <s v="Não"/>
    <s v="Não"/>
    <s v="Não"/>
    <s v="Não"/>
    <n v="475.40499999999997"/>
    <n v="475.40499999999997"/>
  </r>
  <r>
    <s v="VGSP-348_140,000_CC1"/>
    <x v="194"/>
    <s v="140,000"/>
    <m/>
    <s v="140,500"/>
    <n v="0.5"/>
    <x v="1"/>
    <s v="C"/>
    <n v="-22.7161512773792"/>
    <n v="-47.461034726049277"/>
    <n v="2117.98"/>
    <n v="5.0999999999999996"/>
    <n v="70"/>
    <m/>
    <n v="0"/>
    <s v="Trator 1.7m"/>
    <m/>
    <s v="Não"/>
    <s v="Não"/>
    <s v="Não"/>
    <s v="Não"/>
    <n v="1482.586"/>
    <n v="1482.586"/>
  </r>
  <r>
    <s v="VGSP-348_140,000_CC3"/>
    <x v="194"/>
    <s v="140,000"/>
    <m/>
    <s v="140,500"/>
    <n v="0.5"/>
    <x v="1"/>
    <s v="C"/>
    <n v="-22.720437284468069"/>
    <n v="-47.462496574735233"/>
    <n v="5301.91"/>
    <n v="4.49"/>
    <n v="80"/>
    <m/>
    <n v="0"/>
    <s v="Trator 1.7m"/>
    <m/>
    <s v="Não"/>
    <s v="Não"/>
    <s v="Não"/>
    <s v="Não"/>
    <n v="4241.5280000000002"/>
    <n v="4241.5280000000002"/>
  </r>
  <r>
    <s v="VGSP-348_140,000_CC2"/>
    <x v="194"/>
    <s v="140,000"/>
    <m/>
    <s v="140,500"/>
    <n v="0.5"/>
    <x v="1"/>
    <s v="C"/>
    <n v="-22.716177067942741"/>
    <n v="-47.460844434904232"/>
    <n v="5772.66"/>
    <n v="5.07"/>
    <n v="80"/>
    <m/>
    <n v="0"/>
    <s v="Trator 1.7m"/>
    <m/>
    <s v="Não"/>
    <s v="Não"/>
    <s v="Não"/>
    <s v="Não"/>
    <n v="4618.1279999999997"/>
    <n v="4618.1279999999997"/>
  </r>
  <r>
    <s v="VGSP-348_140,000_ES_CL"/>
    <x v="0"/>
    <s v="140,000"/>
    <m/>
    <s v="140,500"/>
    <m/>
    <x v="0"/>
    <s v="S"/>
    <n v="-22.720402953522338"/>
    <n v="-47.462682257416532"/>
    <n v="1886.82"/>
    <n v="4.45"/>
    <n v="70"/>
    <m/>
    <n v="0"/>
    <s v="Trator 1.7m"/>
    <m/>
    <s v="Não"/>
    <s v="Não"/>
    <s v="Não"/>
    <s v="Não"/>
    <n v="1320.7739999999999"/>
    <n v="1320.7739999999999"/>
  </r>
  <r>
    <s v="VGSP-330_140,000_EN_CL1"/>
    <x v="0"/>
    <s v="140,000"/>
    <m/>
    <s v="140,500"/>
    <m/>
    <x v="0"/>
    <s v="N"/>
    <n v="-22.612678028513859"/>
    <n v="-47.354174513776691"/>
    <n v="2286.7600000000002"/>
    <n v="5.37"/>
    <n v="50"/>
    <m/>
    <n v="0"/>
    <s v="Trator 1.7m"/>
    <m/>
    <s v="Não"/>
    <s v="Não"/>
    <s v="Não"/>
    <s v="Não"/>
    <n v="1143.3800000000001"/>
    <n v="1143.3800000000001"/>
  </r>
  <r>
    <s v="VGSP-330_140,000_EN_CL2"/>
    <x v="0"/>
    <s v="140,000"/>
    <m/>
    <s v="140,500"/>
    <m/>
    <x v="0"/>
    <s v="N"/>
    <n v="-22.611145957270221"/>
    <n v="-47.356395242630178"/>
    <n v="293.7"/>
    <n v="4.66"/>
    <n v="50"/>
    <m/>
    <n v="0"/>
    <s v="Trator 1.7m"/>
    <m/>
    <s v="Não"/>
    <s v="Não"/>
    <s v="Não"/>
    <s v="Não"/>
    <n v="146.85"/>
    <n v="146.85"/>
  </r>
  <r>
    <s v="VGSP-330_140,000_EN_CL3"/>
    <x v="0"/>
    <s v="140,000"/>
    <m/>
    <s v="140,500"/>
    <m/>
    <x v="0"/>
    <s v="N"/>
    <n v="-22.610475588673729"/>
    <n v="-47.357643614489866"/>
    <n v="1036.3599999999999"/>
    <n v="4.75"/>
    <n v="50"/>
    <m/>
    <n v="0"/>
    <s v="Trator 1.7m"/>
    <m/>
    <s v="Não"/>
    <s v="Não"/>
    <s v="Não"/>
    <s v="Não"/>
    <n v="518.17999999999995"/>
    <n v="518.17999999999995"/>
  </r>
  <r>
    <s v="VGSP-330_140,000_EN_CL4"/>
    <x v="0"/>
    <s v="140,000"/>
    <m/>
    <s v="140,500"/>
    <m/>
    <x v="0"/>
    <s v="N"/>
    <n v="-22.609862142759141"/>
    <n v="-47.358964895533518"/>
    <n v="622.22"/>
    <n v="4.43"/>
    <n v="50"/>
    <m/>
    <n v="0"/>
    <s v="Trator 1.7m"/>
    <m/>
    <s v="Não"/>
    <s v="Não"/>
    <s v="Não"/>
    <s v="Não"/>
    <n v="311.11"/>
    <n v="311.11"/>
  </r>
  <r>
    <s v="VGSP-330_140,000_ES_CL2"/>
    <x v="0"/>
    <s v="140,000"/>
    <m/>
    <s v="140,500"/>
    <m/>
    <x v="0"/>
    <s v="S"/>
    <n v="-22.609531648993379"/>
    <n v="-47.358506514361949"/>
    <n v="2068.0500000000002"/>
    <n v="5"/>
    <n v="50"/>
    <m/>
    <n v="0"/>
    <s v="Trator 1.7m"/>
    <m/>
    <s v="Não"/>
    <s v="Não"/>
    <s v="Não"/>
    <s v="Não"/>
    <n v="1034.0250000000001"/>
    <n v="1034.0250000000001"/>
  </r>
  <r>
    <s v="VGSP-348_140,000_EN_CL2"/>
    <x v="0"/>
    <s v="140,000"/>
    <m/>
    <s v="140,500"/>
    <m/>
    <x v="0"/>
    <s v="N"/>
    <n v="-22.720440846922859"/>
    <n v="-47.462298491221382"/>
    <n v="1893.63"/>
    <n v="4.47"/>
    <n v="70"/>
    <m/>
    <n v="0"/>
    <s v="Trator 1.7m"/>
    <m/>
    <s v="Não"/>
    <s v="Não"/>
    <s v="Não"/>
    <s v="Não"/>
    <n v="1325.5409999999999"/>
    <n v="1325.5409999999999"/>
  </r>
  <r>
    <s v="VGSP-348_141,000_EN_CL2"/>
    <x v="0"/>
    <s v="141,000"/>
    <m/>
    <s v="141,500"/>
    <m/>
    <x v="0"/>
    <s v="N"/>
    <n v="-22.708018465330159"/>
    <n v="-47.457476682351263"/>
    <n v="2174.29"/>
    <n v="4.66"/>
    <n v="70"/>
    <m/>
    <n v="0"/>
    <s v="Trator 1.7m"/>
    <m/>
    <s v="Não"/>
    <s v="Não"/>
    <s v="Não"/>
    <s v="Não"/>
    <n v="1522.0029999999999"/>
    <n v="1522.0029999999999"/>
  </r>
  <r>
    <s v="VGSP-348_141,000_EN_CL1"/>
    <x v="0"/>
    <s v="141,000"/>
    <m/>
    <s v="141,500"/>
    <m/>
    <x v="0"/>
    <s v="N"/>
    <n v="-22.712843864941281"/>
    <n v="-47.459366240802751"/>
    <n v="1088.8499999999999"/>
    <n v="2.66"/>
    <n v="70"/>
    <m/>
    <n v="0"/>
    <s v="Trator 1.7m"/>
    <m/>
    <s v="Não"/>
    <s v="Não"/>
    <s v="Não"/>
    <s v="Não"/>
    <n v="762.19499999999994"/>
    <n v="762.19499999999994"/>
  </r>
  <r>
    <s v="VGSP-330_141,000_EN_CL1"/>
    <x v="0"/>
    <s v="141,000"/>
    <m/>
    <s v="141,500"/>
    <m/>
    <x v="0"/>
    <s v="N"/>
    <n v="-22.6081674615418"/>
    <n v="-47.360902796030999"/>
    <n v="309.11"/>
    <n v="6.42"/>
    <n v="50"/>
    <m/>
    <n v="0"/>
    <s v="Trator 1.7m"/>
    <m/>
    <s v="Não"/>
    <s v="Não"/>
    <s v="Não"/>
    <s v="Não"/>
    <n v="154.55500000000001"/>
    <n v="154.55500000000001"/>
  </r>
  <r>
    <s v="VGSP-330_141,000_EN_CL5"/>
    <x v="0"/>
    <s v="141,000"/>
    <m/>
    <s v="141,500"/>
    <m/>
    <x v="0"/>
    <s v="N"/>
    <n v="-22.601902687080369"/>
    <n v="-47.363563630253601"/>
    <n v="908.87"/>
    <n v="3.12"/>
    <n v="50"/>
    <m/>
    <n v="0"/>
    <s v="Trator 1.7m"/>
    <m/>
    <s v="Não"/>
    <s v="Não"/>
    <s v="Não"/>
    <s v="Não"/>
    <n v="454.435"/>
    <n v="454.435"/>
  </r>
  <r>
    <s v="VGSP-330_141,000_EN_CL3"/>
    <x v="0"/>
    <s v="141,000"/>
    <m/>
    <s v="141,500"/>
    <m/>
    <x v="0"/>
    <s v="N"/>
    <n v="-22.604118001462261"/>
    <n v="-47.362723663831602"/>
    <n v="742.8"/>
    <n v="4.84"/>
    <n v="50"/>
    <m/>
    <n v="0"/>
    <s v="Trator 1.7m"/>
    <m/>
    <s v="Não"/>
    <s v="Não"/>
    <s v="Não"/>
    <s v="Não"/>
    <n v="371.4"/>
    <n v="371.4"/>
  </r>
  <r>
    <s v="VGSP-330_141,000_EN_CL2"/>
    <x v="0"/>
    <s v="141,000"/>
    <m/>
    <s v="141,500"/>
    <m/>
    <x v="0"/>
    <s v="N"/>
    <n v="-22.60635146490236"/>
    <n v="-47.361850505979348"/>
    <n v="1365.04"/>
    <n v="6.53"/>
    <n v="50"/>
    <m/>
    <n v="0"/>
    <s v="Trator 1.7m"/>
    <m/>
    <s v="Não"/>
    <s v="Não"/>
    <s v="Não"/>
    <s v="Não"/>
    <n v="682.52"/>
    <n v="682.52"/>
  </r>
  <r>
    <s v="VGSP-330_141,000_ES_CL1"/>
    <x v="0"/>
    <s v="141,000"/>
    <m/>
    <s v="141,500"/>
    <m/>
    <x v="0"/>
    <s v="S"/>
    <n v="-22.607792718102651"/>
    <n v="-47.360669971496257"/>
    <n v="328.8"/>
    <n v="4.7300000000000004"/>
    <n v="50"/>
    <m/>
    <n v="0"/>
    <s v="Trator 1.7m"/>
    <m/>
    <s v="Não"/>
    <s v="Não"/>
    <s v="Não"/>
    <s v="Não"/>
    <n v="164.4"/>
    <n v="164.4"/>
  </r>
  <r>
    <s v="VGSP-348_141,000_ES_CL1"/>
    <x v="0"/>
    <s v="141,000"/>
    <m/>
    <s v="141,500"/>
    <m/>
    <x v="0"/>
    <s v="S"/>
    <n v="-22.712714298756509"/>
    <n v="-47.45970463732889"/>
    <n v="1118.49"/>
    <n v="3.5"/>
    <n v="70"/>
    <m/>
    <n v="0"/>
    <s v="Trator 1.7m"/>
    <m/>
    <s v="Não"/>
    <s v="Não"/>
    <s v="Não"/>
    <s v="Não"/>
    <n v="782.94299999999998"/>
    <n v="782.94299999999998"/>
  </r>
  <r>
    <s v="VGSP-330_141,000_ES_CL5"/>
    <x v="0"/>
    <s v="141,000"/>
    <m/>
    <s v="141,500"/>
    <m/>
    <x v="0"/>
    <s v="S"/>
    <n v="-22.6022480202755"/>
    <n v="-47.363031426409471"/>
    <n v="1347.48"/>
    <n v="3.98"/>
    <n v="50"/>
    <m/>
    <n v="0"/>
    <s v="Trator 1.7m"/>
    <m/>
    <s v="Não"/>
    <s v="Não"/>
    <s v="Não"/>
    <s v="Não"/>
    <n v="673.74"/>
    <n v="673.74"/>
  </r>
  <r>
    <s v="VGSP-348_141,000_ES_CL3"/>
    <x v="0"/>
    <s v="141,000"/>
    <m/>
    <s v="141,500"/>
    <m/>
    <x v="0"/>
    <s v="S"/>
    <n v="-22.710784906429151"/>
    <n v="-47.458947650343802"/>
    <n v="538.95000000000005"/>
    <n v="2.1"/>
    <n v="70"/>
    <m/>
    <n v="0"/>
    <s v="Trator 1.7m"/>
    <m/>
    <s v="Não"/>
    <s v="Não"/>
    <s v="Não"/>
    <s v="Não"/>
    <n v="377.26499999999999"/>
    <n v="377.26499999999999"/>
  </r>
  <r>
    <s v="VGSP-330_141,000_ES_CL4"/>
    <x v="0"/>
    <s v="141,000"/>
    <m/>
    <s v="141,500"/>
    <m/>
    <x v="0"/>
    <s v="S"/>
    <n v="-22.604937257953338"/>
    <n v="-47.361981403742021"/>
    <n v="183.09"/>
    <n v="4.67"/>
    <n v="50"/>
    <m/>
    <n v="0"/>
    <s v="Trator 1.7m"/>
    <m/>
    <s v="Não"/>
    <s v="Não"/>
    <s v="Não"/>
    <s v="Não"/>
    <n v="91.545000000000002"/>
    <n v="91.545000000000002"/>
  </r>
  <r>
    <s v="VGSP-348_141,000_ES_CL2"/>
    <x v="0"/>
    <s v="141,000"/>
    <m/>
    <s v="141,500"/>
    <m/>
    <x v="0"/>
    <s v="S"/>
    <n v="-22.707870042897969"/>
    <n v="-47.457811942367933"/>
    <n v="2208.0100000000002"/>
    <n v="3.64"/>
    <n v="70"/>
    <m/>
    <n v="0"/>
    <s v="Trator 1.7m"/>
    <m/>
    <s v="Não"/>
    <s v="Não"/>
    <s v="Não"/>
    <s v="Não"/>
    <n v="1545.607"/>
    <n v="1545.607"/>
  </r>
  <r>
    <s v="VGSP-330_141,000_EN_CL4"/>
    <x v="0"/>
    <s v="141,000"/>
    <m/>
    <s v="141,500"/>
    <m/>
    <x v="0"/>
    <s v="N"/>
    <n v="-22.603116977359559"/>
    <n v="-47.36312981396388"/>
    <n v="359.92"/>
    <n v="4.54"/>
    <n v="50"/>
    <m/>
    <n v="0"/>
    <s v="Trator 1.7m"/>
    <m/>
    <s v="Não"/>
    <s v="Não"/>
    <s v="Não"/>
    <s v="Não"/>
    <n v="179.96"/>
    <n v="179.96"/>
  </r>
  <r>
    <s v="VGSP-348_141,000_CC3"/>
    <x v="195"/>
    <s v="141,000"/>
    <m/>
    <s v="141,500"/>
    <n v="0.5"/>
    <x v="1"/>
    <s v="C"/>
    <n v="-22.707948836123951"/>
    <n v="-47.457651771017581"/>
    <n v="5937.15"/>
    <n v="4.01"/>
    <n v="80"/>
    <m/>
    <n v="0"/>
    <s v="Trator 1.7m"/>
    <m/>
    <s v="Não"/>
    <s v="Não"/>
    <s v="Não"/>
    <s v="Não"/>
    <n v="4749.72"/>
    <n v="4749.72"/>
  </r>
  <r>
    <s v="VGSP-348_141,000_CC2"/>
    <x v="195"/>
    <s v="141,000"/>
    <m/>
    <s v="141,500"/>
    <n v="0.5"/>
    <x v="1"/>
    <s v="C"/>
    <n v="-22.710861904871631"/>
    <n v="-47.458782201598872"/>
    <n v="1471.28"/>
    <n v="2.81"/>
    <n v="80"/>
    <m/>
    <n v="0"/>
    <s v="Trator 1.7m"/>
    <m/>
    <s v="Não"/>
    <s v="Não"/>
    <s v="Não"/>
    <s v="Não"/>
    <n v="1177.0240000000001"/>
    <n v="1177.0240000000001"/>
  </r>
  <r>
    <s v="VGSP-348_141,000_EN_CL3"/>
    <x v="0"/>
    <s v="141,000"/>
    <m/>
    <s v="141,500"/>
    <m/>
    <x v="0"/>
    <s v="N"/>
    <n v="-22.710899982819029"/>
    <n v="-47.458600994782287"/>
    <n v="541.85"/>
    <n v="3.23"/>
    <n v="70"/>
    <m/>
    <n v="0"/>
    <s v="Trator 1.7m"/>
    <m/>
    <s v="Não"/>
    <s v="Não"/>
    <s v="Não"/>
    <s v="Não"/>
    <n v="379.29500000000002"/>
    <n v="379.29500000000002"/>
  </r>
  <r>
    <s v="VGSP-348_141,000_CC1"/>
    <x v="195"/>
    <s v="141,000"/>
    <m/>
    <s v="141,500"/>
    <n v="0.5"/>
    <x v="1"/>
    <s v="C"/>
    <n v="-22.712752397176931"/>
    <n v="-47.459518143296968"/>
    <n v="3164.72"/>
    <n v="3.2"/>
    <n v="80"/>
    <m/>
    <n v="0"/>
    <s v="Trator 1.7m"/>
    <m/>
    <s v="Não"/>
    <s v="Não"/>
    <s v="Não"/>
    <s v="Não"/>
    <n v="2531.7759999999998"/>
    <n v="2531.7759999999998"/>
  </r>
  <r>
    <s v="VGSP-330_141,000_ES_CL2"/>
    <x v="0"/>
    <s v="141,000"/>
    <m/>
    <s v="141,500"/>
    <m/>
    <x v="0"/>
    <s v="S"/>
    <n v="-22.606327296099199"/>
    <n v="-47.361454312652519"/>
    <n v="1278.29"/>
    <n v="6.29"/>
    <n v="60"/>
    <m/>
    <n v="766.97399999999993"/>
    <s v="Trator com braço articulado"/>
    <m/>
    <s v="Não"/>
    <s v="Sim"/>
    <s v="Não"/>
    <s v="Sim"/>
    <n v="0"/>
    <m/>
  </r>
  <r>
    <s v="VGSP-330_141,000_ES_CL3"/>
    <x v="0"/>
    <s v="141,000"/>
    <m/>
    <s v="141,500"/>
    <m/>
    <x v="0"/>
    <s v="S"/>
    <n v="-22.604197616277169"/>
    <n v="-47.362288723980477"/>
    <n v="553.98"/>
    <n v="4.12"/>
    <n v="50"/>
    <m/>
    <n v="0"/>
    <s v="Trator 1.7m"/>
    <m/>
    <s v="Não"/>
    <s v="Não"/>
    <s v="Não"/>
    <s v="Não"/>
    <n v="276.99"/>
    <n v="276.99"/>
  </r>
  <r>
    <s v="VGSP-330_142,000_ES_CL1"/>
    <x v="0"/>
    <s v="142,000"/>
    <m/>
    <s v="142,500"/>
    <m/>
    <x v="0"/>
    <s v="S"/>
    <n v="-22.600157103656269"/>
    <n v="-47.363802315420727"/>
    <n v="678.31"/>
    <n v="1.96"/>
    <n v="50"/>
    <m/>
    <n v="0"/>
    <s v="Trator 1.7m"/>
    <m/>
    <s v="Não"/>
    <s v="Não"/>
    <s v="Não"/>
    <s v="Não"/>
    <n v="339.15499999999997"/>
    <n v="339.15499999999997"/>
  </r>
  <r>
    <s v="VGSP-348_142,000_ES_CL2"/>
    <x v="0"/>
    <s v="142,000"/>
    <m/>
    <s v="142,500"/>
    <m/>
    <x v="0"/>
    <s v="S"/>
    <n v="-22.702902431072019"/>
    <n v="-47.455983490155489"/>
    <n v="2852.59"/>
    <n v="3.42"/>
    <n v="70"/>
    <m/>
    <n v="0"/>
    <s v="Trator 1.7m"/>
    <m/>
    <s v="Não"/>
    <s v="Não"/>
    <s v="Não"/>
    <s v="Não"/>
    <n v="1996.8129999999999"/>
    <n v="1996.8129999999999"/>
  </r>
  <r>
    <s v="VGSP-348_142,000_CC1"/>
    <x v="196"/>
    <s v="142,000"/>
    <m/>
    <s v="142,500"/>
    <n v="0.5"/>
    <x v="1"/>
    <s v="C"/>
    <n v="-22.704816657387632"/>
    <n v="-47.456440275601459"/>
    <n v="2151.6999999999998"/>
    <n v="3.39"/>
    <n v="80"/>
    <m/>
    <n v="0"/>
    <s v="Trator 1.7m"/>
    <m/>
    <s v="Não"/>
    <s v="Não"/>
    <s v="Não"/>
    <s v="Não"/>
    <n v="1721.36"/>
    <n v="1721.36"/>
  </r>
  <r>
    <s v="VGSP-348_142,000_ES_CL4"/>
    <x v="0"/>
    <s v="142,000"/>
    <m/>
    <s v="142,500"/>
    <m/>
    <x v="0"/>
    <s v="S"/>
    <n v="-22.699556290409632"/>
    <n v="-47.4545934023282"/>
    <n v="2315.34"/>
    <n v="3.68"/>
    <n v="70"/>
    <m/>
    <n v="0"/>
    <s v="Trator 1.7m"/>
    <m/>
    <s v="Não"/>
    <s v="Não"/>
    <s v="Não"/>
    <s v="Não"/>
    <n v="1620.7380000000001"/>
    <n v="1620.7380000000001"/>
  </r>
  <r>
    <s v="VGSP-330_142,000_ES_CL3"/>
    <x v="0"/>
    <s v="142,000"/>
    <m/>
    <s v="142,500"/>
    <m/>
    <x v="0"/>
    <s v="S"/>
    <n v="-22.59543547065978"/>
    <n v="-47.365556954534838"/>
    <n v="2262.7600000000002"/>
    <n v="4.72"/>
    <n v="50"/>
    <m/>
    <n v="0"/>
    <s v="Trator 1.7m"/>
    <m/>
    <s v="Não"/>
    <s v="Não"/>
    <s v="Não"/>
    <s v="Não"/>
    <n v="1131.3800000000001"/>
    <n v="1131.3800000000001"/>
  </r>
  <r>
    <s v="VGSP-330_142,000_ES_CL4"/>
    <x v="0"/>
    <s v="142,000"/>
    <m/>
    <s v="142,500"/>
    <m/>
    <x v="0"/>
    <s v="S"/>
    <n v="-22.59606094495317"/>
    <n v="-47.365343567932747"/>
    <n v="569.15"/>
    <n v="3.91"/>
    <n v="50"/>
    <m/>
    <n v="0"/>
    <s v="Trator 1.7m"/>
    <m/>
    <s v="Não"/>
    <s v="Não"/>
    <s v="Não"/>
    <s v="Não"/>
    <n v="284.57499999999999"/>
    <n v="284.57499999999999"/>
  </r>
  <r>
    <s v="VGSP-348_142,000_CC3"/>
    <x v="196"/>
    <s v="142,000"/>
    <m/>
    <s v="142,500"/>
    <n v="0.5"/>
    <x v="1"/>
    <s v="C"/>
    <n v="-22.702845462885929"/>
    <n v="-47.455667053001918"/>
    <n v="2241.73"/>
    <n v="3.03"/>
    <n v="80"/>
    <m/>
    <n v="0"/>
    <s v="Trator 1.7m"/>
    <m/>
    <s v="Não"/>
    <s v="Não"/>
    <s v="Não"/>
    <s v="Não"/>
    <n v="1793.384"/>
    <n v="1793.384"/>
  </r>
  <r>
    <s v="VGSP-348_142,000_EN_CL4"/>
    <x v="0"/>
    <s v="142,000"/>
    <m/>
    <s v="142,500"/>
    <m/>
    <x v="0"/>
    <s v="N"/>
    <n v="-22.702956925838421"/>
    <n v="-47.455282436145637"/>
    <n v="791.14"/>
    <n v="3.36"/>
    <n v="70"/>
    <m/>
    <n v="0"/>
    <s v="Trator 1.7m"/>
    <m/>
    <s v="Não"/>
    <s v="Não"/>
    <s v="Não"/>
    <s v="Não"/>
    <n v="553.798"/>
    <n v="553.798"/>
  </r>
  <r>
    <s v="VGSP-348_142,000_EN_CL2"/>
    <x v="0"/>
    <s v="142,000"/>
    <m/>
    <s v="142,500"/>
    <m/>
    <x v="0"/>
    <s v="N"/>
    <n v="-22.703190406886169"/>
    <n v="-47.455515520524571"/>
    <n v="3059.99"/>
    <n v="3.7"/>
    <n v="70"/>
    <m/>
    <n v="0"/>
    <s v="Trator 1.7m"/>
    <m/>
    <s v="Não"/>
    <s v="Não"/>
    <s v="Não"/>
    <s v="Não"/>
    <n v="2141.9929999999999"/>
    <n v="2141.9929999999999"/>
  </r>
  <r>
    <s v="VGSP-348_142,000_EN_CL1"/>
    <x v="0"/>
    <s v="142,000"/>
    <m/>
    <s v="142,500"/>
    <m/>
    <x v="0"/>
    <s v="N"/>
    <n v="-22.704966048680529"/>
    <n v="-47.456287698252822"/>
    <n v="702.33"/>
    <n v="3.63"/>
    <n v="70"/>
    <m/>
    <n v="0"/>
    <s v="Trator 1.7m"/>
    <m/>
    <s v="Não"/>
    <s v="Não"/>
    <s v="Não"/>
    <s v="Não"/>
    <n v="491.63099999999997"/>
    <n v="491.63099999999997"/>
  </r>
  <r>
    <s v="VGSP-330_142,000_ES_CL2"/>
    <x v="0"/>
    <s v="142,000"/>
    <m/>
    <s v="142,500"/>
    <m/>
    <x v="0"/>
    <s v="S"/>
    <n v="-22.59811683210313"/>
    <n v="-47.364606877089422"/>
    <n v="1523.37"/>
    <n v="2.69"/>
    <n v="50"/>
    <m/>
    <n v="0"/>
    <s v="Trator 1.7m"/>
    <m/>
    <s v="Não"/>
    <s v="Não"/>
    <s v="Não"/>
    <s v="Não"/>
    <n v="761.68499999999995"/>
    <n v="761.68499999999995"/>
  </r>
  <r>
    <s v="VGSP-348_142,000_ES_CL1"/>
    <x v="0"/>
    <s v="142,000"/>
    <m/>
    <s v="142,500"/>
    <m/>
    <x v="0"/>
    <s v="S"/>
    <n v="-22.704764181683942"/>
    <n v="-47.456616591461618"/>
    <n v="714.85"/>
    <n v="3.42"/>
    <n v="70"/>
    <m/>
    <n v="0"/>
    <s v="Trator 1.7m"/>
    <m/>
    <s v="Não"/>
    <s v="Não"/>
    <s v="Não"/>
    <s v="Não"/>
    <n v="500.39499999999998"/>
    <n v="500.39499999999998"/>
  </r>
  <r>
    <s v="VGSP-330_142,000_ES_CL8"/>
    <x v="0"/>
    <s v="142,000"/>
    <m/>
    <s v="142,500"/>
    <m/>
    <x v="0"/>
    <s v="S"/>
    <n v="-22.592814160532178"/>
    <n v="-47.366538724839401"/>
    <n v="1167.5"/>
    <n v="5.59"/>
    <n v="50"/>
    <m/>
    <n v="0"/>
    <s v="Trator 1.7m"/>
    <m/>
    <s v="Não"/>
    <s v="Não"/>
    <s v="Não"/>
    <s v="Não"/>
    <n v="583.75"/>
    <n v="583.75"/>
  </r>
  <r>
    <s v="VGSP-330_142,000_EN_CL4"/>
    <x v="0"/>
    <s v="142,000"/>
    <m/>
    <s v="142,500"/>
    <m/>
    <x v="0"/>
    <s v="N"/>
    <n v="-22.59309363664687"/>
    <n v="-47.366995809941578"/>
    <n v="1276.44"/>
    <n v="7.81"/>
    <n v="50"/>
    <m/>
    <n v="0"/>
    <s v="Trator 1.7m"/>
    <m/>
    <s v="Não"/>
    <s v="Não"/>
    <s v="Não"/>
    <s v="Não"/>
    <n v="638.22"/>
    <n v="638.22"/>
  </r>
  <r>
    <s v="VGSP-330_142,000_ES_CL7"/>
    <x v="0"/>
    <s v="142,000"/>
    <m/>
    <s v="142,500"/>
    <m/>
    <x v="0"/>
    <s v="S"/>
    <n v="-22.594063747369631"/>
    <n v="-47.366126834793498"/>
    <n v="56.79"/>
    <n v="8.8800000000000008"/>
    <n v="50"/>
    <m/>
    <n v="0"/>
    <s v="Trator 1.7m"/>
    <m/>
    <s v="Não"/>
    <s v="Não"/>
    <s v="Não"/>
    <s v="Não"/>
    <n v="28.395"/>
    <n v="28.395"/>
  </r>
  <r>
    <s v="VGSP-330_142,000_EN_CL3"/>
    <x v="0"/>
    <s v="142,000"/>
    <m/>
    <s v="142,500"/>
    <m/>
    <x v="0"/>
    <s v="N"/>
    <n v="-22.595565727571572"/>
    <n v="-47.366001575356471"/>
    <n v="465.37"/>
    <n v="4.3600000000000003"/>
    <n v="50"/>
    <m/>
    <n v="0"/>
    <s v="Trator 1.7m"/>
    <m/>
    <s v="Não"/>
    <s v="Não"/>
    <s v="Não"/>
    <s v="Não"/>
    <n v="232.685"/>
    <n v="232.685"/>
  </r>
  <r>
    <s v="VGSP-348_142,000_EN_CL3"/>
    <x v="0"/>
    <s v="142,000"/>
    <m/>
    <s v="142,500"/>
    <m/>
    <x v="0"/>
    <s v="N"/>
    <n v="-22.69967653108554"/>
    <n v="-47.454246547299178"/>
    <n v="2313.5100000000002"/>
    <n v="4.43"/>
    <n v="70"/>
    <m/>
    <n v="0"/>
    <s v="Trator 1.7m"/>
    <m/>
    <s v="Não"/>
    <s v="Não"/>
    <s v="Não"/>
    <s v="Não"/>
    <n v="1619.4570000000001"/>
    <n v="1619.4570000000001"/>
  </r>
  <r>
    <s v="VGSP-330_142,000_ES_CL5"/>
    <x v="0"/>
    <s v="142,000"/>
    <m/>
    <s v="142,500"/>
    <m/>
    <x v="0"/>
    <s v="S"/>
    <n v="-22.59466435116931"/>
    <n v="-47.365843036798367"/>
    <n v="353.06"/>
    <n v="8.2200000000000006"/>
    <n v="50"/>
    <m/>
    <n v="0"/>
    <s v="Trator 1.7m"/>
    <m/>
    <s v="Não"/>
    <s v="Não"/>
    <s v="Não"/>
    <s v="Não"/>
    <n v="176.53"/>
    <n v="176.53"/>
  </r>
  <r>
    <s v="VGSP-348_142,000_ES_CL5"/>
    <x v="0"/>
    <s v="142,000"/>
    <m/>
    <s v="142,500"/>
    <m/>
    <x v="0"/>
    <s v="S"/>
    <n v="-22.702574787532189"/>
    <n v="-47.456009615379109"/>
    <n v="680.51"/>
    <n v="3.45"/>
    <n v="70"/>
    <m/>
    <n v="0"/>
    <s v="Trator 1.7m"/>
    <m/>
    <s v="Não"/>
    <s v="Não"/>
    <s v="Não"/>
    <s v="Não"/>
    <n v="476.35699999999997"/>
    <n v="476.35699999999997"/>
  </r>
  <r>
    <s v="VGSP-330_142,000_EN_CL2"/>
    <x v="0"/>
    <s v="142,000"/>
    <m/>
    <s v="142,500"/>
    <m/>
    <x v="0"/>
    <s v="N"/>
    <n v="-22.597575696072489"/>
    <n v="-47.365225215318347"/>
    <n v="1429.9"/>
    <n v="3.59"/>
    <n v="50"/>
    <m/>
    <n v="0"/>
    <s v="Trator 1.7m"/>
    <m/>
    <s v="Não"/>
    <s v="Não"/>
    <s v="Não"/>
    <s v="Não"/>
    <n v="714.95"/>
    <n v="714.95"/>
  </r>
  <r>
    <s v="VGSP-348_142,000_ES_CL3"/>
    <x v="0"/>
    <s v="142,000"/>
    <m/>
    <s v="142,500"/>
    <m/>
    <x v="0"/>
    <s v="S"/>
    <n v="-22.70231175501171"/>
    <n v="-47.456255718333153"/>
    <n v="0.1"/>
    <n v="5.79"/>
    <m/>
    <m/>
    <n v="0"/>
    <m/>
    <m/>
    <s v="Não"/>
    <s v="Não"/>
    <s v="Não"/>
    <s v="Não"/>
    <n v="0"/>
    <n v="0"/>
  </r>
  <r>
    <s v="VGSP-330_142,000_EN_CL1"/>
    <x v="0"/>
    <s v="142,000"/>
    <m/>
    <s v="142,500"/>
    <m/>
    <x v="0"/>
    <s v="N"/>
    <n v="-22.599810960526401"/>
    <n v="-47.36437796264056"/>
    <n v="1135.23"/>
    <n v="4.09"/>
    <n v="50"/>
    <m/>
    <n v="0"/>
    <s v="Trator 1.7m"/>
    <m/>
    <s v="Não"/>
    <s v="Não"/>
    <s v="Não"/>
    <s v="Não"/>
    <n v="567.61500000000001"/>
    <n v="567.61500000000001"/>
  </r>
  <r>
    <s v="VGSP-330_142,000_ES_CL9"/>
    <x v="0"/>
    <s v="142,000"/>
    <m/>
    <s v="142,500"/>
    <m/>
    <x v="0"/>
    <s v="S"/>
    <n v="-22.591870528195081"/>
    <n v="-47.366921678715059"/>
    <n v="991.74"/>
    <n v="4.96"/>
    <n v="50"/>
    <m/>
    <n v="0"/>
    <s v="Trator 1.7m"/>
    <m/>
    <s v="Não"/>
    <s v="Não"/>
    <s v="Não"/>
    <s v="Não"/>
    <n v="495.87"/>
    <n v="495.87"/>
  </r>
  <r>
    <s v="VGSP-348_142,000_CC2"/>
    <x v="196"/>
    <s v="142,000"/>
    <m/>
    <s v="142,500"/>
    <n v="0.5"/>
    <x v="1"/>
    <s v="C"/>
    <n v="-22.69965072920132"/>
    <n v="-47.454427638998219"/>
    <n v="6872.21"/>
    <n v="4.05"/>
    <n v="80"/>
    <m/>
    <n v="0"/>
    <s v="Trator 1.7m"/>
    <m/>
    <s v="Não"/>
    <s v="Não"/>
    <s v="Não"/>
    <s v="Não"/>
    <n v="5497.768"/>
    <n v="5497.768"/>
  </r>
  <r>
    <s v="VGSP-330_142,000_EN_CL5"/>
    <x v="0"/>
    <s v="142,000"/>
    <m/>
    <s v="142,500"/>
    <m/>
    <x v="0"/>
    <s v="N"/>
    <n v="-22.591955707031531"/>
    <n v="-47.367353296478733"/>
    <n v="542.4"/>
    <n v="5.17"/>
    <n v="50"/>
    <m/>
    <n v="0"/>
    <s v="Trator 1.7m"/>
    <m/>
    <s v="Não"/>
    <s v="Não"/>
    <s v="Não"/>
    <s v="Não"/>
    <n v="271.2"/>
    <n v="271.2"/>
  </r>
  <r>
    <s v="VGSP-330_142,000_ES_CL6"/>
    <x v="0"/>
    <s v="142,000"/>
    <m/>
    <s v="142,500"/>
    <m/>
    <x v="0"/>
    <s v="S"/>
    <n v="-22.594221555394419"/>
    <n v="-47.365976371500622"/>
    <n v="422.47"/>
    <n v="9.65"/>
    <n v="50"/>
    <m/>
    <n v="0"/>
    <s v="Trator 1.7m"/>
    <m/>
    <s v="Não"/>
    <s v="Não"/>
    <s v="Não"/>
    <s v="Não"/>
    <n v="211.23500000000001"/>
    <n v="211.23500000000001"/>
  </r>
  <r>
    <s v="VGSP-330_143,000_EN_CL8"/>
    <x v="0"/>
    <s v="143,000"/>
    <m/>
    <s v="143,500"/>
    <m/>
    <x v="0"/>
    <s v="N"/>
    <n v="-22.585789827516731"/>
    <n v="-47.367580089048047"/>
    <n v="1289.81"/>
    <n v="2.75"/>
    <n v="50"/>
    <m/>
    <n v="0"/>
    <s v="Trator 1.7m"/>
    <m/>
    <s v="Não"/>
    <s v="Não"/>
    <s v="Não"/>
    <s v="Não"/>
    <n v="644.90499999999997"/>
    <n v="644.90499999999997"/>
  </r>
  <r>
    <s v="VGSP-330_143,000_EN_CL6"/>
    <x v="0"/>
    <s v="143,000"/>
    <m/>
    <s v="143,500"/>
    <m/>
    <x v="0"/>
    <s v="N"/>
    <n v="-22.58970658734788"/>
    <n v="-47.367879509289153"/>
    <n v="5030.3900000000003"/>
    <n v="4.1900000000000004"/>
    <n v="50"/>
    <m/>
    <n v="0"/>
    <s v="Trator 1.7m"/>
    <m/>
    <s v="Não"/>
    <s v="Não"/>
    <s v="Não"/>
    <s v="Não"/>
    <n v="2515.1950000000002"/>
    <n v="2515.1950000000002"/>
  </r>
  <r>
    <s v="VGSP-348_143,000_CC2"/>
    <x v="197"/>
    <s v="143,000"/>
    <m/>
    <s v="143,500"/>
    <n v="0.5"/>
    <x v="1"/>
    <s v="C"/>
    <n v="-22.691811679782958"/>
    <n v="-47.450419219645021"/>
    <n v="5572.48"/>
    <n v="4.1900000000000004"/>
    <n v="80"/>
    <m/>
    <n v="0"/>
    <s v="Trator 1.7m"/>
    <m/>
    <s v="Não"/>
    <s v="Não"/>
    <s v="Não"/>
    <s v="Não"/>
    <n v="4457.9839999999995"/>
    <n v="4457.9839999999995"/>
  </r>
  <r>
    <s v="VGSP-330_143,000_ES_CL2"/>
    <x v="0"/>
    <s v="143,000"/>
    <m/>
    <s v="143,500"/>
    <m/>
    <x v="0"/>
    <s v="S"/>
    <n v="-22.590959335785769"/>
    <n v="-47.367052537176718"/>
    <n v="4038.74"/>
    <n v="3.37"/>
    <n v="50"/>
    <m/>
    <n v="0"/>
    <s v="Trator 1.7m"/>
    <m/>
    <s v="Não"/>
    <s v="Não"/>
    <s v="Não"/>
    <s v="Não"/>
    <n v="2019.37"/>
    <n v="2019.37"/>
  </r>
  <r>
    <s v="VGSP-330_143,000_EN_CL5"/>
    <x v="0"/>
    <s v="143,000"/>
    <m/>
    <s v="143,500"/>
    <m/>
    <x v="0"/>
    <s v="N"/>
    <n v="-22.590304276799891"/>
    <n v="-47.368682800809211"/>
    <n v="500.38"/>
    <n v="3.74"/>
    <n v="50"/>
    <m/>
    <n v="0"/>
    <s v="Trator 1.7m"/>
    <m/>
    <s v="Não"/>
    <s v="Não"/>
    <s v="Não"/>
    <s v="Não"/>
    <n v="250.19"/>
    <n v="250.19"/>
  </r>
  <r>
    <s v="VGSP-330_143,000_EN_CL3"/>
    <x v="0"/>
    <s v="143,000"/>
    <m/>
    <s v="143,500"/>
    <m/>
    <x v="0"/>
    <s v="N"/>
    <n v="-22.590465599308409"/>
    <n v="-47.368251369828258"/>
    <n v="1070.21"/>
    <n v="1.86"/>
    <n v="50"/>
    <m/>
    <n v="0"/>
    <s v="Trator 1.7m"/>
    <m/>
    <s v="Não"/>
    <s v="Não"/>
    <s v="Não"/>
    <s v="Não"/>
    <n v="535.10500000000002"/>
    <n v="535.10500000000002"/>
  </r>
  <r>
    <s v="VGSP-330_143,000_EN_CL7"/>
    <x v="0"/>
    <s v="143,000"/>
    <m/>
    <s v="143,500"/>
    <m/>
    <x v="0"/>
    <s v="N"/>
    <n v="-22.5889028863607"/>
    <n v="-47.368027245149158"/>
    <n v="1527.69"/>
    <n v="4.2699999999999996"/>
    <n v="50"/>
    <m/>
    <n v="0"/>
    <s v="Trator 1.7m"/>
    <m/>
    <s v="Não"/>
    <s v="Não"/>
    <s v="Não"/>
    <s v="Não"/>
    <n v="763.84500000000003"/>
    <n v="763.84500000000003"/>
  </r>
  <r>
    <s v="VGSP-330_143,000_ES_CL5"/>
    <x v="0"/>
    <s v="143,000"/>
    <m/>
    <s v="143,500"/>
    <m/>
    <x v="0"/>
    <s v="S"/>
    <n v="-22.586197557054529"/>
    <n v="-47.367210235384512"/>
    <n v="977.44"/>
    <n v="2.4700000000000002"/>
    <n v="50"/>
    <m/>
    <n v="0"/>
    <s v="Trator 1.7m"/>
    <m/>
    <s v="Não"/>
    <s v="Não"/>
    <s v="Não"/>
    <s v="Não"/>
    <n v="488.72"/>
    <n v="488.72"/>
  </r>
  <r>
    <s v="VGSP-348_143,000_EN_CL1"/>
    <x v="0"/>
    <s v="143,000"/>
    <m/>
    <s v="143,500"/>
    <m/>
    <x v="0"/>
    <s v="N"/>
    <n v="-22.695356654439049"/>
    <n v="-47.452524801875533"/>
    <n v="1768.8"/>
    <n v="3.1"/>
    <n v="70"/>
    <m/>
    <n v="0"/>
    <s v="Trator 1.7m"/>
    <m/>
    <s v="Não"/>
    <s v="Não"/>
    <s v="Não"/>
    <s v="Não"/>
    <n v="1238.1599999999999"/>
    <n v="1238.1599999999999"/>
  </r>
  <r>
    <s v="VGSP-348_143,000_ES_CL1"/>
    <x v="0"/>
    <s v="143,000"/>
    <m/>
    <s v="143,500"/>
    <m/>
    <x v="0"/>
    <s v="S"/>
    <n v="-22.695225869929821"/>
    <n v="-47.452866968376988"/>
    <n v="1776.86"/>
    <n v="3.3"/>
    <n v="70"/>
    <m/>
    <n v="0"/>
    <s v="Trator 1.7m"/>
    <m/>
    <s v="Não"/>
    <s v="Não"/>
    <s v="Não"/>
    <s v="Não"/>
    <n v="1243.8019999999999"/>
    <n v="1243.8019999999999"/>
  </r>
  <r>
    <s v="VGSP-348_143,000_CC1"/>
    <x v="197"/>
    <s v="143,000"/>
    <m/>
    <s v="143,500"/>
    <n v="0.5"/>
    <x v="1"/>
    <s v="C"/>
    <n v="-22.695279820997591"/>
    <n v="-47.452689218610622"/>
    <n v="5056.57"/>
    <n v="3.28"/>
    <n v="80"/>
    <m/>
    <n v="0"/>
    <s v="Trator 1.7m"/>
    <m/>
    <s v="Não"/>
    <s v="Não"/>
    <s v="Não"/>
    <s v="Não"/>
    <n v="4045.2559999999999"/>
    <n v="4045.2559999999999"/>
  </r>
  <r>
    <s v="VGSP-330_143,000_EN_CL1"/>
    <x v="0"/>
    <s v="143,000"/>
    <m/>
    <s v="143,500"/>
    <m/>
    <x v="0"/>
    <s v="N"/>
    <n v="-22.590991659515819"/>
    <n v="-47.368210583009279"/>
    <n v="856.93"/>
    <n v="2.5499999999999998"/>
    <n v="50"/>
    <m/>
    <n v="0"/>
    <s v="Trator 1.7m"/>
    <m/>
    <s v="Não"/>
    <s v="Não"/>
    <s v="Não"/>
    <s v="Não"/>
    <n v="428.46499999999997"/>
    <n v="428.46499999999997"/>
  </r>
  <r>
    <s v="VGSP-348_143,000_EN_CL2"/>
    <x v="0"/>
    <s v="143,000"/>
    <m/>
    <s v="143,500"/>
    <m/>
    <x v="0"/>
    <s v="N"/>
    <n v="-22.69193059589195"/>
    <n v="-47.450289084961611"/>
    <n v="1649.96"/>
    <n v="3.83"/>
    <n v="70"/>
    <m/>
    <n v="0"/>
    <s v="Trator 1.7m"/>
    <m/>
    <s v="Não"/>
    <s v="Não"/>
    <s v="Não"/>
    <s v="Não"/>
    <n v="1154.972"/>
    <n v="1154.972"/>
  </r>
  <r>
    <s v="VGSP-348_143,000_ES_CL2"/>
    <x v="0"/>
    <s v="143,000"/>
    <m/>
    <s v="143,500"/>
    <m/>
    <x v="0"/>
    <s v="S"/>
    <n v="-22.691707376582858"/>
    <n v="-47.450556541394249"/>
    <n v="1732.38"/>
    <n v="4.37"/>
    <n v="70"/>
    <m/>
    <n v="0"/>
    <s v="Trator 1.7m"/>
    <m/>
    <s v="Não"/>
    <s v="Não"/>
    <s v="Não"/>
    <s v="Não"/>
    <n v="1212.6659999999999"/>
    <n v="1212.6659999999999"/>
  </r>
  <r>
    <s v="VGSP-330_143,000_EN_CL9"/>
    <x v="0"/>
    <s v="143,000"/>
    <m/>
    <s v="143,500"/>
    <m/>
    <x v="0"/>
    <s v="N"/>
    <n v="-22.58359136780971"/>
    <n v="-47.367394469488119"/>
    <n v="446.12"/>
    <n v="4.09"/>
    <n v="50"/>
    <m/>
    <n v="0"/>
    <s v="Trator 1.7m"/>
    <m/>
    <s v="Não"/>
    <s v="Não"/>
    <s v="Não"/>
    <s v="Não"/>
    <n v="223.06"/>
    <n v="223.06"/>
  </r>
  <r>
    <s v="VGSP-330_143,000_ES_CL8"/>
    <x v="0"/>
    <s v="143,000"/>
    <m/>
    <s v="143,500"/>
    <m/>
    <x v="0"/>
    <s v="S"/>
    <n v="-22.585087942377339"/>
    <n v="-47.367121566930457"/>
    <n v="23.56"/>
    <n v="6.22"/>
    <n v="0"/>
    <m/>
    <n v="0"/>
    <m/>
    <m/>
    <s v="Não"/>
    <s v="Não"/>
    <s v="Não"/>
    <s v="Não"/>
    <n v="0"/>
    <n v="0"/>
  </r>
  <r>
    <s v="VGSP-330_143,000_ES_CL4"/>
    <x v="0"/>
    <s v="143,000"/>
    <m/>
    <s v="143,500"/>
    <m/>
    <x v="0"/>
    <s v="S"/>
    <n v="-22.588704840033412"/>
    <n v="-47.367152054552577"/>
    <n v="1279.44"/>
    <n v="3.56"/>
    <n v="50"/>
    <m/>
    <n v="0"/>
    <s v="Trator 1.7m"/>
    <m/>
    <s v="Não"/>
    <s v="Não"/>
    <s v="Não"/>
    <s v="Não"/>
    <n v="639.72"/>
    <n v="639.72"/>
  </r>
  <r>
    <s v="VGSP-330_143,000_ES_CL6"/>
    <x v="0"/>
    <s v="143,000"/>
    <m/>
    <s v="143,500"/>
    <m/>
    <x v="0"/>
    <s v="S"/>
    <n v="-22.584074887336719"/>
    <n v="-47.367045715868073"/>
    <n v="841.62"/>
    <n v="3.93"/>
    <n v="50"/>
    <m/>
    <n v="0"/>
    <s v="Trator 1.7m"/>
    <m/>
    <s v="Não"/>
    <s v="Não"/>
    <s v="Não"/>
    <s v="Não"/>
    <n v="420.81"/>
    <n v="420.81"/>
  </r>
  <r>
    <s v="VGSP-330_143,000_ES_CL1"/>
    <x v="0"/>
    <s v="143,000"/>
    <m/>
    <s v="143,500"/>
    <m/>
    <x v="0"/>
    <s v="S"/>
    <n v="-22.59093295524082"/>
    <n v="-47.366738446808"/>
    <n v="532.96"/>
    <n v="4.1399999999999997"/>
    <n v="50"/>
    <m/>
    <n v="0"/>
    <s v="Trator 1.7m"/>
    <m/>
    <s v="Não"/>
    <s v="Não"/>
    <s v="Não"/>
    <s v="Não"/>
    <n v="266.48"/>
    <n v="266.48"/>
  </r>
  <r>
    <s v="VGSP-330_143,000_EN_CL4"/>
    <x v="0"/>
    <s v="143,000"/>
    <m/>
    <s v="143,500"/>
    <m/>
    <x v="0"/>
    <s v="N"/>
    <n v="-22.59042308983252"/>
    <n v="-47.367943492053698"/>
    <n v="63.41"/>
    <n v="0.93"/>
    <n v="0"/>
    <m/>
    <n v="0"/>
    <m/>
    <m/>
    <s v="Não"/>
    <s v="Não"/>
    <s v="Não"/>
    <s v="Não"/>
    <n v="0"/>
    <n v="0"/>
  </r>
  <r>
    <s v="VGSP-330_143,000_EN_CL2"/>
    <x v="0"/>
    <s v="143,000"/>
    <m/>
    <s v="143,500"/>
    <m/>
    <x v="0"/>
    <s v="N"/>
    <n v="-22.590996427947491"/>
    <n v="-47.367752990636603"/>
    <n v="5017.24"/>
    <n v="1.65"/>
    <n v="50"/>
    <m/>
    <n v="0"/>
    <s v="Trator 1.7m"/>
    <m/>
    <s v="Não"/>
    <s v="Não"/>
    <s v="Não"/>
    <s v="Não"/>
    <n v="2508.62"/>
    <n v="2508.62"/>
  </r>
  <r>
    <s v="VGSP-330_143,000_ES_CL7"/>
    <x v="0"/>
    <s v="143,000"/>
    <m/>
    <s v="143,500"/>
    <m/>
    <x v="0"/>
    <s v="S"/>
    <n v="-22.589512058242519"/>
    <n v="-47.367272565812527"/>
    <n v="4770.3500000000004"/>
    <n v="4.16"/>
    <n v="50"/>
    <m/>
    <n v="0"/>
    <s v="Trator 1.7m"/>
    <m/>
    <s v="Não"/>
    <s v="Não"/>
    <s v="Não"/>
    <s v="Não"/>
    <n v="2385.1750000000002"/>
    <n v="2385.1750000000002"/>
  </r>
  <r>
    <s v="VGSP-330_143,000_ES_CL3"/>
    <x v="0"/>
    <s v="143,000"/>
    <m/>
    <s v="143,500"/>
    <m/>
    <x v="0"/>
    <s v="S"/>
    <n v="-22.590294992976169"/>
    <n v="-47.366902653685841"/>
    <n v="1649.61"/>
    <n v="2.77"/>
    <n v="50"/>
    <m/>
    <n v="0"/>
    <s v="Trator 1.7m"/>
    <m/>
    <s v="Não"/>
    <s v="Não"/>
    <s v="Não"/>
    <s v="Não"/>
    <n v="824.80499999999995"/>
    <n v="824.80499999999995"/>
  </r>
  <r>
    <s v="VGSP-330_144,000_ES_CL2"/>
    <x v="0"/>
    <s v="144,000"/>
    <m/>
    <s v="144,500"/>
    <m/>
    <x v="0"/>
    <s v="S"/>
    <n v="-22.58098195816175"/>
    <n v="-47.366709164347249"/>
    <n v="1325.78"/>
    <n v="3.84"/>
    <n v="50"/>
    <m/>
    <n v="0"/>
    <s v="Trator 1.7m"/>
    <m/>
    <s v="Não"/>
    <s v="Não"/>
    <s v="Não"/>
    <s v="Não"/>
    <n v="662.89"/>
    <n v="662.89"/>
  </r>
  <r>
    <s v="VGSP-348_144,000_EN_CL1"/>
    <x v="0"/>
    <s v="144,000"/>
    <m/>
    <s v="144,500"/>
    <m/>
    <x v="0"/>
    <s v="N"/>
    <n v="-22.689196387657201"/>
    <n v="-47.446867293379853"/>
    <n v="1783.92"/>
    <n v="3.64"/>
    <n v="70"/>
    <m/>
    <n v="0"/>
    <s v="Trator 1.7m"/>
    <m/>
    <s v="Não"/>
    <s v="Não"/>
    <s v="Não"/>
    <s v="Não"/>
    <n v="1248.7439999999999"/>
    <n v="1248.7439999999999"/>
  </r>
  <r>
    <s v="VGSP-348_144,000_ES_CL1"/>
    <x v="0"/>
    <s v="144,000"/>
    <m/>
    <s v="144,500"/>
    <m/>
    <x v="0"/>
    <s v="S"/>
    <n v="-22.688926992889691"/>
    <n v="-47.447087888306953"/>
    <n v="1753.92"/>
    <n v="3.91"/>
    <n v="70"/>
    <m/>
    <n v="0"/>
    <s v="Trator 1.7m"/>
    <m/>
    <s v="Não"/>
    <s v="Não"/>
    <s v="Não"/>
    <s v="Não"/>
    <n v="1227.7439999999999"/>
    <n v="1227.7439999999999"/>
  </r>
  <r>
    <s v="VGSP-348_144,000_CC3"/>
    <x v="198"/>
    <s v="144,000"/>
    <m/>
    <s v="144,500"/>
    <n v="0.5"/>
    <x v="1"/>
    <s v="C"/>
    <n v="-22.685999388686149"/>
    <n v="-47.443308080520623"/>
    <n v="1741.46"/>
    <n v="4.82"/>
    <n v="70"/>
    <m/>
    <n v="0"/>
    <s v="Trator 1.7m"/>
    <m/>
    <s v="Não"/>
    <s v="Não"/>
    <s v="Não"/>
    <s v="Não"/>
    <n v="1219.0219999999999"/>
    <n v="1219.0219999999999"/>
  </r>
  <r>
    <s v="VGSP-330_144,000_ES_CL3"/>
    <x v="0"/>
    <s v="144,000"/>
    <m/>
    <s v="144,500"/>
    <m/>
    <x v="0"/>
    <s v="S"/>
    <n v="-22.576259428908308"/>
    <n v="-47.366432070897631"/>
    <n v="1733.45"/>
    <n v="5.61"/>
    <n v="65"/>
    <m/>
    <n v="1126.7425000000001"/>
    <s v="Trator com braço articulado"/>
    <m/>
    <s v="Não"/>
    <s v="Sim"/>
    <s v="Não"/>
    <s v="Sim"/>
    <n v="0"/>
    <m/>
  </r>
  <r>
    <s v="VGSP-348_144,000_CC2"/>
    <x v="198"/>
    <s v="144,000"/>
    <m/>
    <s v="144,500"/>
    <n v="0.5"/>
    <x v="1"/>
    <s v="C"/>
    <n v="-22.686103027169001"/>
    <n v="-47.443167967489671"/>
    <n v="5770.6"/>
    <n v="5.22"/>
    <n v="80"/>
    <m/>
    <n v="0"/>
    <s v="Trator 1.7m"/>
    <m/>
    <s v="Não"/>
    <s v="Não"/>
    <s v="Não"/>
    <s v="Não"/>
    <n v="4616.4800000000005"/>
    <n v="4616.4800000000005"/>
  </r>
  <r>
    <s v="VGSP-348_144,000_ES_CL2"/>
    <x v="0"/>
    <s v="144,000"/>
    <m/>
    <s v="144,500"/>
    <m/>
    <x v="0"/>
    <s v="S"/>
    <n v="-22.68754335414501"/>
    <n v="-47.445104662748641"/>
    <n v="144.66"/>
    <n v="4.1900000000000004"/>
    <n v="70"/>
    <m/>
    <n v="0"/>
    <s v="Trator 1.7m"/>
    <m/>
    <s v="Não"/>
    <s v="Não"/>
    <s v="Não"/>
    <s v="Não"/>
    <n v="101.26199999999999"/>
    <n v="101.26199999999999"/>
  </r>
  <r>
    <s v="VGSP-330_144,000_EN_CL2"/>
    <x v="0"/>
    <s v="144,000"/>
    <m/>
    <s v="144,500"/>
    <m/>
    <x v="0"/>
    <s v="N"/>
    <n v="-22.58113267469631"/>
    <n v="-47.367188535429662"/>
    <n v="1744.64"/>
    <n v="4.7699999999999996"/>
    <n v="50"/>
    <m/>
    <n v="0"/>
    <s v="Trator 1.7m"/>
    <m/>
    <s v="Não"/>
    <s v="Não"/>
    <s v="Não"/>
    <s v="Não"/>
    <n v="872.32"/>
    <n v="872.32"/>
  </r>
  <r>
    <s v="VGSP-330_144,000_ES_CL1"/>
    <x v="0"/>
    <s v="144,000"/>
    <m/>
    <s v="144,500"/>
    <m/>
    <x v="0"/>
    <s v="S"/>
    <n v="-22.58215377182395"/>
    <n v="-47.36686161405725"/>
    <n v="874.51"/>
    <n v="3.22"/>
    <n v="50"/>
    <m/>
    <n v="0"/>
    <s v="Trator 1.7m"/>
    <m/>
    <s v="Não"/>
    <s v="Não"/>
    <s v="Não"/>
    <s v="Não"/>
    <n v="437.255"/>
    <n v="437.255"/>
  </r>
  <r>
    <s v="VGSP-330_144,000_EN_CL3"/>
    <x v="0"/>
    <s v="144,000"/>
    <m/>
    <s v="144,500"/>
    <m/>
    <x v="0"/>
    <s v="N"/>
    <n v="-22.578655805422869"/>
    <n v="-47.367004151903657"/>
    <n v="437.66"/>
    <n v="7.48"/>
    <n v="50"/>
    <m/>
    <n v="0"/>
    <s v="Trator 1.7m"/>
    <m/>
    <s v="Não"/>
    <s v="Não"/>
    <s v="Não"/>
    <s v="Não"/>
    <n v="218.83"/>
    <n v="218.83"/>
  </r>
  <r>
    <s v="VGSP-330_144,000_EN_CL4"/>
    <x v="0"/>
    <s v="144,000"/>
    <m/>
    <s v="144,500"/>
    <m/>
    <x v="0"/>
    <s v="N"/>
    <n v="-22.576218877902939"/>
    <n v="-47.366793831918258"/>
    <n v="1734.77"/>
    <n v="5.25"/>
    <n v="50"/>
    <m/>
    <n v="0"/>
    <s v="Trator 1.7m"/>
    <m/>
    <s v="Não"/>
    <s v="Não"/>
    <s v="Não"/>
    <s v="Não"/>
    <n v="867.38499999999999"/>
    <n v="867.38499999999999"/>
  </r>
  <r>
    <s v="VGSP-348_144,000_EN_CL2"/>
    <x v="0"/>
    <s v="144,000"/>
    <m/>
    <s v="144,500"/>
    <m/>
    <x v="0"/>
    <s v="N"/>
    <n v="-22.687841574049731"/>
    <n v="-47.444880477564297"/>
    <n v="81.52"/>
    <n v="5.36"/>
    <n v="70"/>
    <m/>
    <n v="0"/>
    <s v="Trator 1.7m"/>
    <m/>
    <s v="Não"/>
    <s v="Não"/>
    <s v="Não"/>
    <s v="Não"/>
    <n v="57.063999999999993"/>
    <n v="57.063999999999993"/>
  </r>
  <r>
    <s v="VGSP-348_144,000_EN_CL4"/>
    <x v="0"/>
    <s v="144,000"/>
    <m/>
    <s v="144,500"/>
    <m/>
    <x v="0"/>
    <s v="N"/>
    <n v="-22.686190195481739"/>
    <n v="-47.443012186924207"/>
    <n v="1811.18"/>
    <n v="5.32"/>
    <n v="70"/>
    <m/>
    <n v="0"/>
    <s v="Trator 1.7m"/>
    <m/>
    <s v="Não"/>
    <s v="Não"/>
    <s v="Não"/>
    <s v="Não"/>
    <n v="1267.826"/>
    <n v="1267.826"/>
  </r>
  <r>
    <s v="VGSP-330_144,000_ES_CL4"/>
    <x v="0"/>
    <s v="144,000"/>
    <m/>
    <s v="144,500"/>
    <m/>
    <x v="0"/>
    <s v="S"/>
    <n v="-22.57950275701911"/>
    <n v="-47.366650757143233"/>
    <n v="1149.2"/>
    <n v="6.28"/>
    <n v="70"/>
    <m/>
    <n v="804.43999999999994"/>
    <s v="Trator com braço articulado"/>
    <m/>
    <s v="Não"/>
    <s v="Sim"/>
    <s v="Não"/>
    <s v="Sim"/>
    <n v="0"/>
    <m/>
  </r>
  <r>
    <s v="VGSP-330_144,000_EN_CL1"/>
    <x v="0"/>
    <s v="144,000"/>
    <m/>
    <s v="144,500"/>
    <m/>
    <x v="0"/>
    <s v="N"/>
    <n v="-22.579152635920341"/>
    <n v="-47.36704641379297"/>
    <n v="79.760000000000005"/>
    <n v="7.58"/>
    <n v="0"/>
    <m/>
    <n v="0"/>
    <m/>
    <m/>
    <s v="Não"/>
    <s v="Não"/>
    <s v="Não"/>
    <s v="Não"/>
    <n v="0"/>
    <n v="0"/>
  </r>
  <r>
    <s v="VGSP-348_144,000_EN_CL3"/>
    <x v="0"/>
    <s v="144,000"/>
    <m/>
    <s v="144,500"/>
    <m/>
    <x v="0"/>
    <s v="N"/>
    <n v="-22.6877156154865"/>
    <n v="-47.44499583729656"/>
    <n v="290.39"/>
    <n v="5.09"/>
    <n v="80"/>
    <m/>
    <n v="0"/>
    <s v="Trator 1.7m"/>
    <m/>
    <s v="Não"/>
    <s v="Não"/>
    <s v="Não"/>
    <s v="Não"/>
    <n v="232.31200000000001"/>
    <n v="232.31200000000001"/>
  </r>
  <r>
    <s v="VGSP-348_144,000_CC1"/>
    <x v="198"/>
    <s v="144,000"/>
    <m/>
    <s v="144,500"/>
    <n v="0.5"/>
    <x v="1"/>
    <s v="C"/>
    <n v="-22.68906990888539"/>
    <n v="-47.446985893339743"/>
    <n v="5819.13"/>
    <n v="3.75"/>
    <n v="80"/>
    <m/>
    <n v="0"/>
    <s v="Trator 1.7m"/>
    <m/>
    <s v="Não"/>
    <s v="Não"/>
    <s v="Não"/>
    <s v="Não"/>
    <n v="4655.3040000000001"/>
    <n v="4655.3040000000001"/>
  </r>
  <r>
    <s v="VGSP-330_145,000_ES_CL3"/>
    <x v="0"/>
    <s v="145,000"/>
    <m/>
    <s v="145,500"/>
    <m/>
    <x v="0"/>
    <s v="S"/>
    <n v="-22.568050112258"/>
    <n v="-47.365763878839402"/>
    <n v="1028.24"/>
    <n v="5.35"/>
    <n v="50"/>
    <m/>
    <n v="0"/>
    <s v="Trator 1.7m"/>
    <m/>
    <s v="Não"/>
    <s v="Não"/>
    <s v="Não"/>
    <s v="Não"/>
    <n v="514.12"/>
    <n v="514.12"/>
  </r>
  <r>
    <s v="VGSP-330_145,000_ES_CL6"/>
    <x v="0"/>
    <s v="145,000"/>
    <m/>
    <s v="145,500"/>
    <m/>
    <x v="0"/>
    <s v="S"/>
    <n v="-22.56669035284693"/>
    <n v="-47.365628186659173"/>
    <n v="1089.19"/>
    <n v="7.87"/>
    <n v="50"/>
    <m/>
    <n v="0"/>
    <s v="Trator 1.7m"/>
    <m/>
    <s v="Não"/>
    <s v="Não"/>
    <s v="Não"/>
    <s v="Não"/>
    <n v="544.59500000000003"/>
    <n v="544.59500000000003"/>
  </r>
  <r>
    <s v="VGSP-348_145,000_EN_CL2"/>
    <x v="0"/>
    <s v="145,000"/>
    <m/>
    <s v="145,500"/>
    <m/>
    <x v="0"/>
    <s v="N"/>
    <n v="-22.682542966797389"/>
    <n v="-47.441262764969181"/>
    <n v="1548.74"/>
    <n v="4.71"/>
    <n v="70"/>
    <m/>
    <n v="0"/>
    <s v="Trator 1.7m"/>
    <m/>
    <s v="Não"/>
    <s v="Não"/>
    <s v="Não"/>
    <s v="Não"/>
    <n v="1084.1179999999999"/>
    <n v="1084.1179999999999"/>
  </r>
  <r>
    <s v="VGSP-348_145,000_CC1"/>
    <x v="199"/>
    <s v="145,000"/>
    <m/>
    <s v="145,500"/>
    <n v="0.5"/>
    <x v="1"/>
    <s v="C"/>
    <n v="-22.678335833899279"/>
    <n v="-47.442316329306017"/>
    <n v="6706.27"/>
    <n v="6.7"/>
    <n v="80"/>
    <m/>
    <n v="0"/>
    <s v="Trator 1.7m"/>
    <m/>
    <s v="Não"/>
    <s v="Não"/>
    <s v="Não"/>
    <s v="Não"/>
    <n v="5365.0160000000005"/>
    <n v="5365.0160000000005"/>
  </r>
  <r>
    <s v="VGSP-330_145,000_EN_CL1"/>
    <x v="0"/>
    <s v="145,000"/>
    <m/>
    <s v="145,500"/>
    <m/>
    <x v="0"/>
    <s v="N"/>
    <n v="-22.571709314267739"/>
    <n v="-47.366440212161301"/>
    <n v="2272.33"/>
    <n v="4.29"/>
    <n v="50"/>
    <m/>
    <n v="0"/>
    <s v="Trator 1.7m"/>
    <m/>
    <s v="Não"/>
    <s v="Não"/>
    <s v="Não"/>
    <s v="Não"/>
    <n v="1136.165"/>
    <n v="1136.165"/>
  </r>
  <r>
    <s v="VGSP-330_145,000_ES_CL5"/>
    <x v="0"/>
    <s v="145,000"/>
    <m/>
    <s v="145,500"/>
    <m/>
    <x v="0"/>
    <s v="S"/>
    <n v="-22.565442259742792"/>
    <n v="-47.36553551736835"/>
    <n v="74.3"/>
    <n v="7.53"/>
    <n v="50"/>
    <m/>
    <n v="0"/>
    <s v="Trator 1.7m"/>
    <m/>
    <s v="Não"/>
    <s v="Não"/>
    <s v="Não"/>
    <s v="Não"/>
    <n v="37.15"/>
    <n v="37.15"/>
  </r>
  <r>
    <s v="VGSP-348_145,000_CC2"/>
    <x v="199"/>
    <s v="145,000"/>
    <m/>
    <s v="145,500"/>
    <n v="0.5"/>
    <x v="1"/>
    <s v="C"/>
    <n v="-22.682514394673461"/>
    <n v="-47.441619375555511"/>
    <n v="1477.49"/>
    <n v="7.17"/>
    <n v="70"/>
    <m/>
    <n v="0"/>
    <s v="Trator 1.7m"/>
    <m/>
    <s v="Não"/>
    <s v="Não"/>
    <s v="Não"/>
    <s v="Não"/>
    <n v="1034.2429999999999"/>
    <n v="1034.2429999999999"/>
  </r>
  <r>
    <s v="VGSP-348_145,000_ES_CL"/>
    <x v="0"/>
    <s v="145,000"/>
    <m/>
    <s v="145,500"/>
    <m/>
    <x v="0"/>
    <s v="S"/>
    <n v="-22.678350030408161"/>
    <n v="-47.442511471412473"/>
    <n v="2077.4"/>
    <n v="7.03"/>
    <n v="70"/>
    <m/>
    <n v="0"/>
    <s v="Trator 1.7m"/>
    <m/>
    <s v="Não"/>
    <s v="Não"/>
    <s v="Não"/>
    <s v="Não"/>
    <n v="1454.18"/>
    <n v="1454.18"/>
  </r>
  <r>
    <s v="VGSP-348_145,000_EN_CL3"/>
    <x v="0"/>
    <s v="145,000"/>
    <m/>
    <s v="145,500"/>
    <m/>
    <x v="0"/>
    <s v="N"/>
    <n v="-22.682519163344949"/>
    <n v="-47.441442101945263"/>
    <n v="4766.62"/>
    <n v="5.94"/>
    <n v="80"/>
    <m/>
    <n v="0"/>
    <s v="Trator 1.7m"/>
    <m/>
    <s v="Não"/>
    <s v="Não"/>
    <s v="Não"/>
    <s v="Não"/>
    <n v="3813.2960000000003"/>
    <n v="3813.2960000000003"/>
  </r>
  <r>
    <s v="VGSP-330_145,000_ES_CL1"/>
    <x v="0"/>
    <s v="145,000"/>
    <m/>
    <s v="145,500"/>
    <m/>
    <x v="0"/>
    <s v="S"/>
    <n v="-22.571750796899359"/>
    <n v="-47.366072288260938"/>
    <n v="2274.2800000000002"/>
    <n v="3.46"/>
    <n v="50"/>
    <m/>
    <n v="0"/>
    <s v="Trator 1.7m"/>
    <m/>
    <s v="Não"/>
    <s v="Não"/>
    <s v="Não"/>
    <s v="Não"/>
    <n v="1137.1400000000001"/>
    <n v="1137.1400000000001"/>
  </r>
  <r>
    <s v="VGSP-330_145,000_ES_CL4"/>
    <x v="0"/>
    <s v="145,000"/>
    <m/>
    <s v="145,500"/>
    <m/>
    <x v="0"/>
    <s v="S"/>
    <n v="-22.5680526799589"/>
    <n v="-47.365625210428682"/>
    <n v="34.03"/>
    <n v="5.57"/>
    <n v="50"/>
    <m/>
    <n v="0"/>
    <s v="Trator 1.7m"/>
    <m/>
    <s v="Não"/>
    <s v="Não"/>
    <s v="Não"/>
    <s v="Não"/>
    <n v="17.015000000000001"/>
    <n v="17.015000000000001"/>
  </r>
  <r>
    <s v="VGSP-330_145,000_ES_CL2"/>
    <x v="0"/>
    <s v="145,000"/>
    <m/>
    <s v="145,500"/>
    <m/>
    <x v="0"/>
    <s v="S"/>
    <n v="-22.568691054938132"/>
    <n v="-47.365738529826807"/>
    <n v="457.56"/>
    <n v="4.08"/>
    <n v="50"/>
    <m/>
    <n v="0"/>
    <s v="Trator 1.7m"/>
    <m/>
    <s v="Não"/>
    <s v="Não"/>
    <s v="Não"/>
    <s v="Não"/>
    <n v="228.78"/>
    <n v="228.78"/>
  </r>
  <r>
    <s v="VGSP-330_145,000_EN_CL3"/>
    <x v="0"/>
    <s v="145,000"/>
    <m/>
    <s v="145,500"/>
    <m/>
    <x v="0"/>
    <s v="N"/>
    <n v="-22.56532622888999"/>
    <n v="-47.36603113886747"/>
    <n v="166.71"/>
    <n v="5.56"/>
    <n v="50"/>
    <m/>
    <n v="0"/>
    <s v="Trator 1.7m"/>
    <m/>
    <s v="Não"/>
    <s v="Não"/>
    <s v="Não"/>
    <s v="Não"/>
    <n v="83.355000000000004"/>
    <n v="83.355000000000004"/>
  </r>
  <r>
    <s v="VGSP-330_145,000_EN_CL2"/>
    <x v="0"/>
    <s v="145,000"/>
    <m/>
    <s v="145,500"/>
    <m/>
    <x v="0"/>
    <s v="N"/>
    <n v="-22.567286729217269"/>
    <n v="-47.366095228822537"/>
    <n v="1666.39"/>
    <n v="4.72"/>
    <n v="50"/>
    <m/>
    <n v="0"/>
    <s v="Trator 1.7m"/>
    <m/>
    <s v="Não"/>
    <s v="Não"/>
    <s v="Não"/>
    <s v="Não"/>
    <n v="833.19500000000005"/>
    <n v="833.19500000000005"/>
  </r>
  <r>
    <s v="VGSP-348_145,000_EN_CL1"/>
    <x v="0"/>
    <s v="145,000"/>
    <m/>
    <s v="145,500"/>
    <m/>
    <x v="0"/>
    <s v="N"/>
    <n v="-22.678265758343361"/>
    <n v="-47.442150132366883"/>
    <n v="2098.23"/>
    <n v="6.42"/>
    <n v="70"/>
    <m/>
    <n v="0"/>
    <s v="Trator 1.7m"/>
    <m/>
    <s v="Não"/>
    <s v="Não"/>
    <s v="Não"/>
    <s v="Não"/>
    <n v="1468.761"/>
    <n v="1468.761"/>
  </r>
  <r>
    <s v="VGSP-330_146,000_EN_CL5"/>
    <x v="0"/>
    <s v="146,000"/>
    <m/>
    <s v="146,500"/>
    <m/>
    <x v="0"/>
    <s v="N"/>
    <n v="-22.55717885493252"/>
    <n v="-47.36817668774485"/>
    <n v="529.41999999999996"/>
    <n v="4.72"/>
    <n v="50"/>
    <m/>
    <n v="0"/>
    <s v="Trator 1.7m"/>
    <m/>
    <s v="Não"/>
    <s v="Não"/>
    <s v="Não"/>
    <s v="Não"/>
    <n v="264.70999999999998"/>
    <n v="264.70999999999998"/>
  </r>
  <r>
    <s v="VGSP-348_146,000_EN_CL1"/>
    <x v="0"/>
    <s v="146,000"/>
    <m/>
    <s v="146,500"/>
    <m/>
    <x v="0"/>
    <s v="N"/>
    <n v="-22.66972433988466"/>
    <n v="-47.446556887422773"/>
    <n v="1870.26"/>
    <n v="4.8499999999999996"/>
    <n v="70"/>
    <m/>
    <n v="0"/>
    <s v="Trator 1.7m"/>
    <m/>
    <s v="Não"/>
    <s v="Não"/>
    <s v="Não"/>
    <s v="Não"/>
    <n v="1309.182"/>
    <n v="1309.182"/>
  </r>
  <r>
    <s v="VGSP-348_146,000_EN_CL2"/>
    <x v="0"/>
    <s v="146,000"/>
    <m/>
    <s v="146,500"/>
    <m/>
    <x v="0"/>
    <s v="N"/>
    <n v="-22.673860342829659"/>
    <n v="-47.444394738875957"/>
    <n v="1888.32"/>
    <n v="5.19"/>
    <n v="70"/>
    <m/>
    <n v="0"/>
    <s v="Trator 1.7m"/>
    <m/>
    <s v="Não"/>
    <s v="Não"/>
    <s v="Não"/>
    <s v="Não"/>
    <n v="1321.8239999999998"/>
    <n v="1321.8239999999998"/>
  </r>
  <r>
    <s v="VGSP-330_146,000_CC1"/>
    <x v="200"/>
    <s v="146,000"/>
    <m/>
    <s v="146,500"/>
    <m/>
    <x v="1"/>
    <s v="C"/>
    <n v="-22.55914709656658"/>
    <n v="-47.366961688853827"/>
    <n v="1174.1500000000001"/>
    <n v="3.24"/>
    <n v="0"/>
    <m/>
    <n v="0"/>
    <m/>
    <m/>
    <s v="Não"/>
    <s v="Não"/>
    <s v="Não"/>
    <s v="Não"/>
    <n v="0"/>
    <n v="0"/>
  </r>
  <r>
    <s v="VGSP-330_146,000_CC2"/>
    <x v="200"/>
    <s v="146,000"/>
    <m/>
    <s v="146,500"/>
    <m/>
    <x v="1"/>
    <s v="C"/>
    <n v="-22.562960369816579"/>
    <n v="-47.365964586567657"/>
    <n v="1972.42"/>
    <n v="4.41"/>
    <n v="0"/>
    <m/>
    <n v="0"/>
    <m/>
    <m/>
    <s v="Não"/>
    <s v="Não"/>
    <s v="Não"/>
    <s v="Não"/>
    <n v="0"/>
    <n v="0"/>
  </r>
  <r>
    <s v="VGSP-330_146,000_EN_CL1"/>
    <x v="0"/>
    <s v="146,000"/>
    <m/>
    <s v="146,500"/>
    <m/>
    <x v="0"/>
    <s v="N"/>
    <n v="-22.560430563559301"/>
    <n v="-47.366667031424427"/>
    <n v="110.66"/>
    <n v="1.57"/>
    <n v="50"/>
    <m/>
    <n v="0"/>
    <s v="Trator 1.7m"/>
    <m/>
    <s v="Não"/>
    <s v="Não"/>
    <s v="Não"/>
    <s v="Não"/>
    <n v="55.33"/>
    <n v="55.33"/>
  </r>
  <r>
    <s v="VGSP-330_146,000_CC3"/>
    <x v="200"/>
    <s v="146,000"/>
    <m/>
    <s v="146,500"/>
    <m/>
    <x v="1"/>
    <s v="C"/>
    <n v="-22.557051170274761"/>
    <n v="-47.368033338503118"/>
    <n v="448.29"/>
    <n v="6.26"/>
    <n v="0"/>
    <m/>
    <n v="0"/>
    <m/>
    <m/>
    <s v="Não"/>
    <s v="Não"/>
    <s v="Não"/>
    <s v="Não"/>
    <n v="0"/>
    <n v="0"/>
  </r>
  <r>
    <s v="VGSP-330_146,000_ES_CL7"/>
    <x v="0"/>
    <s v="146,000"/>
    <m/>
    <s v="146,500"/>
    <m/>
    <x v="0"/>
    <s v="S"/>
    <n v="-22.5585556246359"/>
    <n v="-47.366975749897342"/>
    <n v="1112.82"/>
    <n v="4.3899999999999997"/>
    <n v="50"/>
    <m/>
    <n v="0"/>
    <s v="Trator 1.7m"/>
    <m/>
    <s v="Não"/>
    <s v="Não"/>
    <s v="Não"/>
    <s v="Não"/>
    <n v="556.41"/>
    <n v="556.41"/>
  </r>
  <r>
    <s v="VGSP-348_146,000_CC1"/>
    <x v="201"/>
    <s v="146,000"/>
    <m/>
    <s v="146,500"/>
    <n v="0.5"/>
    <x v="1"/>
    <s v="C"/>
    <n v="-22.669804803601"/>
    <n v="-47.446720781260808"/>
    <n v="6128.92"/>
    <n v="5.07"/>
    <n v="80"/>
    <m/>
    <n v="0"/>
    <s v="Trator 1.7m"/>
    <m/>
    <s v="Não"/>
    <s v="Não"/>
    <s v="Não"/>
    <s v="Não"/>
    <n v="4903.1360000000004"/>
    <n v="4903.1360000000004"/>
  </r>
  <r>
    <s v="VGSP-348_146,000_CC2"/>
    <x v="201"/>
    <s v="146,000"/>
    <m/>
    <s v="146,500"/>
    <n v="0.5"/>
    <x v="1"/>
    <s v="C"/>
    <n v="-22.6739397965144"/>
    <n v="-47.444560372727288"/>
    <n v="5920.69"/>
    <n v="4.29"/>
    <n v="80"/>
    <m/>
    <n v="0"/>
    <s v="Trator 1.7m"/>
    <m/>
    <s v="Não"/>
    <s v="Não"/>
    <s v="Não"/>
    <s v="Não"/>
    <n v="4736.5519999999997"/>
    <n v="4736.5519999999997"/>
  </r>
  <r>
    <s v="VGSP-330_146,000_ES_CL1"/>
    <x v="0"/>
    <s v="146,000"/>
    <m/>
    <s v="146,500"/>
    <m/>
    <x v="0"/>
    <s v="S"/>
    <n v="-22.563895235388159"/>
    <n v="-47.365609582427552"/>
    <n v="1269.48"/>
    <n v="4.72"/>
    <n v="50"/>
    <m/>
    <n v="0"/>
    <s v="Trator 1.7m"/>
    <m/>
    <s v="Não"/>
    <s v="Não"/>
    <s v="Não"/>
    <s v="Não"/>
    <n v="634.74"/>
    <n v="634.74"/>
  </r>
  <r>
    <s v="VGSP-330_146,000_ES_CL2"/>
    <x v="0"/>
    <s v="146,000"/>
    <m/>
    <s v="146,500"/>
    <m/>
    <x v="0"/>
    <s v="S"/>
    <n v="-22.562422546687369"/>
    <n v="-47.365769476041358"/>
    <n v="414.94"/>
    <n v="4.21"/>
    <n v="50"/>
    <m/>
    <n v="0"/>
    <s v="Trator 1.7m"/>
    <m/>
    <s v="Não"/>
    <s v="Não"/>
    <s v="Não"/>
    <s v="Não"/>
    <n v="207.47"/>
    <n v="207.47"/>
  </r>
  <r>
    <s v="VGSP-330_146,000_ES_CL3"/>
    <x v="0"/>
    <s v="146,000"/>
    <m/>
    <s v="146,500"/>
    <m/>
    <x v="0"/>
    <s v="S"/>
    <n v="-22.562158464851041"/>
    <n v="-47.365669321778022"/>
    <n v="0.08"/>
    <n v="3.66"/>
    <n v="50"/>
    <m/>
    <n v="0"/>
    <s v="Trator 1.7m"/>
    <m/>
    <s v="Não"/>
    <s v="Não"/>
    <s v="Não"/>
    <s v="Não"/>
    <n v="0.04"/>
    <n v="0.04"/>
  </r>
  <r>
    <s v="VGSP-330_146,000_EN_CL2"/>
    <x v="0"/>
    <s v="146,000"/>
    <m/>
    <s v="146,500"/>
    <m/>
    <x v="0"/>
    <s v="N"/>
    <n v="-22.562880107657509"/>
    <n v="-47.366152888190129"/>
    <n v="2121.1"/>
    <n v="3.59"/>
    <n v="50"/>
    <m/>
    <n v="0"/>
    <s v="Trator 1.7m"/>
    <m/>
    <s v="Não"/>
    <s v="Não"/>
    <s v="Não"/>
    <s v="Não"/>
    <n v="1060.55"/>
    <n v="1060.55"/>
  </r>
  <r>
    <s v="VGSP-330_146,000_ES_CL5"/>
    <x v="0"/>
    <s v="146,000"/>
    <m/>
    <s v="146,500"/>
    <m/>
    <x v="0"/>
    <s v="S"/>
    <n v="-22.561289541960971"/>
    <n v="-47.366025118937429"/>
    <n v="826.13"/>
    <n v="4.75"/>
    <n v="50"/>
    <m/>
    <n v="0"/>
    <s v="Trator 1.7m"/>
    <m/>
    <s v="Não"/>
    <s v="Não"/>
    <s v="Não"/>
    <s v="Não"/>
    <n v="413.065"/>
    <n v="413.065"/>
  </r>
  <r>
    <s v="VGSP-330_146,000_ES_CL4"/>
    <x v="0"/>
    <s v="146,000"/>
    <m/>
    <s v="146,500"/>
    <m/>
    <x v="0"/>
    <s v="S"/>
    <n v="-22.55995890089315"/>
    <n v="-47.366392394754108"/>
    <n v="493.11"/>
    <n v="2.56"/>
    <n v="50"/>
    <m/>
    <n v="0"/>
    <s v="Trator 1.7m"/>
    <m/>
    <s v="Não"/>
    <s v="Não"/>
    <s v="Não"/>
    <s v="Não"/>
    <n v="246.55500000000001"/>
    <n v="246.55500000000001"/>
  </r>
  <r>
    <s v="VGSP-330_146,000_EN_CL3"/>
    <x v="0"/>
    <s v="146,000"/>
    <m/>
    <s v="146,500"/>
    <m/>
    <x v="0"/>
    <s v="N"/>
    <n v="-22.559152803399609"/>
    <n v="-47.367149429260913"/>
    <n v="560.67999999999995"/>
    <n v="2.84"/>
    <n v="50"/>
    <m/>
    <n v="0"/>
    <s v="Trator 1.7m"/>
    <m/>
    <s v="Não"/>
    <s v="Não"/>
    <s v="Não"/>
    <s v="Não"/>
    <n v="280.33999999999997"/>
    <n v="280.33999999999997"/>
  </r>
  <r>
    <s v="VGSP-330_146,000_EN_CL4"/>
    <x v="0"/>
    <s v="146,000"/>
    <m/>
    <s v="146,500"/>
    <m/>
    <x v="0"/>
    <s v="N"/>
    <n v="-22.558117553829181"/>
    <n v="-47.367671300278033"/>
    <n v="464.03"/>
    <n v="2.4700000000000002"/>
    <n v="50"/>
    <m/>
    <n v="0"/>
    <s v="Trator 1.7m"/>
    <m/>
    <s v="Não"/>
    <s v="Não"/>
    <s v="Não"/>
    <s v="Não"/>
    <n v="232.01499999999999"/>
    <n v="232.01499999999999"/>
  </r>
  <r>
    <s v="VGSP-330_146,000_ES_CL8"/>
    <x v="0"/>
    <s v="146,000"/>
    <m/>
    <s v="146,500"/>
    <m/>
    <x v="0"/>
    <s v="S"/>
    <n v="-22.557072191558021"/>
    <n v="-47.367622069175383"/>
    <n v="265.5"/>
    <n v="5.66"/>
    <n v="50"/>
    <m/>
    <n v="0"/>
    <s v="Trator 1.7m"/>
    <m/>
    <s v="Não"/>
    <s v="Não"/>
    <s v="Não"/>
    <s v="Não"/>
    <n v="132.75"/>
    <n v="132.75"/>
  </r>
  <r>
    <s v="VGSP-330_146,000_ES_CL9"/>
    <x v="0"/>
    <s v="146,000"/>
    <m/>
    <s v="146,500"/>
    <m/>
    <x v="0"/>
    <s v="S"/>
    <n v="-22.556599222243712"/>
    <n v="-47.367941401364781"/>
    <n v="259.16000000000003"/>
    <n v="7.45"/>
    <n v="50"/>
    <m/>
    <n v="0"/>
    <s v="Trator 1.7m"/>
    <m/>
    <s v="Não"/>
    <s v="Não"/>
    <s v="Não"/>
    <s v="Não"/>
    <n v="129.58000000000001"/>
    <n v="129.58000000000001"/>
  </r>
  <r>
    <s v="VGSP-348_146,000_ES_CL1"/>
    <x v="0"/>
    <s v="146,000"/>
    <m/>
    <s v="146,500"/>
    <m/>
    <x v="0"/>
    <s v="S"/>
    <n v="-22.669904803875301"/>
    <n v="-47.446872450154054"/>
    <n v="1910.22"/>
    <n v="5.31"/>
    <n v="70"/>
    <m/>
    <n v="0"/>
    <s v="Trator 1.7m"/>
    <m/>
    <s v="Não"/>
    <s v="Não"/>
    <s v="Não"/>
    <s v="Não"/>
    <n v="1337.154"/>
    <n v="1337.154"/>
  </r>
  <r>
    <s v="VGSP-348_146,000_ES_CL2"/>
    <x v="0"/>
    <s v="146,000"/>
    <m/>
    <s v="146,500"/>
    <m/>
    <x v="0"/>
    <s v="S"/>
    <n v="-22.67402636254409"/>
    <n v="-47.444716413243682"/>
    <n v="1836.29"/>
    <n v="3.43"/>
    <n v="70"/>
    <m/>
    <n v="0"/>
    <s v="Trator 1.7m"/>
    <m/>
    <s v="Não"/>
    <s v="Não"/>
    <s v="Não"/>
    <s v="Não"/>
    <n v="1285.4029999999998"/>
    <n v="1285.4029999999998"/>
  </r>
  <r>
    <s v="VGSP-330_146,000_ES_CL6"/>
    <x v="0"/>
    <s v="146,000"/>
    <m/>
    <s v="146,500"/>
    <m/>
    <x v="0"/>
    <s v="S"/>
    <n v="-22.559736392758399"/>
    <n v="-47.366341427909887"/>
    <n v="35.93"/>
    <n v="1.91"/>
    <n v="50"/>
    <m/>
    <n v="0"/>
    <s v="Trator 1.7m"/>
    <m/>
    <s v="Não"/>
    <s v="Não"/>
    <s v="Não"/>
    <s v="Não"/>
    <n v="17.965"/>
    <n v="17.965"/>
  </r>
  <r>
    <s v="VGSP-330_146,000_ES_CL10"/>
    <x v="0"/>
    <s v="146,000"/>
    <m/>
    <s v="146,500"/>
    <m/>
    <x v="0"/>
    <s v="S"/>
    <n v="-22.557022102791979"/>
    <n v="-47.367811260592667"/>
    <n v="1400.06"/>
    <n v="5.81"/>
    <n v="50"/>
    <m/>
    <n v="0"/>
    <s v="Trator 1.7m"/>
    <m/>
    <s v="Não"/>
    <s v="Não"/>
    <s v="Não"/>
    <s v="Não"/>
    <n v="700.03"/>
    <n v="700.03"/>
  </r>
  <r>
    <s v="VGSP-330_147,000_CC2"/>
    <x v="202"/>
    <s v="147,000"/>
    <m/>
    <s v="147,500"/>
    <m/>
    <x v="1"/>
    <s v="C"/>
    <n v="-22.55150206636695"/>
    <n v="-47.371847811720272"/>
    <n v="2093.8200000000002"/>
    <n v="3.63"/>
    <n v="50"/>
    <m/>
    <n v="0"/>
    <s v="Trator 1.7m"/>
    <m/>
    <s v="Não"/>
    <s v="Não"/>
    <s v="Não"/>
    <s v="Não"/>
    <n v="1046.9100000000001"/>
    <n v="1046.9100000000001"/>
  </r>
  <r>
    <s v="VGSP-330_147,000_ES_CL8"/>
    <x v="0"/>
    <s v="147,000"/>
    <m/>
    <s v="147,500"/>
    <m/>
    <x v="0"/>
    <s v="S"/>
    <n v="-22.55268226495345"/>
    <n v="-47.370616778628033"/>
    <n v="134.21"/>
    <n v="2.79"/>
    <n v="50"/>
    <m/>
    <n v="0"/>
    <s v="Trator 1.7m"/>
    <m/>
    <s v="Não"/>
    <s v="Não"/>
    <s v="Não"/>
    <s v="Não"/>
    <n v="67.105000000000004"/>
    <n v="67.105000000000004"/>
  </r>
  <r>
    <s v="VGSP-330_147,000_ES_CL11"/>
    <x v="0"/>
    <s v="147,000"/>
    <m/>
    <s v="147,500"/>
    <m/>
    <x v="0"/>
    <s v="S"/>
    <n v="-22.549809198215559"/>
    <n v="-47.372757439290133"/>
    <n v="69.790000000000006"/>
    <n v="1.8"/>
    <n v="50"/>
    <m/>
    <n v="0"/>
    <s v="Trator 1.7m"/>
    <m/>
    <s v="Não"/>
    <s v="Não"/>
    <s v="Não"/>
    <s v="Não"/>
    <n v="34.895000000000003"/>
    <n v="34.895000000000003"/>
  </r>
  <r>
    <s v="VGSP-330_147,000_EN_CL2"/>
    <x v="0"/>
    <s v="147,000"/>
    <m/>
    <s v="147,500"/>
    <m/>
    <x v="0"/>
    <s v="N"/>
    <n v="-22.552740210768629"/>
    <n v="-47.371290328821367"/>
    <n v="43.45"/>
    <n v="3.29"/>
    <n v="50"/>
    <m/>
    <n v="0"/>
    <s v="Trator 1.7m"/>
    <m/>
    <s v="Não"/>
    <s v="Não"/>
    <s v="Não"/>
    <s v="Não"/>
    <n v="21.725000000000001"/>
    <n v="21.725000000000001"/>
  </r>
  <r>
    <s v="VGSP-330_147,000_ES_CL1"/>
    <x v="0"/>
    <s v="147,000"/>
    <m/>
    <s v="147,500"/>
    <m/>
    <x v="0"/>
    <s v="S"/>
    <n v="-22.555705100451021"/>
    <n v="-47.368659806630667"/>
    <n v="849.15"/>
    <n v="3.65"/>
    <n v="50"/>
    <m/>
    <n v="0"/>
    <s v="Trator 1.7m"/>
    <m/>
    <s v="Não"/>
    <s v="Não"/>
    <s v="Não"/>
    <s v="Não"/>
    <n v="424.57499999999999"/>
    <n v="424.57499999999999"/>
  </r>
  <r>
    <s v="VGSP-348_147,000_ES_CL3"/>
    <x v="0"/>
    <s v="147,000"/>
    <m/>
    <s v="147,500"/>
    <m/>
    <x v="0"/>
    <s v="S"/>
    <n v="-22.664662998715521"/>
    <n v="-47.449030181694987"/>
    <n v="995.51"/>
    <n v="5.85"/>
    <n v="70"/>
    <m/>
    <n v="0"/>
    <s v="Trator 1.7m"/>
    <m/>
    <s v="Não"/>
    <s v="Não"/>
    <s v="Não"/>
    <s v="Não"/>
    <n v="696.85699999999997"/>
    <n v="696.85699999999997"/>
  </r>
  <r>
    <s v="VGSP-348_147,000_CC1"/>
    <x v="203"/>
    <s v="147,000"/>
    <m/>
    <s v="147,500"/>
    <n v="0.5"/>
    <x v="1"/>
    <s v="C"/>
    <n v="-22.666815034588751"/>
    <n v="-47.448158374533037"/>
    <n v="2604.15"/>
    <n v="7.24"/>
    <n v="80"/>
    <m/>
    <n v="0"/>
    <s v="Trator 1.7m"/>
    <m/>
    <s v="Não"/>
    <s v="Não"/>
    <s v="Não"/>
    <s v="Não"/>
    <n v="2083.3200000000002"/>
    <n v="2083.3200000000002"/>
  </r>
  <r>
    <s v="VGSP-330_147,000_EN_CL7"/>
    <x v="0"/>
    <s v="147,000"/>
    <m/>
    <s v="147,500"/>
    <m/>
    <x v="0"/>
    <s v="N"/>
    <n v="-22.549647522095128"/>
    <n v="-47.373356428147197"/>
    <n v="292.83999999999997"/>
    <n v="2.78"/>
    <n v="50"/>
    <m/>
    <n v="0"/>
    <s v="Trator 1.7m"/>
    <m/>
    <s v="Não"/>
    <s v="Não"/>
    <s v="Não"/>
    <s v="Não"/>
    <n v="146.41999999999999"/>
    <n v="146.41999999999999"/>
  </r>
  <r>
    <s v="VGSP-348_147,000_CC3"/>
    <x v="203"/>
    <s v="147,000"/>
    <m/>
    <s v="147,500"/>
    <n v="0.5"/>
    <x v="1"/>
    <s v="C"/>
    <n v="-22.66462525052378"/>
    <n v="-47.44885379153493"/>
    <n v="3225.64"/>
    <n v="6.01"/>
    <n v="80"/>
    <m/>
    <n v="0"/>
    <s v="Trator 1.7m"/>
    <m/>
    <s v="Não"/>
    <s v="Não"/>
    <s v="Não"/>
    <s v="Não"/>
    <n v="2580.5120000000002"/>
    <n v="2580.5120000000002"/>
  </r>
  <r>
    <s v="VGSP-330_147,000_ES_CL7"/>
    <x v="0"/>
    <s v="147,000"/>
    <m/>
    <s v="147,500"/>
    <m/>
    <x v="0"/>
    <s v="S"/>
    <n v="-22.55175505553736"/>
    <n v="-47.371255424440882"/>
    <n v="822.96"/>
    <n v="3"/>
    <n v="50"/>
    <m/>
    <n v="0"/>
    <s v="Trator 1.7m"/>
    <m/>
    <s v="Não"/>
    <s v="Não"/>
    <s v="Não"/>
    <s v="Não"/>
    <n v="411.48"/>
    <n v="411.48"/>
  </r>
  <r>
    <s v="VGSP-330_147,000_ES_CL9"/>
    <x v="0"/>
    <s v="147,000"/>
    <m/>
    <s v="147,500"/>
    <m/>
    <x v="0"/>
    <s v="S"/>
    <n v="-22.550796354521651"/>
    <n v="-47.371959282484468"/>
    <n v="89.15"/>
    <n v="2.0699999999999998"/>
    <n v="50"/>
    <m/>
    <n v="0"/>
    <s v="Trator 1.7m"/>
    <m/>
    <s v="Não"/>
    <s v="Não"/>
    <s v="Não"/>
    <s v="Não"/>
    <n v="44.575000000000003"/>
    <n v="44.575000000000003"/>
  </r>
  <r>
    <s v="VGSP-330_147,000_EN_CL3"/>
    <x v="0"/>
    <s v="147,000"/>
    <m/>
    <s v="147,500"/>
    <m/>
    <x v="0"/>
    <s v="N"/>
    <n v="-22.552811057831178"/>
    <n v="-47.371177212182047"/>
    <n v="107.04"/>
    <n v="3.29"/>
    <n v="50"/>
    <m/>
    <n v="0"/>
    <s v="Trator 1.7m"/>
    <m/>
    <s v="Não"/>
    <s v="Não"/>
    <s v="Não"/>
    <s v="Não"/>
    <n v="53.52"/>
    <n v="53.52"/>
  </r>
  <r>
    <s v="VGSP-330_147,000_ES_CL6"/>
    <x v="0"/>
    <s v="147,000"/>
    <m/>
    <s v="147,500"/>
    <m/>
    <x v="0"/>
    <s v="S"/>
    <n v="-22.553906316769481"/>
    <n v="-47.369980016804391"/>
    <n v="725.75"/>
    <n v="2.8"/>
    <n v="0"/>
    <m/>
    <n v="0"/>
    <m/>
    <m/>
    <s v="Sim"/>
    <s v="Não"/>
    <s v="Não"/>
    <s v="Não"/>
    <n v="0"/>
    <m/>
  </r>
  <r>
    <s v="VGSP-348_147,000_ES_CL1"/>
    <x v="0"/>
    <s v="147,000"/>
    <m/>
    <s v="147,500"/>
    <m/>
    <x v="0"/>
    <s v="S"/>
    <n v="-22.666873619410669"/>
    <n v="-47.448328351372751"/>
    <n v="805.76"/>
    <n v="7.5"/>
    <n v="70"/>
    <m/>
    <n v="0"/>
    <s v="Trator 1.7m"/>
    <m/>
    <s v="Não"/>
    <s v="Não"/>
    <s v="Não"/>
    <s v="Não"/>
    <n v="564.03199999999993"/>
    <n v="564.03199999999993"/>
  </r>
  <r>
    <s v="VGSP-348_147,000_EN_CL2"/>
    <x v="0"/>
    <s v="147,000"/>
    <m/>
    <s v="147,500"/>
    <m/>
    <x v="0"/>
    <s v="N"/>
    <n v="-22.661241313670931"/>
    <n v="-47.449103409770878"/>
    <n v="1830.18"/>
    <n v="4.97"/>
    <n v="70"/>
    <m/>
    <n v="0"/>
    <s v="Trator 1.7m"/>
    <m/>
    <s v="Não"/>
    <s v="Não"/>
    <s v="Não"/>
    <s v="Não"/>
    <n v="1281.126"/>
    <n v="1281.126"/>
  </r>
  <r>
    <s v="VGSP-330_147,000_EN_CL5"/>
    <x v="0"/>
    <s v="147,000"/>
    <m/>
    <s v="147,500"/>
    <m/>
    <x v="0"/>
    <s v="N"/>
    <n v="-22.551954399049489"/>
    <n v="-47.371834011710519"/>
    <n v="288.69"/>
    <n v="3.61"/>
    <n v="50"/>
    <m/>
    <n v="0"/>
    <s v="Trator 1.7m"/>
    <m/>
    <s v="Não"/>
    <s v="Não"/>
    <s v="Não"/>
    <s v="Não"/>
    <n v="144.345"/>
    <n v="144.345"/>
  </r>
  <r>
    <s v="VGSP-330_147,000_ES_CL5"/>
    <x v="0"/>
    <s v="147,000"/>
    <m/>
    <s v="147,500"/>
    <m/>
    <x v="0"/>
    <s v="S"/>
    <n v="-22.551628475762211"/>
    <n v="-47.371552117559958"/>
    <n v="629.95000000000005"/>
    <n v="3.28"/>
    <n v="0"/>
    <m/>
    <n v="0"/>
    <m/>
    <m/>
    <s v="Sim"/>
    <s v="Não"/>
    <s v="Não"/>
    <s v="Não"/>
    <n v="0"/>
    <m/>
  </r>
  <r>
    <s v="VGSP-330_147,000_EN_CL4"/>
    <x v="0"/>
    <s v="147,000"/>
    <m/>
    <s v="147,500"/>
    <m/>
    <x v="0"/>
    <s v="N"/>
    <n v="-22.55248631993426"/>
    <n v="-47.371397266208383"/>
    <n v="359.37"/>
    <n v="2.5"/>
    <n v="50"/>
    <m/>
    <n v="0"/>
    <s v="Trator 1.7m"/>
    <m/>
    <s v="Não"/>
    <s v="Não"/>
    <s v="Não"/>
    <s v="Não"/>
    <n v="179.685"/>
    <n v="179.685"/>
  </r>
  <r>
    <s v="VGSP-330_147,000_CC3"/>
    <x v="202"/>
    <s v="147,000"/>
    <m/>
    <s v="147,500"/>
    <m/>
    <x v="1"/>
    <s v="C"/>
    <n v="-22.55024936848196"/>
    <n v="-47.37270717128316"/>
    <n v="1233.8"/>
    <n v="2.19"/>
    <n v="50"/>
    <m/>
    <n v="0"/>
    <s v="Trator 1.7m"/>
    <m/>
    <s v="Não"/>
    <s v="Não"/>
    <s v="Não"/>
    <s v="Não"/>
    <n v="616.9"/>
    <n v="616.9"/>
  </r>
  <r>
    <s v="VGSP-348_147,000_CC2"/>
    <x v="203"/>
    <s v="147,000"/>
    <m/>
    <s v="147,500"/>
    <n v="0.5"/>
    <x v="1"/>
    <s v="C"/>
    <n v="-22.661231048384021"/>
    <n v="-47.449292903892967"/>
    <n v="6104.47"/>
    <n v="4.6100000000000003"/>
    <n v="80"/>
    <m/>
    <n v="0"/>
    <s v="Trator 1.7m"/>
    <m/>
    <s v="Não"/>
    <s v="Não"/>
    <s v="Não"/>
    <s v="Não"/>
    <n v="4883.576"/>
    <n v="4883.576"/>
  </r>
  <r>
    <s v="VGSP-330_147,000_ES_CL10"/>
    <x v="0"/>
    <s v="147,000"/>
    <m/>
    <s v="147,500"/>
    <m/>
    <x v="0"/>
    <s v="S"/>
    <n v="-22.549523759430791"/>
    <n v="-47.372965503030017"/>
    <n v="255.16"/>
    <n v="3.69"/>
    <n v="50"/>
    <m/>
    <n v="0"/>
    <s v="Trator 1.7m"/>
    <m/>
    <s v="Não"/>
    <s v="Não"/>
    <s v="Não"/>
    <s v="Não"/>
    <n v="127.58"/>
    <n v="127.58"/>
  </r>
  <r>
    <s v="VGSP-330_147,000_ES_CL4"/>
    <x v="0"/>
    <s v="147,000"/>
    <m/>
    <s v="147,500"/>
    <m/>
    <x v="0"/>
    <s v="S"/>
    <n v="-22.55311723443338"/>
    <n v="-47.370346363855333"/>
    <n v="166.14"/>
    <n v="4.33"/>
    <n v="50"/>
    <m/>
    <n v="0"/>
    <s v="Trator 1.7m"/>
    <m/>
    <s v="Não"/>
    <s v="Não"/>
    <s v="Não"/>
    <s v="Não"/>
    <n v="83.07"/>
    <n v="83.07"/>
  </r>
  <r>
    <s v="VGSP-348_147,000_EN_CL3"/>
    <x v="0"/>
    <s v="147,000"/>
    <m/>
    <s v="147,500"/>
    <m/>
    <x v="0"/>
    <s v="N"/>
    <n v="-22.66461035017835"/>
    <n v="-47.448669419203497"/>
    <n v="954.28"/>
    <n v="6.54"/>
    <n v="70"/>
    <m/>
    <n v="0"/>
    <s v="Trator 1.7m"/>
    <m/>
    <s v="Não"/>
    <s v="Não"/>
    <s v="Não"/>
    <s v="Não"/>
    <n v="667.99599999999998"/>
    <n v="667.99599999999998"/>
  </r>
  <r>
    <s v="VGSP-330_147,000_ES_CL2"/>
    <x v="0"/>
    <s v="147,000"/>
    <m/>
    <s v="147,500"/>
    <m/>
    <x v="0"/>
    <s v="S"/>
    <n v="-22.555514699533848"/>
    <n v="-47.368665307661189"/>
    <n v="133.22999999999999"/>
    <n v="3.61"/>
    <n v="50"/>
    <m/>
    <n v="0"/>
    <s v="Trator 1.7m"/>
    <m/>
    <s v="Não"/>
    <s v="Não"/>
    <s v="Não"/>
    <s v="Não"/>
    <n v="66.614999999999995"/>
    <n v="66.614999999999995"/>
  </r>
  <r>
    <s v="VGSP-330_147,000_EN_CL6"/>
    <x v="0"/>
    <s v="147,000"/>
    <m/>
    <s v="147,500"/>
    <m/>
    <x v="0"/>
    <s v="N"/>
    <n v="-22.55076727167198"/>
    <n v="-47.372574493915572"/>
    <n v="952.74"/>
    <n v="3.31"/>
    <n v="50"/>
    <m/>
    <n v="0"/>
    <s v="Trator 1.7m"/>
    <m/>
    <s v="Não"/>
    <s v="Não"/>
    <s v="Não"/>
    <s v="Não"/>
    <n v="476.37"/>
    <n v="476.37"/>
  </r>
  <r>
    <s v="VGSP-330_147,000_EN_CL1"/>
    <x v="0"/>
    <s v="147,000"/>
    <m/>
    <s v="147,500"/>
    <m/>
    <x v="0"/>
    <s v="N"/>
    <n v="-22.55488624083625"/>
    <n v="-47.369723722758529"/>
    <n v="1875.63"/>
    <n v="3.1"/>
    <n v="50"/>
    <m/>
    <n v="0"/>
    <s v="Trator 1.7m"/>
    <m/>
    <s v="Não"/>
    <s v="Não"/>
    <s v="Não"/>
    <s v="Não"/>
    <n v="937.81500000000005"/>
    <n v="937.81500000000005"/>
  </r>
  <r>
    <s v="VGSP-330_147,000_CC1"/>
    <x v="202"/>
    <s v="147,000"/>
    <m/>
    <s v="147,500"/>
    <m/>
    <x v="1"/>
    <s v="C"/>
    <n v="-22.55466301615122"/>
    <n v="-47.369656895735353"/>
    <n v="1505.53"/>
    <n v="3.09"/>
    <n v="0"/>
    <m/>
    <n v="0"/>
    <m/>
    <m/>
    <s v="Não"/>
    <s v="Não"/>
    <s v="Não"/>
    <s v="Não"/>
    <n v="0"/>
    <n v="0"/>
  </r>
  <r>
    <s v="VGSP-330_147,000_ES_CL3"/>
    <x v="0"/>
    <s v="147,000"/>
    <m/>
    <s v="147,500"/>
    <m/>
    <x v="0"/>
    <s v="S"/>
    <n v="-22.554294824959399"/>
    <n v="-47.369504622129021"/>
    <n v="890.03"/>
    <n v="2.66"/>
    <n v="50"/>
    <m/>
    <n v="0"/>
    <s v="Trator 1.7m"/>
    <m/>
    <s v="Não"/>
    <s v="Não"/>
    <s v="Não"/>
    <s v="Não"/>
    <n v="445.01499999999999"/>
    <n v="445.01499999999999"/>
  </r>
  <r>
    <s v="VGSP-348_147,000_ES_CL2"/>
    <x v="0"/>
    <s v="147,000"/>
    <m/>
    <s v="147,500"/>
    <m/>
    <x v="0"/>
    <s v="S"/>
    <n v="-22.66122905577414"/>
    <n v="-47.449477769774667"/>
    <n v="1843.35"/>
    <n v="5"/>
    <n v="70"/>
    <m/>
    <n v="0"/>
    <s v="Trator 1.7m"/>
    <m/>
    <s v="Não"/>
    <s v="Não"/>
    <s v="Não"/>
    <s v="Não"/>
    <n v="1290.3449999999998"/>
    <n v="1290.3449999999998"/>
  </r>
  <r>
    <s v="VGSP-348_147,000_EN_CL1"/>
    <x v="0"/>
    <s v="147,000"/>
    <m/>
    <s v="147,500"/>
    <m/>
    <x v="0"/>
    <s v="N"/>
    <n v="-22.66675712413215"/>
    <n v="-47.447984955896302"/>
    <n v="789.67"/>
    <n v="6.4"/>
    <n v="70"/>
    <m/>
    <n v="0"/>
    <s v="Trator 1.7m"/>
    <m/>
    <s v="Não"/>
    <s v="Não"/>
    <s v="Não"/>
    <s v="Não"/>
    <n v="552.76899999999989"/>
    <n v="552.76899999999989"/>
  </r>
  <r>
    <s v="VGSP-330_148,000_ES_CL7"/>
    <x v="0"/>
    <s v="148,000"/>
    <m/>
    <s v="148,500"/>
    <m/>
    <x v="0"/>
    <s v="S"/>
    <n v="-22.54316715664714"/>
    <n v="-47.37663388137647"/>
    <n v="2155.73"/>
    <n v="3.16"/>
    <n v="50"/>
    <m/>
    <n v="0"/>
    <s v="Trator 1.7m"/>
    <m/>
    <s v="Não"/>
    <s v="Não"/>
    <s v="Não"/>
    <s v="Não"/>
    <n v="1077.865"/>
    <n v="1077.865"/>
  </r>
  <r>
    <s v="VGSP-330_148,000_EN_CL3"/>
    <x v="0"/>
    <s v="148,000"/>
    <m/>
    <s v="148,500"/>
    <m/>
    <x v="0"/>
    <s v="N"/>
    <n v="-22.54720111893387"/>
    <n v="-47.375704033841536"/>
    <n v="7742.23"/>
    <n v="3.47"/>
    <m/>
    <m/>
    <n v="0"/>
    <m/>
    <m/>
    <s v="Não"/>
    <s v="Não"/>
    <s v="Não"/>
    <s v="Não"/>
    <n v="0"/>
    <n v="0"/>
  </r>
  <r>
    <s v="VGSP-330_148,000_CC1"/>
    <x v="204"/>
    <s v="148,000"/>
    <m/>
    <s v="148,500"/>
    <m/>
    <x v="1"/>
    <s v="C"/>
    <n v="-22.547877148841049"/>
    <n v="-47.374337033280803"/>
    <n v="5962.49"/>
    <n v="3.4"/>
    <n v="50"/>
    <m/>
    <n v="0"/>
    <s v="Trator 1.7m"/>
    <m/>
    <s v="Não"/>
    <s v="Não"/>
    <s v="Não"/>
    <s v="Não"/>
    <n v="2981.2449999999999"/>
    <n v="2981.2449999999999"/>
  </r>
  <r>
    <s v="VGSP-330_148,000_CC6"/>
    <x v="204"/>
    <s v="148,000"/>
    <m/>
    <s v="148,500"/>
    <m/>
    <x v="1"/>
    <s v="C"/>
    <n v="-22.54333443987467"/>
    <n v="-47.377468108747429"/>
    <n v="5850.82"/>
    <n v="6.34"/>
    <n v="50"/>
    <m/>
    <n v="0"/>
    <s v="Trator 1.7m"/>
    <m/>
    <s v="Não"/>
    <s v="Não"/>
    <s v="Não"/>
    <s v="Não"/>
    <n v="2925.41"/>
    <n v="2925.41"/>
  </r>
  <r>
    <s v="VGSP-330_148,000_ES_CL8"/>
    <x v="0"/>
    <s v="148,000"/>
    <m/>
    <s v="148,500"/>
    <m/>
    <x v="0"/>
    <s v="S"/>
    <n v="-22.543580997368728"/>
    <n v="-47.373813448258531"/>
    <n v="420.67"/>
    <n v="3.12"/>
    <n v="50"/>
    <m/>
    <n v="0"/>
    <s v="Trator 1.7m"/>
    <m/>
    <s v="Não"/>
    <s v="Não"/>
    <s v="Não"/>
    <s v="Não"/>
    <n v="210.33500000000001"/>
    <n v="210.33500000000001"/>
  </r>
  <r>
    <s v="VGSP-330_148,000_ES_CL5"/>
    <x v="0"/>
    <s v="148,000"/>
    <m/>
    <s v="148,500"/>
    <m/>
    <x v="0"/>
    <s v="S"/>
    <n v="-22.544654677262042"/>
    <n v="-47.374666511551879"/>
    <n v="3173.6"/>
    <n v="3.99"/>
    <n v="50"/>
    <m/>
    <n v="0"/>
    <s v="Trator 1.7m"/>
    <m/>
    <s v="Não"/>
    <s v="Não"/>
    <s v="Não"/>
    <s v="Não"/>
    <n v="1586.8"/>
    <n v="1586.8"/>
  </r>
  <r>
    <s v="VGSP-330_148,000_EN_CL5"/>
    <x v="0"/>
    <s v="148,000"/>
    <m/>
    <s v="148,500"/>
    <m/>
    <x v="0"/>
    <s v="N"/>
    <n v="-22.547046653108119"/>
    <n v="-47.377016235605041"/>
    <n v="1641.61"/>
    <n v="5.56"/>
    <n v="50"/>
    <m/>
    <n v="0"/>
    <s v="Trator 1.7m"/>
    <m/>
    <s v="Não"/>
    <s v="Não"/>
    <s v="Não"/>
    <s v="Não"/>
    <n v="820.80499999999995"/>
    <n v="820.80499999999995"/>
  </r>
  <r>
    <s v="VGSP-330_148,000_CC4"/>
    <x v="204"/>
    <s v="148,000"/>
    <m/>
    <s v="148,500"/>
    <m/>
    <x v="1"/>
    <s v="C"/>
    <n v="-22.544971739332791"/>
    <n v="-47.375627090633621"/>
    <n v="1574.44"/>
    <n v="2.7"/>
    <n v="50"/>
    <m/>
    <n v="0"/>
    <s v="Trator 1.7m"/>
    <m/>
    <s v="Não"/>
    <s v="Não"/>
    <s v="Não"/>
    <s v="Não"/>
    <n v="787.22"/>
    <n v="787.22"/>
  </r>
  <r>
    <s v="VGSP-348_148,000_CC2"/>
    <x v="205"/>
    <s v="148,000"/>
    <m/>
    <s v="148,500"/>
    <n v="0.5"/>
    <x v="1"/>
    <s v="C"/>
    <n v="-22.65214928398883"/>
    <n v="-47.449520749142337"/>
    <n v="5454.59"/>
    <n v="6.5"/>
    <n v="80"/>
    <m/>
    <n v="0"/>
    <s v="Trator 1.7m"/>
    <m/>
    <s v="Não"/>
    <s v="Não"/>
    <s v="Não"/>
    <s v="Não"/>
    <n v="4363.6720000000005"/>
    <n v="4363.6720000000005"/>
  </r>
  <r>
    <s v="VGSP-330_148,000_CC2"/>
    <x v="204"/>
    <s v="148,000"/>
    <m/>
    <s v="148,500"/>
    <m/>
    <x v="1"/>
    <s v="C"/>
    <n v="-22.54665080930042"/>
    <n v="-47.376039806136163"/>
    <n v="10908.93"/>
    <n v="4.12"/>
    <n v="50"/>
    <m/>
    <n v="0"/>
    <s v="Trator 1.7m"/>
    <m/>
    <s v="Não"/>
    <s v="Não"/>
    <s v="Não"/>
    <s v="Não"/>
    <n v="5454.4650000000001"/>
    <n v="5454.4650000000001"/>
  </r>
  <r>
    <s v="VGSP-330_148,000_CC5"/>
    <x v="204"/>
    <s v="148,000"/>
    <m/>
    <s v="148,500"/>
    <m/>
    <x v="1"/>
    <s v="C"/>
    <n v="-22.544024194225731"/>
    <n v="-47.375981005342517"/>
    <n v="8345.98"/>
    <n v="3.94"/>
    <n v="50"/>
    <m/>
    <n v="0"/>
    <s v="Trator 1.7m"/>
    <m/>
    <s v="Não"/>
    <s v="Não"/>
    <s v="Não"/>
    <s v="Não"/>
    <n v="4172.99"/>
    <n v="4172.99"/>
  </r>
  <r>
    <s v="VGSP-330_148,000_CC3"/>
    <x v="204"/>
    <s v="148,000"/>
    <m/>
    <s v="148,500"/>
    <m/>
    <x v="1"/>
    <s v="C"/>
    <n v="-22.544491376210921"/>
    <n v="-47.375790714624813"/>
    <n v="9729.1299999999992"/>
    <n v="3.2"/>
    <n v="50"/>
    <m/>
    <n v="0"/>
    <s v="Trator 1.7m"/>
    <m/>
    <s v="Não"/>
    <s v="Não"/>
    <s v="Não"/>
    <s v="Não"/>
    <n v="4864.5649999999996"/>
    <n v="4864.5649999999996"/>
  </r>
  <r>
    <s v="VGSP-348_148,000_ES_CL2"/>
    <x v="0"/>
    <s v="148,000"/>
    <m/>
    <s v="148,500"/>
    <m/>
    <x v="0"/>
    <s v="S"/>
    <n v="-22.656606087893149"/>
    <n v="-47.449608076094783"/>
    <n v="1943.88"/>
    <n v="4.66"/>
    <n v="70"/>
    <m/>
    <n v="0"/>
    <s v="Trator 1.7m"/>
    <m/>
    <s v="Não"/>
    <s v="Não"/>
    <s v="Não"/>
    <s v="Não"/>
    <n v="1360.7159999999999"/>
    <n v="1360.7159999999999"/>
  </r>
  <r>
    <s v="VGSP-330_148,000_ES_CL2"/>
    <x v="0"/>
    <s v="148,000"/>
    <m/>
    <s v="148,500"/>
    <m/>
    <x v="0"/>
    <s v="S"/>
    <n v="-22.546140873982178"/>
    <n v="-47.374663894933192"/>
    <n v="8165.21"/>
    <n v="3.7"/>
    <m/>
    <m/>
    <n v="0"/>
    <m/>
    <m/>
    <s v="Não"/>
    <s v="Não"/>
    <s v="Não"/>
    <s v="Não"/>
    <n v="0"/>
    <n v="0"/>
  </r>
  <r>
    <s v="VGSP-330_148,000_ES_CL4"/>
    <x v="0"/>
    <s v="148,000"/>
    <m/>
    <s v="148,500"/>
    <m/>
    <x v="0"/>
    <s v="S"/>
    <n v="-22.545658890037569"/>
    <n v="-47.375056268741659"/>
    <n v="9961.1299999999992"/>
    <n v="2.58"/>
    <n v="50"/>
    <m/>
    <n v="0"/>
    <s v="Trator 1.7m"/>
    <m/>
    <s v="Não"/>
    <s v="Não"/>
    <s v="Não"/>
    <s v="Não"/>
    <n v="4980.5649999999996"/>
    <n v="4980.5649999999996"/>
  </r>
  <r>
    <s v="VGSP-348_148,000_EN_CL"/>
    <x v="0"/>
    <s v="148,000"/>
    <m/>
    <s v="148,500"/>
    <m/>
    <x v="0"/>
    <s v="N"/>
    <n v="-22.65214833997895"/>
    <n v="-47.449335382953208"/>
    <n v="1655.25"/>
    <n v="7.27"/>
    <n v="70"/>
    <m/>
    <n v="0"/>
    <s v="Trator 1.7m"/>
    <m/>
    <s v="Não"/>
    <s v="Não"/>
    <s v="Não"/>
    <s v="Não"/>
    <n v="1158.675"/>
    <n v="1158.675"/>
  </r>
  <r>
    <s v="VGSP-348_148,000_ES_CL1"/>
    <x v="0"/>
    <s v="148,000"/>
    <m/>
    <s v="148,500"/>
    <m/>
    <x v="0"/>
    <s v="S"/>
    <n v="-22.652159007537652"/>
    <n v="-47.44970013364722"/>
    <n v="1697.35"/>
    <n v="7.82"/>
    <n v="70"/>
    <m/>
    <n v="0"/>
    <s v="Trator 1.7m"/>
    <m/>
    <s v="Não"/>
    <s v="Não"/>
    <s v="Não"/>
    <s v="Não"/>
    <n v="1188.1449999999998"/>
    <n v="1188.1449999999998"/>
  </r>
  <r>
    <s v="VGSP-348_148,000_CC1"/>
    <x v="205"/>
    <s v="148,000"/>
    <m/>
    <s v="148,500"/>
    <n v="0.5"/>
    <x v="1"/>
    <s v="C"/>
    <n v="-22.656605234435911"/>
    <n v="-47.449427176127521"/>
    <n v="6305.41"/>
    <n v="5.26"/>
    <n v="80"/>
    <m/>
    <n v="0"/>
    <s v="Trator 1.7m"/>
    <m/>
    <s v="Não"/>
    <s v="Não"/>
    <s v="Não"/>
    <s v="Não"/>
    <n v="5044.3280000000004"/>
    <n v="5044.3280000000004"/>
  </r>
  <r>
    <s v="VGSP-330_148,000_ES_CL3"/>
    <x v="0"/>
    <s v="148,000"/>
    <m/>
    <s v="148,500"/>
    <m/>
    <x v="0"/>
    <s v="S"/>
    <n v="-22.545724907891191"/>
    <n v="-47.374664627288901"/>
    <n v="11338.81"/>
    <n v="3.73"/>
    <n v="50"/>
    <m/>
    <n v="0"/>
    <s v="Trator 1.7m"/>
    <m/>
    <s v="Não"/>
    <s v="Não"/>
    <s v="Não"/>
    <s v="Não"/>
    <n v="5669.4049999999997"/>
    <n v="5669.4049999999997"/>
  </r>
  <r>
    <s v="VGSP-330_148,000_ES_CL6"/>
    <x v="0"/>
    <s v="148,000"/>
    <m/>
    <s v="148,500"/>
    <m/>
    <x v="0"/>
    <s v="S"/>
    <n v="-22.544220234829972"/>
    <n v="-47.374778697779007"/>
    <n v="860.31"/>
    <n v="3.98"/>
    <n v="50"/>
    <m/>
    <n v="0"/>
    <s v="Trator 1.7m"/>
    <m/>
    <s v="Não"/>
    <s v="Não"/>
    <s v="Não"/>
    <s v="Não"/>
    <n v="430.15499999999997"/>
    <n v="430.15499999999997"/>
  </r>
  <r>
    <s v="VGSP-330_148,000_EN_CL8"/>
    <x v="0"/>
    <s v="148,000"/>
    <m/>
    <s v="148,500"/>
    <m/>
    <x v="0"/>
    <s v="N"/>
    <n v="-22.54482476886982"/>
    <n v="-47.377131826889361"/>
    <n v="6772"/>
    <n v="7.9"/>
    <n v="50"/>
    <m/>
    <n v="0"/>
    <s v="Trator 1.7m"/>
    <m/>
    <s v="Não"/>
    <s v="Não"/>
    <s v="Não"/>
    <s v="Não"/>
    <n v="3386"/>
    <n v="3386"/>
  </r>
  <r>
    <s v="VGSP-330_148,000_EN_CL10"/>
    <x v="0"/>
    <s v="148,000"/>
    <m/>
    <s v="148,500"/>
    <m/>
    <x v="0"/>
    <s v="N"/>
    <n v="-22.547171848296689"/>
    <n v="-47.377773109442423"/>
    <n v="663.71"/>
    <n v="6.15"/>
    <n v="50"/>
    <m/>
    <n v="0"/>
    <s v="Trator 1.7m"/>
    <m/>
    <s v="Não"/>
    <s v="Não"/>
    <s v="Não"/>
    <s v="Não"/>
    <n v="331.85500000000002"/>
    <n v="331.85500000000002"/>
  </r>
  <r>
    <s v="VGSP-330_148,000_EN_CL1"/>
    <x v="0"/>
    <s v="148,000"/>
    <m/>
    <s v="148,500"/>
    <m/>
    <x v="0"/>
    <s v="N"/>
    <n v="-22.549065895524969"/>
    <n v="-47.373756468166377"/>
    <n v="412.08"/>
    <n v="3.77"/>
    <n v="50"/>
    <m/>
    <n v="0"/>
    <s v="Trator 1.7m"/>
    <m/>
    <s v="Não"/>
    <s v="Não"/>
    <s v="Não"/>
    <s v="Não"/>
    <n v="206.04"/>
    <n v="206.04"/>
  </r>
  <r>
    <s v="VGSP-330_148,000_EN_CL11"/>
    <x v="0"/>
    <s v="148,000"/>
    <m/>
    <s v="148,500"/>
    <m/>
    <x v="0"/>
    <s v="N"/>
    <n v="-22.543896478517301"/>
    <n v="-47.377807665644923"/>
    <n v="2358.8200000000002"/>
    <n v="8.93"/>
    <n v="50"/>
    <m/>
    <n v="0"/>
    <s v="Trator 1.7m"/>
    <m/>
    <s v="Não"/>
    <s v="Não"/>
    <s v="Não"/>
    <s v="Não"/>
    <n v="1179.4100000000001"/>
    <n v="1179.4100000000001"/>
  </r>
  <r>
    <s v="VGSP-330_148,000_ES_CL1"/>
    <x v="0"/>
    <s v="148,000"/>
    <m/>
    <s v="148,500"/>
    <m/>
    <x v="0"/>
    <s v="S"/>
    <n v="-22.546847233533619"/>
    <n v="-47.374133468021419"/>
    <n v="2172.33"/>
    <n v="3.68"/>
    <n v="50"/>
    <m/>
    <n v="0"/>
    <s v="Trator 1.7m"/>
    <m/>
    <s v="Não"/>
    <s v="Não"/>
    <s v="Não"/>
    <s v="Não"/>
    <n v="1086.165"/>
    <n v="1086.165"/>
  </r>
  <r>
    <s v="VGSP-330_148,000_EN_CL6"/>
    <x v="0"/>
    <s v="148,000"/>
    <m/>
    <s v="148,500"/>
    <m/>
    <x v="0"/>
    <s v="N"/>
    <n v="-22.54585001291461"/>
    <n v="-47.376583806374008"/>
    <n v="3359.38"/>
    <n v="4.8099999999999996"/>
    <n v="50"/>
    <m/>
    <n v="0"/>
    <s v="Trator 1.7m"/>
    <m/>
    <s v="Não"/>
    <s v="Não"/>
    <s v="Não"/>
    <s v="Não"/>
    <n v="1679.69"/>
    <n v="1679.69"/>
  </r>
  <r>
    <s v="VGSP-330_148,000_EN_CL9"/>
    <x v="0"/>
    <s v="148,000"/>
    <m/>
    <s v="148,500"/>
    <m/>
    <x v="0"/>
    <s v="N"/>
    <n v="-22.546549206790839"/>
    <n v="-47.377205803551391"/>
    <n v="3779.18"/>
    <n v="8.67"/>
    <n v="50"/>
    <m/>
    <n v="0"/>
    <s v="Trator 1.7m"/>
    <m/>
    <s v="Não"/>
    <s v="Não"/>
    <s v="Não"/>
    <s v="Não"/>
    <n v="1889.59"/>
    <n v="1889.59"/>
  </r>
  <r>
    <s v="VGSP-330_148,000_EN_CL4"/>
    <x v="0"/>
    <s v="148,000"/>
    <m/>
    <s v="148,500"/>
    <m/>
    <x v="0"/>
    <s v="N"/>
    <n v="-22.54717409669253"/>
    <n v="-47.375933590331321"/>
    <n v="9383.84"/>
    <n v="4"/>
    <n v="50"/>
    <m/>
    <n v="0"/>
    <s v="Trator 1.7m"/>
    <m/>
    <s v="Não"/>
    <s v="Não"/>
    <s v="Não"/>
    <s v="Não"/>
    <n v="4691.92"/>
    <n v="4691.92"/>
  </r>
  <r>
    <s v="VGSP-330_148,000_EN_CL2"/>
    <x v="0"/>
    <s v="148,000"/>
    <m/>
    <s v="148,500"/>
    <m/>
    <x v="0"/>
    <s v="N"/>
    <n v="-22.54766389025361"/>
    <n v="-47.3758020632282"/>
    <n v="1775.47"/>
    <n v="3.85"/>
    <n v="50"/>
    <m/>
    <n v="0"/>
    <s v="Trator 1.7m"/>
    <m/>
    <s v="Não"/>
    <s v="Não"/>
    <s v="Não"/>
    <s v="Não"/>
    <n v="887.73500000000001"/>
    <n v="887.73500000000001"/>
  </r>
  <r>
    <s v="VGSP-348_148,000_CC3"/>
    <x v="205"/>
    <s v="148,000"/>
    <m/>
    <s v="148,500"/>
    <n v="0.5"/>
    <x v="1"/>
    <s v="C"/>
    <n v="-22.656588675636861"/>
    <n v="-47.44923854776215"/>
    <n v="1980.36"/>
    <n v="5.18"/>
    <n v="70"/>
    <m/>
    <n v="0"/>
    <s v="Trator 1.7m"/>
    <m/>
    <s v="Não"/>
    <s v="Não"/>
    <s v="Não"/>
    <s v="Não"/>
    <n v="1386.252"/>
    <n v="1386.252"/>
  </r>
  <r>
    <s v="VGSP-330_148,000_EN_CL7"/>
    <x v="0"/>
    <s v="148,000"/>
    <m/>
    <s v="148,500"/>
    <m/>
    <x v="0"/>
    <s v="N"/>
    <n v="-22.545470292172428"/>
    <n v="-47.376847232561708"/>
    <n v="7759.02"/>
    <n v="6.29"/>
    <n v="50"/>
    <m/>
    <n v="0"/>
    <s v="Trator 1.7m"/>
    <m/>
    <s v="Não"/>
    <s v="Não"/>
    <s v="Não"/>
    <s v="Não"/>
    <n v="3879.51"/>
    <n v="3879.51"/>
  </r>
  <r>
    <s v="VGSP-330_148,000_EN_CL12"/>
    <x v="0"/>
    <s v="148,000"/>
    <m/>
    <s v="148,500"/>
    <m/>
    <x v="0"/>
    <s v="N"/>
    <n v="-22.54537616702304"/>
    <n v="-47.376061938507732"/>
    <n v="241.68"/>
    <n v="3.29"/>
    <n v="50"/>
    <m/>
    <n v="0"/>
    <s v="Trator 1.7m"/>
    <m/>
    <s v="Não"/>
    <s v="Não"/>
    <s v="Não"/>
    <s v="Não"/>
    <n v="120.84"/>
    <n v="120.84"/>
  </r>
  <r>
    <s v="VGSP-330_149,000_CC2"/>
    <x v="206"/>
    <s v="149,000"/>
    <m/>
    <s v="149,500"/>
    <m/>
    <x v="1"/>
    <s v="C"/>
    <n v="-22.53964773106479"/>
    <n v="-47.380012796950929"/>
    <n v="5209.72"/>
    <n v="4.3"/>
    <n v="50"/>
    <m/>
    <n v="0"/>
    <s v="Trator 1.7m"/>
    <m/>
    <s v="Não"/>
    <s v="Não"/>
    <s v="Não"/>
    <s v="Não"/>
    <n v="2604.86"/>
    <n v="2604.86"/>
  </r>
  <r>
    <s v="VGSP-348_149,000_ES_CL2"/>
    <x v="0"/>
    <s v="149,000"/>
    <m/>
    <s v="149,500"/>
    <m/>
    <x v="0"/>
    <s v="S"/>
    <n v="-22.647650443985231"/>
    <n v="-47.449990082450377"/>
    <n v="2006.38"/>
    <n v="6.71"/>
    <n v="70"/>
    <m/>
    <n v="0"/>
    <s v="Trator 1.7m"/>
    <m/>
    <s v="Não"/>
    <s v="Não"/>
    <s v="Não"/>
    <s v="Não"/>
    <n v="1404.4659999999999"/>
    <n v="1404.4659999999999"/>
  </r>
  <r>
    <s v="VGSP-330_149,000_ES_CL5"/>
    <x v="0"/>
    <s v="149,000"/>
    <m/>
    <s v="149,500"/>
    <m/>
    <x v="0"/>
    <s v="S"/>
    <n v="-22.535831870622221"/>
    <n v="-47.382424941419409"/>
    <n v="2027.99"/>
    <n v="3.88"/>
    <n v="50"/>
    <m/>
    <n v="0"/>
    <s v="Trator 1.7m"/>
    <m/>
    <s v="Não"/>
    <s v="Não"/>
    <s v="Não"/>
    <s v="Não"/>
    <n v="1013.995"/>
    <n v="1013.995"/>
  </r>
  <r>
    <s v="VGSP-348_149,000_ES_CL1"/>
    <x v="0"/>
    <s v="149,000"/>
    <m/>
    <s v="149,500"/>
    <m/>
    <x v="0"/>
    <s v="S"/>
    <n v="-22.643389921676359"/>
    <n v="-47.451150341564237"/>
    <n v="1605.3"/>
    <n v="2.36"/>
    <n v="70"/>
    <m/>
    <n v="0"/>
    <s v="Trator 1.7m"/>
    <m/>
    <s v="Não"/>
    <s v="Não"/>
    <s v="Não"/>
    <s v="Não"/>
    <n v="1123.7099999999998"/>
    <n v="1123.7099999999998"/>
  </r>
  <r>
    <s v="VGSP-348_149,000_CC1"/>
    <x v="207"/>
    <s v="149,000"/>
    <m/>
    <s v="149,500"/>
    <n v="0.5"/>
    <x v="1"/>
    <s v="C"/>
    <n v="-22.647659621469909"/>
    <n v="-47.449801111786968"/>
    <n v="6504.73"/>
    <n v="6.8"/>
    <n v="80"/>
    <m/>
    <n v="0"/>
    <s v="Trator 1.7m"/>
    <m/>
    <s v="Não"/>
    <s v="Não"/>
    <s v="Não"/>
    <s v="Não"/>
    <n v="5203.7839999999997"/>
    <n v="5203.7839999999997"/>
  </r>
  <r>
    <s v="VGSP-330_149,000_EN_CL1"/>
    <x v="0"/>
    <s v="149,000"/>
    <m/>
    <s v="149,500"/>
    <m/>
    <x v="0"/>
    <s v="N"/>
    <n v="-22.539799904389891"/>
    <n v="-47.38013118270343"/>
    <n v="1820.92"/>
    <n v="5.39"/>
    <n v="50"/>
    <m/>
    <n v="0"/>
    <s v="Trator 1.7m"/>
    <m/>
    <s v="Não"/>
    <s v="Não"/>
    <s v="Não"/>
    <s v="Não"/>
    <n v="910.46"/>
    <n v="910.46"/>
  </r>
  <r>
    <s v="VGSP-330_149,000_EN_CL2"/>
    <x v="0"/>
    <s v="149,000"/>
    <m/>
    <s v="149,500"/>
    <m/>
    <x v="0"/>
    <s v="N"/>
    <n v="-22.536454845086521"/>
    <n v="-47.382461536721443"/>
    <n v="1710.96"/>
    <n v="2.12"/>
    <n v="50"/>
    <m/>
    <n v="0"/>
    <s v="Trator 1.7m"/>
    <m/>
    <s v="Não"/>
    <s v="Não"/>
    <s v="Não"/>
    <s v="Não"/>
    <n v="855.48"/>
    <n v="855.48"/>
  </r>
  <r>
    <s v="VGSP-348_149,000_CC2"/>
    <x v="207"/>
    <s v="149,000"/>
    <m/>
    <s v="149,500"/>
    <n v="0.5"/>
    <x v="1"/>
    <s v="C"/>
    <n v="-22.643329760204232"/>
    <n v="-47.450976638319133"/>
    <n v="5204.6000000000004"/>
    <n v="2.44"/>
    <n v="80"/>
    <m/>
    <n v="0"/>
    <s v="Trator 1.7m"/>
    <m/>
    <s v="Não"/>
    <s v="Não"/>
    <s v="Não"/>
    <s v="Não"/>
    <n v="4163.68"/>
    <n v="4163.68"/>
  </r>
  <r>
    <s v="VGSP-330_149,000_CC1"/>
    <x v="206"/>
    <s v="149,000"/>
    <m/>
    <s v="149,500"/>
    <m/>
    <x v="1"/>
    <s v="C"/>
    <n v="-22.535928341243999"/>
    <n v="-47.382579532256358"/>
    <n v="6043.29"/>
    <n v="3.26"/>
    <n v="50"/>
    <m/>
    <n v="0"/>
    <s v="Trator 1.7m"/>
    <m/>
    <s v="Não"/>
    <s v="Não"/>
    <s v="Não"/>
    <s v="Não"/>
    <n v="3021.645"/>
    <n v="3021.645"/>
  </r>
  <r>
    <s v="VGSP-330_149,000_ES_CL3"/>
    <x v="0"/>
    <s v="149,000"/>
    <m/>
    <s v="149,500"/>
    <m/>
    <x v="0"/>
    <s v="S"/>
    <n v="-22.538647746747539"/>
    <n v="-47.380472409360429"/>
    <n v="178.01"/>
    <n v="1.0900000000000001"/>
    <n v="50"/>
    <m/>
    <n v="0"/>
    <s v="Trator 1.7m"/>
    <m/>
    <s v="Não"/>
    <s v="Não"/>
    <s v="Não"/>
    <s v="Não"/>
    <n v="89.004999999999995"/>
    <n v="89.004999999999995"/>
  </r>
  <r>
    <s v="VGSP-348_149,000_EN_CL2"/>
    <x v="0"/>
    <s v="149,000"/>
    <m/>
    <s v="149,500"/>
    <m/>
    <x v="0"/>
    <s v="N"/>
    <n v="-22.64764332367319"/>
    <n v="-47.44961500847149"/>
    <n v="2044.91"/>
    <n v="6.94"/>
    <n v="70"/>
    <m/>
    <n v="0"/>
    <s v="Trator 1.7m"/>
    <m/>
    <s v="Não"/>
    <s v="Não"/>
    <s v="Não"/>
    <s v="Não"/>
    <n v="1431.4369999999999"/>
    <n v="1431.4369999999999"/>
  </r>
  <r>
    <s v="VGSP-330_149,000_ES_CL2"/>
    <x v="0"/>
    <s v="149,000"/>
    <m/>
    <s v="149,500"/>
    <m/>
    <x v="0"/>
    <s v="S"/>
    <n v="-22.541383390330889"/>
    <n v="-47.37853874095395"/>
    <n v="218.52"/>
    <n v="1.47"/>
    <n v="50"/>
    <m/>
    <n v="0"/>
    <s v="Trator 1.7m"/>
    <m/>
    <s v="Não"/>
    <s v="Não"/>
    <s v="Não"/>
    <s v="Não"/>
    <n v="109.26"/>
    <n v="109.26"/>
  </r>
  <r>
    <s v="VGSP-330_149,000_ES_CL4"/>
    <x v="0"/>
    <s v="149,000"/>
    <m/>
    <s v="149,500"/>
    <m/>
    <x v="0"/>
    <s v="S"/>
    <n v="-22.538178793686711"/>
    <n v="-47.38078088583427"/>
    <n v="457.12"/>
    <n v="1.94"/>
    <n v="50"/>
    <m/>
    <n v="0"/>
    <s v="Trator 1.7m"/>
    <m/>
    <s v="Não"/>
    <s v="Não"/>
    <s v="Não"/>
    <s v="Não"/>
    <n v="228.56"/>
    <n v="228.56"/>
  </r>
  <r>
    <s v="VGSP-330_149,000_ES_CL1"/>
    <x v="0"/>
    <s v="149,000"/>
    <m/>
    <s v="149,500"/>
    <m/>
    <x v="0"/>
    <s v="S"/>
    <n v="-22.53994456647148"/>
    <n v="-47.379555587387003"/>
    <n v="1320.31"/>
    <n v="3.85"/>
    <n v="50"/>
    <m/>
    <n v="0"/>
    <s v="Trator 1.7m"/>
    <m/>
    <s v="Não"/>
    <s v="Não"/>
    <s v="Não"/>
    <s v="Não"/>
    <n v="660.15499999999997"/>
    <n v="660.15499999999997"/>
  </r>
  <r>
    <s v="VGSP-330_149,000_EN_CL3"/>
    <x v="0"/>
    <s v="149,000"/>
    <m/>
    <s v="149,500"/>
    <m/>
    <x v="0"/>
    <s v="N"/>
    <n v="-22.534433209425409"/>
    <n v="-47.383899189468643"/>
    <n v="1583.81"/>
    <n v="4.51"/>
    <n v="50"/>
    <m/>
    <n v="0"/>
    <s v="Trator 1.7m"/>
    <m/>
    <s v="Não"/>
    <s v="Não"/>
    <s v="Não"/>
    <s v="Não"/>
    <n v="791.90499999999997"/>
    <n v="791.90499999999997"/>
  </r>
  <r>
    <s v="VGSP-348_149,000_EN_CL1"/>
    <x v="0"/>
    <s v="149,000"/>
    <m/>
    <s v="149,500"/>
    <m/>
    <x v="0"/>
    <s v="N"/>
    <n v="-22.64328076818725"/>
    <n v="-47.450801384441007"/>
    <n v="1653.14"/>
    <n v="2.77"/>
    <n v="70"/>
    <m/>
    <n v="0"/>
    <s v="Trator 1.7m"/>
    <m/>
    <s v="Não"/>
    <s v="Não"/>
    <s v="Não"/>
    <s v="Não"/>
    <n v="1157.1980000000001"/>
    <n v="1157.1980000000001"/>
  </r>
  <r>
    <s v="VGSP-330_150,000_ES_CL3"/>
    <x v="0"/>
    <s v="150,000"/>
    <m/>
    <s v="150,500"/>
    <m/>
    <x v="0"/>
    <s v="S"/>
    <n v="-22.532690112622529"/>
    <n v="-47.384551720684136"/>
    <n v="391.65"/>
    <n v="3.43"/>
    <n v="50"/>
    <m/>
    <n v="0"/>
    <s v="Trator 1.7m"/>
    <m/>
    <s v="Não"/>
    <s v="Não"/>
    <s v="Não"/>
    <s v="Não"/>
    <n v="195.82499999999999"/>
    <n v="195.82499999999999"/>
  </r>
  <r>
    <s v="VGSP-348_150,000_ES_CL3"/>
    <x v="0"/>
    <s v="150,000"/>
    <m/>
    <s v="150,500"/>
    <m/>
    <x v="0"/>
    <s v="S"/>
    <n v="-22.637223832753609"/>
    <n v="-47.453722191717162"/>
    <n v="45.22"/>
    <n v="2.2799999999999998"/>
    <n v="70"/>
    <m/>
    <n v="0"/>
    <s v="Trator 1.7m"/>
    <m/>
    <s v="Não"/>
    <s v="Não"/>
    <s v="Não"/>
    <s v="Não"/>
    <n v="31.653999999999996"/>
    <n v="31.653999999999996"/>
  </r>
  <r>
    <s v="VGSP-348_150,000_CC4"/>
    <x v="208"/>
    <s v="150,000"/>
    <m/>
    <s v="150,500"/>
    <n v="0.5"/>
    <x v="1"/>
    <s v="C"/>
    <n v="-22.638461127774729"/>
    <n v="-47.45300341163518"/>
    <n v="3268.86"/>
    <n v="3.45"/>
    <n v="80"/>
    <m/>
    <n v="0"/>
    <s v="Trator 1.7m"/>
    <m/>
    <s v="Não"/>
    <s v="Não"/>
    <s v="Não"/>
    <s v="Não"/>
    <n v="2615.0880000000002"/>
    <n v="2615.0880000000002"/>
  </r>
  <r>
    <s v="VGSP-330_150,000_ES_CL10"/>
    <x v="0"/>
    <s v="150,000"/>
    <m/>
    <s v="150,500"/>
    <m/>
    <x v="0"/>
    <s v="S"/>
    <n v="-22.526015047985489"/>
    <n v="-47.389204751396527"/>
    <n v="15.13"/>
    <n v="2.3199999999999998"/>
    <n v="50"/>
    <m/>
    <n v="0"/>
    <s v="Trator 1.7m"/>
    <m/>
    <s v="Não"/>
    <s v="Não"/>
    <s v="Não"/>
    <s v="Não"/>
    <n v="7.5650000000000004"/>
    <n v="7.5650000000000004"/>
  </r>
  <r>
    <s v="VGSP-330_150,000_ES_CL1"/>
    <x v="0"/>
    <s v="150,000"/>
    <m/>
    <s v="150,500"/>
    <m/>
    <x v="0"/>
    <s v="S"/>
    <n v="-22.533477164244641"/>
    <n v="-47.384023910317197"/>
    <n v="443.88"/>
    <n v="1.81"/>
    <n v="50"/>
    <m/>
    <n v="0"/>
    <s v="Trator 1.7m"/>
    <m/>
    <s v="Não"/>
    <s v="Não"/>
    <s v="Não"/>
    <s v="Não"/>
    <n v="221.94"/>
    <n v="221.94"/>
  </r>
  <r>
    <s v="VGSP-348_150,000_EN_CL1"/>
    <x v="0"/>
    <s v="150,000"/>
    <m/>
    <s v="150,500"/>
    <m/>
    <x v="0"/>
    <s v="N"/>
    <n v="-22.640717835457661"/>
    <n v="-47.451852234172108"/>
    <n v="590.53"/>
    <n v="3.61"/>
    <n v="70"/>
    <m/>
    <n v="0"/>
    <s v="Trator 1.7m"/>
    <m/>
    <s v="Não"/>
    <s v="Não"/>
    <s v="Não"/>
    <s v="Não"/>
    <n v="413.37099999999998"/>
    <n v="413.37099999999998"/>
  </r>
  <r>
    <s v="VGSP-330_150,000_EN_CL1"/>
    <x v="0"/>
    <s v="150,000"/>
    <m/>
    <s v="150,500"/>
    <m/>
    <x v="0"/>
    <s v="N"/>
    <n v="-22.53308610268596"/>
    <n v="-47.384861779195653"/>
    <n v="3728.45"/>
    <n v="2.77"/>
    <n v="50"/>
    <m/>
    <n v="0"/>
    <s v="Trator 1.7m"/>
    <m/>
    <s v="Não"/>
    <s v="Não"/>
    <s v="Não"/>
    <s v="Não"/>
    <n v="1864.2249999999999"/>
    <n v="1864.2249999999999"/>
  </r>
  <r>
    <s v="VGSP-348_150,000_EN_CL3"/>
    <x v="0"/>
    <s v="150,000"/>
    <m/>
    <s v="150,500"/>
    <m/>
    <x v="0"/>
    <s v="N"/>
    <n v="-22.63852379283755"/>
    <n v="-47.45263147575681"/>
    <n v="1317.06"/>
    <n v="3.51"/>
    <n v="70"/>
    <m/>
    <n v="0"/>
    <s v="Trator 1.7m"/>
    <m/>
    <s v="Não"/>
    <s v="Não"/>
    <s v="Não"/>
    <s v="Não"/>
    <n v="921.94199999999989"/>
    <n v="921.94199999999989"/>
  </r>
  <r>
    <s v="VGSP-330_150,000_CC3"/>
    <x v="209"/>
    <s v="150,000"/>
    <m/>
    <s v="150,500"/>
    <m/>
    <x v="1"/>
    <s v="C"/>
    <n v="-22.527836380273129"/>
    <n v="-47.388504303265272"/>
    <n v="10384.74"/>
    <n v="2.46"/>
    <n v="50"/>
    <m/>
    <n v="0"/>
    <s v="Trator 1.7m"/>
    <m/>
    <s v="Não"/>
    <s v="Não"/>
    <s v="Não"/>
    <s v="Não"/>
    <n v="5192.37"/>
    <n v="5192.37"/>
  </r>
  <r>
    <s v="VGSP-348_150,000_EN_CL2"/>
    <x v="0"/>
    <s v="150,000"/>
    <m/>
    <s v="150,500"/>
    <m/>
    <x v="0"/>
    <s v="N"/>
    <n v="-22.63914502261829"/>
    <n v="-47.452422651123918"/>
    <n v="2955.24"/>
    <n v="4.72"/>
    <n v="70"/>
    <m/>
    <n v="0"/>
    <s v="Trator 1.7m"/>
    <m/>
    <s v="Não"/>
    <s v="Não"/>
    <s v="Não"/>
    <s v="Não"/>
    <n v="2068.6679999999997"/>
    <n v="2068.6679999999997"/>
  </r>
  <r>
    <s v="VGSP-348_150,000_ES_CL2"/>
    <x v="0"/>
    <s v="150,000"/>
    <m/>
    <s v="150,500"/>
    <m/>
    <x v="0"/>
    <s v="S"/>
    <n v="-22.637381999406951"/>
    <n v="-47.453712186085554"/>
    <n v="359.58"/>
    <n v="2.42"/>
    <n v="70"/>
    <m/>
    <n v="0"/>
    <s v="Trator 1.7m"/>
    <m/>
    <s v="Não"/>
    <s v="Não"/>
    <s v="Não"/>
    <s v="Não"/>
    <n v="251.70599999999996"/>
    <n v="251.70599999999996"/>
  </r>
  <r>
    <s v="VGSP-348_150,000_ES_CL4"/>
    <x v="0"/>
    <s v="150,000"/>
    <m/>
    <s v="150,500"/>
    <m/>
    <x v="0"/>
    <s v="S"/>
    <n v="-22.638769382782229"/>
    <n v="-47.453401227129653"/>
    <n v="1308.77"/>
    <n v="4.55"/>
    <n v="70"/>
    <m/>
    <n v="0"/>
    <s v="Trator 1.7m"/>
    <m/>
    <s v="Não"/>
    <s v="Não"/>
    <s v="Não"/>
    <s v="Não"/>
    <n v="916.1389999999999"/>
    <n v="916.1389999999999"/>
  </r>
  <r>
    <s v="VGSP-348_150,000_CC2"/>
    <x v="208"/>
    <s v="150,000"/>
    <m/>
    <s v="150,500"/>
    <n v="0.5"/>
    <x v="1"/>
    <s v="C"/>
    <n v="-22.638772821240611"/>
    <n v="-47.453181654318591"/>
    <n v="6089.42"/>
    <n v="4.05"/>
    <n v="70"/>
    <m/>
    <n v="0"/>
    <s v="Trator 1.7m"/>
    <m/>
    <s v="Não"/>
    <s v="Não"/>
    <s v="Não"/>
    <s v="Não"/>
    <n v="4262.5940000000001"/>
    <n v="4262.5940000000001"/>
  </r>
  <r>
    <s v="VGSP-330_150,000_ES_CL4"/>
    <x v="0"/>
    <s v="150,000"/>
    <m/>
    <s v="150,500"/>
    <m/>
    <x v="0"/>
    <s v="S"/>
    <n v="-22.532256299702901"/>
    <n v="-47.384901527605777"/>
    <n v="59.34"/>
    <n v="2.7"/>
    <n v="50"/>
    <m/>
    <n v="0"/>
    <s v="Trator 1.7m"/>
    <m/>
    <s v="Não"/>
    <s v="Não"/>
    <s v="Não"/>
    <s v="Não"/>
    <n v="29.67"/>
    <n v="29.67"/>
  </r>
  <r>
    <s v="VGSP-330_150,000_ES_CL7"/>
    <x v="0"/>
    <s v="150,000"/>
    <m/>
    <s v="150,500"/>
    <m/>
    <x v="0"/>
    <s v="S"/>
    <n v="-22.529316734381759"/>
    <n v="-47.386858323580441"/>
    <n v="2269.5"/>
    <n v="2.84"/>
    <n v="50"/>
    <m/>
    <n v="0"/>
    <s v="Trator 1.7m"/>
    <m/>
    <s v="Não"/>
    <s v="Não"/>
    <s v="Não"/>
    <s v="Não"/>
    <n v="1134.75"/>
    <n v="1134.75"/>
  </r>
  <r>
    <s v="VGSP-348_150,000_CC3"/>
    <x v="208"/>
    <s v="150,000"/>
    <m/>
    <s v="150,500"/>
    <n v="0.5"/>
    <x v="1"/>
    <s v="C"/>
    <n v="-22.635157495822941"/>
    <n v="-47.454385372510373"/>
    <n v="5592.4"/>
    <n v="4.47"/>
    <n v="80"/>
    <m/>
    <n v="0"/>
    <s v="Trator 1.7m"/>
    <m/>
    <s v="Não"/>
    <s v="Não"/>
    <s v="Não"/>
    <s v="Não"/>
    <n v="4473.92"/>
    <n v="4473.92"/>
  </r>
  <r>
    <s v="VGSP-330_150,000_ES_CL8"/>
    <x v="0"/>
    <s v="150,000"/>
    <m/>
    <s v="150,500"/>
    <m/>
    <x v="0"/>
    <s v="S"/>
    <n v="-22.528333233575161"/>
    <n v="-47.38751634900207"/>
    <n v="326.89"/>
    <n v="1.73"/>
    <n v="50"/>
    <m/>
    <n v="0"/>
    <s v="Trator 1.7m"/>
    <m/>
    <s v="Não"/>
    <s v="Não"/>
    <s v="Não"/>
    <s v="Não"/>
    <n v="163.44499999999999"/>
    <n v="163.44499999999999"/>
  </r>
  <r>
    <s v="VGSP-348_150,000_ES_CL1"/>
    <x v="0"/>
    <s v="150,000"/>
    <m/>
    <s v="150,500"/>
    <m/>
    <x v="0"/>
    <s v="S"/>
    <n v="-22.640860145921121"/>
    <n v="-47.452197338002676"/>
    <n v="611.99"/>
    <n v="6.07"/>
    <n v="70"/>
    <m/>
    <n v="0"/>
    <s v="Trator 1.7m"/>
    <m/>
    <s v="Não"/>
    <s v="Não"/>
    <s v="Não"/>
    <s v="Não"/>
    <n v="428.39299999999997"/>
    <n v="428.39299999999997"/>
  </r>
  <r>
    <s v="VGSP-330_150,000_ES_CL9"/>
    <x v="0"/>
    <s v="150,000"/>
    <m/>
    <s v="150,500"/>
    <m/>
    <x v="0"/>
    <s v="S"/>
    <n v="-22.526991561825"/>
    <n v="-47.388486150596869"/>
    <n v="1077.5999999999999"/>
    <n v="3.05"/>
    <n v="50"/>
    <m/>
    <n v="0"/>
    <s v="Trator 1.7m"/>
    <m/>
    <s v="Não"/>
    <s v="Não"/>
    <s v="Não"/>
    <s v="Não"/>
    <n v="538.79999999999995"/>
    <n v="538.79999999999995"/>
  </r>
  <r>
    <s v="VGSP-330_150,000_ES_CL5"/>
    <x v="0"/>
    <s v="150,000"/>
    <m/>
    <s v="150,500"/>
    <m/>
    <x v="0"/>
    <s v="S"/>
    <n v="-22.53119512183213"/>
    <n v="-47.385562679017767"/>
    <n v="901.36"/>
    <n v="2.48"/>
    <n v="50"/>
    <m/>
    <n v="0"/>
    <s v="Trator 1.7m"/>
    <m/>
    <s v="Não"/>
    <s v="Não"/>
    <s v="Não"/>
    <s v="Não"/>
    <n v="450.68"/>
    <n v="450.68"/>
  </r>
  <r>
    <s v="VGSP-348_150,000_CC1"/>
    <x v="208"/>
    <s v="150,000"/>
    <m/>
    <s v="150,500"/>
    <n v="0.5"/>
    <x v="1"/>
    <s v="C"/>
    <n v="-22.640803599782149"/>
    <n v="-47.45202089844706"/>
    <n v="1872.89"/>
    <n v="4.7699999999999996"/>
    <n v="80"/>
    <m/>
    <n v="0"/>
    <s v="Trator 1.7m"/>
    <m/>
    <s v="Não"/>
    <s v="Não"/>
    <s v="Não"/>
    <s v="Não"/>
    <n v="1498.3120000000001"/>
    <n v="1498.3120000000001"/>
  </r>
  <r>
    <s v="VGSP-330_150,000_EN_CL2"/>
    <x v="0"/>
    <s v="150,000"/>
    <m/>
    <s v="150,500"/>
    <m/>
    <x v="0"/>
    <s v="N"/>
    <n v="-22.530880258778421"/>
    <n v="-47.386378048003976"/>
    <n v="3329.92"/>
    <n v="2.87"/>
    <n v="50"/>
    <m/>
    <n v="0"/>
    <s v="Trator 1.7m"/>
    <m/>
    <s v="Não"/>
    <s v="Não"/>
    <s v="Não"/>
    <s v="Não"/>
    <n v="1664.96"/>
    <n v="1664.96"/>
  </r>
  <r>
    <s v="VGSP-330_150,000_ES_CL2"/>
    <x v="0"/>
    <s v="150,000"/>
    <m/>
    <s v="150,500"/>
    <m/>
    <x v="0"/>
    <s v="S"/>
    <n v="-22.533075780317979"/>
    <n v="-47.384330115612222"/>
    <n v="23.46"/>
    <n v="3.21"/>
    <n v="50"/>
    <m/>
    <n v="0"/>
    <s v="Trator 1.7m"/>
    <m/>
    <s v="Não"/>
    <s v="Não"/>
    <s v="Não"/>
    <s v="Não"/>
    <n v="11.73"/>
    <n v="11.73"/>
  </r>
  <r>
    <s v="VGSP-330_150,000_ES_CL6"/>
    <x v="0"/>
    <s v="150,000"/>
    <m/>
    <s v="150,500"/>
    <m/>
    <x v="0"/>
    <s v="S"/>
    <n v="-22.53010283273942"/>
    <n v="-47.386325150217871"/>
    <n v="677.03"/>
    <n v="3"/>
    <n v="50"/>
    <m/>
    <n v="0"/>
    <s v="Trator 1.7m"/>
    <m/>
    <s v="Não"/>
    <s v="Não"/>
    <s v="Não"/>
    <s v="Não"/>
    <n v="338.51499999999999"/>
    <n v="338.51499999999999"/>
  </r>
  <r>
    <s v="VGSP-330_150,000_CC1"/>
    <x v="209"/>
    <s v="150,000"/>
    <m/>
    <s v="150,500"/>
    <m/>
    <x v="1"/>
    <s v="C"/>
    <n v="-22.53199204288951"/>
    <n v="-47.38529505647881"/>
    <n v="6054"/>
    <n v="2.5299999999999998"/>
    <n v="50"/>
    <m/>
    <n v="0"/>
    <s v="Trator 1.7m"/>
    <m/>
    <s v="Não"/>
    <s v="Não"/>
    <s v="Não"/>
    <s v="Não"/>
    <n v="3027"/>
    <n v="3027"/>
  </r>
  <r>
    <s v="VGSP-330_150,000_CC2"/>
    <x v="209"/>
    <s v="150,000"/>
    <m/>
    <s v="150,500"/>
    <m/>
    <x v="1"/>
    <s v="C"/>
    <n v="-22.528018552999921"/>
    <n v="-47.388035236045091"/>
    <n v="5974.81"/>
    <n v="2.67"/>
    <n v="50"/>
    <m/>
    <n v="0"/>
    <s v="Trator 1.7m"/>
    <m/>
    <s v="Não"/>
    <s v="Não"/>
    <s v="Não"/>
    <s v="Não"/>
    <n v="2987.4050000000002"/>
    <n v="2987.4050000000002"/>
  </r>
  <r>
    <s v="VGSP-348_150,000_ES_CL5"/>
    <x v="0"/>
    <s v="150,000"/>
    <m/>
    <s v="150,500"/>
    <m/>
    <x v="0"/>
    <s v="S"/>
    <n v="-22.635251424150709"/>
    <n v="-47.454549205562721"/>
    <n v="1785.53"/>
    <n v="3.98"/>
    <n v="70"/>
    <m/>
    <n v="0"/>
    <s v="Trator 1.7m"/>
    <m/>
    <s v="Não"/>
    <s v="Não"/>
    <s v="Não"/>
    <s v="Não"/>
    <n v="1249.8709999999999"/>
    <n v="1249.8709999999999"/>
  </r>
  <r>
    <s v="VGSP-348_150,000_EN_CL4"/>
    <x v="0"/>
    <s v="150,000"/>
    <m/>
    <s v="150,500"/>
    <m/>
    <x v="0"/>
    <s v="N"/>
    <n v="-22.635136767423411"/>
    <n v="-47.454198716016222"/>
    <n v="1752.59"/>
    <n v="4.6500000000000004"/>
    <n v="70"/>
    <m/>
    <n v="0"/>
    <s v="Trator 1.7m"/>
    <m/>
    <s v="Não"/>
    <s v="Não"/>
    <s v="Não"/>
    <s v="Não"/>
    <n v="1226.8129999999999"/>
    <n v="1226.8129999999999"/>
  </r>
  <r>
    <s v="VGSP-330_151,000_EN_CL2"/>
    <x v="0"/>
    <s v="151,000"/>
    <m/>
    <s v="151,500"/>
    <m/>
    <x v="0"/>
    <s v="N"/>
    <n v="-22.525615048454629"/>
    <n v="-47.390192955765848"/>
    <n v="3545.18"/>
    <n v="1.34"/>
    <n v="50"/>
    <m/>
    <n v="0"/>
    <s v="Trator 1.7m"/>
    <m/>
    <s v="Não"/>
    <s v="Não"/>
    <s v="Não"/>
    <s v="Não"/>
    <n v="1772.59"/>
    <n v="1772.59"/>
  </r>
  <r>
    <s v="VGSP-330_151,000_EN_CL1"/>
    <x v="0"/>
    <s v="151,000"/>
    <m/>
    <s v="151,500"/>
    <m/>
    <x v="0"/>
    <s v="N"/>
    <n v="-22.526095583624009"/>
    <n v="-47.390214711669707"/>
    <n v="260.39"/>
    <n v="1.53"/>
    <n v="50"/>
    <m/>
    <n v="0"/>
    <s v="Trator 1.7m"/>
    <m/>
    <s v="Não"/>
    <s v="Não"/>
    <s v="Não"/>
    <s v="Não"/>
    <n v="130.19499999999999"/>
    <n v="130.19499999999999"/>
  </r>
  <r>
    <s v="VGSP-330_151,000_EN_CL5"/>
    <x v="0"/>
    <s v="151,000"/>
    <m/>
    <s v="151,500"/>
    <m/>
    <x v="0"/>
    <s v="N"/>
    <n v="-22.520359232949669"/>
    <n v="-47.393148614520847"/>
    <n v="1902.42"/>
    <n v="2.84"/>
    <n v="50"/>
    <m/>
    <n v="0"/>
    <s v="Trator 1.7m"/>
    <m/>
    <s v="Não"/>
    <s v="Não"/>
    <s v="Não"/>
    <s v="Não"/>
    <n v="951.21"/>
    <n v="951.21"/>
  </r>
  <r>
    <s v="VGSP-348_151,000_EN_CL2"/>
    <x v="0"/>
    <s v="151,000"/>
    <m/>
    <s v="151,500"/>
    <m/>
    <x v="0"/>
    <s v="N"/>
    <n v="-22.627567579291298"/>
    <n v="-47.457362606086328"/>
    <n v="1803.7"/>
    <n v="5.35"/>
    <n v="70"/>
    <m/>
    <n v="0"/>
    <s v="Trator 1.7m"/>
    <m/>
    <s v="Não"/>
    <s v="Não"/>
    <s v="Não"/>
    <s v="Não"/>
    <n v="1262.5899999999999"/>
    <n v="1262.5899999999999"/>
  </r>
  <r>
    <s v="VGSP-330_151,000_CC3"/>
    <x v="210"/>
    <s v="151,000"/>
    <m/>
    <s v="151,500"/>
    <m/>
    <x v="1"/>
    <s v="C"/>
    <n v="-22.520287166921118"/>
    <n v="-47.392978106926307"/>
    <n v="5516.43"/>
    <n v="2.94"/>
    <n v="50"/>
    <m/>
    <n v="0"/>
    <s v="Trator 1.7m"/>
    <m/>
    <s v="Não"/>
    <s v="Não"/>
    <s v="Não"/>
    <s v="Não"/>
    <n v="2758.2150000000001"/>
    <n v="2758.2150000000001"/>
  </r>
  <r>
    <s v="VGSP-330_151,000_CC1"/>
    <x v="210"/>
    <s v="151,000"/>
    <m/>
    <s v="151,500"/>
    <m/>
    <x v="1"/>
    <s v="C"/>
    <n v="-22.526115325459148"/>
    <n v="-47.389823782842853"/>
    <n v="1611.26"/>
    <n v="1.57"/>
    <n v="50"/>
    <m/>
    <n v="0"/>
    <s v="Trator 1.7m"/>
    <m/>
    <s v="Não"/>
    <s v="Não"/>
    <s v="Não"/>
    <s v="Não"/>
    <n v="805.63"/>
    <n v="805.63"/>
  </r>
  <r>
    <s v="VGSP-348_151,000_CC2"/>
    <x v="211"/>
    <s v="151,000"/>
    <m/>
    <s v="151,500"/>
    <n v="0.5"/>
    <x v="1"/>
    <s v="C"/>
    <n v="-22.627635275110968"/>
    <n v="-47.457532509229686"/>
    <n v="5964.63"/>
    <n v="4.95"/>
    <n v="80"/>
    <m/>
    <n v="0"/>
    <s v="Trator 1.7m"/>
    <m/>
    <s v="Não"/>
    <s v="Não"/>
    <s v="Não"/>
    <s v="Não"/>
    <n v="4771.7040000000006"/>
    <n v="4771.7040000000006"/>
  </r>
  <r>
    <s v="VGSP-330_151,000_EN_CL4"/>
    <x v="0"/>
    <s v="151,000"/>
    <m/>
    <s v="151,500"/>
    <m/>
    <x v="0"/>
    <s v="N"/>
    <n v="-22.524144550433839"/>
    <n v="-47.391091778031502"/>
    <n v="1889.56"/>
    <n v="1.92"/>
    <n v="50"/>
    <m/>
    <n v="0"/>
    <s v="Trator 1.7m"/>
    <m/>
    <s v="Não"/>
    <s v="Não"/>
    <s v="Não"/>
    <s v="Não"/>
    <n v="944.78"/>
    <n v="944.78"/>
  </r>
  <r>
    <s v="VGSP-348_151,000_CC1"/>
    <x v="211"/>
    <s v="151,000"/>
    <m/>
    <s v="151,500"/>
    <n v="0.5"/>
    <x v="1"/>
    <s v="C"/>
    <n v="-22.631445543161679"/>
    <n v="-47.45593609589173"/>
    <n v="5019.6000000000004"/>
    <n v="5.3"/>
    <n v="80"/>
    <m/>
    <n v="0"/>
    <s v="Trator 1.7m"/>
    <m/>
    <s v="Não"/>
    <s v="Não"/>
    <s v="Não"/>
    <s v="Não"/>
    <n v="4015.6800000000003"/>
    <n v="4015.6800000000003"/>
  </r>
  <r>
    <s v="VGSP-330_151,000_CC2"/>
    <x v="210"/>
    <s v="151,000"/>
    <m/>
    <s v="151,500"/>
    <m/>
    <x v="1"/>
    <s v="C"/>
    <n v="-22.523971518824581"/>
    <n v="-47.390824840277517"/>
    <n v="5293.73"/>
    <n v="2.08"/>
    <n v="50"/>
    <m/>
    <n v="0"/>
    <s v="Trator 1.7m"/>
    <m/>
    <s v="Não"/>
    <s v="Não"/>
    <s v="Não"/>
    <s v="Não"/>
    <n v="2646.8649999999998"/>
    <n v="2646.8649999999998"/>
  </r>
  <r>
    <s v="VGSP-330_151,000_ES_CL6"/>
    <x v="0"/>
    <s v="151,000"/>
    <m/>
    <s v="151,500"/>
    <m/>
    <x v="0"/>
    <s v="S"/>
    <n v="-22.520229209990539"/>
    <n v="-47.392762449949657"/>
    <n v="1902.13"/>
    <n v="2.94"/>
    <n v="50"/>
    <m/>
    <n v="0"/>
    <s v="Trator 1.7m"/>
    <m/>
    <s v="Não"/>
    <s v="Não"/>
    <s v="Não"/>
    <s v="Não"/>
    <n v="951.06500000000005"/>
    <n v="951.06500000000005"/>
  </r>
  <r>
    <s v="VGSP-330_151,000_ES_CL1"/>
    <x v="0"/>
    <s v="151,000"/>
    <m/>
    <s v="151,500"/>
    <m/>
    <x v="0"/>
    <s v="S"/>
    <n v="-22.52593468177642"/>
    <n v="-47.389478961443501"/>
    <n v="440.48"/>
    <n v="1.78"/>
    <n v="50"/>
    <m/>
    <n v="0"/>
    <s v="Trator 1.7m"/>
    <m/>
    <s v="Não"/>
    <s v="Não"/>
    <s v="Não"/>
    <s v="Não"/>
    <n v="220.24"/>
    <n v="220.24"/>
  </r>
  <r>
    <s v="VGSP-330_151,000_ES_CL5"/>
    <x v="0"/>
    <s v="151,000"/>
    <m/>
    <s v="151,500"/>
    <m/>
    <x v="0"/>
    <s v="S"/>
    <n v="-22.524138756968309"/>
    <n v="-47.390280613196687"/>
    <n v="2236.46"/>
    <n v="2.4700000000000002"/>
    <n v="50"/>
    <m/>
    <n v="0"/>
    <s v="Trator 1.7m"/>
    <m/>
    <s v="Não"/>
    <s v="Não"/>
    <s v="Não"/>
    <s v="Não"/>
    <n v="1118.23"/>
    <n v="1118.23"/>
  </r>
  <r>
    <s v="VGSP-348_151,000_EN_CL1"/>
    <x v="0"/>
    <s v="151,000"/>
    <m/>
    <s v="151,500"/>
    <m/>
    <x v="0"/>
    <s v="N"/>
    <n v="-22.6313831429392"/>
    <n v="-47.455773917375502"/>
    <n v="1543.11"/>
    <n v="5.16"/>
    <n v="70"/>
    <m/>
    <n v="0"/>
    <s v="Trator 1.7m"/>
    <m/>
    <s v="Não"/>
    <s v="Não"/>
    <s v="Não"/>
    <s v="Não"/>
    <n v="1080.1769999999999"/>
    <n v="1080.1769999999999"/>
  </r>
  <r>
    <s v="VGSP-330_151,000_ES_CL2"/>
    <x v="0"/>
    <s v="151,000"/>
    <m/>
    <s v="151,500"/>
    <m/>
    <x v="0"/>
    <s v="S"/>
    <n v="-22.525936248657452"/>
    <n v="-47.389227463653221"/>
    <n v="111.32"/>
    <n v="2.54"/>
    <n v="50"/>
    <m/>
    <n v="0"/>
    <s v="Trator 1.7m"/>
    <m/>
    <s v="Não"/>
    <s v="Não"/>
    <s v="Não"/>
    <s v="Não"/>
    <n v="55.66"/>
    <n v="55.66"/>
  </r>
  <r>
    <s v="VGSP-330_151,000_ES_CL3"/>
    <x v="0"/>
    <s v="151,000"/>
    <m/>
    <s v="151,500"/>
    <m/>
    <x v="0"/>
    <s v="S"/>
    <n v="-22.525204209976732"/>
    <n v="-47.389493034056301"/>
    <n v="3588.27"/>
    <n v="2.3199999999999998"/>
    <n v="50"/>
    <m/>
    <n v="0"/>
    <s v="Trator 1.7m"/>
    <m/>
    <s v="Não"/>
    <s v="Não"/>
    <s v="Não"/>
    <s v="Não"/>
    <n v="1794.135"/>
    <n v="1794.135"/>
  </r>
  <r>
    <s v="VGSP-330_151,000_ES_CL4"/>
    <x v="0"/>
    <s v="151,000"/>
    <m/>
    <s v="151,500"/>
    <m/>
    <x v="0"/>
    <s v="S"/>
    <n v="-22.52481151408287"/>
    <n v="-47.38992748798087"/>
    <n v="821.16"/>
    <n v="1.98"/>
    <n v="50"/>
    <m/>
    <n v="0"/>
    <s v="Trator 1.7m"/>
    <m/>
    <s v="Não"/>
    <s v="Não"/>
    <s v="Não"/>
    <s v="Não"/>
    <n v="410.58"/>
    <n v="410.58"/>
  </r>
  <r>
    <s v="VGSP-330_151,000_EN_CL6"/>
    <x v="0"/>
    <s v="151,000"/>
    <m/>
    <s v="151,500"/>
    <m/>
    <x v="0"/>
    <s v="N"/>
    <n v="-22.518334314980169"/>
    <n v="-47.39396775798609"/>
    <n v="17.54"/>
    <n v="2.5"/>
    <n v="0"/>
    <m/>
    <n v="0"/>
    <m/>
    <m/>
    <s v="Não"/>
    <s v="Não"/>
    <s v="Não"/>
    <s v="Não"/>
    <n v="0"/>
    <n v="0"/>
  </r>
  <r>
    <s v="VGSP-348_151,000_ES_CL1"/>
    <x v="0"/>
    <s v="151,000"/>
    <m/>
    <s v="151,500"/>
    <m/>
    <x v="0"/>
    <s v="S"/>
    <n v="-22.63149567547589"/>
    <n v="-47.456108728053181"/>
    <n v="1508.32"/>
    <n v="4.76"/>
    <n v="70"/>
    <m/>
    <n v="0"/>
    <s v="Trator 1.7m"/>
    <m/>
    <s v="Não"/>
    <s v="Não"/>
    <s v="Não"/>
    <s v="Não"/>
    <n v="1055.8239999999998"/>
    <n v="1055.8239999999998"/>
  </r>
  <r>
    <s v="VGSP-348_151,000_ES_CL2"/>
    <x v="0"/>
    <s v="151,000"/>
    <m/>
    <s v="151,500"/>
    <m/>
    <x v="0"/>
    <s v="S"/>
    <n v="-22.627707024805272"/>
    <n v="-47.457700988833253"/>
    <n v="1818.89"/>
    <n v="4.83"/>
    <n v="70"/>
    <m/>
    <n v="0"/>
    <s v="Trator 1.7m"/>
    <m/>
    <s v="Não"/>
    <s v="Não"/>
    <s v="Não"/>
    <s v="Não"/>
    <n v="1273.223"/>
    <n v="1273.223"/>
  </r>
  <r>
    <s v="VGSP-330_151,000_EN_CL3"/>
    <x v="0"/>
    <s v="151,000"/>
    <m/>
    <s v="151,500"/>
    <m/>
    <x v="0"/>
    <s v="N"/>
    <n v="-22.525075273404759"/>
    <n v="-47.39038154729576"/>
    <n v="885.58"/>
    <n v="1.1599999999999999"/>
    <n v="50"/>
    <m/>
    <n v="0"/>
    <s v="Trator 1.7m"/>
    <m/>
    <s v="Não"/>
    <s v="Não"/>
    <s v="Não"/>
    <s v="Não"/>
    <n v="442.79"/>
    <n v="442.79"/>
  </r>
  <r>
    <s v="VGSP-330_152,000_EN_CL1"/>
    <x v="0"/>
    <s v="152,000"/>
    <m/>
    <s v="152,500"/>
    <m/>
    <x v="0"/>
    <s v="N"/>
    <n v="-22.515323888793031"/>
    <n v="-47.395067598359709"/>
    <n v="1478.85"/>
    <n v="1.85"/>
    <n v="50"/>
    <m/>
    <n v="0"/>
    <s v="Trator 1.7m"/>
    <m/>
    <s v="Não"/>
    <s v="Não"/>
    <s v="Não"/>
    <s v="Não"/>
    <n v="739.42499999999995"/>
    <n v="739.42499999999995"/>
  </r>
  <r>
    <s v="VGSP-330_152,000_CC1"/>
    <x v="212"/>
    <s v="152,000"/>
    <m/>
    <s v="152,500"/>
    <m/>
    <x v="1"/>
    <s v="C"/>
    <n v="-22.515964462692502"/>
    <n v="-47.394611397895197"/>
    <n v="6277.67"/>
    <n v="1.76"/>
    <n v="50"/>
    <m/>
    <n v="0"/>
    <s v="Trator 1.7m"/>
    <m/>
    <s v="Não"/>
    <s v="Não"/>
    <s v="Não"/>
    <s v="Não"/>
    <n v="3138.835"/>
    <n v="3138.835"/>
  </r>
  <r>
    <s v="VGSP-330_152,000_CC2"/>
    <x v="212"/>
    <s v="152,000"/>
    <m/>
    <s v="152,500"/>
    <m/>
    <x v="1"/>
    <s v="C"/>
    <n v="-22.513061054427862"/>
    <n v="-47.39580504104255"/>
    <n v="1855.54"/>
    <n v="2.58"/>
    <n v="50"/>
    <m/>
    <n v="0"/>
    <s v="Trator 1.7m"/>
    <m/>
    <s v="Não"/>
    <s v="Não"/>
    <s v="Não"/>
    <s v="Não"/>
    <n v="927.77"/>
    <n v="927.77"/>
  </r>
  <r>
    <s v="VGSP-348_152,000_CC1"/>
    <x v="213"/>
    <s v="152,000"/>
    <m/>
    <s v="152,500"/>
    <n v="0.5"/>
    <x v="1"/>
    <s v="C"/>
    <n v="-22.62355936669136"/>
    <n v="-47.459234925544109"/>
    <n v="5819.84"/>
    <n v="4.6399999999999997"/>
    <n v="80"/>
    <m/>
    <n v="0"/>
    <s v="Trator 1.7m"/>
    <m/>
    <s v="Não"/>
    <s v="Não"/>
    <s v="Não"/>
    <s v="Não"/>
    <n v="4655.8720000000003"/>
    <n v="4655.8720000000003"/>
  </r>
  <r>
    <s v="VGSP-330_152,000_EN_CL2"/>
    <x v="0"/>
    <s v="152,000"/>
    <m/>
    <s v="152,500"/>
    <m/>
    <x v="0"/>
    <s v="N"/>
    <n v="-22.51201301686044"/>
    <n v="-47.396857307071507"/>
    <n v="1817.09"/>
    <n v="2.1"/>
    <n v="50"/>
    <m/>
    <n v="0"/>
    <s v="Trator 1.7m"/>
    <m/>
    <s v="Não"/>
    <s v="Não"/>
    <s v="Não"/>
    <s v="Não"/>
    <n v="908.54499999999996"/>
    <n v="908.54499999999996"/>
  </r>
  <r>
    <s v="VGSP-348_152,000_EN_CL2"/>
    <x v="0"/>
    <s v="152,000"/>
    <m/>
    <s v="152,500"/>
    <m/>
    <x v="0"/>
    <s v="N"/>
    <n v="-22.619185737303891"/>
    <n v="-47.460454374366257"/>
    <n v="1974.01"/>
    <n v="3.9"/>
    <n v="70"/>
    <m/>
    <n v="0"/>
    <s v="Trator 1.7m"/>
    <m/>
    <s v="Não"/>
    <s v="Não"/>
    <s v="Não"/>
    <s v="Não"/>
    <n v="1381.807"/>
    <n v="1381.807"/>
  </r>
  <r>
    <s v="VGSP-330_152,000_EN_CL3"/>
    <x v="0"/>
    <s v="152,000"/>
    <m/>
    <s v="152,500"/>
    <m/>
    <x v="0"/>
    <s v="N"/>
    <n v="-22.510102316144369"/>
    <n v="-47.398069021282389"/>
    <n v="67.16"/>
    <n v="2.2400000000000002"/>
    <n v="0"/>
    <m/>
    <n v="0"/>
    <m/>
    <m/>
    <s v="Não"/>
    <s v="Não"/>
    <s v="Não"/>
    <s v="Não"/>
    <n v="0"/>
    <n v="0"/>
  </r>
  <r>
    <s v="VGSP-348_152,000_ES_CL2"/>
    <x v="0"/>
    <s v="152,000"/>
    <m/>
    <s v="152,500"/>
    <m/>
    <x v="0"/>
    <s v="S"/>
    <n v="-22.619224647131571"/>
    <n v="-47.460816777070939"/>
    <n v="1974.42"/>
    <n v="3.82"/>
    <n v="70"/>
    <m/>
    <n v="0"/>
    <s v="Trator 1.7m"/>
    <m/>
    <s v="Não"/>
    <s v="Não"/>
    <s v="Não"/>
    <s v="Não"/>
    <n v="1382.0940000000001"/>
    <n v="1382.0940000000001"/>
  </r>
  <r>
    <s v="VGSP-348_152,000_ES_CL1"/>
    <x v="0"/>
    <s v="152,000"/>
    <m/>
    <s v="152,500"/>
    <m/>
    <x v="0"/>
    <s v="S"/>
    <n v="-22.623609170011779"/>
    <n v="-47.459416995131043"/>
    <n v="1778.39"/>
    <n v="4.74"/>
    <n v="70"/>
    <m/>
    <n v="0"/>
    <s v="Trator 1.7m"/>
    <m/>
    <s v="Não"/>
    <s v="Não"/>
    <s v="Não"/>
    <s v="Não"/>
    <n v="1244.873"/>
    <n v="1244.873"/>
  </r>
  <r>
    <s v="VGSP-348_152,000_EN_CL1"/>
    <x v="0"/>
    <s v="152,000"/>
    <m/>
    <s v="152,500"/>
    <m/>
    <x v="0"/>
    <s v="N"/>
    <n v="-22.623523413209639"/>
    <n v="-47.459048273867502"/>
    <n v="1744.25"/>
    <n v="4.29"/>
    <n v="70"/>
    <m/>
    <n v="0"/>
    <s v="Trator 1.7m"/>
    <m/>
    <s v="Não"/>
    <s v="Não"/>
    <s v="Não"/>
    <s v="Não"/>
    <n v="1220.9749999999999"/>
    <n v="1220.9749999999999"/>
  </r>
  <r>
    <s v="VGSP-348_152,000_CC2"/>
    <x v="213"/>
    <s v="152,000"/>
    <m/>
    <s v="152,500"/>
    <n v="0.5"/>
    <x v="1"/>
    <s v="C"/>
    <n v="-22.619215982678611"/>
    <n v="-47.460632317061872"/>
    <n v="6410.53"/>
    <n v="3.97"/>
    <n v="80"/>
    <m/>
    <n v="0"/>
    <s v="Trator 1.7m"/>
    <m/>
    <s v="Não"/>
    <s v="Não"/>
    <s v="Não"/>
    <s v="Não"/>
    <n v="5128.424"/>
    <n v="5128.424"/>
  </r>
  <r>
    <s v="VGSP-330_152,000_ES_CL1"/>
    <x v="0"/>
    <s v="152,000"/>
    <m/>
    <s v="152,500"/>
    <m/>
    <x v="0"/>
    <s v="S"/>
    <n v="-22.51591533781821"/>
    <n v="-47.394389675841779"/>
    <n v="2161.5500000000002"/>
    <n v="1.57"/>
    <n v="50"/>
    <m/>
    <n v="0"/>
    <s v="Trator 1.7m"/>
    <m/>
    <s v="Não"/>
    <s v="Não"/>
    <s v="Não"/>
    <s v="Não"/>
    <n v="1080.7750000000001"/>
    <n v="1080.7750000000001"/>
  </r>
  <r>
    <s v="VGSP-330_152,000_ES_CL2"/>
    <x v="0"/>
    <s v="152,000"/>
    <m/>
    <s v="152,500"/>
    <m/>
    <x v="0"/>
    <s v="S"/>
    <n v="-22.51209015592471"/>
    <n v="-47.39589565001917"/>
    <n v="1454.34"/>
    <n v="2.5"/>
    <n v="50"/>
    <m/>
    <n v="0"/>
    <s v="Trator 1.7m"/>
    <m/>
    <s v="Não"/>
    <s v="Não"/>
    <s v="Não"/>
    <s v="Não"/>
    <n v="727.17"/>
    <n v="727.17"/>
  </r>
  <r>
    <s v="VGSP-330_153,000_EN_CL3"/>
    <x v="0"/>
    <s v="153,000"/>
    <m/>
    <s v="153,500"/>
    <m/>
    <x v="0"/>
    <s v="N"/>
    <n v="-22.503021429395549"/>
    <n v="-47.400536698654442"/>
    <n v="7286.96"/>
    <n v="1.51"/>
    <n v="50"/>
    <m/>
    <n v="0"/>
    <s v="Trator 1.7m"/>
    <m/>
    <s v="Não"/>
    <s v="Não"/>
    <s v="Não"/>
    <s v="Não"/>
    <n v="3643.48"/>
    <n v="3643.48"/>
  </r>
  <r>
    <s v="VGSP-330_153,000_ES_CL4"/>
    <x v="0"/>
    <s v="153,000"/>
    <m/>
    <s v="153,500"/>
    <m/>
    <x v="0"/>
    <s v="S"/>
    <n v="-22.501554457799681"/>
    <n v="-47.398353237798197"/>
    <n v="36933.42"/>
    <n v="3.78"/>
    <n v="50"/>
    <m/>
    <n v="0"/>
    <s v="Trator 1.7m"/>
    <m/>
    <s v="Não"/>
    <s v="Não"/>
    <s v="Não"/>
    <s v="Não"/>
    <n v="18466.71"/>
    <n v="18466.71"/>
  </r>
  <r>
    <s v="VGSP-348_153,000_CC2"/>
    <x v="214"/>
    <s v="153,000"/>
    <m/>
    <s v="153,500"/>
    <n v="0.5"/>
    <x v="1"/>
    <s v="C"/>
    <n v="-22.609854143702549"/>
    <n v="-47.460222254757177"/>
    <n v="6501.76"/>
    <n v="2.17"/>
    <n v="80"/>
    <m/>
    <n v="0"/>
    <s v="Trator 1.7m"/>
    <m/>
    <s v="Não"/>
    <s v="Não"/>
    <s v="Não"/>
    <s v="Não"/>
    <n v="5201.4080000000004"/>
    <n v="5201.4080000000004"/>
  </r>
  <r>
    <s v="VGSP-330_153,000_EN_CL5"/>
    <x v="0"/>
    <s v="153,000"/>
    <m/>
    <s v="153,500"/>
    <m/>
    <x v="0"/>
    <s v="N"/>
    <n v="-22.500780258737869"/>
    <n v="-47.399750074142943"/>
    <n v="444.54"/>
    <n v="2.09"/>
    <n v="50"/>
    <m/>
    <n v="0"/>
    <s v="Trator 1.7m"/>
    <m/>
    <s v="Não"/>
    <s v="Não"/>
    <s v="Não"/>
    <s v="Não"/>
    <n v="222.27"/>
    <n v="222.27"/>
  </r>
  <r>
    <s v="VGSP-330_153,000_EN_CL2"/>
    <x v="0"/>
    <s v="153,000"/>
    <m/>
    <s v="153,500"/>
    <m/>
    <x v="0"/>
    <s v="N"/>
    <n v="-22.50775771550045"/>
    <n v="-47.3986022718355"/>
    <n v="2072.87"/>
    <n v="2.29"/>
    <n v="65"/>
    <m/>
    <n v="1347.3654999999999"/>
    <s v="Trator com braço articulado"/>
    <m/>
    <s v="Não"/>
    <s v="Sim"/>
    <s v="Não"/>
    <s v="Sim"/>
    <n v="0"/>
    <m/>
  </r>
  <r>
    <s v="VGSP-330_153,000_CC3"/>
    <x v="215"/>
    <s v="153,000"/>
    <m/>
    <s v="153,500"/>
    <m/>
    <x v="1"/>
    <s v="C"/>
    <n v="-22.503492760366999"/>
    <n v="-47.398800840678589"/>
    <n v="14657.09"/>
    <n v="3.16"/>
    <n v="50"/>
    <m/>
    <n v="0"/>
    <s v="Trator 1.7m"/>
    <m/>
    <s v="Não"/>
    <s v="Não"/>
    <s v="Não"/>
    <s v="Não"/>
    <n v="7328.5450000000001"/>
    <n v="7328.5450000000001"/>
  </r>
  <r>
    <s v="VGSP-348_153,000_CC1"/>
    <x v="214"/>
    <s v="153,000"/>
    <m/>
    <s v="153,500"/>
    <n v="0.5"/>
    <x v="1"/>
    <s v="C"/>
    <n v="-22.61455730491722"/>
    <n v="-47.461030952278392"/>
    <n v="6105.85"/>
    <n v="1.76"/>
    <n v="80"/>
    <m/>
    <n v="0"/>
    <s v="Trator 1.7m"/>
    <m/>
    <s v="Não"/>
    <s v="Não"/>
    <s v="Não"/>
    <s v="Não"/>
    <n v="4884.68"/>
    <n v="4884.68"/>
  </r>
  <r>
    <s v="VGSP-330_153,000_CC4"/>
    <x v="215"/>
    <s v="153,000"/>
    <m/>
    <s v="153,500"/>
    <m/>
    <x v="1"/>
    <s v="C"/>
    <n v="-22.502887629672969"/>
    <n v="-47.400155847964179"/>
    <n v="10747.82"/>
    <n v="2.15"/>
    <n v="50"/>
    <m/>
    <n v="0"/>
    <s v="Trator 1.7m"/>
    <m/>
    <s v="Não"/>
    <s v="Não"/>
    <s v="Não"/>
    <s v="Não"/>
    <n v="5373.91"/>
    <n v="5373.91"/>
  </r>
  <r>
    <s v="VGSP-348_153,000_EN_CL1"/>
    <x v="0"/>
    <s v="153,000"/>
    <m/>
    <s v="153,500"/>
    <m/>
    <x v="0"/>
    <s v="N"/>
    <n v="-22.614560102619269"/>
    <n v="-47.460848554447217"/>
    <n v="1842.49"/>
    <n v="2.35"/>
    <n v="70"/>
    <m/>
    <n v="0"/>
    <s v="Trator 1.7m"/>
    <m/>
    <s v="Não"/>
    <s v="Não"/>
    <s v="Não"/>
    <s v="Não"/>
    <n v="1289.7429999999999"/>
    <n v="1289.7429999999999"/>
  </r>
  <r>
    <s v="VGSP-330_153,000_ES_CL2"/>
    <x v="0"/>
    <s v="153,000"/>
    <m/>
    <s v="153,500"/>
    <m/>
    <x v="0"/>
    <s v="S"/>
    <n v="-22.50738334080981"/>
    <n v="-47.39789216238983"/>
    <n v="1813"/>
    <n v="1.85"/>
    <n v="50"/>
    <m/>
    <n v="0"/>
    <s v="Trator 1.7m"/>
    <m/>
    <s v="Não"/>
    <s v="Não"/>
    <s v="Não"/>
    <s v="Não"/>
    <n v="906.5"/>
    <n v="906.5"/>
  </r>
  <r>
    <s v="VGSP-330_153,000_CC7"/>
    <x v="215"/>
    <s v="153,000"/>
    <m/>
    <s v="153,500"/>
    <m/>
    <x v="1"/>
    <s v="C"/>
    <n v="-22.501460150800231"/>
    <n v="-47.399486157917217"/>
    <n v="1903.37"/>
    <n v="2.93"/>
    <n v="50"/>
    <m/>
    <n v="0"/>
    <s v="Trator 1.7m"/>
    <m/>
    <s v="Não"/>
    <s v="Não"/>
    <s v="Não"/>
    <s v="Não"/>
    <n v="951.68499999999995"/>
    <n v="951.68499999999995"/>
  </r>
  <r>
    <s v="VGSP-330_153,000_ES_CL5"/>
    <x v="0"/>
    <s v="153,000"/>
    <m/>
    <s v="153,500"/>
    <m/>
    <x v="0"/>
    <s v="S"/>
    <n v="-22.502815755113769"/>
    <n v="-47.398439257523982"/>
    <n v="4890.1899999999996"/>
    <n v="3.32"/>
    <n v="50"/>
    <m/>
    <n v="0"/>
    <s v="Trator 1.7m"/>
    <m/>
    <s v="Não"/>
    <s v="Não"/>
    <s v="Não"/>
    <s v="Não"/>
    <n v="2445.0949999999998"/>
    <n v="2445.0949999999998"/>
  </r>
  <r>
    <s v="VGSP-330_153,000_CC5"/>
    <x v="215"/>
    <s v="153,000"/>
    <m/>
    <s v="153,500"/>
    <m/>
    <x v="1"/>
    <s v="C"/>
    <n v="-22.501807778611688"/>
    <n v="-47.401637561470302"/>
    <n v="7261.06"/>
    <n v="1.9"/>
    <n v="50"/>
    <m/>
    <n v="0"/>
    <s v="Trator 1.7m"/>
    <m/>
    <s v="Não"/>
    <s v="Não"/>
    <s v="Não"/>
    <s v="Não"/>
    <n v="3630.53"/>
    <n v="3630.53"/>
  </r>
  <r>
    <s v="VGSP-330_153,000_CC6"/>
    <x v="215"/>
    <s v="153,000"/>
    <m/>
    <s v="153,500"/>
    <m/>
    <x v="1"/>
    <s v="C"/>
    <n v="-22.501431131910941"/>
    <n v="-47.400246846894277"/>
    <n v="15508.39"/>
    <n v="2.39"/>
    <n v="50"/>
    <m/>
    <n v="0"/>
    <s v="Trator 1.7m"/>
    <m/>
    <s v="Não"/>
    <s v="Não"/>
    <s v="Não"/>
    <s v="Não"/>
    <n v="7754.1949999999997"/>
    <n v="7754.1949999999997"/>
  </r>
  <r>
    <s v="VGSP-330_153,000_EN_CL1"/>
    <x v="0"/>
    <s v="153,000"/>
    <m/>
    <s v="153,500"/>
    <m/>
    <x v="0"/>
    <s v="N"/>
    <n v="-22.503143719873531"/>
    <n v="-47.401034260566661"/>
    <n v="2649.51"/>
    <n v="1.68"/>
    <n v="50"/>
    <m/>
    <n v="0"/>
    <s v="Trator 1.7m"/>
    <m/>
    <s v="Não"/>
    <s v="Não"/>
    <s v="Não"/>
    <s v="Não"/>
    <n v="1324.7550000000001"/>
    <n v="1324.7550000000001"/>
  </r>
  <r>
    <s v="VGSP-330_153,000_CC2"/>
    <x v="215"/>
    <s v="153,000"/>
    <m/>
    <s v="153,500"/>
    <m/>
    <x v="1"/>
    <s v="C"/>
    <n v="-22.50647187988675"/>
    <n v="-47.398659494299338"/>
    <n v="2270.0300000000002"/>
    <n v="2.1"/>
    <n v="50"/>
    <m/>
    <n v="0"/>
    <s v="Trator 1.7m"/>
    <m/>
    <s v="Não"/>
    <s v="Não"/>
    <s v="Não"/>
    <s v="Não"/>
    <n v="1135.0150000000001"/>
    <n v="1135.0150000000001"/>
  </r>
  <r>
    <s v="VGSP-330_153,000_ES_CL3"/>
    <x v="0"/>
    <s v="153,000"/>
    <m/>
    <s v="153,500"/>
    <m/>
    <x v="0"/>
    <s v="S"/>
    <n v="-22.50243694030798"/>
    <n v="-47.399500066669582"/>
    <n v="177.34"/>
    <n v="3.39"/>
    <n v="50"/>
    <m/>
    <n v="0"/>
    <s v="Trator 1.7m"/>
    <m/>
    <s v="Não"/>
    <s v="Não"/>
    <s v="Não"/>
    <s v="Não"/>
    <n v="88.67"/>
    <n v="88.67"/>
  </r>
  <r>
    <s v="VGSP-330_153,000_EN_CL4"/>
    <x v="0"/>
    <s v="153,000"/>
    <m/>
    <s v="153,500"/>
    <m/>
    <x v="0"/>
    <s v="N"/>
    <n v="-22.501359732673961"/>
    <n v="-47.401400473873771"/>
    <n v="7150.54"/>
    <n v="2.0699999999999998"/>
    <n v="50"/>
    <m/>
    <n v="0"/>
    <s v="Trator 1.7m"/>
    <m/>
    <s v="Não"/>
    <s v="Não"/>
    <s v="Não"/>
    <s v="Não"/>
    <n v="3575.27"/>
    <n v="3575.27"/>
  </r>
  <r>
    <s v="VGSP-348_153,000_ES_CL2"/>
    <x v="0"/>
    <s v="153,000"/>
    <m/>
    <s v="153,500"/>
    <m/>
    <x v="0"/>
    <s v="S"/>
    <n v="-22.609809457351801"/>
    <n v="-47.460394617322493"/>
    <n v="2066.14"/>
    <n v="2.33"/>
    <n v="70"/>
    <m/>
    <n v="0"/>
    <s v="Trator 1.7m"/>
    <m/>
    <s v="Não"/>
    <s v="Não"/>
    <s v="Não"/>
    <s v="Não"/>
    <n v="1446.2979999999998"/>
    <n v="1446.2979999999998"/>
  </r>
  <r>
    <s v="VGSP-348_153,000_EN_CL2"/>
    <x v="0"/>
    <s v="153,000"/>
    <m/>
    <s v="153,500"/>
    <m/>
    <x v="0"/>
    <s v="N"/>
    <n v="-22.60989491810869"/>
    <n v="-47.460043854389873"/>
    <n v="2043.75"/>
    <n v="2.0299999999999998"/>
    <n v="70"/>
    <m/>
    <n v="0"/>
    <s v="Trator 1.7m"/>
    <m/>
    <s v="Não"/>
    <s v="Não"/>
    <s v="Não"/>
    <s v="Não"/>
    <n v="1430.625"/>
    <n v="1430.625"/>
  </r>
  <r>
    <s v="VGSP-330_153,000_CC1"/>
    <x v="215"/>
    <s v="153,000"/>
    <m/>
    <s v="153,500"/>
    <m/>
    <x v="1"/>
    <s v="C"/>
    <n v="-22.504088082014071"/>
    <n v="-47.399363474413192"/>
    <n v="3648.39"/>
    <n v="1.89"/>
    <n v="50"/>
    <m/>
    <n v="0"/>
    <s v="Trator 1.7m"/>
    <m/>
    <s v="Não"/>
    <s v="Não"/>
    <s v="Não"/>
    <s v="Não"/>
    <n v="1824.1949999999999"/>
    <n v="1824.1949999999999"/>
  </r>
  <r>
    <s v="VGSP-348_153,000_ES_CL1"/>
    <x v="0"/>
    <s v="153,000"/>
    <m/>
    <s v="153,500"/>
    <m/>
    <x v="0"/>
    <s v="S"/>
    <n v="-22.614549585159502"/>
    <n v="-47.461213681936492"/>
    <n v="1882.71"/>
    <n v="1.99"/>
    <n v="70"/>
    <m/>
    <n v="0"/>
    <s v="Trator 1.7m"/>
    <m/>
    <s v="Não"/>
    <s v="Não"/>
    <s v="Não"/>
    <s v="Não"/>
    <n v="1317.8969999999999"/>
    <n v="1317.8969999999999"/>
  </r>
  <r>
    <s v="VGSP-330_153,000_ES_CL1"/>
    <x v="0"/>
    <s v="153,000"/>
    <m/>
    <s v="153,500"/>
    <m/>
    <x v="0"/>
    <s v="S"/>
    <n v="-22.505129401723739"/>
    <n v="-47.398956026693298"/>
    <n v="373.37"/>
    <n v="1.07"/>
    <n v="50"/>
    <m/>
    <n v="0"/>
    <s v="Trator 1.7m"/>
    <m/>
    <s v="Não"/>
    <s v="Não"/>
    <s v="Não"/>
    <s v="Não"/>
    <n v="186.685"/>
    <n v="186.685"/>
  </r>
  <r>
    <s v="VGSP-348_154,000_ES_CL2"/>
    <x v="0"/>
    <s v="154,000"/>
    <m/>
    <s v="154,500"/>
    <m/>
    <x v="0"/>
    <s v="S"/>
    <n v="-22.601330489322901"/>
    <n v="-47.45672168315437"/>
    <n v="1906.26"/>
    <n v="2.14"/>
    <n v="70"/>
    <m/>
    <n v="0"/>
    <s v="Trator 1.7m"/>
    <m/>
    <s v="Não"/>
    <s v="Não"/>
    <s v="Não"/>
    <s v="Não"/>
    <n v="1334.3819999999998"/>
    <n v="1334.3819999999998"/>
  </r>
  <r>
    <s v="VGSP-348_154,000_CC"/>
    <x v="216"/>
    <s v="154,000"/>
    <m/>
    <s v="154,500"/>
    <n v="0.5"/>
    <x v="1"/>
    <s v="C"/>
    <n v="-22.60555083100618"/>
    <n v="-47.458290631662308"/>
    <n v="1759.95"/>
    <n v="1.86"/>
    <n v="70"/>
    <m/>
    <n v="0"/>
    <s v="Trator 1.7m"/>
    <m/>
    <s v="Não"/>
    <s v="Não"/>
    <s v="Não"/>
    <s v="Não"/>
    <n v="1231.9649999999999"/>
    <n v="1231.9649999999999"/>
  </r>
  <r>
    <s v="VGSP-330_154,000_EN_CL5"/>
    <x v="0"/>
    <s v="154,000"/>
    <m/>
    <s v="154,500"/>
    <m/>
    <x v="0"/>
    <s v="N"/>
    <n v="-22.492760992635962"/>
    <n v="-47.399548901088778"/>
    <n v="1447.82"/>
    <n v="3.38"/>
    <n v="50"/>
    <m/>
    <n v="0"/>
    <s v="Trator 1.7m"/>
    <m/>
    <s v="Não"/>
    <s v="Não"/>
    <s v="Não"/>
    <s v="Não"/>
    <n v="723.91"/>
    <n v="723.91"/>
  </r>
  <r>
    <s v="VGSP-348_154,000_EN_CL"/>
    <x v="0"/>
    <s v="154,000"/>
    <m/>
    <s v="154,500"/>
    <m/>
    <x v="0"/>
    <s v="N"/>
    <n v="-22.601444893423221"/>
    <n v="-47.456374680011983"/>
    <n v="1901.26"/>
    <n v="3.22"/>
    <n v="70"/>
    <m/>
    <n v="0"/>
    <s v="Trator 1.7m"/>
    <m/>
    <s v="Não"/>
    <s v="Não"/>
    <s v="Não"/>
    <s v="Não"/>
    <n v="1330.8819999999998"/>
    <n v="1330.8819999999998"/>
  </r>
  <r>
    <s v="VGSP-330_154,000_EN_CL3"/>
    <x v="0"/>
    <s v="154,000"/>
    <m/>
    <s v="154,500"/>
    <m/>
    <x v="0"/>
    <s v="N"/>
    <n v="-22.49515644223872"/>
    <n v="-47.399591613158073"/>
    <n v="712"/>
    <n v="2.33"/>
    <n v="50"/>
    <m/>
    <n v="0"/>
    <s v="Trator 1.7m"/>
    <m/>
    <s v="Não"/>
    <s v="Não"/>
    <s v="Não"/>
    <s v="Não"/>
    <n v="356"/>
    <n v="356"/>
  </r>
  <r>
    <s v="VGSP-330_154,000_EN_CL2"/>
    <x v="0"/>
    <s v="154,000"/>
    <m/>
    <s v="154,500"/>
    <m/>
    <x v="0"/>
    <s v="N"/>
    <n v="-22.50109418506738"/>
    <n v="-47.402024320096181"/>
    <n v="1195.8599999999999"/>
    <n v="2.15"/>
    <n v="50"/>
    <m/>
    <n v="0"/>
    <s v="Trator 1.7m"/>
    <m/>
    <s v="Não"/>
    <s v="Não"/>
    <s v="Não"/>
    <s v="Não"/>
    <n v="597.92999999999995"/>
    <n v="597.92999999999995"/>
  </r>
  <r>
    <s v="VGSP-330_154,000_ES_CL3"/>
    <x v="0"/>
    <s v="154,000"/>
    <m/>
    <s v="154,500"/>
    <m/>
    <x v="0"/>
    <s v="S"/>
    <n v="-22.498933913012561"/>
    <n v="-47.398916516472518"/>
    <n v="2994.59"/>
    <n v="2.88"/>
    <n v="50"/>
    <m/>
    <n v="0"/>
    <s v="Trator 1.7m"/>
    <m/>
    <s v="Não"/>
    <s v="Não"/>
    <s v="Não"/>
    <s v="Não"/>
    <n v="1497.2950000000001"/>
    <n v="1497.2950000000001"/>
  </r>
  <r>
    <s v="VGSP-330_154,000_CC2"/>
    <x v="217"/>
    <s v="154,000"/>
    <m/>
    <s v="154,500"/>
    <m/>
    <x v="1"/>
    <s v="C"/>
    <n v="-22.498179277529619"/>
    <n v="-47.399416155083458"/>
    <n v="8235.6"/>
    <n v="2.3199999999999998"/>
    <n v="50"/>
    <m/>
    <n v="0"/>
    <s v="Trator 1.7m"/>
    <m/>
    <s v="Não"/>
    <s v="Não"/>
    <s v="Não"/>
    <s v="Não"/>
    <n v="4117.8"/>
    <n v="4117.8"/>
  </r>
  <r>
    <s v="VGSP-330_154,000_CC3"/>
    <x v="217"/>
    <s v="154,000"/>
    <m/>
    <s v="154,500"/>
    <m/>
    <x v="1"/>
    <s v="C"/>
    <n v="-22.49356878713624"/>
    <n v="-47.399340024529387"/>
    <n v="9186.67"/>
    <n v="3.2"/>
    <n v="50"/>
    <m/>
    <n v="0"/>
    <s v="Trator 1.7m"/>
    <m/>
    <s v="Não"/>
    <s v="Não"/>
    <s v="Não"/>
    <s v="Não"/>
    <n v="4593.335"/>
    <n v="4593.335"/>
  </r>
  <r>
    <s v="VGSP-330_154,000_EN_CL4"/>
    <x v="0"/>
    <s v="154,000"/>
    <m/>
    <s v="154,500"/>
    <m/>
    <x v="0"/>
    <s v="N"/>
    <n v="-22.494162649892289"/>
    <n v="-47.399662295081868"/>
    <n v="169.15"/>
    <n v="4.33"/>
    <n v="50"/>
    <m/>
    <n v="0"/>
    <s v="Trator 1.7m"/>
    <m/>
    <s v="Não"/>
    <s v="Não"/>
    <s v="Não"/>
    <s v="Não"/>
    <n v="84.575000000000003"/>
    <n v="84.575000000000003"/>
  </r>
  <r>
    <s v="VGSP-330_154,000_CC1"/>
    <x v="217"/>
    <s v="154,000"/>
    <m/>
    <s v="154,500"/>
    <m/>
    <x v="1"/>
    <s v="C"/>
    <n v="-22.500299395786019"/>
    <n v="-47.399908599852438"/>
    <n v="5492.28"/>
    <n v="1.97"/>
    <n v="50"/>
    <m/>
    <n v="0"/>
    <s v="Trator 1.7m"/>
    <m/>
    <s v="Não"/>
    <s v="Não"/>
    <s v="Não"/>
    <s v="Não"/>
    <n v="2746.14"/>
    <n v="2746.14"/>
  </r>
  <r>
    <s v="VGSP-348_154,000_ES_CL3"/>
    <x v="0"/>
    <s v="154,000"/>
    <m/>
    <s v="154,500"/>
    <m/>
    <x v="0"/>
    <s v="S"/>
    <n v="-22.605486281016379"/>
    <n v="-47.458459788925303"/>
    <n v="5558.76"/>
    <n v="1.63"/>
    <n v="80"/>
    <m/>
    <n v="0"/>
    <s v="Trator 1.7m"/>
    <m/>
    <s v="Não"/>
    <s v="Não"/>
    <s v="Não"/>
    <s v="Não"/>
    <n v="4447.0080000000007"/>
    <n v="4447.0080000000007"/>
  </r>
  <r>
    <s v="VGSP-330_154,000_EN_CL1"/>
    <x v="0"/>
    <s v="154,000"/>
    <m/>
    <s v="154,500"/>
    <m/>
    <x v="0"/>
    <s v="N"/>
    <n v="-22.49844136184544"/>
    <n v="-47.399788448621287"/>
    <n v="2233.0300000000002"/>
    <n v="2.57"/>
    <n v="50"/>
    <m/>
    <n v="0"/>
    <s v="Trator 1.7m"/>
    <m/>
    <s v="Não"/>
    <s v="Não"/>
    <s v="Não"/>
    <s v="Não"/>
    <n v="1116.5150000000001"/>
    <n v="1116.5150000000001"/>
  </r>
  <r>
    <s v="VGSP-330_154,000_ES_CL2"/>
    <x v="0"/>
    <s v="154,000"/>
    <m/>
    <s v="154,500"/>
    <m/>
    <x v="0"/>
    <s v="S"/>
    <n v="-22.493555619882489"/>
    <n v="-47.399121512980898"/>
    <n v="2152.58"/>
    <n v="3.67"/>
    <n v="50"/>
    <m/>
    <n v="0"/>
    <s v="Trator 1.7m"/>
    <m/>
    <s v="Não"/>
    <s v="Não"/>
    <s v="Não"/>
    <s v="Não"/>
    <n v="1076.29"/>
    <n v="1076.29"/>
  </r>
  <r>
    <s v="VGSP-330_154,000_ES_CL1"/>
    <x v="0"/>
    <s v="154,000"/>
    <m/>
    <s v="154,500"/>
    <m/>
    <x v="0"/>
    <s v="S"/>
    <n v="-22.500516618384431"/>
    <n v="-47.39838418646297"/>
    <n v="6998.88"/>
    <n v="2.4"/>
    <n v="50"/>
    <m/>
    <n v="0"/>
    <s v="Trator 1.7m"/>
    <m/>
    <s v="Não"/>
    <s v="Não"/>
    <s v="Não"/>
    <s v="Não"/>
    <n v="3499.44"/>
    <n v="3499.44"/>
  </r>
  <r>
    <s v="VGSP-348_154,000_ES_CL1"/>
    <x v="0"/>
    <s v="154,000"/>
    <m/>
    <s v="154,500"/>
    <m/>
    <x v="0"/>
    <s v="S"/>
    <n v="-22.605439878973911"/>
    <n v="-47.458638370868037"/>
    <n v="1758.04"/>
    <n v="2.1"/>
    <n v="70"/>
    <m/>
    <n v="0"/>
    <s v="Trator 1.7m"/>
    <m/>
    <s v="Não"/>
    <s v="Não"/>
    <s v="Não"/>
    <s v="Não"/>
    <n v="1230.6279999999999"/>
    <n v="1230.6279999999999"/>
  </r>
  <r>
    <s v="VGSP-348_154,000_ES_CL4"/>
    <x v="0"/>
    <s v="154,000"/>
    <m/>
    <s v="154,500"/>
    <m/>
    <x v="0"/>
    <s v="S"/>
    <n v="-22.601380221664961"/>
    <n v="-47.456545560432147"/>
    <n v="5863.12"/>
    <n v="2.65"/>
    <n v="80"/>
    <m/>
    <n v="0"/>
    <s v="Trator 1.7m"/>
    <m/>
    <s v="Não"/>
    <s v="Não"/>
    <s v="Não"/>
    <s v="Não"/>
    <n v="4690.4960000000001"/>
    <n v="4690.4960000000001"/>
  </r>
  <r>
    <s v="VGSP-348_155,000_EN_CL2"/>
    <x v="0"/>
    <s v="155,000"/>
    <m/>
    <s v="155,500"/>
    <m/>
    <x v="0"/>
    <s v="N"/>
    <n v="-22.59275140495286"/>
    <n v="-47.454627363758142"/>
    <n v="1966.91"/>
    <n v="2.81"/>
    <n v="70"/>
    <m/>
    <n v="0"/>
    <s v="Trator 1.7m"/>
    <m/>
    <s v="Não"/>
    <s v="Não"/>
    <s v="Não"/>
    <s v="Não"/>
    <n v="1376.837"/>
    <n v="1376.837"/>
  </r>
  <r>
    <s v="VGSP-330_155,000_EN_CL1"/>
    <x v="0"/>
    <s v="155,000"/>
    <m/>
    <s v="155,500"/>
    <m/>
    <x v="0"/>
    <s v="N"/>
    <n v="-22.48908381676415"/>
    <n v="-47.399502815388942"/>
    <n v="1884.86"/>
    <n v="2.0099999999999998"/>
    <n v="50"/>
    <m/>
    <n v="0"/>
    <s v="Trator 1.7m"/>
    <m/>
    <s v="Não"/>
    <s v="Não"/>
    <s v="Não"/>
    <s v="Não"/>
    <n v="942.43"/>
    <n v="942.43"/>
  </r>
  <r>
    <s v="VGSP-330_155,000_EN_CL4"/>
    <x v="0"/>
    <s v="155,000"/>
    <m/>
    <s v="155,500"/>
    <m/>
    <x v="0"/>
    <s v="N"/>
    <n v="-22.487200293092069"/>
    <n v="-47.399571294599781"/>
    <n v="1.36"/>
    <n v="0.33"/>
    <n v="0"/>
    <m/>
    <n v="0"/>
    <m/>
    <m/>
    <s v="Não"/>
    <s v="Não"/>
    <s v="Não"/>
    <s v="Não"/>
    <n v="0"/>
    <n v="0"/>
  </r>
  <r>
    <s v="VGSP-348_155,000_CC"/>
    <x v="218"/>
    <s v="155,000"/>
    <m/>
    <s v="155,500"/>
    <n v="0.5"/>
    <x v="1"/>
    <s v="C"/>
    <n v="-22.591937942958491"/>
    <n v="-47.454922381711107"/>
    <n v="2558.6999999999998"/>
    <n v="2.92"/>
    <n v="70"/>
    <m/>
    <n v="0"/>
    <s v="Trator 1.7m"/>
    <m/>
    <s v="Não"/>
    <s v="Não"/>
    <s v="Não"/>
    <s v="Não"/>
    <n v="1791.0899999999997"/>
    <n v="1791.0899999999997"/>
  </r>
  <r>
    <s v="VGSP-330_155,000_CC3"/>
    <x v="219"/>
    <s v="155,000"/>
    <m/>
    <s v="155,500"/>
    <m/>
    <x v="1"/>
    <s v="C"/>
    <n v="-22.483874473001851"/>
    <n v="-47.399642179787939"/>
    <n v="1520.32"/>
    <n v="3.53"/>
    <n v="50"/>
    <m/>
    <n v="0"/>
    <s v="Trator 1.7m"/>
    <m/>
    <s v="Não"/>
    <s v="Não"/>
    <s v="Não"/>
    <s v="Não"/>
    <n v="760.16"/>
    <n v="760.16"/>
  </r>
  <r>
    <s v="VGSP-330_155,000_CC1"/>
    <x v="219"/>
    <s v="155,000"/>
    <m/>
    <s v="155,500"/>
    <m/>
    <x v="1"/>
    <s v="C"/>
    <n v="-22.489142429492631"/>
    <n v="-47.399278506904032"/>
    <n v="7638.09"/>
    <n v="2.14"/>
    <n v="50"/>
    <m/>
    <n v="0"/>
    <s v="Trator 1.7m"/>
    <m/>
    <s v="Não"/>
    <s v="Não"/>
    <s v="Não"/>
    <s v="Não"/>
    <n v="3819.0450000000001"/>
    <n v="3819.0450000000001"/>
  </r>
  <r>
    <s v="VGSP-330_155,000_ES_CL3"/>
    <x v="0"/>
    <s v="155,000"/>
    <m/>
    <s v="155,500"/>
    <m/>
    <x v="0"/>
    <s v="S"/>
    <n v="-22.48855101113795"/>
    <n v="-47.399021600192278"/>
    <n v="1261.7"/>
    <n v="1.89"/>
    <n v="50"/>
    <m/>
    <n v="0"/>
    <s v="Trator 1.7m"/>
    <m/>
    <s v="Não"/>
    <s v="Não"/>
    <s v="Não"/>
    <s v="Não"/>
    <n v="630.85"/>
    <n v="630.85"/>
  </r>
  <r>
    <s v="VGSP-330_155,000_ES_CL4"/>
    <x v="0"/>
    <s v="155,000"/>
    <m/>
    <s v="155,500"/>
    <m/>
    <x v="0"/>
    <s v="S"/>
    <n v="-22.484654048295852"/>
    <n v="-47.39900579597829"/>
    <n v="2192.83"/>
    <n v="2.36"/>
    <n v="50"/>
    <m/>
    <n v="0"/>
    <s v="Trator 1.7m"/>
    <m/>
    <s v="Não"/>
    <s v="Não"/>
    <s v="Não"/>
    <s v="Não"/>
    <n v="1096.415"/>
    <n v="1096.415"/>
  </r>
  <r>
    <s v="VGSP-330_155,000_ES_CL2"/>
    <x v="0"/>
    <s v="155,000"/>
    <m/>
    <s v="155,500"/>
    <m/>
    <x v="0"/>
    <s v="S"/>
    <n v="-22.490143306488459"/>
    <n v="-47.399006676233171"/>
    <n v="661.7"/>
    <n v="1.78"/>
    <n v="50"/>
    <m/>
    <n v="0"/>
    <s v="Trator 1.7m"/>
    <m/>
    <s v="Não"/>
    <s v="Não"/>
    <s v="Não"/>
    <s v="Não"/>
    <n v="330.85"/>
    <n v="330.85"/>
  </r>
  <r>
    <s v="VGSP-348_155,000_ES_CL3"/>
    <x v="0"/>
    <s v="155,000"/>
    <m/>
    <s v="155,500"/>
    <m/>
    <x v="0"/>
    <s v="S"/>
    <n v="-22.597203991232529"/>
    <n v="-47.454938565010671"/>
    <n v="5475.33"/>
    <n v="2.98"/>
    <n v="80"/>
    <m/>
    <n v="0"/>
    <s v="Trator 1.7m"/>
    <m/>
    <s v="Não"/>
    <s v="Não"/>
    <s v="Não"/>
    <s v="Não"/>
    <n v="4380.2640000000001"/>
    <n v="4380.2640000000001"/>
  </r>
  <r>
    <s v="VGSP-348_155,000_ES_CL1"/>
    <x v="0"/>
    <s v="155,000"/>
    <m/>
    <s v="155,500"/>
    <m/>
    <x v="0"/>
    <s v="S"/>
    <n v="-22.597182254194429"/>
    <n v="-47.455155524276442"/>
    <n v="1710.31"/>
    <n v="2.62"/>
    <n v="70"/>
    <m/>
    <n v="0"/>
    <s v="Trator 1.7m"/>
    <m/>
    <s v="Não"/>
    <s v="Não"/>
    <s v="Não"/>
    <s v="Não"/>
    <n v="1197.2169999999999"/>
    <n v="1197.2169999999999"/>
  </r>
  <r>
    <s v="VGSP-330_155,000_EN_CL2"/>
    <x v="0"/>
    <s v="155,000"/>
    <m/>
    <s v="155,500"/>
    <m/>
    <x v="0"/>
    <s v="N"/>
    <n v="-22.48715472092811"/>
    <n v="-47.399471110048303"/>
    <n v="7.51"/>
    <n v="0.33"/>
    <n v="0"/>
    <m/>
    <n v="0"/>
    <m/>
    <m/>
    <s v="Não"/>
    <s v="Não"/>
    <s v="Não"/>
    <s v="Não"/>
    <n v="0"/>
    <n v="0"/>
  </r>
  <r>
    <s v="VGSP-348_155,000_EN_CL1"/>
    <x v="0"/>
    <s v="155,000"/>
    <m/>
    <s v="155,500"/>
    <m/>
    <x v="0"/>
    <s v="N"/>
    <n v="-22.59724684805364"/>
    <n v="-47.454750345475013"/>
    <n v="1763.85"/>
    <n v="2.82"/>
    <n v="70"/>
    <m/>
    <n v="0"/>
    <s v="Trator 1.7m"/>
    <m/>
    <s v="Não"/>
    <s v="Não"/>
    <s v="Não"/>
    <s v="Não"/>
    <n v="1234.6949999999999"/>
    <n v="1234.6949999999999"/>
  </r>
  <r>
    <s v="VGSP-330_155,000_EN_CL3"/>
    <x v="0"/>
    <s v="155,000"/>
    <m/>
    <s v="155,500"/>
    <m/>
    <x v="0"/>
    <s v="N"/>
    <n v="-22.486220030028321"/>
    <n v="-47.399506286579857"/>
    <n v="1594.09"/>
    <n v="1.52"/>
    <n v="50"/>
    <m/>
    <n v="0"/>
    <s v="Trator 1.7m"/>
    <m/>
    <s v="Não"/>
    <s v="Não"/>
    <s v="Não"/>
    <s v="Não"/>
    <n v="797.04499999999996"/>
    <n v="797.04499999999996"/>
  </r>
  <r>
    <s v="VGSP-348_155,000_ES_CL4"/>
    <x v="0"/>
    <s v="155,000"/>
    <m/>
    <s v="155,500"/>
    <m/>
    <x v="0"/>
    <s v="S"/>
    <n v="-22.59284906561388"/>
    <n v="-47.454938300277682"/>
    <n v="5973.67"/>
    <n v="3.42"/>
    <n v="80"/>
    <m/>
    <n v="0"/>
    <s v="Trator 1.7m"/>
    <m/>
    <s v="Não"/>
    <s v="Não"/>
    <s v="Não"/>
    <s v="Não"/>
    <n v="4778.9360000000006"/>
    <n v="4778.9360000000006"/>
  </r>
  <r>
    <s v="VGSP-348_155,000_ES_CL5"/>
    <x v="0"/>
    <s v="155,000"/>
    <m/>
    <s v="155,500"/>
    <m/>
    <x v="0"/>
    <s v="S"/>
    <n v="-22.59208810765351"/>
    <n v="-47.455292203139919"/>
    <n v="2429.29"/>
    <n v="3.08"/>
    <n v="70"/>
    <m/>
    <n v="0"/>
    <s v="Trator 1.7m"/>
    <m/>
    <s v="Não"/>
    <s v="Não"/>
    <s v="Não"/>
    <s v="Não"/>
    <n v="1700.5029999999999"/>
    <n v="1700.5029999999999"/>
  </r>
  <r>
    <s v="VGSP-330_155,000_ES_CL1"/>
    <x v="0"/>
    <s v="155,000"/>
    <m/>
    <s v="155,500"/>
    <m/>
    <x v="0"/>
    <s v="S"/>
    <n v="-22.490718743026889"/>
    <n v="-47.399036505771093"/>
    <n v="366.23"/>
    <n v="3.1"/>
    <n v="50"/>
    <m/>
    <n v="0"/>
    <s v="Trator 1.7m"/>
    <m/>
    <s v="Não"/>
    <s v="Não"/>
    <s v="Não"/>
    <s v="Não"/>
    <n v="183.11500000000001"/>
    <n v="183.11500000000001"/>
  </r>
  <r>
    <s v="VGSP-348_155,000_ES_CL2"/>
    <x v="0"/>
    <s v="155,000"/>
    <m/>
    <s v="155,500"/>
    <m/>
    <x v="0"/>
    <s v="S"/>
    <n v="-22.5929615936262"/>
    <n v="-47.45524886559911"/>
    <n v="1796.07"/>
    <n v="3.51"/>
    <n v="70"/>
    <m/>
    <n v="0"/>
    <s v="Trator 1.7m"/>
    <m/>
    <s v="Não"/>
    <s v="Não"/>
    <s v="Não"/>
    <s v="Não"/>
    <n v="1257.2489999999998"/>
    <n v="1257.2489999999998"/>
  </r>
  <r>
    <s v="VGSP-330_155,000_CC2"/>
    <x v="219"/>
    <s v="155,000"/>
    <m/>
    <s v="155,500"/>
    <m/>
    <x v="1"/>
    <s v="C"/>
    <n v="-22.483806435453989"/>
    <n v="-47.399348382084533"/>
    <n v="17957.82"/>
    <n v="3.03"/>
    <n v="50"/>
    <m/>
    <n v="0"/>
    <s v="Trator 1.7m"/>
    <m/>
    <s v="Não"/>
    <s v="Não"/>
    <s v="Não"/>
    <s v="Não"/>
    <n v="8978.91"/>
    <n v="8978.91"/>
  </r>
  <r>
    <s v="VGSP-348_156,000_EN_CL4"/>
    <x v="0"/>
    <s v="156,000"/>
    <m/>
    <s v="156,500"/>
    <m/>
    <x v="0"/>
    <s v="N"/>
    <n v="-22.588261138754529"/>
    <n v="-47.456388426663281"/>
    <n v="4057.37"/>
    <n v="1.99"/>
    <n v="70"/>
    <m/>
    <n v="0"/>
    <s v="Trator 1.7m"/>
    <m/>
    <s v="Não"/>
    <s v="Não"/>
    <s v="Não"/>
    <s v="Não"/>
    <n v="2840.1589999999997"/>
    <n v="2840.1589999999997"/>
  </r>
  <r>
    <s v="VGSP-348_156,000_EN_CL5"/>
    <x v="0"/>
    <s v="156,000"/>
    <m/>
    <s v="156,500"/>
    <m/>
    <x v="0"/>
    <s v="N"/>
    <n v="-22.58591727768194"/>
    <n v="-47.457387159408427"/>
    <n v="213.09"/>
    <n v="1.72"/>
    <n v="70"/>
    <m/>
    <n v="0"/>
    <s v="Trator 1.7m"/>
    <m/>
    <s v="Não"/>
    <s v="Não"/>
    <s v="Não"/>
    <s v="Não"/>
    <n v="149.16299999999998"/>
    <n v="149.16299999999998"/>
  </r>
  <r>
    <s v="VGSP-348_156,000_ES_CL1"/>
    <x v="0"/>
    <s v="156,000"/>
    <m/>
    <s v="156,500"/>
    <m/>
    <x v="0"/>
    <s v="S"/>
    <n v="-22.589376871189099"/>
    <n v="-47.459008457293628"/>
    <n v="3775.11"/>
    <n v="3"/>
    <n v="70"/>
    <m/>
    <n v="0"/>
    <s v="Trator 1.7m"/>
    <m/>
    <s v="Não"/>
    <s v="Não"/>
    <s v="Não"/>
    <s v="Não"/>
    <n v="2642.5769999999998"/>
    <n v="2642.5769999999998"/>
  </r>
  <r>
    <s v="VGSP-348_156,000_CC4"/>
    <x v="220"/>
    <s v="156,000"/>
    <m/>
    <s v="156,500"/>
    <n v="0.5"/>
    <x v="1"/>
    <s v="C"/>
    <n v="-22.591015582911499"/>
    <n v="-47.462665306482172"/>
    <n v="1284.49"/>
    <n v="2.41"/>
    <n v="0"/>
    <m/>
    <n v="0"/>
    <m/>
    <m/>
    <s v="Não"/>
    <s v="Não"/>
    <s v="Não"/>
    <s v="Não"/>
    <n v="0"/>
    <n v="0"/>
  </r>
  <r>
    <s v="VGSP-330_156,000_EN_CL2"/>
    <x v="0"/>
    <s v="156,000"/>
    <m/>
    <s v="156,500"/>
    <m/>
    <x v="0"/>
    <s v="N"/>
    <n v="-22.481152129633131"/>
    <n v="-47.400395256115893"/>
    <n v="9415.26"/>
    <n v="4.1900000000000004"/>
    <n v="50"/>
    <m/>
    <n v="0"/>
    <s v="Trator 1.7m"/>
    <m/>
    <s v="Não"/>
    <s v="Não"/>
    <s v="Não"/>
    <s v="Não"/>
    <n v="4707.63"/>
    <n v="4707.63"/>
  </r>
  <r>
    <s v="VGSP-348_156,000_CC1"/>
    <x v="220"/>
    <s v="156,000"/>
    <m/>
    <s v="156,500"/>
    <n v="0.5"/>
    <x v="1"/>
    <s v="C"/>
    <n v="-22.58837657751727"/>
    <n v="-47.456557696957162"/>
    <n v="6594.31"/>
    <n v="1.72"/>
    <n v="80"/>
    <m/>
    <n v="0"/>
    <s v="Trator 1.7m"/>
    <m/>
    <s v="Não"/>
    <s v="Não"/>
    <s v="Não"/>
    <s v="Não"/>
    <n v="5275.4480000000003"/>
    <n v="5275.4480000000003"/>
  </r>
  <r>
    <s v="VGSP-348_156,000_ES_CL9"/>
    <x v="0"/>
    <s v="156,000"/>
    <m/>
    <s v="156,500"/>
    <m/>
    <x v="0"/>
    <s v="S"/>
    <n v="-22.583689503821329"/>
    <n v="-47.458769032072723"/>
    <n v="4097.9399999999996"/>
    <n v="2.12"/>
    <n v="70"/>
    <m/>
    <n v="0"/>
    <s v="Trator 1.7m"/>
    <m/>
    <s v="Não"/>
    <s v="Não"/>
    <s v="Não"/>
    <s v="Não"/>
    <n v="2868.5579999999995"/>
    <n v="2868.5579999999995"/>
  </r>
  <r>
    <s v="VGSP-330_156,000_ES_CL1"/>
    <x v="0"/>
    <s v="156,000"/>
    <m/>
    <s v="156,500"/>
    <m/>
    <x v="0"/>
    <s v="S"/>
    <n v="-22.48101925419045"/>
    <n v="-47.399319640086283"/>
    <n v="12921.66"/>
    <n v="4.0599999999999996"/>
    <n v="50"/>
    <m/>
    <n v="0"/>
    <s v="Trator 1.7m"/>
    <m/>
    <s v="Não"/>
    <s v="Não"/>
    <s v="Não"/>
    <s v="Não"/>
    <n v="6460.83"/>
    <n v="6460.83"/>
  </r>
  <r>
    <s v="VGSP-330_156,000_EN_CL4"/>
    <x v="0"/>
    <s v="156,000"/>
    <m/>
    <s v="156,500"/>
    <m/>
    <x v="0"/>
    <s v="N"/>
    <n v="-22.47999069369051"/>
    <n v="-47.400431817594459"/>
    <n v="1616.57"/>
    <n v="5.0199999999999996"/>
    <n v="50"/>
    <m/>
    <n v="0"/>
    <s v="Trator 1.7m"/>
    <m/>
    <s v="Não"/>
    <s v="Não"/>
    <s v="Não"/>
    <s v="Não"/>
    <n v="808.28499999999997"/>
    <n v="808.28499999999997"/>
  </r>
  <r>
    <s v="VGSP-330_156,000_ES_CL2"/>
    <x v="0"/>
    <s v="156,000"/>
    <m/>
    <s v="156,500"/>
    <m/>
    <x v="0"/>
    <s v="S"/>
    <n v="-22.477730700869259"/>
    <n v="-47.399055724131131"/>
    <n v="322.39999999999998"/>
    <n v="1.79"/>
    <n v="50"/>
    <m/>
    <n v="0"/>
    <s v="Trator 1.7m"/>
    <m/>
    <s v="Não"/>
    <s v="Não"/>
    <s v="Não"/>
    <s v="Não"/>
    <n v="161.19999999999999"/>
    <n v="161.19999999999999"/>
  </r>
  <r>
    <s v="VGSP-330_156,000_EN_CL5"/>
    <x v="0"/>
    <s v="156,000"/>
    <m/>
    <s v="156,500"/>
    <m/>
    <x v="0"/>
    <s v="N"/>
    <n v="-22.47555792555406"/>
    <n v="-47.399546699656653"/>
    <n v="2085.4499999999998"/>
    <n v="3.44"/>
    <n v="50"/>
    <m/>
    <n v="0"/>
    <s v="Trator 1.7m"/>
    <m/>
    <s v="Não"/>
    <s v="Não"/>
    <s v="Não"/>
    <s v="Não"/>
    <n v="1042.7249999999999"/>
    <n v="1042.7249999999999"/>
  </r>
  <r>
    <s v="VGSP-348_156,000_ES_CL5"/>
    <x v="0"/>
    <s v="156,000"/>
    <m/>
    <s v="156,500"/>
    <m/>
    <x v="0"/>
    <s v="S"/>
    <n v="-22.587224267396309"/>
    <n v="-47.458002274192182"/>
    <n v="14556.91"/>
    <n v="1.67"/>
    <n v="70"/>
    <m/>
    <n v="0"/>
    <s v="Trator 1.7m"/>
    <m/>
    <s v="Não"/>
    <s v="Não"/>
    <s v="Não"/>
    <s v="Não"/>
    <n v="10189.837"/>
    <n v="10189.837"/>
  </r>
  <r>
    <s v="VGSP-348_156,000_ES_CL8"/>
    <x v="0"/>
    <s v="156,000"/>
    <m/>
    <s v="156,500"/>
    <m/>
    <x v="0"/>
    <s v="S"/>
    <n v="-22.586461913610471"/>
    <n v="-47.45887747533736"/>
    <n v="4448.78"/>
    <n v="1.33"/>
    <n v="70"/>
    <m/>
    <n v="0"/>
    <s v="Trator 1.7m"/>
    <m/>
    <s v="Não"/>
    <s v="Não"/>
    <s v="Não"/>
    <s v="Não"/>
    <n v="3114.1459999999997"/>
    <n v="3114.1459999999997"/>
  </r>
  <r>
    <s v="VGSP-348_156,000_ES_CL7"/>
    <x v="0"/>
    <s v="156,000"/>
    <m/>
    <s v="156,500"/>
    <m/>
    <x v="0"/>
    <s v="S"/>
    <n v="-22.585527919562221"/>
    <n v="-47.458878360831697"/>
    <n v="23809.32"/>
    <n v="2.31"/>
    <n v="70"/>
    <m/>
    <n v="0"/>
    <s v="Trator 1.7m"/>
    <m/>
    <s v="Não"/>
    <s v="Não"/>
    <s v="Não"/>
    <s v="Não"/>
    <n v="16666.523999999998"/>
    <n v="16666.523999999998"/>
  </r>
  <r>
    <s v="VGSP-348_156,000_ES_CL3"/>
    <x v="0"/>
    <s v="156,000"/>
    <m/>
    <s v="156,500"/>
    <m/>
    <x v="0"/>
    <s v="S"/>
    <n v="-22.58936624604106"/>
    <n v="-47.460874917071607"/>
    <n v="5909.38"/>
    <n v="2.9"/>
    <n v="0"/>
    <m/>
    <n v="0"/>
    <m/>
    <m/>
    <s v="Não"/>
    <s v="Não"/>
    <s v="Não"/>
    <s v="Não"/>
    <n v="0"/>
    <n v="0"/>
  </r>
  <r>
    <s v="VGSP-348_156,000_ES_CL11"/>
    <x v="0"/>
    <s v="156,000"/>
    <m/>
    <s v="156,500"/>
    <m/>
    <x v="0"/>
    <s v="S"/>
    <n v="-22.583954648235391"/>
    <n v="-47.45957116035077"/>
    <n v="2058.2600000000002"/>
    <n v="2.08"/>
    <n v="70"/>
    <m/>
    <n v="0"/>
    <s v="Trator 1.7m"/>
    <m/>
    <s v="Não"/>
    <s v="Não"/>
    <s v="Não"/>
    <s v="Não"/>
    <n v="1440.7820000000002"/>
    <n v="1440.7820000000002"/>
  </r>
  <r>
    <s v="VGSP-348_156,000_ES_CL6"/>
    <x v="0"/>
    <s v="156,000"/>
    <m/>
    <s v="156,500"/>
    <m/>
    <x v="0"/>
    <s v="S"/>
    <n v="-22.58572208988156"/>
    <n v="-47.459312504190862"/>
    <n v="18950.509999999998"/>
    <n v="1.99"/>
    <n v="70"/>
    <m/>
    <n v="0"/>
    <s v="Trator 1.7m"/>
    <m/>
    <s v="Não"/>
    <s v="Não"/>
    <s v="Não"/>
    <s v="Não"/>
    <n v="13265.356999999998"/>
    <n v="13265.356999999998"/>
  </r>
  <r>
    <s v="VGSP-348_156,000_EN_CL8"/>
    <x v="0"/>
    <s v="156,000"/>
    <m/>
    <s v="156,500"/>
    <m/>
    <x v="0"/>
    <s v="N"/>
    <n v="-22.5872448181983"/>
    <n v="-47.456168915901152"/>
    <n v="8694.9500000000007"/>
    <n v="2.2999999999999998"/>
    <n v="70"/>
    <m/>
    <n v="0"/>
    <s v="Trator 1.7m"/>
    <m/>
    <s v="Não"/>
    <s v="Não"/>
    <s v="Não"/>
    <s v="Não"/>
    <n v="6086.4650000000001"/>
    <n v="6086.4650000000001"/>
  </r>
  <r>
    <s v="VGSP-348_156,000_EN_CL6"/>
    <x v="0"/>
    <s v="156,000"/>
    <m/>
    <s v="156,500"/>
    <m/>
    <x v="0"/>
    <s v="N"/>
    <n v="-22.585909801014338"/>
    <n v="-47.456443453778078"/>
    <n v="27786.52"/>
    <n v="2.21"/>
    <n v="70"/>
    <m/>
    <n v="0"/>
    <s v="Trator 1.7m"/>
    <m/>
    <s v="Não"/>
    <s v="Não"/>
    <s v="Não"/>
    <s v="Não"/>
    <n v="19450.563999999998"/>
    <n v="19450.563999999998"/>
  </r>
  <r>
    <s v="VGSP-348_156,000_EN_CL7"/>
    <x v="0"/>
    <s v="156,000"/>
    <m/>
    <s v="156,500"/>
    <m/>
    <x v="0"/>
    <s v="N"/>
    <n v="-22.584505093032071"/>
    <n v="-47.455854786180588"/>
    <n v="9960.41"/>
    <n v="2.11"/>
    <n v="70"/>
    <m/>
    <n v="0"/>
    <s v="Trator 1.7m"/>
    <m/>
    <s v="Não"/>
    <s v="Não"/>
    <s v="Não"/>
    <s v="Não"/>
    <n v="6972.2869999999994"/>
    <n v="6972.2869999999994"/>
  </r>
  <r>
    <s v="VGSP-348_156,000_EN_CL3"/>
    <x v="0"/>
    <s v="156,000"/>
    <m/>
    <s v="156,500"/>
    <m/>
    <x v="0"/>
    <s v="N"/>
    <n v="-22.582255648206811"/>
    <n v="-47.454169230023417"/>
    <n v="3166.16"/>
    <n v="2.4"/>
    <n v="70"/>
    <m/>
    <n v="0"/>
    <s v="Trator 1.7m"/>
    <m/>
    <s v="Não"/>
    <s v="Não"/>
    <s v="Não"/>
    <s v="Não"/>
    <n v="2216.3119999999999"/>
    <n v="2216.3119999999999"/>
  </r>
  <r>
    <s v="VGSP-330_156,000_ES_CL4"/>
    <x v="0"/>
    <s v="156,000"/>
    <m/>
    <s v="156,500"/>
    <m/>
    <x v="0"/>
    <s v="S"/>
    <n v="-22.47555452820362"/>
    <n v="-47.398877846253363"/>
    <n v="2270.77"/>
    <n v="3"/>
    <n v="80"/>
    <m/>
    <n v="0"/>
    <s v="Trator 1.7m"/>
    <m/>
    <s v="Não"/>
    <s v="Não"/>
    <s v="Não"/>
    <s v="Não"/>
    <n v="1816.616"/>
    <n v="1816.616"/>
  </r>
  <r>
    <s v="VGSP-348_156,000_CC2"/>
    <x v="220"/>
    <s v="156,000"/>
    <m/>
    <s v="156,500"/>
    <n v="0.5"/>
    <x v="1"/>
    <s v="C"/>
    <n v="-22.591869149505289"/>
    <n v="-47.463150018383807"/>
    <n v="588.03"/>
    <n v="2.81"/>
    <n v="0"/>
    <m/>
    <n v="0"/>
    <m/>
    <m/>
    <s v="Não"/>
    <s v="Não"/>
    <s v="Não"/>
    <s v="Não"/>
    <n v="0"/>
    <n v="0"/>
  </r>
  <r>
    <s v="VGSP-348_156,000_EN_CL9"/>
    <x v="0"/>
    <s v="156,000"/>
    <m/>
    <s v="156,500"/>
    <m/>
    <x v="0"/>
    <s v="N"/>
    <n v="-22.582545762054838"/>
    <n v="-47.454883275869427"/>
    <n v="4219.8999999999996"/>
    <n v="2.4500000000000002"/>
    <n v="70"/>
    <m/>
    <n v="0"/>
    <s v="Trator 1.7m"/>
    <m/>
    <s v="Não"/>
    <s v="Não"/>
    <s v="Não"/>
    <s v="Não"/>
    <n v="2953.9299999999994"/>
    <n v="2953.9299999999994"/>
  </r>
  <r>
    <s v="VGSP-330_156,000_CC2"/>
    <x v="221"/>
    <s v="156,000"/>
    <m/>
    <s v="156,500"/>
    <m/>
    <x v="1"/>
    <s v="C"/>
    <n v="-22.476215932217791"/>
    <n v="-47.399272578903663"/>
    <n v="14477.38"/>
    <n v="3.16"/>
    <n v="50"/>
    <m/>
    <n v="0"/>
    <s v="Trator 1.7m"/>
    <m/>
    <s v="Não"/>
    <s v="Não"/>
    <s v="Não"/>
    <s v="Não"/>
    <n v="7238.69"/>
    <n v="7238.69"/>
  </r>
  <r>
    <s v="VGSP-330_156,000_CC1"/>
    <x v="221"/>
    <s v="156,000"/>
    <m/>
    <s v="156,500"/>
    <m/>
    <x v="1"/>
    <s v="C"/>
    <n v="-22.479760076411349"/>
    <n v="-47.39967334381349"/>
    <n v="23055.78"/>
    <n v="3.97"/>
    <n v="50"/>
    <m/>
    <n v="0"/>
    <s v="Trator 1.7m"/>
    <m/>
    <s v="Não"/>
    <s v="Não"/>
    <s v="Não"/>
    <s v="Não"/>
    <n v="11527.89"/>
    <n v="11527.89"/>
  </r>
  <r>
    <s v="VGSP-348_156,000_CC5"/>
    <x v="220"/>
    <s v="156,000"/>
    <m/>
    <s v="156,500"/>
    <n v="0.5"/>
    <x v="1"/>
    <s v="C"/>
    <n v="-22.584090374196009"/>
    <n v="-47.457270046234107"/>
    <n v="23680.48"/>
    <n v="2.79"/>
    <n v="70"/>
    <m/>
    <n v="0"/>
    <s v="Trator 1.7m"/>
    <m/>
    <s v="Não"/>
    <s v="Não"/>
    <s v="Não"/>
    <s v="Não"/>
    <n v="16576.335999999999"/>
    <n v="16576.335999999999"/>
  </r>
  <r>
    <s v="VGSP-330_156,000_EN_CL1"/>
    <x v="0"/>
    <s v="156,000"/>
    <m/>
    <s v="156,500"/>
    <m/>
    <x v="0"/>
    <s v="N"/>
    <n v="-22.481943394888429"/>
    <n v="-47.4005532002301"/>
    <n v="0"/>
    <n v="3.7"/>
    <m/>
    <m/>
    <n v="0"/>
    <m/>
    <m/>
    <s v="Não"/>
    <s v="Não"/>
    <s v="Não"/>
    <s v="Não"/>
    <n v="0"/>
    <n v="0"/>
  </r>
  <r>
    <s v="VGSP-348_156,000_EN_CL1"/>
    <x v="0"/>
    <s v="156,000"/>
    <m/>
    <s v="156,500"/>
    <m/>
    <x v="0"/>
    <s v="N"/>
    <n v="-22.586015942832109"/>
    <n v="-47.457562182995403"/>
    <n v="130.63"/>
    <n v="1.35"/>
    <n v="80"/>
    <m/>
    <n v="0"/>
    <s v="Trator 1.7m"/>
    <m/>
    <s v="Não"/>
    <s v="Não"/>
    <s v="Não"/>
    <s v="Não"/>
    <n v="104.504"/>
    <n v="104.504"/>
  </r>
  <r>
    <s v="VGSP-348_156,000_EN_CL10"/>
    <x v="0"/>
    <s v="156,000"/>
    <m/>
    <s v="156,500"/>
    <m/>
    <x v="0"/>
    <s v="N"/>
    <n v="-22.58173892038376"/>
    <n v="-47.455529553202261"/>
    <n v="3918.69"/>
    <n v="2.61"/>
    <n v="70"/>
    <m/>
    <n v="0"/>
    <s v="Trator 1.7m"/>
    <m/>
    <s v="Não"/>
    <s v="Não"/>
    <s v="Não"/>
    <s v="Não"/>
    <n v="2743.0830000000001"/>
    <n v="2743.0830000000001"/>
  </r>
  <r>
    <s v="VGSP-348_156,000_CC6"/>
    <x v="220"/>
    <s v="156,000"/>
    <m/>
    <s v="156,500"/>
    <n v="0.5"/>
    <x v="1"/>
    <s v="C"/>
    <n v="-22.583246713864099"/>
    <n v="-47.457104272616782"/>
    <n v="16771.12"/>
    <n v="2.82"/>
    <n v="70"/>
    <m/>
    <n v="0"/>
    <s v="Trator 1.7m"/>
    <m/>
    <s v="Não"/>
    <s v="Não"/>
    <s v="Não"/>
    <s v="Não"/>
    <n v="11739.783999999998"/>
    <n v="11739.783999999998"/>
  </r>
  <r>
    <s v="VGSP-348_156,000_CC7"/>
    <x v="220"/>
    <s v="156,000"/>
    <m/>
    <s v="156,500"/>
    <n v="0.5"/>
    <x v="1"/>
    <s v="C"/>
    <n v="-22.583513116355331"/>
    <n v="-47.458408823837537"/>
    <n v="3670.95"/>
    <n v="2.42"/>
    <n v="70"/>
    <m/>
    <n v="0"/>
    <s v="Trator 1.7m"/>
    <m/>
    <s v="Não"/>
    <s v="Não"/>
    <s v="Não"/>
    <s v="Não"/>
    <n v="2569.6649999999995"/>
    <n v="2569.6649999999995"/>
  </r>
  <r>
    <s v="VGSP-330_156,000_ES_CL3"/>
    <x v="0"/>
    <s v="156,000"/>
    <m/>
    <s v="156,500"/>
    <m/>
    <x v="0"/>
    <s v="S"/>
    <n v="-22.480148314902941"/>
    <n v="-47.398938631013678"/>
    <n v="1800.61"/>
    <n v="3.73"/>
    <n v="50"/>
    <m/>
    <n v="0"/>
    <s v="Trator 1.7m"/>
    <m/>
    <s v="Não"/>
    <s v="Não"/>
    <s v="Não"/>
    <s v="Não"/>
    <n v="900.30499999999995"/>
    <n v="900.30499999999995"/>
  </r>
  <r>
    <s v="VGSP-348_156,000_ES_CL10"/>
    <x v="0"/>
    <s v="156,000"/>
    <m/>
    <s v="156,500"/>
    <m/>
    <x v="0"/>
    <s v="S"/>
    <n v="-22.588493165042589"/>
    <n v="-47.460505332260453"/>
    <n v="1854.16"/>
    <n v="2.92"/>
    <n v="70"/>
    <m/>
    <n v="0"/>
    <s v="Trator 1.7m"/>
    <m/>
    <s v="Não"/>
    <s v="Não"/>
    <s v="Não"/>
    <s v="Não"/>
    <n v="1297.912"/>
    <n v="1297.912"/>
  </r>
  <r>
    <s v="VGSP-348_156,000_ES_CL2"/>
    <x v="0"/>
    <s v="156,000"/>
    <m/>
    <s v="156,500"/>
    <m/>
    <x v="0"/>
    <s v="S"/>
    <n v="-22.58844455165324"/>
    <n v="-47.456746433254871"/>
    <n v="4475.9399999999996"/>
    <n v="1.61"/>
    <n v="70"/>
    <m/>
    <n v="0"/>
    <s v="Trator 1.7m"/>
    <m/>
    <s v="Não"/>
    <s v="Não"/>
    <s v="Não"/>
    <s v="Não"/>
    <n v="3133.1579999999994"/>
    <n v="3133.1579999999994"/>
  </r>
  <r>
    <s v="VGSP-348_156,000_CC8"/>
    <x v="220"/>
    <s v="156,000"/>
    <m/>
    <s v="156,500"/>
    <n v="0.5"/>
    <x v="1"/>
    <s v="C"/>
    <n v="-22.583511732591361"/>
    <n v="-47.458623712569647"/>
    <n v="5934.44"/>
    <n v="2.2400000000000002"/>
    <n v="80"/>
    <m/>
    <n v="0"/>
    <s v="Trator 1.7m"/>
    <m/>
    <s v="Não"/>
    <s v="Não"/>
    <s v="Não"/>
    <s v="Não"/>
    <n v="4747.5519999999997"/>
    <n v="4747.5519999999997"/>
  </r>
  <r>
    <s v="VGSP-348_156,000_EN_CL2"/>
    <x v="0"/>
    <s v="156,000"/>
    <m/>
    <s v="156,500"/>
    <m/>
    <x v="0"/>
    <s v="N"/>
    <n v="-22.58812442098581"/>
    <n v="-47.455742910318158"/>
    <n v="2003.64"/>
    <n v="2.57"/>
    <n v="70"/>
    <m/>
    <n v="0"/>
    <s v="Trator 1.7m"/>
    <m/>
    <s v="Não"/>
    <s v="Não"/>
    <s v="Não"/>
    <s v="Não"/>
    <n v="1402.548"/>
    <n v="1402.548"/>
  </r>
  <r>
    <s v="VGSP-348_156,000_ES_CL4"/>
    <x v="0"/>
    <s v="156,000"/>
    <m/>
    <s v="156,500"/>
    <m/>
    <x v="0"/>
    <s v="S"/>
    <n v="-22.58793221553795"/>
    <n v="-47.458257181724854"/>
    <n v="11702.81"/>
    <n v="1.97"/>
    <n v="70"/>
    <m/>
    <n v="0"/>
    <s v="Trator 1.7m"/>
    <m/>
    <s v="Não"/>
    <s v="Não"/>
    <s v="Não"/>
    <s v="Não"/>
    <n v="8191.9669999999987"/>
    <n v="8191.9669999999987"/>
  </r>
  <r>
    <s v="VGSP-348_156,000_CC3"/>
    <x v="220"/>
    <s v="156,000"/>
    <m/>
    <s v="156,500"/>
    <n v="0.5"/>
    <x v="1"/>
    <s v="C"/>
    <n v="-22.591866045387739"/>
    <n v="-47.46367265293307"/>
    <n v="538.49"/>
    <n v="1.76"/>
    <n v="0"/>
    <m/>
    <n v="0"/>
    <m/>
    <m/>
    <s v="Não"/>
    <s v="Não"/>
    <s v="Não"/>
    <s v="Não"/>
    <n v="0"/>
    <n v="0"/>
  </r>
  <r>
    <s v="VGSP-330_156,000_EN_CL3"/>
    <x v="0"/>
    <s v="156,000"/>
    <m/>
    <s v="156,500"/>
    <m/>
    <x v="0"/>
    <s v="N"/>
    <n v="-22.48186659009383"/>
    <n v="-47.401068363648889"/>
    <n v="0"/>
    <n v="2.3199999999999998"/>
    <m/>
    <m/>
    <n v="0"/>
    <m/>
    <m/>
    <s v="Não"/>
    <s v="Não"/>
    <s v="Não"/>
    <s v="Não"/>
    <n v="0"/>
    <n v="0"/>
  </r>
  <r>
    <s v="VGSP-330_157,000_EN_CL1"/>
    <x v="0"/>
    <s v="157,000"/>
    <m/>
    <s v="157,500"/>
    <m/>
    <x v="0"/>
    <s v="N"/>
    <n v="-22.4715970095186"/>
    <n v="-47.399341714668331"/>
    <n v="1169.77"/>
    <n v="2.16"/>
    <n v="50"/>
    <m/>
    <n v="0"/>
    <s v="Trator 1.7m"/>
    <m/>
    <s v="Não"/>
    <s v="Não"/>
    <s v="Não"/>
    <s v="Não"/>
    <n v="584.88499999999999"/>
    <n v="584.88499999999999"/>
  </r>
  <r>
    <s v="VGSP-348_157,000_EN_CL1"/>
    <x v="0"/>
    <s v="157,000"/>
    <m/>
    <s v="157,500"/>
    <m/>
    <x v="0"/>
    <s v="N"/>
    <n v="-22.580844440156529"/>
    <n v="-47.459343369830549"/>
    <n v="537.23"/>
    <n v="4"/>
    <n v="70"/>
    <m/>
    <n v="0"/>
    <s v="Trator 1.7m"/>
    <m/>
    <s v="Não"/>
    <s v="Não"/>
    <s v="Não"/>
    <s v="Não"/>
    <n v="376.06099999999998"/>
    <n v="376.06099999999998"/>
  </r>
  <r>
    <s v="VGSP-330_157,000_ES_CL2"/>
    <x v="0"/>
    <s v="157,000"/>
    <m/>
    <s v="157,500"/>
    <m/>
    <x v="0"/>
    <s v="S"/>
    <n v="-22.466979912968871"/>
    <n v="-47.398589449754539"/>
    <n v="2359.8200000000002"/>
    <n v="3.28"/>
    <n v="50"/>
    <m/>
    <n v="0"/>
    <s v="Trator 1.7m"/>
    <m/>
    <s v="Não"/>
    <s v="Não"/>
    <s v="Não"/>
    <s v="Não"/>
    <n v="1179.9100000000001"/>
    <n v="1179.9100000000001"/>
  </r>
  <r>
    <s v="VGSP-330_157,000_EN_CL4"/>
    <x v="0"/>
    <s v="157,000"/>
    <m/>
    <s v="157,500"/>
    <m/>
    <x v="0"/>
    <s v="N"/>
    <n v="-22.466000736737339"/>
    <n v="-47.399182046174857"/>
    <n v="1312.42"/>
    <n v="2.97"/>
    <n v="50"/>
    <m/>
    <n v="0"/>
    <s v="Trator 1.7m"/>
    <m/>
    <s v="Não"/>
    <s v="Não"/>
    <s v="Não"/>
    <s v="Não"/>
    <n v="656.21"/>
    <n v="656.21"/>
  </r>
  <r>
    <s v="VGSP-348_157,000_ES_CL1"/>
    <x v="0"/>
    <s v="157,000"/>
    <m/>
    <s v="157,500"/>
    <m/>
    <x v="0"/>
    <s v="S"/>
    <n v="-22.58125956105625"/>
    <n v="-47.459633255312262"/>
    <n v="194.68"/>
    <n v="4.08"/>
    <n v="0"/>
    <m/>
    <n v="0"/>
    <m/>
    <m/>
    <s v="Não"/>
    <s v="Não"/>
    <s v="Não"/>
    <s v="Não"/>
    <n v="0"/>
    <n v="0"/>
  </r>
  <r>
    <s v="VGSP-348_157,000_CC2"/>
    <x v="222"/>
    <s v="157,000"/>
    <m/>
    <s v="157,500"/>
    <n v="0.5"/>
    <x v="1"/>
    <s v="C"/>
    <n v="-22.575094194011381"/>
    <n v="-47.458686334277978"/>
    <n v="5806.97"/>
    <n v="3.67"/>
    <n v="80"/>
    <m/>
    <n v="0"/>
    <s v="Trator 1.7m"/>
    <m/>
    <s v="Não"/>
    <s v="Não"/>
    <s v="Não"/>
    <s v="Não"/>
    <n v="4645.576"/>
    <n v="4645.576"/>
  </r>
  <r>
    <s v="VGSP-330_157,000_EN_CL3"/>
    <x v="0"/>
    <s v="157,000"/>
    <m/>
    <s v="157,500"/>
    <m/>
    <x v="0"/>
    <s v="N"/>
    <n v="-22.46830517619539"/>
    <n v="-47.39925424427615"/>
    <n v="833.66"/>
    <n v="2.35"/>
    <n v="50"/>
    <m/>
    <n v="0"/>
    <s v="Trator 1.7m"/>
    <m/>
    <s v="Não"/>
    <s v="Não"/>
    <s v="Não"/>
    <s v="Não"/>
    <n v="416.83"/>
    <n v="416.83"/>
  </r>
  <r>
    <s v="VGSP-330_157,000_CC1"/>
    <x v="223"/>
    <s v="157,000"/>
    <m/>
    <s v="157,500"/>
    <m/>
    <x v="1"/>
    <s v="C"/>
    <n v="-22.471092203936749"/>
    <n v="-47.399054176282981"/>
    <n v="5926.91"/>
    <n v="1.66"/>
    <n v="50"/>
    <m/>
    <n v="0"/>
    <s v="Trator 1.7m"/>
    <m/>
    <s v="Não"/>
    <s v="Não"/>
    <s v="Não"/>
    <s v="Não"/>
    <n v="2963.4549999999999"/>
    <n v="2963.4549999999999"/>
  </r>
  <r>
    <s v="VGSP-330_157,000_CC5"/>
    <x v="223"/>
    <s v="157,000"/>
    <m/>
    <s v="157,500"/>
    <m/>
    <x v="1"/>
    <s v="C"/>
    <n v="-22.46594457911052"/>
    <n v="-47.398967293159117"/>
    <n v="5731.3"/>
    <n v="3.31"/>
    <n v="50"/>
    <m/>
    <n v="0"/>
    <s v="Trator 1.7m"/>
    <m/>
    <s v="Não"/>
    <s v="Não"/>
    <s v="Não"/>
    <s v="Não"/>
    <n v="2865.65"/>
    <n v="2865.65"/>
  </r>
  <r>
    <s v="VGSP-330_157,000_CC4"/>
    <x v="223"/>
    <s v="157,000"/>
    <m/>
    <s v="157,500"/>
    <m/>
    <x v="1"/>
    <s v="C"/>
    <n v="-22.4679812635604"/>
    <n v="-47.398560617927501"/>
    <n v="5339.25"/>
    <n v="2.92"/>
    <n v="50"/>
    <m/>
    <n v="0"/>
    <s v="Trator 1.7m"/>
    <m/>
    <s v="Não"/>
    <s v="Não"/>
    <s v="Não"/>
    <s v="Não"/>
    <n v="2669.625"/>
    <n v="2669.625"/>
  </r>
  <r>
    <s v="VGSP-330_157,000_CC3"/>
    <x v="223"/>
    <s v="157,000"/>
    <m/>
    <s v="157,500"/>
    <m/>
    <x v="1"/>
    <s v="C"/>
    <n v="-22.46863231872069"/>
    <n v="-47.39871589015182"/>
    <n v="521.46"/>
    <n v="1.57"/>
    <n v="50"/>
    <m/>
    <n v="0"/>
    <s v="Trator 1.7m"/>
    <m/>
    <s v="Não"/>
    <s v="Não"/>
    <s v="Não"/>
    <s v="Não"/>
    <n v="260.73"/>
    <n v="260.73"/>
  </r>
  <r>
    <s v="VGSP-348_157,000_EN_CL2"/>
    <x v="0"/>
    <s v="157,000"/>
    <m/>
    <s v="157,500"/>
    <m/>
    <x v="0"/>
    <s v="N"/>
    <n v="-22.575155103272529"/>
    <n v="-47.458506172331688"/>
    <n v="1811.35"/>
    <n v="4.6399999999999997"/>
    <n v="70"/>
    <m/>
    <n v="0"/>
    <s v="Trator 1.7m"/>
    <m/>
    <s v="Não"/>
    <s v="Não"/>
    <s v="Não"/>
    <s v="Não"/>
    <n v="1267.9449999999999"/>
    <n v="1267.9449999999999"/>
  </r>
  <r>
    <s v="VGSP-330_157,000_CC2"/>
    <x v="223"/>
    <s v="157,000"/>
    <m/>
    <s v="157,500"/>
    <m/>
    <x v="1"/>
    <s v="C"/>
    <n v="-22.468317282615072"/>
    <n v="-47.39900729191681"/>
    <n v="3014.33"/>
    <n v="2.15"/>
    <n v="50"/>
    <m/>
    <n v="0"/>
    <s v="Trator 1.7m"/>
    <m/>
    <s v="Não"/>
    <s v="Não"/>
    <s v="Não"/>
    <s v="Não"/>
    <n v="1507.165"/>
    <n v="1507.165"/>
  </r>
  <r>
    <s v="VGSP-348_157,000_EN_CL3"/>
    <x v="0"/>
    <s v="157,000"/>
    <m/>
    <s v="157,500"/>
    <m/>
    <x v="0"/>
    <s v="N"/>
    <n v="-22.579298028794259"/>
    <n v="-47.459306896777747"/>
    <n v="1669.12"/>
    <n v="2.42"/>
    <n v="70"/>
    <m/>
    <n v="0"/>
    <s v="Trator 1.7m"/>
    <m/>
    <s v="Não"/>
    <s v="Não"/>
    <s v="Não"/>
    <s v="Não"/>
    <n v="1168.3839999999998"/>
    <n v="1168.3839999999998"/>
  </r>
  <r>
    <s v="VGSP-348_157,000_CC1"/>
    <x v="222"/>
    <s v="157,000"/>
    <m/>
    <s v="157,500"/>
    <n v="0.5"/>
    <x v="1"/>
    <s v="C"/>
    <n v="-22.579344528110681"/>
    <n v="-47.459574180000978"/>
    <n v="5637.53"/>
    <n v="3.01"/>
    <n v="80"/>
    <m/>
    <n v="0"/>
    <s v="Trator 1.7m"/>
    <m/>
    <s v="Não"/>
    <s v="Não"/>
    <s v="Não"/>
    <s v="Não"/>
    <n v="4510.0240000000003"/>
    <n v="4510.0240000000003"/>
  </r>
  <r>
    <s v="VGSP-348_157,000_ES_CL2"/>
    <x v="0"/>
    <s v="157,000"/>
    <m/>
    <s v="157,500"/>
    <m/>
    <x v="0"/>
    <s v="S"/>
    <n v="-22.579351153933629"/>
    <n v="-47.459817833264843"/>
    <n v="1778.48"/>
    <n v="3.23"/>
    <n v="70"/>
    <m/>
    <n v="0"/>
    <s v="Trator 1.7m"/>
    <m/>
    <s v="Não"/>
    <s v="Não"/>
    <s v="Não"/>
    <s v="Não"/>
    <n v="1244.9359999999999"/>
    <n v="1244.9359999999999"/>
  </r>
  <r>
    <s v="VGSP-330_157,000_ES_CL1"/>
    <x v="0"/>
    <s v="157,000"/>
    <m/>
    <s v="157,500"/>
    <m/>
    <x v="0"/>
    <s v="S"/>
    <n v="-22.47109093674862"/>
    <n v="-47.398820249694502"/>
    <n v="1685.19"/>
    <n v="1.57"/>
    <n v="50"/>
    <m/>
    <n v="0"/>
    <s v="Trator 1.7m"/>
    <m/>
    <s v="Não"/>
    <s v="Não"/>
    <s v="Não"/>
    <s v="Não"/>
    <n v="842.59500000000003"/>
    <n v="842.59500000000003"/>
  </r>
  <r>
    <s v="VGSP-348_157,000_ES_CL3"/>
    <x v="0"/>
    <s v="157,000"/>
    <m/>
    <s v="157,500"/>
    <m/>
    <x v="0"/>
    <s v="S"/>
    <n v="-22.5750873513588"/>
    <n v="-47.458873765533319"/>
    <n v="1812.31"/>
    <n v="2.94"/>
    <n v="70"/>
    <m/>
    <n v="0"/>
    <s v="Trator 1.7m"/>
    <m/>
    <s v="Não"/>
    <s v="Não"/>
    <s v="Não"/>
    <s v="Não"/>
    <n v="1268.617"/>
    <n v="1268.617"/>
  </r>
  <r>
    <s v="VGSP-330_157,000_EN_CL2"/>
    <x v="0"/>
    <s v="157,000"/>
    <m/>
    <s v="157,500"/>
    <m/>
    <x v="0"/>
    <s v="N"/>
    <n v="-22.469784724975511"/>
    <n v="-47.399307868786117"/>
    <n v="505.92"/>
    <n v="2.0299999999999998"/>
    <n v="50"/>
    <m/>
    <n v="0"/>
    <s v="Trator 1.7m"/>
    <m/>
    <s v="Não"/>
    <s v="Não"/>
    <s v="Não"/>
    <s v="Não"/>
    <n v="252.96"/>
    <n v="252.96"/>
  </r>
  <r>
    <s v="VGSP-348_158,000_ES_CL1"/>
    <x v="0"/>
    <s v="158,000"/>
    <m/>
    <s v="158,500"/>
    <m/>
    <x v="0"/>
    <s v="S"/>
    <n v="-22.571845585965971"/>
    <n v="-47.457809643167423"/>
    <n v="963.21"/>
    <n v="2.77"/>
    <n v="70"/>
    <m/>
    <n v="0"/>
    <s v="Trator 1.7m"/>
    <m/>
    <s v="Não"/>
    <s v="Não"/>
    <s v="Não"/>
    <s v="Não"/>
    <n v="674.24699999999996"/>
    <n v="674.24699999999996"/>
  </r>
  <r>
    <s v="VGSP-348_158,000_EN_CL2"/>
    <x v="0"/>
    <s v="158,000"/>
    <m/>
    <s v="158,500"/>
    <m/>
    <x v="0"/>
    <s v="N"/>
    <n v="-22.566468118619088"/>
    <n v="-47.457492588196217"/>
    <n v="2105.94"/>
    <n v="3.47"/>
    <n v="70"/>
    <m/>
    <n v="0"/>
    <s v="Trator 1.7m"/>
    <m/>
    <s v="Não"/>
    <s v="Não"/>
    <s v="Não"/>
    <s v="Não"/>
    <n v="1474.1579999999999"/>
    <n v="1474.1579999999999"/>
  </r>
  <r>
    <s v="VGSP-330_158,000_ES_CL2"/>
    <x v="0"/>
    <s v="158,000"/>
    <m/>
    <s v="158,500"/>
    <m/>
    <x v="0"/>
    <s v="S"/>
    <n v="-22.462458457853181"/>
    <n v="-47.398569542945843"/>
    <n v="42.1"/>
    <n v="2.64"/>
    <n v="50"/>
    <m/>
    <n v="0"/>
    <s v="Trator 1.7m"/>
    <m/>
    <s v="Não"/>
    <s v="Não"/>
    <s v="Não"/>
    <s v="Não"/>
    <n v="21.05"/>
    <n v="21.05"/>
  </r>
  <r>
    <s v="VGSP-348_158,000_ES_CL2"/>
    <x v="0"/>
    <s v="158,000"/>
    <m/>
    <s v="158,500"/>
    <m/>
    <x v="0"/>
    <s v="S"/>
    <n v="-22.566511955993271"/>
    <n v="-47.457857740179378"/>
    <n v="1971.42"/>
    <n v="3.14"/>
    <n v="70"/>
    <m/>
    <n v="0"/>
    <s v="Trator 1.7m"/>
    <m/>
    <s v="Não"/>
    <s v="Não"/>
    <s v="Não"/>
    <s v="Não"/>
    <n v="1379.9939999999999"/>
    <n v="1379.9939999999999"/>
  </r>
  <r>
    <s v="VGSP-348_158,000_CC3"/>
    <x v="224"/>
    <s v="158,000"/>
    <m/>
    <s v="158,500"/>
    <n v="0.5"/>
    <x v="1"/>
    <s v="C"/>
    <n v="-22.56974502040222"/>
    <n v="-47.457255630209879"/>
    <n v="2089.59"/>
    <n v="3.04"/>
    <n v="80"/>
    <m/>
    <n v="0"/>
    <s v="Trator 1.7m"/>
    <m/>
    <s v="Não"/>
    <s v="Não"/>
    <s v="Não"/>
    <s v="Não"/>
    <n v="1671.6720000000003"/>
    <n v="1671.6720000000003"/>
  </r>
  <r>
    <s v="VGSP-348_158,000_CC2"/>
    <x v="224"/>
    <s v="158,000"/>
    <m/>
    <s v="158,500"/>
    <n v="0.5"/>
    <x v="1"/>
    <s v="C"/>
    <n v="-22.566487906138601"/>
    <n v="-47.457677091616368"/>
    <n v="6498.01"/>
    <n v="3.28"/>
    <n v="80"/>
    <m/>
    <n v="0"/>
    <s v="Trator 1.7m"/>
    <m/>
    <s v="Não"/>
    <s v="Não"/>
    <s v="Não"/>
    <s v="Não"/>
    <n v="5198.4080000000004"/>
    <n v="5198.4080000000004"/>
  </r>
  <r>
    <s v="VGSP-348_158,000_EN_CL3"/>
    <x v="0"/>
    <s v="158,000"/>
    <m/>
    <s v="158,500"/>
    <m/>
    <x v="0"/>
    <s v="N"/>
    <n v="-22.56975889297194"/>
    <n v="-47.457074307933702"/>
    <n v="622.76"/>
    <n v="2.91"/>
    <n v="70"/>
    <m/>
    <n v="0"/>
    <s v="Trator 1.7m"/>
    <m/>
    <s v="Não"/>
    <s v="Não"/>
    <s v="Não"/>
    <s v="Não"/>
    <n v="435.93199999999996"/>
    <n v="435.93199999999996"/>
  </r>
  <r>
    <s v="VGSP-330_158,000_EN_CL4"/>
    <x v="0"/>
    <s v="158,000"/>
    <m/>
    <s v="158,500"/>
    <m/>
    <x v="0"/>
    <s v="N"/>
    <n v="-22.461159114635262"/>
    <n v="-47.399134932747813"/>
    <n v="786.61"/>
    <n v="4.6900000000000004"/>
    <n v="50"/>
    <m/>
    <n v="0"/>
    <s v="Trator 1.7m"/>
    <m/>
    <s v="Não"/>
    <s v="Não"/>
    <s v="Não"/>
    <s v="Não"/>
    <n v="393.30500000000001"/>
    <n v="393.30500000000001"/>
  </r>
  <r>
    <s v="VGSP-330_158,000_ES_CL1"/>
    <x v="0"/>
    <s v="158,000"/>
    <m/>
    <s v="158,500"/>
    <m/>
    <x v="0"/>
    <s v="S"/>
    <n v="-22.46355667750522"/>
    <n v="-47.398703472835223"/>
    <n v="858.44"/>
    <n v="3.14"/>
    <n v="50"/>
    <m/>
    <n v="0"/>
    <s v="Trator 1.7m"/>
    <m/>
    <s v="Não"/>
    <s v="Não"/>
    <s v="Não"/>
    <s v="Não"/>
    <n v="429.22"/>
    <n v="429.22"/>
  </r>
  <r>
    <s v="VGSP-330_158,000_ES_CL5"/>
    <x v="0"/>
    <s v="158,000"/>
    <m/>
    <s v="158,500"/>
    <m/>
    <x v="0"/>
    <s v="S"/>
    <n v="-22.46127938806826"/>
    <n v="-47.398675980638167"/>
    <n v="884.03"/>
    <n v="2.23"/>
    <n v="50"/>
    <m/>
    <n v="0"/>
    <s v="Trator 1.7m"/>
    <m/>
    <s v="Não"/>
    <s v="Não"/>
    <s v="Não"/>
    <s v="Não"/>
    <n v="442.01499999999999"/>
    <n v="442.01499999999999"/>
  </r>
  <r>
    <s v="VGSP-330_158,000_EN_CL5"/>
    <x v="0"/>
    <s v="158,000"/>
    <m/>
    <s v="158,500"/>
    <m/>
    <x v="0"/>
    <s v="N"/>
    <n v="-22.458085037317421"/>
    <n v="-47.39908450582471"/>
    <n v="1734.86"/>
    <n v="2.0299999999999998"/>
    <n v="50"/>
    <m/>
    <n v="0"/>
    <s v="Trator 1.7m"/>
    <m/>
    <s v="Não"/>
    <s v="Não"/>
    <s v="Não"/>
    <s v="Não"/>
    <n v="867.43"/>
    <n v="867.43"/>
  </r>
  <r>
    <s v="VGSP-330_158,000_EN_CL2"/>
    <x v="0"/>
    <s v="158,000"/>
    <m/>
    <s v="158,500"/>
    <m/>
    <x v="0"/>
    <s v="N"/>
    <n v="-22.462963755839208"/>
    <n v="-47.399172242477512"/>
    <n v="808.98"/>
    <n v="2.4900000000000002"/>
    <n v="50"/>
    <m/>
    <n v="0"/>
    <s v="Trator 1.7m"/>
    <m/>
    <s v="Não"/>
    <s v="Não"/>
    <s v="Não"/>
    <s v="Não"/>
    <n v="404.49"/>
    <n v="404.49"/>
  </r>
  <r>
    <s v="VGSP-330_158,000_CC2"/>
    <x v="225"/>
    <s v="158,000"/>
    <m/>
    <s v="158,500"/>
    <m/>
    <x v="1"/>
    <s v="C"/>
    <n v="-22.458095715801861"/>
    <n v="-47.398870168619048"/>
    <n v="8737.89"/>
    <n v="2.2200000000000002"/>
    <n v="50"/>
    <m/>
    <n v="0"/>
    <s v="Trator 1.7m"/>
    <m/>
    <s v="Não"/>
    <s v="Não"/>
    <s v="Não"/>
    <s v="Não"/>
    <n v="4368.9449999999997"/>
    <n v="4368.9449999999997"/>
  </r>
  <r>
    <s v="VGSP-330_158,000_ES_CL4"/>
    <x v="0"/>
    <s v="158,000"/>
    <m/>
    <s v="158,500"/>
    <m/>
    <x v="0"/>
    <s v="S"/>
    <n v="-22.45808619765624"/>
    <n v="-47.398652481944858"/>
    <n v="1734.92"/>
    <n v="1.69"/>
    <n v="50"/>
    <m/>
    <n v="0"/>
    <s v="Trator 1.7m"/>
    <m/>
    <s v="Não"/>
    <s v="Não"/>
    <s v="Não"/>
    <s v="Não"/>
    <n v="867.46"/>
    <n v="867.46"/>
  </r>
  <r>
    <s v="VGSP-330_158,000_CC1"/>
    <x v="225"/>
    <s v="158,000"/>
    <m/>
    <s v="158,500"/>
    <m/>
    <x v="1"/>
    <s v="C"/>
    <n v="-22.46234281908287"/>
    <n v="-47.398920803094882"/>
    <n v="8979.99"/>
    <n v="3.22"/>
    <n v="50"/>
    <m/>
    <n v="0"/>
    <s v="Trator 1.7m"/>
    <m/>
    <s v="Não"/>
    <s v="Não"/>
    <s v="Não"/>
    <s v="Não"/>
    <n v="4489.9949999999999"/>
    <n v="4489.9949999999999"/>
  </r>
  <r>
    <s v="VGSP-348_158,000_CC1"/>
    <x v="224"/>
    <s v="158,000"/>
    <m/>
    <s v="158,500"/>
    <n v="0.5"/>
    <x v="1"/>
    <s v="C"/>
    <n v="-22.57187461801259"/>
    <n v="-47.457632540275171"/>
    <n v="3189.15"/>
    <n v="3.15"/>
    <n v="80"/>
    <m/>
    <n v="0"/>
    <s v="Trator 1.7m"/>
    <m/>
    <s v="Não"/>
    <s v="Não"/>
    <s v="Não"/>
    <s v="Não"/>
    <n v="2551.3200000000002"/>
    <n v="2551.3200000000002"/>
  </r>
  <r>
    <s v="VGSP-330_158,000_EN_CL1"/>
    <x v="0"/>
    <s v="158,000"/>
    <m/>
    <s v="158,500"/>
    <m/>
    <x v="0"/>
    <s v="N"/>
    <n v="-22.464041850537519"/>
    <n v="-47.399177377735391"/>
    <n v="562.04999999999995"/>
    <n v="1.1599999999999999"/>
    <n v="50"/>
    <m/>
    <n v="0"/>
    <s v="Trator 1.7m"/>
    <m/>
    <s v="Não"/>
    <s v="Não"/>
    <s v="Não"/>
    <s v="Não"/>
    <n v="281.02499999999998"/>
    <n v="281.02499999999998"/>
  </r>
  <r>
    <s v="VGSP-330_158,000_ES_CL3"/>
    <x v="0"/>
    <s v="158,000"/>
    <m/>
    <s v="158,500"/>
    <m/>
    <x v="0"/>
    <s v="S"/>
    <n v="-22.462353843521779"/>
    <n v="-47.39871269718423"/>
    <n v="124.94"/>
    <n v="2.48"/>
    <n v="50"/>
    <m/>
    <n v="0"/>
    <s v="Trator 1.7m"/>
    <m/>
    <s v="Não"/>
    <s v="Não"/>
    <s v="Não"/>
    <s v="Não"/>
    <n v="62.47"/>
    <n v="62.47"/>
  </r>
  <r>
    <s v="VGSP-348_158,000_EN_CL1"/>
    <x v="0"/>
    <s v="158,000"/>
    <m/>
    <s v="158,500"/>
    <m/>
    <x v="0"/>
    <s v="N"/>
    <n v="-22.571858453616681"/>
    <n v="-47.45744123169046"/>
    <n v="1007.6"/>
    <n v="3.41"/>
    <n v="70"/>
    <m/>
    <n v="0"/>
    <s v="Trator 1.7m"/>
    <m/>
    <s v="Não"/>
    <s v="Não"/>
    <s v="Não"/>
    <s v="Não"/>
    <n v="705.31999999999994"/>
    <n v="705.31999999999994"/>
  </r>
  <r>
    <s v="VGSP-330_158,000_EN_CL3"/>
    <x v="0"/>
    <s v="158,000"/>
    <m/>
    <s v="158,500"/>
    <m/>
    <x v="0"/>
    <s v="N"/>
    <n v="-22.4621312882268"/>
    <n v="-47.399176603631624"/>
    <n v="227.65"/>
    <n v="2.7"/>
    <n v="50"/>
    <m/>
    <n v="0"/>
    <s v="Trator 1.7m"/>
    <m/>
    <s v="Não"/>
    <s v="Não"/>
    <s v="Não"/>
    <s v="Não"/>
    <n v="113.825"/>
    <n v="113.825"/>
  </r>
  <r>
    <s v="VGSP-348_158,000_ES_CL3"/>
    <x v="0"/>
    <s v="158,000"/>
    <m/>
    <s v="158,500"/>
    <m/>
    <x v="0"/>
    <s v="S"/>
    <n v="-22.56971776321117"/>
    <n v="-47.457440423572628"/>
    <n v="687.57"/>
    <n v="3.51"/>
    <n v="70"/>
    <m/>
    <n v="0"/>
    <s v="Trator 1.7m"/>
    <m/>
    <s v="Não"/>
    <s v="Não"/>
    <s v="Não"/>
    <s v="Não"/>
    <n v="481.29899999999998"/>
    <n v="481.29899999999998"/>
  </r>
  <r>
    <s v="VGSP-348_159,000_EN_CL2"/>
    <x v="0"/>
    <s v="159,000"/>
    <m/>
    <s v="159,500"/>
    <m/>
    <x v="0"/>
    <s v="N"/>
    <n v="-22.562261896443061"/>
    <n v="-47.458569869812763"/>
    <n v="1436.06"/>
    <n v="3.69"/>
    <n v="70"/>
    <m/>
    <n v="0"/>
    <s v="Trator 1.7m"/>
    <m/>
    <s v="Não"/>
    <s v="Não"/>
    <s v="Não"/>
    <s v="Não"/>
    <n v="1005.2419999999998"/>
    <n v="1005.2419999999998"/>
  </r>
  <r>
    <s v="VGSP-348_159,000_CC1"/>
    <x v="226"/>
    <s v="159,000"/>
    <m/>
    <s v="159,500"/>
    <n v="0.5"/>
    <x v="1"/>
    <s v="C"/>
    <n v="-22.562336754068902"/>
    <n v="-47.458744646071629"/>
    <n v="4808.1899999999996"/>
    <n v="4.17"/>
    <n v="80"/>
    <m/>
    <n v="0"/>
    <s v="Trator 1.7m"/>
    <m/>
    <s v="Não"/>
    <s v="Não"/>
    <s v="Não"/>
    <s v="Não"/>
    <n v="3846.5519999999997"/>
    <n v="3846.5519999999997"/>
  </r>
  <r>
    <s v="VGSP-348_159,000_CC2"/>
    <x v="226"/>
    <s v="159,000"/>
    <m/>
    <s v="159,500"/>
    <n v="0.5"/>
    <x v="1"/>
    <s v="C"/>
    <n v="-22.55852262888839"/>
    <n v="-47.459765526752953"/>
    <n v="5338.9"/>
    <n v="5.09"/>
    <n v="80"/>
    <m/>
    <n v="0"/>
    <s v="Trator 1.7m"/>
    <m/>
    <s v="Não"/>
    <s v="Não"/>
    <s v="Não"/>
    <s v="Não"/>
    <n v="4271.12"/>
    <n v="4271.12"/>
  </r>
  <r>
    <s v="VGSP-348_159,000_EN_CL1"/>
    <x v="0"/>
    <s v="159,000"/>
    <m/>
    <s v="159,500"/>
    <m/>
    <x v="0"/>
    <s v="N"/>
    <n v="-22.557931679879911"/>
    <n v="-47.459577294613041"/>
    <n v="2226.4299999999998"/>
    <n v="3.8"/>
    <n v="70"/>
    <m/>
    <n v="0"/>
    <s v="Trator 1.7m"/>
    <m/>
    <s v="Não"/>
    <s v="Não"/>
    <s v="Não"/>
    <s v="Não"/>
    <n v="1558.5009999999997"/>
    <n v="1558.5009999999997"/>
  </r>
  <r>
    <s v="VGSP-348_159,000_ES_CL2"/>
    <x v="0"/>
    <s v="159,000"/>
    <m/>
    <s v="159,500"/>
    <m/>
    <x v="0"/>
    <s v="S"/>
    <n v="-22.558185471378341"/>
    <n v="-47.460172535827809"/>
    <n v="2107.46"/>
    <n v="5.04"/>
    <n v="70"/>
    <m/>
    <n v="0"/>
    <s v="Trator 1.7m"/>
    <m/>
    <s v="Não"/>
    <s v="Não"/>
    <s v="Não"/>
    <s v="Não"/>
    <n v="1475.222"/>
    <n v="1475.222"/>
  </r>
  <r>
    <s v="VGSP-348_159,000_ES_CL1"/>
    <x v="0"/>
    <s v="159,000"/>
    <m/>
    <s v="159,500"/>
    <m/>
    <x v="0"/>
    <s v="S"/>
    <n v="-22.5624071520851"/>
    <n v="-47.458920334654081"/>
    <n v="1487.07"/>
    <n v="4.71"/>
    <n v="70"/>
    <m/>
    <n v="0"/>
    <s v="Trator 1.7m"/>
    <m/>
    <s v="Não"/>
    <s v="Não"/>
    <s v="Não"/>
    <s v="Não"/>
    <n v="1040.9489999999998"/>
    <n v="1040.9489999999998"/>
  </r>
  <r>
    <s v="VGSP-348_160,000_EN_CL1"/>
    <x v="0"/>
    <s v="160,000"/>
    <m/>
    <s v="160,500"/>
    <m/>
    <x v="0"/>
    <s v="N"/>
    <n v="-22.55332533292594"/>
    <n v="-47.460824188534509"/>
    <n v="2060.56"/>
    <n v="2.93"/>
    <n v="70"/>
    <m/>
    <n v="0"/>
    <s v="Trator 1.7m"/>
    <m/>
    <s v="Não"/>
    <s v="Não"/>
    <s v="Não"/>
    <s v="Não"/>
    <n v="1442.3919999999998"/>
    <n v="1442.3919999999998"/>
  </r>
  <r>
    <s v="VGSP-348_160,000_ES_CL3"/>
    <x v="0"/>
    <s v="160,000"/>
    <m/>
    <s v="160,500"/>
    <m/>
    <x v="0"/>
    <s v="S"/>
    <n v="-22.54819459609212"/>
    <n v="-47.462341870773848"/>
    <n v="2320.7199999999998"/>
    <n v="3.68"/>
    <n v="70"/>
    <m/>
    <n v="0"/>
    <s v="Trator 1.7m"/>
    <m/>
    <s v="Não"/>
    <s v="Não"/>
    <s v="Não"/>
    <s v="Não"/>
    <n v="1624.5039999999997"/>
    <n v="1624.5039999999997"/>
  </r>
  <r>
    <s v="VGSP-348_160,000_ES_CL2"/>
    <x v="0"/>
    <s v="160,000"/>
    <m/>
    <s v="160,500"/>
    <m/>
    <x v="0"/>
    <s v="S"/>
    <n v="-22.553350689439071"/>
    <n v="-47.461449550661079"/>
    <n v="1983.64"/>
    <n v="3.64"/>
    <n v="70"/>
    <m/>
    <n v="0"/>
    <s v="Trator 1.7m"/>
    <m/>
    <s v="Não"/>
    <s v="Não"/>
    <s v="Não"/>
    <s v="Não"/>
    <n v="1388.548"/>
    <n v="1388.548"/>
  </r>
  <r>
    <s v="VGSP-348_160,000_CC2"/>
    <x v="227"/>
    <s v="160,000"/>
    <m/>
    <s v="160,500"/>
    <n v="0.5"/>
    <x v="1"/>
    <s v="C"/>
    <n v="-22.55085129379955"/>
    <n v="-47.461800298062727"/>
    <n v="274.95"/>
    <n v="2.99"/>
    <n v="0"/>
    <m/>
    <n v="0"/>
    <m/>
    <m/>
    <s v="Não"/>
    <s v="Não"/>
    <s v="Não"/>
    <s v="Não"/>
    <n v="0"/>
    <n v="0"/>
  </r>
  <r>
    <s v="VGSP-348_160,000_ES_CL1"/>
    <x v="0"/>
    <s v="160,000"/>
    <m/>
    <s v="160,500"/>
    <m/>
    <x v="0"/>
    <s v="S"/>
    <n v="-22.555647523705261"/>
    <n v="-47.460554663609109"/>
    <n v="32.6"/>
    <n v="5.4"/>
    <n v="0"/>
    <m/>
    <n v="0"/>
    <m/>
    <m/>
    <s v="Não"/>
    <s v="Não"/>
    <s v="Não"/>
    <s v="Não"/>
    <n v="0"/>
    <n v="0"/>
  </r>
  <r>
    <s v="VGSP-348_160,000_CC3"/>
    <x v="227"/>
    <s v="160,000"/>
    <m/>
    <s v="160,500"/>
    <n v="0.5"/>
    <x v="1"/>
    <s v="C"/>
    <n v="-22.548059158464518"/>
    <n v="-47.462175206260092"/>
    <n v="7057.7"/>
    <n v="3.41"/>
    <n v="80"/>
    <m/>
    <n v="0"/>
    <s v="Trator 1.7m"/>
    <m/>
    <s v="Não"/>
    <s v="Não"/>
    <s v="Não"/>
    <s v="Não"/>
    <n v="5646.16"/>
    <n v="5646.16"/>
  </r>
  <r>
    <s v="VGSP-348_160,000_EN_CL2"/>
    <x v="0"/>
    <s v="160,000"/>
    <m/>
    <s v="160,500"/>
    <m/>
    <x v="0"/>
    <s v="N"/>
    <n v="-22.550813112858169"/>
    <n v="-47.461612463982632"/>
    <n v="115.47"/>
    <n v="3.74"/>
    <n v="70"/>
    <m/>
    <n v="0"/>
    <s v="Trator 1.7m"/>
    <m/>
    <s v="Não"/>
    <s v="Não"/>
    <s v="Não"/>
    <s v="Não"/>
    <n v="80.828999999999994"/>
    <n v="80.828999999999994"/>
  </r>
  <r>
    <s v="VGSP-348_160,000_EN_CL3"/>
    <x v="0"/>
    <s v="160,000"/>
    <m/>
    <s v="160,500"/>
    <m/>
    <x v="0"/>
    <s v="N"/>
    <n v="-22.555223679572659"/>
    <n v="-47.460062470644409"/>
    <n v="621.32000000000005"/>
    <n v="3.61"/>
    <n v="0"/>
    <m/>
    <n v="0"/>
    <m/>
    <m/>
    <s v="Não"/>
    <s v="Não"/>
    <s v="Não"/>
    <s v="Não"/>
    <n v="0"/>
    <n v="0"/>
  </r>
  <r>
    <s v="VGSP-348_160,000_ES_CL4"/>
    <x v="0"/>
    <s v="160,000"/>
    <m/>
    <s v="160,500"/>
    <m/>
    <x v="0"/>
    <s v="S"/>
    <n v="-22.555751152700481"/>
    <n v="-47.461055542950092"/>
    <n v="26.03"/>
    <n v="3.23"/>
    <n v="0"/>
    <m/>
    <n v="0"/>
    <m/>
    <m/>
    <s v="Não"/>
    <s v="Não"/>
    <s v="Não"/>
    <s v="Não"/>
    <n v="0"/>
    <n v="0"/>
  </r>
  <r>
    <s v="VGSP-348_160,000_CC1"/>
    <x v="227"/>
    <s v="160,000"/>
    <m/>
    <s v="160,500"/>
    <n v="0.5"/>
    <x v="1"/>
    <s v="C"/>
    <n v="-22.55304277174136"/>
    <n v="-47.461218714422706"/>
    <n v="5568.64"/>
    <n v="3.1"/>
    <n v="80"/>
    <m/>
    <n v="0"/>
    <s v="Trator 1.7m"/>
    <m/>
    <s v="Não"/>
    <s v="Não"/>
    <s v="Não"/>
    <s v="Não"/>
    <n v="4454.9120000000003"/>
    <n v="4454.9120000000003"/>
  </r>
  <r>
    <s v="VGSP-348_160,000_EN_CL4"/>
    <x v="0"/>
    <s v="160,000"/>
    <m/>
    <s v="160,500"/>
    <m/>
    <x v="0"/>
    <s v="N"/>
    <n v="-22.548127460187398"/>
    <n v="-47.461981363604167"/>
    <n v="2241"/>
    <n v="3.38"/>
    <n v="70"/>
    <m/>
    <n v="0"/>
    <s v="Trator 1.7m"/>
    <m/>
    <s v="Não"/>
    <s v="Não"/>
    <s v="Não"/>
    <s v="Não"/>
    <n v="1568.6999999999998"/>
    <n v="1568.6999999999998"/>
  </r>
  <r>
    <s v="VGSP-348_161,000_CC1"/>
    <x v="228"/>
    <s v="161,000"/>
    <m/>
    <s v="161,500"/>
    <n v="0.5"/>
    <x v="1"/>
    <s v="C"/>
    <n v="-22.543728193234159"/>
    <n v="-47.461032302396191"/>
    <n v="5050.57"/>
    <n v="3.73"/>
    <n v="80"/>
    <m/>
    <n v="0"/>
    <s v="Trator 1.7m"/>
    <m/>
    <s v="Não"/>
    <s v="Não"/>
    <s v="Não"/>
    <s v="Não"/>
    <n v="4040.4560000000001"/>
    <n v="4040.4560000000001"/>
  </r>
  <r>
    <s v="VGSP-348_161,000_ES_CL2"/>
    <x v="0"/>
    <s v="161,000"/>
    <m/>
    <s v="161,500"/>
    <m/>
    <x v="0"/>
    <s v="S"/>
    <n v="-22.54087271207257"/>
    <n v="-47.458254461014967"/>
    <n v="1693.44"/>
    <n v="11.63"/>
    <n v="70"/>
    <m/>
    <n v="0"/>
    <s v="Trator 1.7m"/>
    <m/>
    <s v="Não"/>
    <s v="Não"/>
    <s v="Não"/>
    <s v="Não"/>
    <n v="1185.4079999999999"/>
    <n v="1185.4079999999999"/>
  </r>
  <r>
    <s v="VGSP-348_161,000_EN_CL1"/>
    <x v="0"/>
    <s v="161,000"/>
    <m/>
    <s v="161,500"/>
    <m/>
    <x v="0"/>
    <s v="N"/>
    <n v="-22.54377055712046"/>
    <n v="-47.460847336312007"/>
    <n v="1536.67"/>
    <n v="3.86"/>
    <n v="70"/>
    <m/>
    <n v="0"/>
    <s v="Trator 1.7m"/>
    <m/>
    <s v="Não"/>
    <s v="Não"/>
    <s v="Não"/>
    <s v="Não"/>
    <n v="1075.6689999999999"/>
    <n v="1075.6689999999999"/>
  </r>
  <r>
    <s v="VGSP-348_161,000_CC2"/>
    <x v="228"/>
    <s v="161,000"/>
    <m/>
    <s v="161,500"/>
    <n v="0.5"/>
    <x v="1"/>
    <s v="C"/>
    <n v="-22.540991115240001"/>
    <n v="-47.458121915243161"/>
    <n v="5269.39"/>
    <n v="11.35"/>
    <n v="80"/>
    <m/>
    <n v="0"/>
    <s v="Trator 1.7m"/>
    <m/>
    <s v="Não"/>
    <s v="Não"/>
    <s v="Não"/>
    <s v="Não"/>
    <n v="4215.5120000000006"/>
    <n v="4215.5120000000006"/>
  </r>
  <r>
    <s v="VGSP-348_161,000_EN_CL2"/>
    <x v="0"/>
    <s v="161,000"/>
    <m/>
    <s v="161,500"/>
    <m/>
    <x v="0"/>
    <s v="N"/>
    <n v="-22.541107607872139"/>
    <n v="-47.457975572449257"/>
    <n v="1601.36"/>
    <n v="11.23"/>
    <n v="70"/>
    <m/>
    <n v="0"/>
    <s v="Trator 1.7m"/>
    <m/>
    <s v="Não"/>
    <s v="Não"/>
    <s v="Não"/>
    <s v="Não"/>
    <n v="1120.9519999999998"/>
    <n v="1120.9519999999998"/>
  </r>
  <r>
    <s v="VGSP-348_161,000_ES_CL1"/>
    <x v="0"/>
    <s v="161,000"/>
    <m/>
    <s v="161,500"/>
    <m/>
    <x v="0"/>
    <s v="S"/>
    <n v="-22.543678713301968"/>
    <n v="-47.461215021944213"/>
    <n v="1579.6"/>
    <n v="3.45"/>
    <n v="70"/>
    <m/>
    <n v="0"/>
    <s v="Trator 1.7m"/>
    <m/>
    <s v="Não"/>
    <s v="Não"/>
    <s v="Não"/>
    <s v="Não"/>
    <n v="1105.7199999999998"/>
    <n v="1105.7199999999998"/>
  </r>
  <r>
    <s v="VGSP-348_162,000_EN_CL3"/>
    <x v="0"/>
    <s v="162,000"/>
    <m/>
    <s v="162,500"/>
    <m/>
    <x v="0"/>
    <s v="N"/>
    <n v="-22.537015148752431"/>
    <n v="-47.45049949673728"/>
    <n v="778.58"/>
    <n v="2"/>
    <n v="70"/>
    <m/>
    <n v="0"/>
    <s v="Trator 1.7m"/>
    <m/>
    <s v="Não"/>
    <s v="Não"/>
    <s v="Não"/>
    <s v="Não"/>
    <n v="545.00599999999997"/>
    <n v="545.00599999999997"/>
  </r>
  <r>
    <s v="VGSP-348_162,000_EN_CL2"/>
    <x v="0"/>
    <s v="162,000"/>
    <m/>
    <s v="162,500"/>
    <m/>
    <x v="0"/>
    <s v="N"/>
    <n v="-22.53904504474637"/>
    <n v="-47.453605778573753"/>
    <n v="2123.19"/>
    <n v="7.39"/>
    <n v="70"/>
    <m/>
    <n v="0"/>
    <s v="Trator 1.7m"/>
    <m/>
    <s v="Não"/>
    <s v="Não"/>
    <s v="Não"/>
    <s v="Não"/>
    <n v="1486.2329999999999"/>
    <n v="1486.2329999999999"/>
  </r>
  <r>
    <s v="VGSP-348_162,000_CC2"/>
    <x v="229"/>
    <s v="162,000"/>
    <m/>
    <s v="162,500"/>
    <n v="0.5"/>
    <x v="1"/>
    <s v="C"/>
    <n v="-22.53889583345665"/>
    <n v="-47.453692549400529"/>
    <n v="6664.14"/>
    <n v="7.18"/>
    <n v="80"/>
    <m/>
    <n v="0"/>
    <s v="Trator 1.7m"/>
    <m/>
    <s v="Não"/>
    <s v="Não"/>
    <s v="Não"/>
    <s v="Não"/>
    <n v="5331.3120000000008"/>
    <n v="5331.3120000000008"/>
  </r>
  <r>
    <s v="VGSP-348_162,000_ES_CL2"/>
    <x v="0"/>
    <s v="162,000"/>
    <m/>
    <s v="162,500"/>
    <m/>
    <x v="0"/>
    <s v="S"/>
    <n v="-22.538748090394719"/>
    <n v="-47.453783418006452"/>
    <n v="2124.5100000000002"/>
    <n v="6.71"/>
    <n v="70"/>
    <m/>
    <n v="0"/>
    <s v="Trator 1.7m"/>
    <m/>
    <s v="Não"/>
    <s v="Não"/>
    <s v="Não"/>
    <s v="Não"/>
    <n v="1487.1570000000002"/>
    <n v="1487.1570000000002"/>
  </r>
  <r>
    <s v="VGSP-348_162,000_ES_CL1"/>
    <x v="0"/>
    <s v="162,000"/>
    <m/>
    <s v="162,500"/>
    <m/>
    <x v="0"/>
    <s v="S"/>
    <n v="-22.534717647325621"/>
    <n v="-47.449139897501382"/>
    <n v="1486.42"/>
    <n v="2.29"/>
    <n v="70"/>
    <m/>
    <n v="0"/>
    <s v="Trator 1.7m"/>
    <m/>
    <s v="Não"/>
    <s v="Não"/>
    <s v="Não"/>
    <s v="Não"/>
    <n v="1040.4939999999999"/>
    <n v="1040.4939999999999"/>
  </r>
  <r>
    <s v="VGSP-348_162,000_EN_CL1"/>
    <x v="0"/>
    <s v="162,000"/>
    <m/>
    <s v="162,500"/>
    <m/>
    <x v="0"/>
    <s v="N"/>
    <n v="-22.534935535272862"/>
    <n v="-47.44876996674477"/>
    <n v="1296.1099999999999"/>
    <n v="2.12"/>
    <n v="70"/>
    <m/>
    <n v="0"/>
    <s v="Trator 1.7m"/>
    <m/>
    <s v="Não"/>
    <s v="Não"/>
    <s v="Não"/>
    <s v="Não"/>
    <n v="907.27699999999982"/>
    <n v="907.27699999999982"/>
  </r>
  <r>
    <s v="VGSP-348_162,000_ES_CL3"/>
    <x v="0"/>
    <s v="162,000"/>
    <m/>
    <s v="162,500"/>
    <m/>
    <x v="0"/>
    <s v="S"/>
    <n v="-22.536738001782389"/>
    <n v="-47.45071710938042"/>
    <n v="745.86"/>
    <n v="1.61"/>
    <n v="70"/>
    <m/>
    <n v="0"/>
    <s v="Trator 1.7m"/>
    <m/>
    <s v="Não"/>
    <s v="Não"/>
    <s v="Não"/>
    <s v="Não"/>
    <n v="522.10199999999998"/>
    <n v="522.10199999999998"/>
  </r>
  <r>
    <s v="VGSP-348_162,000_ES_CL4"/>
    <x v="0"/>
    <s v="162,000"/>
    <m/>
    <s v="162,500"/>
    <m/>
    <x v="0"/>
    <s v="S"/>
    <n v="-22.536883472216559"/>
    <n v="-47.450612297259369"/>
    <n v="2453.69"/>
    <n v="1.6"/>
    <n v="80"/>
    <m/>
    <n v="0"/>
    <s v="Trator 1.7m"/>
    <m/>
    <s v="Não"/>
    <s v="Não"/>
    <s v="Não"/>
    <s v="Não"/>
    <n v="1962.9520000000002"/>
    <n v="1962.9520000000002"/>
  </r>
  <r>
    <s v="VGSP-348_162,000_CC1"/>
    <x v="229"/>
    <s v="162,000"/>
    <m/>
    <s v="162,500"/>
    <n v="0.5"/>
    <x v="1"/>
    <s v="C"/>
    <n v="-22.534831867973601"/>
    <n v="-47.448914765656838"/>
    <n v="4125.68"/>
    <n v="2"/>
    <n v="80"/>
    <m/>
    <n v="0"/>
    <s v="Trator 1.7m"/>
    <m/>
    <s v="Não"/>
    <s v="Não"/>
    <s v="Não"/>
    <s v="Não"/>
    <n v="3300.5440000000003"/>
    <n v="3300.5440000000003"/>
  </r>
  <r>
    <s v="VGSP-348_163,000_ES_CL1"/>
    <x v="0"/>
    <s v="163,000"/>
    <m/>
    <s v="163,500"/>
    <m/>
    <x v="0"/>
    <s v="S"/>
    <n v="-22.528918408068591"/>
    <n v="-47.443889715735857"/>
    <n v="1863.54"/>
    <n v="3.59"/>
    <n v="70"/>
    <m/>
    <n v="0"/>
    <s v="Trator 1.7m"/>
    <m/>
    <s v="Não"/>
    <s v="Não"/>
    <s v="Não"/>
    <s v="Não"/>
    <n v="1304.4779999999998"/>
    <n v="1304.4779999999998"/>
  </r>
  <r>
    <s v="VGSP-348_163,000_ES_CL2"/>
    <x v="0"/>
    <s v="163,000"/>
    <m/>
    <s v="163,500"/>
    <m/>
    <x v="0"/>
    <s v="S"/>
    <n v="-22.531808342582259"/>
    <n v="-47.447068307414639"/>
    <n v="1553.03"/>
    <n v="3.16"/>
    <n v="70"/>
    <m/>
    <n v="0"/>
    <s v="Trator 1.7m"/>
    <m/>
    <s v="Não"/>
    <s v="Não"/>
    <s v="Não"/>
    <s v="Não"/>
    <n v="1087.1209999999999"/>
    <n v="1087.1209999999999"/>
  </r>
  <r>
    <s v="VGSP-348_163,000_EN_CL1"/>
    <x v="0"/>
    <s v="163,000"/>
    <m/>
    <s v="163,500"/>
    <m/>
    <x v="0"/>
    <s v="N"/>
    <n v="-22.529178276511601"/>
    <n v="-47.443626291433411"/>
    <n v="1817.15"/>
    <n v="2.72"/>
    <n v="70"/>
    <m/>
    <n v="0"/>
    <s v="Trator 1.7m"/>
    <m/>
    <s v="Não"/>
    <s v="Não"/>
    <s v="Não"/>
    <s v="Não"/>
    <n v="1272.0049999999999"/>
    <n v="1272.0049999999999"/>
  </r>
  <r>
    <s v="VGSP-348_163,000_CC1"/>
    <x v="230"/>
    <s v="163,000"/>
    <m/>
    <s v="163,500"/>
    <n v="0.5"/>
    <x v="1"/>
    <s v="C"/>
    <n v="-22.53190653620733"/>
    <n v="-47.446916471050038"/>
    <n v="4984.18"/>
    <n v="3.08"/>
    <n v="80"/>
    <m/>
    <n v="0"/>
    <s v="Trator 1.7m"/>
    <m/>
    <s v="Não"/>
    <s v="Não"/>
    <s v="Não"/>
    <s v="Não"/>
    <n v="3987.3440000000005"/>
    <n v="3987.3440000000005"/>
  </r>
  <r>
    <s v="VGSP-348_163,000_CC2"/>
    <x v="230"/>
    <s v="163,000"/>
    <m/>
    <s v="163,500"/>
    <n v="0.5"/>
    <x v="1"/>
    <s v="C"/>
    <n v="-22.529060074350809"/>
    <n v="-47.443762960149712"/>
    <n v="5785.12"/>
    <n v="3.14"/>
    <n v="80"/>
    <m/>
    <n v="0"/>
    <s v="Trator 1.7m"/>
    <m/>
    <s v="Não"/>
    <s v="Não"/>
    <s v="Não"/>
    <s v="Não"/>
    <n v="4628.0960000000005"/>
    <n v="4628.0960000000005"/>
  </r>
  <r>
    <s v="VGSP-348_163,000_EN_CL2"/>
    <x v="0"/>
    <s v="163,000"/>
    <m/>
    <s v="163,500"/>
    <m/>
    <x v="0"/>
    <s v="N"/>
    <n v="-22.532008914817681"/>
    <n v="-47.446770437175722"/>
    <n v="1542.54"/>
    <n v="3"/>
    <n v="70"/>
    <m/>
    <n v="0"/>
    <s v="Trator 1.7m"/>
    <m/>
    <s v="Não"/>
    <s v="Não"/>
    <s v="Não"/>
    <s v="Não"/>
    <n v="1079.7779999999998"/>
    <n v="1079.7779999999998"/>
  </r>
  <r>
    <s v="VGSP-348_164,000_CC1"/>
    <x v="231"/>
    <s v="164,000"/>
    <m/>
    <s v="164,500"/>
    <n v="0.5"/>
    <x v="1"/>
    <s v="C"/>
    <n v="-22.527337088848562"/>
    <n v="-47.440385061348302"/>
    <n v="3439.9"/>
    <n v="9.42"/>
    <n v="80"/>
    <m/>
    <n v="0"/>
    <s v="Trator 1.7m"/>
    <m/>
    <s v="Não"/>
    <s v="Não"/>
    <s v="Não"/>
    <s v="Não"/>
    <n v="2751.92"/>
    <n v="2751.92"/>
  </r>
  <r>
    <s v="VGSP-348_164,000_ES_CL3"/>
    <x v="0"/>
    <s v="164,000"/>
    <m/>
    <s v="164,500"/>
    <m/>
    <x v="0"/>
    <s v="S"/>
    <n v="-22.52639409998833"/>
    <n v="-47.438815740447467"/>
    <n v="275.82"/>
    <n v="8.33"/>
    <n v="70"/>
    <m/>
    <n v="0"/>
    <s v="Trator 1.7m"/>
    <m/>
    <s v="Não"/>
    <s v="Não"/>
    <s v="Não"/>
    <s v="Não"/>
    <n v="193.07399999999998"/>
    <n v="193.07399999999998"/>
  </r>
  <r>
    <s v="VGSP-348_164,000_CC4"/>
    <x v="231"/>
    <s v="164,000"/>
    <m/>
    <s v="164,500"/>
    <n v="0.5"/>
    <x v="1"/>
    <s v="C"/>
    <n v="-22.526527643372411"/>
    <n v="-47.438577520689613"/>
    <n v="321.3"/>
    <n v="7.75"/>
    <n v="80"/>
    <m/>
    <n v="0"/>
    <s v="Trator 1.7m"/>
    <m/>
    <s v="Não"/>
    <s v="Não"/>
    <s v="Não"/>
    <s v="Não"/>
    <n v="257.04000000000002"/>
    <n v="257.04000000000002"/>
  </r>
  <r>
    <s v="VGSP-348_164,000_ES_CL2"/>
    <x v="0"/>
    <s v="164,000"/>
    <m/>
    <s v="164,500"/>
    <m/>
    <x v="0"/>
    <s v="S"/>
    <n v="-22.524646131397141"/>
    <n v="-47.43588119559152"/>
    <n v="2414.5300000000002"/>
    <n v="4.01"/>
    <n v="70"/>
    <m/>
    <n v="0"/>
    <s v="Trator 1.7m"/>
    <m/>
    <s v="Não"/>
    <s v="Não"/>
    <s v="Não"/>
    <s v="Não"/>
    <n v="1690.171"/>
    <n v="1690.171"/>
  </r>
  <r>
    <s v="VGSP-348_164,000_CC3"/>
    <x v="231"/>
    <s v="164,000"/>
    <m/>
    <s v="164,500"/>
    <n v="0.5"/>
    <x v="1"/>
    <s v="C"/>
    <n v="-22.52477658660403"/>
    <n v="-47.435783824878882"/>
    <n v="6007.68"/>
    <n v="3.64"/>
    <n v="80"/>
    <m/>
    <n v="0"/>
    <s v="Trator 1.7m"/>
    <m/>
    <s v="Não"/>
    <s v="Não"/>
    <s v="Não"/>
    <s v="Não"/>
    <n v="4806.1440000000002"/>
    <n v="4806.1440000000002"/>
  </r>
  <r>
    <s v="VGSP-348_164,000_EN_CL3"/>
    <x v="0"/>
    <s v="164,000"/>
    <m/>
    <s v="164,500"/>
    <m/>
    <x v="0"/>
    <s v="N"/>
    <n v="-22.526670174023842"/>
    <n v="-47.438455539047297"/>
    <n v="65.53"/>
    <n v="6.99"/>
    <n v="0"/>
    <m/>
    <n v="0"/>
    <m/>
    <m/>
    <s v="Não"/>
    <s v="Não"/>
    <s v="Não"/>
    <s v="Não"/>
    <n v="0"/>
    <n v="0"/>
  </r>
  <r>
    <s v="VGSP-348_164,000_EN_CL1"/>
    <x v="0"/>
    <s v="164,000"/>
    <m/>
    <s v="164,500"/>
    <m/>
    <x v="0"/>
    <s v="N"/>
    <n v="-22.5274036740322"/>
    <n v="-47.440109845814753"/>
    <n v="1224.94"/>
    <n v="8.35"/>
    <n v="70"/>
    <m/>
    <n v="0"/>
    <s v="Trator 1.7m"/>
    <m/>
    <s v="Não"/>
    <s v="Não"/>
    <s v="Não"/>
    <s v="Não"/>
    <n v="857.45799999999997"/>
    <n v="857.45799999999997"/>
  </r>
  <r>
    <s v="VGSP-348_164,000_CC2"/>
    <x v="231"/>
    <s v="164,000"/>
    <m/>
    <s v="164,500"/>
    <n v="0.5"/>
    <x v="1"/>
    <s v="C"/>
    <n v="-22.526659657264119"/>
    <n v="-47.438876796991359"/>
    <n v="104.95"/>
    <n v="10.1"/>
    <n v="0"/>
    <m/>
    <n v="0"/>
    <m/>
    <m/>
    <s v="Não"/>
    <s v="Não"/>
    <s v="Não"/>
    <s v="Não"/>
    <n v="0"/>
    <n v="0"/>
  </r>
  <r>
    <s v="VGSP-348_164,000_ES_CL1"/>
    <x v="0"/>
    <s v="164,000"/>
    <m/>
    <s v="164,500"/>
    <m/>
    <x v="0"/>
    <s v="S"/>
    <n v="-22.527104570294469"/>
    <n v="-47.440326290225151"/>
    <n v="1240.74"/>
    <n v="9.4"/>
    <n v="70"/>
    <m/>
    <n v="0"/>
    <s v="Trator 1.7m"/>
    <m/>
    <s v="Não"/>
    <s v="Não"/>
    <s v="Não"/>
    <s v="Não"/>
    <n v="868.51799999999992"/>
    <n v="868.51799999999992"/>
  </r>
  <r>
    <s v="VGSP-348_164,000_EN_CL2"/>
    <x v="0"/>
    <s v="164,000"/>
    <m/>
    <s v="164,500"/>
    <m/>
    <x v="0"/>
    <s v="N"/>
    <n v="-22.524935223967201"/>
    <n v="-47.435675500250092"/>
    <n v="2493.5100000000002"/>
    <n v="3.72"/>
    <n v="70"/>
    <m/>
    <n v="0"/>
    <s v="Trator 1.7m"/>
    <m/>
    <s v="Não"/>
    <s v="Não"/>
    <s v="Não"/>
    <s v="Não"/>
    <n v="1745.4570000000001"/>
    <n v="1745.4570000000001"/>
  </r>
  <r>
    <s v="VGSP-348_165,000_CC1"/>
    <x v="232"/>
    <s v="165,000"/>
    <m/>
    <s v="165,500"/>
    <n v="0.5"/>
    <x v="1"/>
    <s v="C"/>
    <n v="-22.522531640543381"/>
    <n v="-47.43334606977735"/>
    <n v="461.2"/>
    <n v="6.2"/>
    <n v="80"/>
    <m/>
    <n v="0"/>
    <s v="Trator 1.7m"/>
    <m/>
    <s v="Não"/>
    <s v="Não"/>
    <s v="Não"/>
    <s v="Não"/>
    <n v="368.96000000000004"/>
    <n v="368.96000000000004"/>
  </r>
  <r>
    <s v="VGSP-348_165,000_EN_CL1"/>
    <x v="0"/>
    <s v="165,000"/>
    <m/>
    <s v="165,500"/>
    <m/>
    <x v="0"/>
    <s v="N"/>
    <n v="-22.522640670322041"/>
    <n v="-47.433192922799449"/>
    <n v="187.17"/>
    <n v="6.8"/>
    <n v="70"/>
    <m/>
    <n v="0"/>
    <s v="Trator 1.7m"/>
    <m/>
    <s v="Não"/>
    <s v="Não"/>
    <s v="Não"/>
    <s v="Não"/>
    <n v="131.01899999999998"/>
    <n v="131.01899999999998"/>
  </r>
  <r>
    <s v="VGSP-348_165,000_EN_CL2"/>
    <x v="0"/>
    <s v="165,000"/>
    <m/>
    <s v="165,500"/>
    <m/>
    <x v="0"/>
    <s v="N"/>
    <n v="-22.51912782732736"/>
    <n v="-47.431448601687229"/>
    <n v="266.66000000000003"/>
    <n v="7.25"/>
    <n v="70"/>
    <m/>
    <n v="0"/>
    <s v="Trator 1.7m"/>
    <m/>
    <s v="Não"/>
    <s v="Não"/>
    <s v="Não"/>
    <s v="Não"/>
    <n v="186.66200000000001"/>
    <n v="186.66200000000001"/>
  </r>
  <r>
    <s v="VGSP-348_165,000_ES_CL1"/>
    <x v="0"/>
    <s v="165,000"/>
    <m/>
    <s v="165,500"/>
    <m/>
    <x v="0"/>
    <s v="S"/>
    <n v="-22.52242380546144"/>
    <n v="-47.433495374826208"/>
    <n v="171.91"/>
    <n v="6.38"/>
    <n v="70"/>
    <m/>
    <n v="0"/>
    <s v="Trator 1.7m"/>
    <m/>
    <s v="Não"/>
    <s v="Não"/>
    <s v="Não"/>
    <s v="Não"/>
    <n v="120.33699999999999"/>
    <n v="120.33699999999999"/>
  </r>
  <r>
    <s v="VGSP-348_165,000_ES_CL2"/>
    <x v="0"/>
    <s v="165,000"/>
    <m/>
    <s v="165,500"/>
    <m/>
    <x v="0"/>
    <s v="S"/>
    <n v="-22.518993715613799"/>
    <n v="-47.43180135454341"/>
    <n v="277.94"/>
    <n v="7.72"/>
    <n v="70"/>
    <m/>
    <n v="0"/>
    <s v="Trator 1.7m"/>
    <m/>
    <s v="Não"/>
    <s v="Não"/>
    <s v="Não"/>
    <s v="Não"/>
    <n v="194.55799999999999"/>
    <n v="194.55799999999999"/>
  </r>
  <r>
    <s v="VGSP-348_165,000_EN_CL3"/>
    <x v="0"/>
    <s v="165,000"/>
    <m/>
    <s v="165,500"/>
    <m/>
    <x v="0"/>
    <s v="N"/>
    <n v="-22.516581830668422"/>
    <n v="-47.430993649952413"/>
    <n v="1850.04"/>
    <n v="4.75"/>
    <n v="70"/>
    <m/>
    <n v="0"/>
    <s v="Trator 1.7m"/>
    <m/>
    <s v="Não"/>
    <s v="Não"/>
    <s v="Não"/>
    <s v="Não"/>
    <n v="1295.0279999999998"/>
    <n v="1295.0279999999998"/>
  </r>
  <r>
    <s v="VGSP-348_165,000_CC2"/>
    <x v="232"/>
    <s v="165,000"/>
    <m/>
    <s v="165,500"/>
    <n v="0.5"/>
    <x v="1"/>
    <s v="C"/>
    <n v="-22.519051938234281"/>
    <n v="-47.431622227952097"/>
    <n v="852.47"/>
    <n v="7.35"/>
    <n v="80"/>
    <m/>
    <n v="0"/>
    <s v="Trator 1.7m"/>
    <m/>
    <s v="Não"/>
    <s v="Não"/>
    <s v="Não"/>
    <s v="Não"/>
    <n v="681.97600000000011"/>
    <n v="681.97600000000011"/>
  </r>
  <r>
    <s v="VGSP-348_165,000_CC3"/>
    <x v="232"/>
    <s v="165,000"/>
    <m/>
    <s v="165,500"/>
    <n v="0.5"/>
    <x v="1"/>
    <s v="C"/>
    <n v="-22.51654064128671"/>
    <n v="-47.431174534251397"/>
    <n v="5840.05"/>
    <n v="4.63"/>
    <n v="80"/>
    <m/>
    <n v="0"/>
    <s v="Trator 1.7m"/>
    <m/>
    <s v="Não"/>
    <s v="Não"/>
    <s v="Não"/>
    <s v="Não"/>
    <n v="4672.04"/>
    <n v="4672.04"/>
  </r>
  <r>
    <s v="VGSP-348_165,000_ES_CL3"/>
    <x v="0"/>
    <s v="165,000"/>
    <m/>
    <s v="165,500"/>
    <m/>
    <x v="0"/>
    <s v="S"/>
    <n v="-22.51648771050705"/>
    <n v="-47.431359977695116"/>
    <n v="1804.41"/>
    <n v="4.13"/>
    <n v="70"/>
    <m/>
    <n v="0"/>
    <s v="Trator 1.7m"/>
    <m/>
    <s v="Não"/>
    <s v="Não"/>
    <s v="Não"/>
    <s v="Não"/>
    <n v="1263.087"/>
    <n v="1263.087"/>
  </r>
  <r>
    <s v="VGSP-348_166,000_EN_CL1"/>
    <x v="0"/>
    <s v="166,000"/>
    <m/>
    <s v="166,500"/>
    <m/>
    <x v="0"/>
    <s v="N"/>
    <n v="-22.512418820189641"/>
    <n v="-47.430431969733959"/>
    <n v="1587.68"/>
    <n v="6.08"/>
    <n v="70"/>
    <m/>
    <n v="0"/>
    <s v="Trator 1.7m"/>
    <m/>
    <s v="Não"/>
    <s v="Não"/>
    <s v="Não"/>
    <s v="Não"/>
    <n v="1111.376"/>
    <n v="1111.376"/>
  </r>
  <r>
    <s v="VGSP-348_166,000_ES_CL3"/>
    <x v="0"/>
    <s v="166,000"/>
    <m/>
    <s v="166,500"/>
    <m/>
    <x v="0"/>
    <s v="S"/>
    <n v="-22.506393081691719"/>
    <n v="-47.430135237281164"/>
    <n v="3516.37"/>
    <n v="1.65"/>
    <n v="70"/>
    <m/>
    <n v="0"/>
    <s v="Trator 1.7m"/>
    <m/>
    <s v="Não"/>
    <s v="Não"/>
    <s v="Não"/>
    <s v="Não"/>
    <n v="2461.4589999999998"/>
    <n v="2461.4589999999998"/>
  </r>
  <r>
    <s v="VGSP-348_166,000_ES_CL1"/>
    <x v="0"/>
    <s v="166,000"/>
    <m/>
    <s v="166,500"/>
    <m/>
    <x v="0"/>
    <s v="S"/>
    <n v="-22.512381584662901"/>
    <n v="-47.430793249360967"/>
    <n v="1588.18"/>
    <n v="5.64"/>
    <n v="70"/>
    <m/>
    <n v="0"/>
    <s v="Trator 1.7m"/>
    <m/>
    <s v="Não"/>
    <s v="Não"/>
    <s v="Não"/>
    <s v="Não"/>
    <n v="1111.7259999999999"/>
    <n v="1111.7259999999999"/>
  </r>
  <r>
    <s v="VGSP-348_166,000_CC1"/>
    <x v="233"/>
    <s v="166,000"/>
    <m/>
    <s v="166,500"/>
    <n v="0.5"/>
    <x v="1"/>
    <s v="C"/>
    <n v="-22.512416641418309"/>
    <n v="-47.430615880570173"/>
    <n v="5019.05"/>
    <n v="6.09"/>
    <n v="80"/>
    <m/>
    <n v="0"/>
    <s v="Trator 1.7m"/>
    <m/>
    <s v="Não"/>
    <s v="Não"/>
    <s v="Não"/>
    <s v="Não"/>
    <n v="4015.2400000000002"/>
    <n v="4015.2400000000002"/>
  </r>
  <r>
    <s v="VGSP-348_166,000_EN_CL3"/>
    <x v="0"/>
    <s v="166,000"/>
    <m/>
    <s v="166,500"/>
    <m/>
    <x v="0"/>
    <s v="N"/>
    <n v="-22.506459880770549"/>
    <n v="-47.429497968914717"/>
    <n v="3541.25"/>
    <n v="1.0900000000000001"/>
    <n v="70"/>
    <m/>
    <n v="0"/>
    <s v="Trator 1.7m"/>
    <m/>
    <s v="Não"/>
    <s v="Não"/>
    <s v="Não"/>
    <s v="Não"/>
    <n v="2478.875"/>
    <n v="2478.875"/>
  </r>
  <r>
    <s v="VGSP-348_166,000_CC3"/>
    <x v="233"/>
    <s v="166,000"/>
    <m/>
    <s v="166,500"/>
    <n v="0.5"/>
    <x v="1"/>
    <s v="C"/>
    <n v="-22.50638136120542"/>
    <n v="-47.429809553416071"/>
    <n v="1379.94"/>
    <n v="1.44"/>
    <n v="80"/>
    <m/>
    <n v="0"/>
    <s v="Trator 1.7m"/>
    <m/>
    <s v="Não"/>
    <s v="Não"/>
    <s v="Não"/>
    <s v="Não"/>
    <n v="1103.952"/>
    <n v="1103.952"/>
  </r>
  <r>
    <s v="VGSP-348_166,000_ES_CL2"/>
    <x v="0"/>
    <s v="166,000"/>
    <m/>
    <s v="166,500"/>
    <m/>
    <x v="0"/>
    <s v="S"/>
    <n v="-22.508120232646231"/>
    <n v="-47.430313232267537"/>
    <n v="1951.25"/>
    <n v="3.28"/>
    <n v="70"/>
    <m/>
    <n v="0"/>
    <s v="Trator 1.7m"/>
    <m/>
    <s v="Não"/>
    <s v="Não"/>
    <s v="Não"/>
    <s v="Não"/>
    <n v="1365.875"/>
    <n v="1365.875"/>
  </r>
  <r>
    <s v="VGSP-348_166,000_EN_CL2"/>
    <x v="0"/>
    <s v="166,000"/>
    <m/>
    <s v="166,500"/>
    <m/>
    <x v="0"/>
    <s v="N"/>
    <n v="-22.50874523522592"/>
    <n v="-47.42993784800602"/>
    <n v="1446.16"/>
    <n v="4.32"/>
    <n v="70"/>
    <m/>
    <n v="0"/>
    <s v="Trator 1.7m"/>
    <m/>
    <s v="Não"/>
    <s v="Não"/>
    <s v="Não"/>
    <s v="Não"/>
    <n v="1012.312"/>
    <n v="1012.312"/>
  </r>
  <r>
    <s v="VGSP-348_166,000_CC2"/>
    <x v="233"/>
    <s v="166,000"/>
    <m/>
    <s v="166,500"/>
    <n v="0.5"/>
    <x v="1"/>
    <s v="C"/>
    <n v="-22.508748216633979"/>
    <n v="-47.43012640077886"/>
    <n v="4436.47"/>
    <n v="4.1399999999999997"/>
    <n v="80"/>
    <m/>
    <n v="0"/>
    <s v="Trator 1.7m"/>
    <m/>
    <s v="Não"/>
    <s v="Não"/>
    <s v="Não"/>
    <s v="Não"/>
    <n v="3549.1760000000004"/>
    <n v="3549.1760000000004"/>
  </r>
  <r>
    <s v="VGSP-348_166,000_EN_CL4"/>
    <x v="0"/>
    <s v="166,000"/>
    <m/>
    <s v="166,500"/>
    <m/>
    <x v="0"/>
    <s v="N"/>
    <n v="-22.506587164963861"/>
    <n v="-47.429309136957293"/>
    <n v="594.13"/>
    <n v="1.34"/>
    <n v="70"/>
    <m/>
    <n v="0"/>
    <s v="Trator 1.7m"/>
    <m/>
    <s v="Não"/>
    <s v="Não"/>
    <s v="Não"/>
    <s v="Não"/>
    <n v="415.89099999999996"/>
    <n v="415.89099999999996"/>
  </r>
  <r>
    <s v="VGSP-348_167,000_ES_CL1"/>
    <x v="0"/>
    <s v="167,000"/>
    <m/>
    <s v="167,500"/>
    <m/>
    <x v="0"/>
    <s v="S"/>
    <n v="-22.504224268857879"/>
    <n v="-47.429736333316413"/>
    <n v="1422.65"/>
    <n v="1.51"/>
    <n v="70"/>
    <m/>
    <n v="0"/>
    <s v="Trator 1.7m"/>
    <m/>
    <s v="Não"/>
    <s v="Não"/>
    <s v="Não"/>
    <s v="Não"/>
    <n v="995.85500000000002"/>
    <n v="995.85500000000002"/>
  </r>
  <r>
    <s v="VGSP-348_167,000_ES_CL4"/>
    <x v="0"/>
    <s v="167,000"/>
    <m/>
    <s v="167,500"/>
    <m/>
    <x v="0"/>
    <s v="S"/>
    <n v="-22.502116185280709"/>
    <n v="-47.429458247028613"/>
    <n v="263.64999999999998"/>
    <n v="2.16"/>
    <n v="70"/>
    <m/>
    <n v="0"/>
    <s v="Trator 1.7m"/>
    <m/>
    <s v="Não"/>
    <s v="Não"/>
    <s v="Não"/>
    <s v="Não"/>
    <n v="184.55499999999998"/>
    <n v="184.55499999999998"/>
  </r>
  <r>
    <s v="VGSP-348_167,000_ES_CL5"/>
    <x v="0"/>
    <s v="167,000"/>
    <m/>
    <s v="167,500"/>
    <m/>
    <x v="0"/>
    <s v="S"/>
    <n v="-22.497062465694011"/>
    <n v="-47.42874066155273"/>
    <n v="1005.45"/>
    <n v="3.41"/>
    <n v="70"/>
    <m/>
    <n v="0"/>
    <s v="Trator 1.7m"/>
    <m/>
    <s v="Não"/>
    <s v="Não"/>
    <s v="Não"/>
    <s v="Não"/>
    <n v="703.81499999999994"/>
    <n v="703.81499999999994"/>
  </r>
  <r>
    <s v="VGSP-348_167,000_EN_CL2"/>
    <x v="0"/>
    <s v="167,000"/>
    <m/>
    <s v="167,500"/>
    <m/>
    <x v="0"/>
    <s v="N"/>
    <n v="-22.49931589932816"/>
    <n v="-47.428663656661058"/>
    <n v="2086.39"/>
    <n v="3.13"/>
    <n v="70"/>
    <m/>
    <n v="0"/>
    <s v="Trator 1.7m"/>
    <m/>
    <s v="Não"/>
    <s v="Não"/>
    <s v="Não"/>
    <s v="Não"/>
    <n v="1460.4729999999997"/>
    <n v="1460.4729999999997"/>
  </r>
  <r>
    <s v="VGSP-348_167,000_CC4"/>
    <x v="234"/>
    <s v="167,000"/>
    <m/>
    <s v="167,500"/>
    <n v="0.5"/>
    <x v="1"/>
    <s v="C"/>
    <n v="-22.499263522836941"/>
    <n v="-47.428850980367969"/>
    <n v="6578.71"/>
    <n v="2.74"/>
    <n v="80"/>
    <m/>
    <n v="0"/>
    <s v="Trator 1.7m"/>
    <m/>
    <s v="Não"/>
    <s v="Não"/>
    <s v="Não"/>
    <s v="Não"/>
    <n v="5262.9680000000008"/>
    <n v="5262.9680000000008"/>
  </r>
  <r>
    <s v="VGSP-348_167,000_CC2"/>
    <x v="234"/>
    <s v="167,000"/>
    <m/>
    <s v="167,500"/>
    <n v="0.5"/>
    <x v="1"/>
    <s v="C"/>
    <n v="-22.504186469060489"/>
    <n v="-47.429516639727296"/>
    <n v="4378.5"/>
    <n v="1.71"/>
    <n v="80"/>
    <m/>
    <n v="0"/>
    <s v="Trator 1.7m"/>
    <m/>
    <s v="Não"/>
    <s v="Não"/>
    <s v="Não"/>
    <s v="Não"/>
    <n v="3502.8"/>
    <n v="3502.8"/>
  </r>
  <r>
    <s v="VGSP-348_167,000_ES_CL3"/>
    <x v="0"/>
    <s v="167,000"/>
    <m/>
    <s v="167,500"/>
    <m/>
    <x v="0"/>
    <s v="S"/>
    <n v="-22.499242829617369"/>
    <n v="-47.429094462844091"/>
    <n v="2108.9699999999998"/>
    <n v="2.2599999999999998"/>
    <n v="70"/>
    <m/>
    <n v="0"/>
    <s v="Trator 1.7m"/>
    <m/>
    <s v="Não"/>
    <s v="Não"/>
    <s v="Não"/>
    <s v="Não"/>
    <n v="1476.2789999999998"/>
    <n v="1476.2789999999998"/>
  </r>
  <r>
    <s v="VGSP-348_167,000_EN_CL3"/>
    <x v="0"/>
    <s v="167,000"/>
    <m/>
    <s v="167,500"/>
    <m/>
    <x v="0"/>
    <s v="N"/>
    <n v="-22.502143009372421"/>
    <n v="-47.429073888111283"/>
    <n v="254.83"/>
    <n v="3.49"/>
    <n v="70"/>
    <m/>
    <n v="0"/>
    <s v="Trator 1.7m"/>
    <m/>
    <s v="Não"/>
    <s v="Não"/>
    <s v="Não"/>
    <s v="Não"/>
    <n v="178.381"/>
    <n v="178.381"/>
  </r>
  <r>
    <s v="VGSP-348_167,000_ES_CL2"/>
    <x v="0"/>
    <s v="167,000"/>
    <m/>
    <s v="167,500"/>
    <m/>
    <x v="0"/>
    <s v="S"/>
    <n v="-22.505799656961219"/>
    <n v="-47.43004208931054"/>
    <n v="30.72"/>
    <n v="1.77"/>
    <m/>
    <m/>
    <n v="0"/>
    <m/>
    <m/>
    <s v="Não"/>
    <s v="Não"/>
    <s v="Não"/>
    <s v="Não"/>
    <n v="0"/>
    <n v="0"/>
  </r>
  <r>
    <s v="VGSP-348_167,000_CC1"/>
    <x v="234"/>
    <s v="167,000"/>
    <m/>
    <s v="167,500"/>
    <n v="0.5"/>
    <x v="1"/>
    <s v="C"/>
    <n v="-22.504259299646719"/>
    <n v="-47.429325211096597"/>
    <n v="1416.57"/>
    <n v="1.87"/>
    <n v="70"/>
    <m/>
    <n v="0"/>
    <s v="Trator 1.7m"/>
    <m/>
    <s v="Não"/>
    <s v="Não"/>
    <s v="Não"/>
    <s v="Não"/>
    <n v="991.59899999999993"/>
    <n v="991.59899999999993"/>
  </r>
  <r>
    <s v="VGSP-348_167,000_CC3"/>
    <x v="234"/>
    <s v="167,000"/>
    <m/>
    <s v="167,500"/>
    <n v="0.5"/>
    <x v="1"/>
    <s v="C"/>
    <n v="-22.502125049349122"/>
    <n v="-47.429237658446901"/>
    <n v="768.04"/>
    <n v="2.4300000000000002"/>
    <n v="80"/>
    <m/>
    <n v="0"/>
    <s v="Trator 1.7m"/>
    <m/>
    <s v="Não"/>
    <s v="Não"/>
    <s v="Não"/>
    <s v="Não"/>
    <n v="614.43200000000002"/>
    <n v="614.43200000000002"/>
  </r>
  <r>
    <s v="VGSP-348_167,000_EN_CL1"/>
    <x v="0"/>
    <s v="167,000"/>
    <m/>
    <s v="167,500"/>
    <m/>
    <x v="0"/>
    <s v="N"/>
    <n v="-22.505863211739609"/>
    <n v="-47.429431979740308"/>
    <n v="20.03"/>
    <n v="0.98"/>
    <m/>
    <m/>
    <n v="0"/>
    <m/>
    <m/>
    <s v="Não"/>
    <s v="Não"/>
    <s v="Não"/>
    <s v="Não"/>
    <n v="0"/>
    <n v="0"/>
  </r>
  <r>
    <s v="VGSP-348_168,000_CC4"/>
    <x v="235"/>
    <s v="168,000"/>
    <m/>
    <s v="168,500"/>
    <n v="0.5"/>
    <x v="1"/>
    <s v="C"/>
    <n v="-22.49330053065669"/>
    <n v="-47.424967489259281"/>
    <n v="53498.05"/>
    <n v="1.52"/>
    <n v="70"/>
    <m/>
    <n v="0"/>
    <s v="Trator 1.7m"/>
    <m/>
    <s v="Não"/>
    <s v="Não"/>
    <s v="Não"/>
    <s v="Não"/>
    <n v="37448.635000000002"/>
    <n v="37448.635000000002"/>
  </r>
  <r>
    <s v="VGSP-348_168,000_CC5"/>
    <x v="235"/>
    <s v="168,000"/>
    <m/>
    <s v="168,500"/>
    <n v="0.5"/>
    <x v="1"/>
    <s v="C"/>
    <n v="-22.49213376941962"/>
    <n v="-47.424290926997116"/>
    <n v="3621.43"/>
    <n v="1.6"/>
    <n v="70"/>
    <m/>
    <n v="0"/>
    <s v="Trator 1.7m"/>
    <m/>
    <s v="Não"/>
    <s v="Não"/>
    <s v="Não"/>
    <s v="Não"/>
    <n v="2535.0009999999997"/>
    <n v="2535.0009999999997"/>
  </r>
  <r>
    <s v="VGSP-348_168,000_ES_CL1"/>
    <x v="0"/>
    <s v="168,000"/>
    <m/>
    <s v="168,500"/>
    <m/>
    <x v="0"/>
    <s v="S"/>
    <n v="-22.49495940191736"/>
    <n v="-47.429528560144959"/>
    <n v="1611.1"/>
    <n v="2.5"/>
    <n v="70"/>
    <m/>
    <n v="0"/>
    <s v="Trator 1.7m"/>
    <m/>
    <s v="Não"/>
    <s v="Não"/>
    <s v="Não"/>
    <s v="Não"/>
    <n v="1127.7699999999998"/>
    <n v="1127.7699999999998"/>
  </r>
  <r>
    <s v="VGSP-348_168,000_ES_CL2"/>
    <x v="0"/>
    <s v="168,000"/>
    <m/>
    <s v="168,500"/>
    <m/>
    <x v="0"/>
    <s v="S"/>
    <n v="-22.491162821593509"/>
    <n v="-47.425002372625009"/>
    <n v="2073.34"/>
    <n v="1.9"/>
    <n v="70"/>
    <m/>
    <n v="0"/>
    <s v="Trator 1.7m"/>
    <m/>
    <s v="Não"/>
    <s v="Não"/>
    <s v="Não"/>
    <s v="Não"/>
    <n v="1451.338"/>
    <n v="1451.338"/>
  </r>
  <r>
    <s v="VGSP-348_168,000_ES_CL3"/>
    <x v="0"/>
    <s v="168,000"/>
    <m/>
    <s v="168,500"/>
    <m/>
    <x v="0"/>
    <s v="S"/>
    <n v="-22.493392983351889"/>
    <n v="-47.427101929984367"/>
    <n v="365.18"/>
    <n v="2.84"/>
    <n v="70"/>
    <m/>
    <n v="0"/>
    <s v="Trator 1.7m"/>
    <m/>
    <s v="Não"/>
    <s v="Não"/>
    <s v="Não"/>
    <s v="Não"/>
    <n v="255.62599999999998"/>
    <n v="255.62599999999998"/>
  </r>
  <r>
    <s v="VGSP-348_168,000_CC2"/>
    <x v="235"/>
    <s v="168,000"/>
    <m/>
    <s v="168,500"/>
    <n v="0.5"/>
    <x v="1"/>
    <s v="C"/>
    <n v="-22.494929108006041"/>
    <n v="-47.428775449044771"/>
    <n v="28281.29"/>
    <n v="3.05"/>
    <n v="70"/>
    <m/>
    <n v="0"/>
    <s v="Trator 1.7m"/>
    <m/>
    <s v="Não"/>
    <s v="Não"/>
    <s v="Não"/>
    <s v="Não"/>
    <n v="19796.902999999998"/>
    <n v="19796.902999999998"/>
  </r>
  <r>
    <s v="VGSP-348_168,000_CC1"/>
    <x v="235"/>
    <s v="168,000"/>
    <m/>
    <s v="168,500"/>
    <n v="0.5"/>
    <x v="1"/>
    <s v="C"/>
    <n v="-22.495629825008901"/>
    <n v="-47.42804601039434"/>
    <n v="3163.57"/>
    <n v="3.61"/>
    <n v="80"/>
    <m/>
    <n v="0"/>
    <s v="Trator 1.7m"/>
    <m/>
    <s v="Não"/>
    <s v="Não"/>
    <s v="Não"/>
    <s v="Não"/>
    <n v="2530.8560000000002"/>
    <n v="2530.8560000000002"/>
  </r>
  <r>
    <s v="VGSP-348_168,000_CC6"/>
    <x v="235"/>
    <s v="168,000"/>
    <m/>
    <s v="168,500"/>
    <n v="0.5"/>
    <x v="1"/>
    <s v="C"/>
    <n v="-22.4934692546496"/>
    <n v="-47.426940622199162"/>
    <n v="1028.5899999999999"/>
    <n v="2.16"/>
    <n v="80"/>
    <m/>
    <n v="0"/>
    <s v="Trator 1.7m"/>
    <m/>
    <s v="Não"/>
    <s v="Não"/>
    <s v="Não"/>
    <s v="Não"/>
    <n v="822.87199999999996"/>
    <n v="822.87199999999996"/>
  </r>
  <r>
    <s v="VGSP-348_168,000_CC3"/>
    <x v="235"/>
    <s v="168,000"/>
    <m/>
    <s v="168,500"/>
    <n v="0.5"/>
    <x v="1"/>
    <s v="C"/>
    <n v="-22.493832574665479"/>
    <n v="-47.426315824767499"/>
    <n v="6491.15"/>
    <n v="1.34"/>
    <n v="70"/>
    <m/>
    <n v="0"/>
    <s v="Trator 1.7m"/>
    <m/>
    <s v="Não"/>
    <s v="Não"/>
    <s v="Não"/>
    <s v="Não"/>
    <n v="4543.8049999999994"/>
    <n v="4543.8049999999994"/>
  </r>
  <r>
    <s v="VGSP-348_168,000_CC7"/>
    <x v="235"/>
    <s v="168,000"/>
    <m/>
    <s v="168,500"/>
    <n v="0.5"/>
    <x v="1"/>
    <s v="C"/>
    <n v="-22.491346174053731"/>
    <n v="-47.424945551538833"/>
    <n v="6262.28"/>
    <n v="1.7"/>
    <n v="80"/>
    <m/>
    <n v="0"/>
    <s v="Trator 1.7m"/>
    <m/>
    <s v="Não"/>
    <s v="Não"/>
    <s v="Não"/>
    <s v="Não"/>
    <n v="5009.8240000000005"/>
    <n v="5009.8240000000005"/>
  </r>
  <r>
    <s v="VGSP-348_168,000_EN_CL"/>
    <x v="0"/>
    <s v="168,000"/>
    <m/>
    <s v="168,500"/>
    <m/>
    <x v="0"/>
    <s v="N"/>
    <n v="-22.495673172028241"/>
    <n v="-47.427828320908581"/>
    <n v="975.28"/>
    <n v="4.17"/>
    <n v="70"/>
    <m/>
    <n v="0"/>
    <s v="Trator 1.7m"/>
    <m/>
    <s v="Não"/>
    <s v="Não"/>
    <s v="Não"/>
    <s v="Não"/>
    <n v="682.69599999999991"/>
    <n v="682.69599999999991"/>
  </r>
  <r>
    <s v="VGSP-348_169,000_ES_CL2"/>
    <x v="0"/>
    <s v="169,000"/>
    <m/>
    <s v="169,500"/>
    <m/>
    <x v="0"/>
    <s v="S"/>
    <n v="-22.48759430452127"/>
    <n v="-47.416354482477679"/>
    <n v="1839.22"/>
    <n v="2.4700000000000002"/>
    <n v="70"/>
    <m/>
    <n v="0"/>
    <s v="Trator 1.7m"/>
    <m/>
    <s v="Não"/>
    <s v="Não"/>
    <s v="Não"/>
    <s v="Não"/>
    <n v="1287.454"/>
    <n v="1287.454"/>
  </r>
  <r>
    <s v="VGSP-348_169,000_EN_CL1"/>
    <x v="0"/>
    <s v="169,000"/>
    <m/>
    <s v="169,500"/>
    <m/>
    <x v="0"/>
    <s v="N"/>
    <n v="-22.487941320317059"/>
    <n v="-47.416284543449073"/>
    <n v="1997.3"/>
    <n v="3.01"/>
    <n v="70"/>
    <m/>
    <n v="0"/>
    <s v="Trator 1.7m"/>
    <m/>
    <s v="Não"/>
    <s v="Não"/>
    <s v="Não"/>
    <s v="Não"/>
    <n v="1398.11"/>
    <n v="1398.11"/>
  </r>
  <r>
    <s v="VGSP-348_169,000_EN_CL2"/>
    <x v="0"/>
    <s v="169,000"/>
    <m/>
    <s v="169,500"/>
    <m/>
    <x v="0"/>
    <s v="N"/>
    <n v="-22.489100472120171"/>
    <n v="-47.42077257209246"/>
    <n v="1846.29"/>
    <n v="2.17"/>
    <n v="70"/>
    <m/>
    <n v="0"/>
    <s v="Trator 1.7m"/>
    <m/>
    <s v="Não"/>
    <s v="Não"/>
    <s v="Não"/>
    <s v="Não"/>
    <n v="1292.4029999999998"/>
    <n v="1292.4029999999998"/>
  </r>
  <r>
    <s v="VGSP-348_169,000_CC2"/>
    <x v="236"/>
    <s v="169,000"/>
    <m/>
    <s v="169,500"/>
    <n v="0.5"/>
    <x v="1"/>
    <s v="C"/>
    <n v="-22.48776348659808"/>
    <n v="-47.416300829013338"/>
    <n v="5572.23"/>
    <n v="2.93"/>
    <n v="80"/>
    <m/>
    <n v="0"/>
    <s v="Trator 1.7m"/>
    <m/>
    <s v="Não"/>
    <s v="Não"/>
    <s v="Não"/>
    <s v="Não"/>
    <n v="4457.7839999999997"/>
    <n v="4457.7839999999997"/>
  </r>
  <r>
    <s v="VGSP-348_169,000_ES_CL1"/>
    <x v="0"/>
    <s v="169,000"/>
    <m/>
    <s v="169,500"/>
    <m/>
    <x v="0"/>
    <s v="S"/>
    <n v="-22.488749965189299"/>
    <n v="-47.420843268546953"/>
    <n v="1695.62"/>
    <n v="1.95"/>
    <n v="70"/>
    <m/>
    <n v="0"/>
    <s v="Trator 1.7m"/>
    <m/>
    <s v="Não"/>
    <s v="Não"/>
    <s v="Não"/>
    <s v="Não"/>
    <n v="1186.9339999999997"/>
    <n v="1186.9339999999997"/>
  </r>
  <r>
    <s v="VGSP-348_169,000_CC1"/>
    <x v="236"/>
    <s v="169,000"/>
    <m/>
    <s v="169,500"/>
    <n v="0.5"/>
    <x v="1"/>
    <s v="C"/>
    <n v="-22.488922915798881"/>
    <n v="-47.420806600350573"/>
    <n v="5330.94"/>
    <n v="2.17"/>
    <n v="80"/>
    <m/>
    <n v="0"/>
    <s v="Trator 1.7m"/>
    <m/>
    <s v="Não"/>
    <s v="Não"/>
    <s v="Não"/>
    <s v="Não"/>
    <n v="4264.7519999999995"/>
    <n v="4264.7519999999995"/>
  </r>
  <r>
    <s v="VGSP-348_170,000_CC3"/>
    <x v="237"/>
    <s v="170,000"/>
    <m/>
    <s v="170,500"/>
    <n v="0.5"/>
    <x v="1"/>
    <s v="C"/>
    <n v="-22.48579997408936"/>
    <n v="-47.407592480445793"/>
    <n v="4501.12"/>
    <n v="1.53"/>
    <n v="80"/>
    <m/>
    <n v="0"/>
    <s v="Trator 1.7m"/>
    <m/>
    <s v="Não"/>
    <s v="Não"/>
    <s v="Não"/>
    <s v="Não"/>
    <n v="3600.8960000000002"/>
    <n v="3600.8960000000002"/>
  </r>
  <r>
    <s v="VGSP-348_170,000_ES_CL2"/>
    <x v="0"/>
    <s v="170,000"/>
    <m/>
    <s v="170,500"/>
    <m/>
    <x v="0"/>
    <s v="S"/>
    <n v="-22.48592200965323"/>
    <n v="-47.408916273829028"/>
    <n v="545.64"/>
    <n v="1.45"/>
    <n v="70"/>
    <m/>
    <n v="0"/>
    <s v="Trator 1.7m"/>
    <m/>
    <s v="Não"/>
    <s v="Não"/>
    <s v="Não"/>
    <s v="Não"/>
    <n v="381.94799999999998"/>
    <n v="381.94799999999998"/>
  </r>
  <r>
    <s v="VGSP-348_170,000_ES_CL1"/>
    <x v="0"/>
    <s v="170,000"/>
    <m/>
    <s v="170,500"/>
    <m/>
    <x v="0"/>
    <s v="S"/>
    <n v="-22.48657535413745"/>
    <n v="-47.411804512168878"/>
    <n v="1706.24"/>
    <n v="2.83"/>
    <n v="70"/>
    <m/>
    <n v="0"/>
    <s v="Trator 1.7m"/>
    <m/>
    <s v="Não"/>
    <s v="Não"/>
    <s v="Não"/>
    <s v="Não"/>
    <n v="1194.3679999999999"/>
    <n v="1194.3679999999999"/>
  </r>
  <r>
    <s v="VGSP-348_170,000_EN_CL"/>
    <x v="0"/>
    <s v="170,000"/>
    <m/>
    <s v="170,500"/>
    <m/>
    <x v="0"/>
    <s v="N"/>
    <n v="-22.486909051786771"/>
    <n v="-47.411689208781688"/>
    <n v="1896.17"/>
    <n v="3.41"/>
    <n v="70"/>
    <m/>
    <n v="0"/>
    <s v="Trator 1.7m"/>
    <m/>
    <s v="Não"/>
    <s v="Não"/>
    <s v="Não"/>
    <s v="Não"/>
    <n v="1327.319"/>
    <n v="1327.319"/>
  </r>
  <r>
    <s v="VGSP-348_170,000_ES_CL3"/>
    <x v="0"/>
    <s v="170,000"/>
    <m/>
    <s v="170,500"/>
    <m/>
    <x v="0"/>
    <s v="S"/>
    <n v="-22.485474643018691"/>
    <n v="-47.406923221275122"/>
    <n v="988.58"/>
    <n v="1.32"/>
    <n v="70"/>
    <m/>
    <n v="0"/>
    <s v="Trator 1.7m"/>
    <m/>
    <s v="Não"/>
    <s v="Não"/>
    <s v="Não"/>
    <s v="Não"/>
    <n v="692.00599999999997"/>
    <n v="692.00599999999997"/>
  </r>
  <r>
    <s v="VGSP-348_170,000_CC1"/>
    <x v="237"/>
    <s v="170,000"/>
    <m/>
    <s v="170,500"/>
    <n v="0.5"/>
    <x v="1"/>
    <s v="C"/>
    <n v="-22.485966787063489"/>
    <n v="-47.40752920401097"/>
    <n v="1630.09"/>
    <n v="1.65"/>
    <n v="70"/>
    <m/>
    <n v="0"/>
    <s v="Trator 1.7m"/>
    <m/>
    <s v="Não"/>
    <s v="Não"/>
    <s v="Não"/>
    <s v="Não"/>
    <n v="1141.0629999999999"/>
    <n v="1141.0629999999999"/>
  </r>
  <r>
    <s v="VGSP-348_170,000_CC2"/>
    <x v="237"/>
    <s v="170,000"/>
    <m/>
    <s v="170,500"/>
    <n v="0.5"/>
    <x v="1"/>
    <s v="C"/>
    <n v="-22.486740331002459"/>
    <n v="-47.41175736281955"/>
    <n v="5175.4399999999996"/>
    <n v="3.06"/>
    <n v="80"/>
    <m/>
    <n v="0"/>
    <s v="Trator 1.7m"/>
    <m/>
    <s v="Não"/>
    <s v="Não"/>
    <s v="Não"/>
    <s v="Não"/>
    <n v="4140.3519999999999"/>
    <n v="4140.3519999999999"/>
  </r>
  <r>
    <s v="VGSP-348_171,000_CC1"/>
    <x v="238"/>
    <s v="171,000"/>
    <m/>
    <s v="171,500"/>
    <n v="0.5"/>
    <x v="1"/>
    <s v="C"/>
    <n v="-22.483363879097261"/>
    <n v="-47.401760097276188"/>
    <n v="28371.53"/>
    <n v="1.99"/>
    <n v="80"/>
    <m/>
    <n v="0"/>
    <s v="Trator 1.7m"/>
    <m/>
    <s v="Não"/>
    <s v="Não"/>
    <s v="Não"/>
    <s v="Não"/>
    <n v="22697.224000000002"/>
    <n v="22697.224000000002"/>
  </r>
  <r>
    <s v="VGSP-348_171,000_EN_CL2"/>
    <x v="0"/>
    <s v="171,000"/>
    <m/>
    <s v="171,500"/>
    <m/>
    <x v="0"/>
    <s v="N"/>
    <n v="-22.485312457254249"/>
    <n v="-47.404676224230002"/>
    <n v="630.70000000000005"/>
    <n v="1.99"/>
    <n v="70"/>
    <m/>
    <n v="0"/>
    <s v="Trator 1.7m"/>
    <m/>
    <s v="Não"/>
    <s v="Não"/>
    <s v="Não"/>
    <s v="Não"/>
    <n v="441.49"/>
    <n v="441.49"/>
  </r>
  <r>
    <s v="VGSP-348_171,000_ES_CL2"/>
    <x v="0"/>
    <s v="171,000"/>
    <m/>
    <s v="171,500"/>
    <m/>
    <x v="0"/>
    <s v="S"/>
    <n v="-22.484945528446939"/>
    <n v="-47.40482711981111"/>
    <n v="598.91999999999996"/>
    <n v="1.21"/>
    <n v="70"/>
    <m/>
    <n v="0"/>
    <s v="Trator 1.7m"/>
    <m/>
    <s v="Não"/>
    <s v="Não"/>
    <s v="Não"/>
    <s v="Não"/>
    <n v="419.24399999999997"/>
    <n v="419.24399999999997"/>
  </r>
  <r>
    <s v="VGSP-348_171,000_CC2"/>
    <x v="238"/>
    <s v="171,000"/>
    <m/>
    <s v="171,500"/>
    <n v="0.5"/>
    <x v="1"/>
    <s v="C"/>
    <n v="-22.485093545486361"/>
    <n v="-47.404629550586492"/>
    <n v="2767.71"/>
    <n v="1.56"/>
    <n v="80"/>
    <m/>
    <n v="0"/>
    <s v="Trator 1.7m"/>
    <m/>
    <s v="Não"/>
    <s v="Não"/>
    <s v="Não"/>
    <s v="Não"/>
    <n v="2214.1680000000001"/>
    <n v="2214.1680000000001"/>
  </r>
  <r>
    <s v="VGSP-348_171,000_EN_CL1"/>
    <x v="0"/>
    <s v="171,000"/>
    <m/>
    <s v="171,500"/>
    <m/>
    <x v="0"/>
    <s v="N"/>
    <n v="-22.483858986192551"/>
    <n v="-47.401761126239997"/>
    <n v="1927.22"/>
    <n v="1.74"/>
    <n v="70"/>
    <m/>
    <n v="0"/>
    <s v="Trator 1.7m"/>
    <m/>
    <s v="Não"/>
    <s v="Não"/>
    <s v="Não"/>
    <s v="Não"/>
    <n v="1349.0539999999999"/>
    <n v="1349.0539999999999"/>
  </r>
  <r>
    <s v="VGSP-348_171,000_ES_CL1"/>
    <x v="0"/>
    <s v="171,000"/>
    <m/>
    <s v="171,500"/>
    <m/>
    <x v="0"/>
    <s v="S"/>
    <n v="-22.483422473891469"/>
    <n v="-47.402417718547163"/>
    <n v="1652.35"/>
    <n v="1.67"/>
    <n v="70"/>
    <m/>
    <n v="0"/>
    <s v="Trator 1.7m"/>
    <m/>
    <s v="Não"/>
    <s v="Não"/>
    <s v="Não"/>
    <s v="Não"/>
    <n v="1156.6449999999998"/>
    <n v="1156.6449999999998"/>
  </r>
  <r>
    <m/>
    <x v="0"/>
    <m/>
    <m/>
    <m/>
    <m/>
    <x v="2"/>
    <m/>
    <m/>
    <m/>
    <m/>
    <n v="9640313.2399999946"/>
    <m/>
    <m/>
    <m/>
    <m/>
    <m/>
    <m/>
    <m/>
    <m/>
    <m/>
    <n v="4971911.2394999955"/>
    <n v="4971911.23949999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5F2CA-27A3-41AF-8EF7-CDAD50326D0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C162" firstHeaderRow="0" firstDataRow="1" firstDataCol="1" rowPageCount="1" colPageCount="1"/>
  <pivotFields count="23">
    <pivotField multipleItemSelectionAllowed="1" showAll="0"/>
    <pivotField axis="axisRow" dataField="1" showAll="0">
      <items count="240">
        <item x="10"/>
        <item x="12"/>
        <item x="13"/>
        <item x="14"/>
        <item x="17"/>
        <item x="18"/>
        <item x="19"/>
        <item x="22"/>
        <item x="23"/>
        <item x="25"/>
        <item x="26"/>
        <item x="28"/>
        <item x="30"/>
        <item x="31"/>
        <item x="32"/>
        <item x="34"/>
        <item x="35"/>
        <item x="36"/>
        <item x="37"/>
        <item x="38"/>
        <item x="39"/>
        <item x="40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8"/>
        <item x="60"/>
        <item x="62"/>
        <item x="63"/>
        <item x="64"/>
        <item x="65"/>
        <item x="66"/>
        <item x="68"/>
        <item x="69"/>
        <item x="71"/>
        <item x="73"/>
        <item x="74"/>
        <item x="75"/>
        <item x="77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8"/>
        <item x="99"/>
        <item x="101"/>
        <item x="103"/>
        <item x="104"/>
        <item x="105"/>
        <item x="106"/>
        <item x="107"/>
        <item x="108"/>
        <item x="109"/>
        <item x="110"/>
        <item x="112"/>
        <item x="113"/>
        <item x="115"/>
        <item x="116"/>
        <item x="117"/>
        <item x="119"/>
        <item x="121"/>
        <item x="123"/>
        <item x="125"/>
        <item x="127"/>
        <item x="129"/>
        <item x="131"/>
        <item x="133"/>
        <item x="134"/>
        <item x="137"/>
        <item x="138"/>
        <item x="140"/>
        <item x="142"/>
        <item x="145"/>
        <item x="146"/>
        <item x="148"/>
        <item x="150"/>
        <item x="152"/>
        <item x="155"/>
        <item x="156"/>
        <item x="158"/>
        <item x="161"/>
        <item x="162"/>
        <item x="163"/>
        <item x="165"/>
        <item x="166"/>
        <item x="167"/>
        <item x="168"/>
        <item x="170"/>
        <item x="172"/>
        <item x="173"/>
        <item x="175"/>
        <item x="177"/>
        <item x="180"/>
        <item x="182"/>
        <item x="184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1"/>
        <item x="203"/>
        <item x="205"/>
        <item x="207"/>
        <item x="208"/>
        <item x="211"/>
        <item x="213"/>
        <item x="214"/>
        <item x="216"/>
        <item x="218"/>
        <item x="220"/>
        <item x="222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1"/>
        <item h="1" x="15"/>
        <item h="1" x="16"/>
        <item h="1" x="20"/>
        <item h="1" x="21"/>
        <item h="1" x="24"/>
        <item h="1" x="27"/>
        <item h="1" x="29"/>
        <item h="1" x="33"/>
        <item h="1" x="41"/>
        <item h="1" x="42"/>
        <item h="1" x="50"/>
        <item h="1" x="57"/>
        <item h="1" x="59"/>
        <item h="1" x="61"/>
        <item h="1" x="67"/>
        <item h="1" x="70"/>
        <item h="1" x="72"/>
        <item h="1" x="76"/>
        <item h="1" x="93"/>
        <item h="1" x="100"/>
        <item h="1" x="102"/>
        <item h="1" x="111"/>
        <item h="1" x="114"/>
        <item h="1" x="118"/>
        <item h="1" x="120"/>
        <item h="1" x="122"/>
        <item h="1" x="124"/>
        <item h="1" x="126"/>
        <item h="1" x="128"/>
        <item h="1" x="130"/>
        <item h="1" x="132"/>
        <item h="1" x="135"/>
        <item h="1" x="136"/>
        <item h="1" x="139"/>
        <item h="1" x="141"/>
        <item h="1" x="143"/>
        <item h="1" x="144"/>
        <item h="1" x="147"/>
        <item h="1" x="149"/>
        <item h="1" x="151"/>
        <item h="1" x="153"/>
        <item h="1" x="154"/>
        <item h="1" x="157"/>
        <item h="1" x="159"/>
        <item h="1" x="160"/>
        <item h="1" x="164"/>
        <item h="1" x="169"/>
        <item h="1" x="171"/>
        <item h="1" x="174"/>
        <item h="1" x="176"/>
        <item h="1" x="178"/>
        <item h="1" x="179"/>
        <item h="1" x="181"/>
        <item h="1" x="183"/>
        <item h="1" x="185"/>
        <item h="1" x="189"/>
        <item h="1" x="200"/>
        <item h="1" x="202"/>
        <item h="1" x="204"/>
        <item h="1" x="206"/>
        <item h="1" x="209"/>
        <item h="1" x="210"/>
        <item h="1" x="212"/>
        <item h="1" x="215"/>
        <item h="1" x="217"/>
        <item h="1" x="219"/>
        <item h="1" x="221"/>
        <item h="1" x="223"/>
        <item h="1" x="225"/>
        <item h="1" x="78"/>
        <item h="1" x="79"/>
        <item t="default"/>
      </items>
    </pivotField>
    <pivotField dataField="1" showAll="0"/>
    <pivotField showAll="0"/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ontagem de ID2" fld="1" subtotal="count" baseField="0" baseItem="0"/>
    <dataField name="Contagem de Km inicial" fld="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1255-04E2-4D1E-9349-AA36447EC6A1}">
  <dimension ref="A2:G162"/>
  <sheetViews>
    <sheetView workbookViewId="0">
      <selection activeCell="F14" sqref="F14"/>
    </sheetView>
  </sheetViews>
  <sheetFormatPr defaultRowHeight="14.5" x14ac:dyDescent="0.35"/>
  <cols>
    <col min="1" max="1" width="20.54296875" bestFit="1" customWidth="1"/>
    <col min="2" max="2" width="16.1796875" bestFit="1" customWidth="1"/>
    <col min="3" max="3" width="22.1796875" bestFit="1" customWidth="1"/>
    <col min="4" max="5" width="7.54296875" bestFit="1" customWidth="1"/>
    <col min="6" max="6" width="32.1796875" customWidth="1"/>
    <col min="7" max="7" width="30.54296875" customWidth="1"/>
    <col min="8" max="8" width="27" customWidth="1"/>
    <col min="9" max="12" width="7.54296875" bestFit="1" customWidth="1"/>
    <col min="13" max="13" width="6.54296875" bestFit="1" customWidth="1"/>
    <col min="14" max="33" width="7.54296875" bestFit="1" customWidth="1"/>
    <col min="34" max="34" width="6.54296875" bestFit="1" customWidth="1"/>
    <col min="35" max="44" width="7.54296875" bestFit="1" customWidth="1"/>
    <col min="45" max="45" width="6.54296875" bestFit="1" customWidth="1"/>
    <col min="46" max="55" width="7.54296875" bestFit="1" customWidth="1"/>
    <col min="56" max="56" width="6.54296875" bestFit="1" customWidth="1"/>
    <col min="57" max="66" width="7.54296875" bestFit="1" customWidth="1"/>
    <col min="67" max="67" width="6.54296875" bestFit="1" customWidth="1"/>
    <col min="68" max="77" width="7.54296875" bestFit="1" customWidth="1"/>
    <col min="78" max="78" width="6.54296875" bestFit="1" customWidth="1"/>
    <col min="79" max="80" width="7.54296875" bestFit="1" customWidth="1"/>
    <col min="81" max="81" width="6.54296875" bestFit="1" customWidth="1"/>
    <col min="82" max="82" width="5.54296875" bestFit="1" customWidth="1"/>
    <col min="83" max="92" width="6.54296875" bestFit="1" customWidth="1"/>
    <col min="93" max="93" width="5.54296875" bestFit="1" customWidth="1"/>
    <col min="94" max="103" width="6.54296875" bestFit="1" customWidth="1"/>
    <col min="104" max="104" width="5.54296875" bestFit="1" customWidth="1"/>
    <col min="105" max="114" width="6.54296875" bestFit="1" customWidth="1"/>
    <col min="115" max="115" width="5.54296875" bestFit="1" customWidth="1"/>
    <col min="116" max="125" width="6.54296875" bestFit="1" customWidth="1"/>
    <col min="126" max="126" width="5.54296875" bestFit="1" customWidth="1"/>
    <col min="127" max="166" width="6.54296875" bestFit="1" customWidth="1"/>
    <col min="167" max="167" width="10.54296875" bestFit="1" customWidth="1"/>
    <col min="168" max="168" width="8.453125" bestFit="1" customWidth="1"/>
    <col min="169" max="169" width="11.453125" bestFit="1" customWidth="1"/>
    <col min="170" max="170" width="8.453125" bestFit="1" customWidth="1"/>
    <col min="171" max="171" width="11.453125" bestFit="1" customWidth="1"/>
    <col min="172" max="172" width="8.453125" bestFit="1" customWidth="1"/>
    <col min="173" max="173" width="11.453125" bestFit="1" customWidth="1"/>
    <col min="174" max="174" width="8.453125" bestFit="1" customWidth="1"/>
    <col min="175" max="175" width="11.453125" bestFit="1" customWidth="1"/>
    <col min="176" max="176" width="8.453125" bestFit="1" customWidth="1"/>
    <col min="177" max="177" width="11.453125" bestFit="1" customWidth="1"/>
    <col min="178" max="178" width="8.453125" bestFit="1" customWidth="1"/>
    <col min="179" max="179" width="11.453125" bestFit="1" customWidth="1"/>
    <col min="180" max="180" width="8.453125" bestFit="1" customWidth="1"/>
    <col min="181" max="181" width="11.453125" bestFit="1" customWidth="1"/>
    <col min="182" max="182" width="8.453125" bestFit="1" customWidth="1"/>
    <col min="183" max="183" width="11.453125" bestFit="1" customWidth="1"/>
    <col min="184" max="184" width="7.453125" bestFit="1" customWidth="1"/>
    <col min="185" max="185" width="10.453125" bestFit="1" customWidth="1"/>
    <col min="186" max="186" width="8.453125" bestFit="1" customWidth="1"/>
    <col min="187" max="187" width="11.453125" bestFit="1" customWidth="1"/>
    <col min="188" max="188" width="8.453125" bestFit="1" customWidth="1"/>
    <col min="189" max="189" width="11.453125" bestFit="1" customWidth="1"/>
    <col min="190" max="190" width="8.453125" bestFit="1" customWidth="1"/>
    <col min="191" max="191" width="11.453125" bestFit="1" customWidth="1"/>
    <col min="192" max="192" width="8.453125" bestFit="1" customWidth="1"/>
    <col min="193" max="193" width="11.453125" bestFit="1" customWidth="1"/>
    <col min="194" max="194" width="8.453125" bestFit="1" customWidth="1"/>
    <col min="195" max="195" width="11.453125" bestFit="1" customWidth="1"/>
    <col min="196" max="196" width="8.453125" bestFit="1" customWidth="1"/>
    <col min="197" max="197" width="11.453125" bestFit="1" customWidth="1"/>
    <col min="198" max="198" width="8.453125" bestFit="1" customWidth="1"/>
    <col min="199" max="199" width="11.453125" bestFit="1" customWidth="1"/>
    <col min="200" max="200" width="8.453125" bestFit="1" customWidth="1"/>
    <col min="201" max="201" width="11.453125" bestFit="1" customWidth="1"/>
    <col min="202" max="202" width="8.453125" bestFit="1" customWidth="1"/>
    <col min="203" max="203" width="11.453125" bestFit="1" customWidth="1"/>
    <col min="204" max="204" width="8.453125" bestFit="1" customWidth="1"/>
    <col min="205" max="205" width="11.453125" bestFit="1" customWidth="1"/>
    <col min="206" max="206" width="7.453125" bestFit="1" customWidth="1"/>
    <col min="207" max="207" width="10.453125" bestFit="1" customWidth="1"/>
    <col min="208" max="208" width="8.453125" bestFit="1" customWidth="1"/>
    <col min="209" max="209" width="11.453125" bestFit="1" customWidth="1"/>
    <col min="210" max="210" width="8.453125" bestFit="1" customWidth="1"/>
    <col min="211" max="211" width="11.453125" bestFit="1" customWidth="1"/>
    <col min="212" max="212" width="8.453125" bestFit="1" customWidth="1"/>
    <col min="213" max="213" width="11.453125" bestFit="1" customWidth="1"/>
    <col min="214" max="214" width="8.453125" bestFit="1" customWidth="1"/>
    <col min="215" max="215" width="11.453125" bestFit="1" customWidth="1"/>
    <col min="216" max="216" width="8.453125" bestFit="1" customWidth="1"/>
    <col min="217" max="217" width="11.453125" bestFit="1" customWidth="1"/>
    <col min="218" max="218" width="8.453125" bestFit="1" customWidth="1"/>
    <col min="219" max="219" width="11.453125" bestFit="1" customWidth="1"/>
    <col min="220" max="220" width="8.453125" bestFit="1" customWidth="1"/>
    <col min="221" max="221" width="11.453125" bestFit="1" customWidth="1"/>
    <col min="222" max="222" width="8.453125" bestFit="1" customWidth="1"/>
    <col min="223" max="223" width="11.453125" bestFit="1" customWidth="1"/>
    <col min="224" max="224" width="8.453125" bestFit="1" customWidth="1"/>
    <col min="225" max="225" width="11.453125" bestFit="1" customWidth="1"/>
    <col min="226" max="226" width="8.453125" bestFit="1" customWidth="1"/>
    <col min="227" max="227" width="11.453125" bestFit="1" customWidth="1"/>
    <col min="228" max="228" width="7.453125" bestFit="1" customWidth="1"/>
    <col min="229" max="229" width="10.453125" bestFit="1" customWidth="1"/>
    <col min="230" max="230" width="8.453125" bestFit="1" customWidth="1"/>
    <col min="231" max="231" width="11.453125" bestFit="1" customWidth="1"/>
    <col min="232" max="232" width="8.453125" bestFit="1" customWidth="1"/>
    <col min="233" max="233" width="11.453125" bestFit="1" customWidth="1"/>
    <col min="234" max="234" width="8.453125" bestFit="1" customWidth="1"/>
    <col min="235" max="235" width="11.453125" bestFit="1" customWidth="1"/>
    <col min="236" max="236" width="8.453125" bestFit="1" customWidth="1"/>
    <col min="237" max="237" width="11.453125" bestFit="1" customWidth="1"/>
    <col min="238" max="238" width="8.453125" bestFit="1" customWidth="1"/>
    <col min="239" max="239" width="11.453125" bestFit="1" customWidth="1"/>
    <col min="240" max="240" width="8.453125" bestFit="1" customWidth="1"/>
    <col min="241" max="241" width="11.453125" bestFit="1" customWidth="1"/>
    <col min="242" max="242" width="8.453125" bestFit="1" customWidth="1"/>
    <col min="243" max="243" width="11.453125" bestFit="1" customWidth="1"/>
    <col min="244" max="244" width="8.453125" bestFit="1" customWidth="1"/>
    <col min="245" max="245" width="11.453125" bestFit="1" customWidth="1"/>
    <col min="246" max="246" width="8.453125" bestFit="1" customWidth="1"/>
    <col min="247" max="247" width="11.453125" bestFit="1" customWidth="1"/>
    <col min="248" max="248" width="8.453125" bestFit="1" customWidth="1"/>
    <col min="249" max="249" width="11.453125" bestFit="1" customWidth="1"/>
    <col min="250" max="250" width="7.453125" bestFit="1" customWidth="1"/>
    <col min="251" max="251" width="10.453125" bestFit="1" customWidth="1"/>
    <col min="252" max="252" width="8.453125" bestFit="1" customWidth="1"/>
    <col min="253" max="253" width="11.453125" bestFit="1" customWidth="1"/>
    <col min="254" max="254" width="8.453125" bestFit="1" customWidth="1"/>
    <col min="255" max="255" width="11.453125" bestFit="1" customWidth="1"/>
    <col min="256" max="256" width="8.453125" bestFit="1" customWidth="1"/>
    <col min="257" max="257" width="11.453125" bestFit="1" customWidth="1"/>
    <col min="258" max="258" width="8.453125" bestFit="1" customWidth="1"/>
    <col min="259" max="259" width="11.453125" bestFit="1" customWidth="1"/>
    <col min="260" max="260" width="8.453125" bestFit="1" customWidth="1"/>
    <col min="261" max="261" width="11.453125" bestFit="1" customWidth="1"/>
    <col min="262" max="262" width="8.453125" bestFit="1" customWidth="1"/>
    <col min="263" max="263" width="11.453125" bestFit="1" customWidth="1"/>
    <col min="264" max="264" width="8.453125" bestFit="1" customWidth="1"/>
    <col min="265" max="265" width="11.453125" bestFit="1" customWidth="1"/>
    <col min="266" max="266" width="8.453125" bestFit="1" customWidth="1"/>
    <col min="267" max="267" width="11.453125" bestFit="1" customWidth="1"/>
    <col min="268" max="268" width="8.453125" bestFit="1" customWidth="1"/>
    <col min="269" max="269" width="11.453125" bestFit="1" customWidth="1"/>
    <col min="270" max="270" width="8.453125" bestFit="1" customWidth="1"/>
    <col min="271" max="271" width="11.453125" bestFit="1" customWidth="1"/>
    <col min="272" max="272" width="8.453125" bestFit="1" customWidth="1"/>
    <col min="273" max="273" width="11.453125" bestFit="1" customWidth="1"/>
    <col min="274" max="274" width="8.453125" bestFit="1" customWidth="1"/>
    <col min="275" max="275" width="11.453125" bestFit="1" customWidth="1"/>
    <col min="276" max="276" width="8.453125" bestFit="1" customWidth="1"/>
    <col min="277" max="277" width="11.453125" bestFit="1" customWidth="1"/>
    <col min="278" max="278" width="8.453125" bestFit="1" customWidth="1"/>
    <col min="279" max="279" width="11.453125" bestFit="1" customWidth="1"/>
    <col min="280" max="280" width="8.453125" bestFit="1" customWidth="1"/>
    <col min="281" max="281" width="11.453125" bestFit="1" customWidth="1"/>
    <col min="282" max="282" width="8.453125" bestFit="1" customWidth="1"/>
    <col min="283" max="283" width="11.453125" bestFit="1" customWidth="1"/>
    <col min="284" max="284" width="8.453125" bestFit="1" customWidth="1"/>
    <col min="285" max="285" width="11.453125" bestFit="1" customWidth="1"/>
    <col min="286" max="286" width="8.453125" bestFit="1" customWidth="1"/>
    <col min="287" max="287" width="11.453125" bestFit="1" customWidth="1"/>
    <col min="288" max="288" width="8.453125" bestFit="1" customWidth="1"/>
    <col min="289" max="289" width="11.453125" bestFit="1" customWidth="1"/>
    <col min="290" max="290" width="8.453125" bestFit="1" customWidth="1"/>
    <col min="291" max="291" width="11.453125" bestFit="1" customWidth="1"/>
    <col min="292" max="292" width="8.453125" bestFit="1" customWidth="1"/>
    <col min="293" max="293" width="11.453125" bestFit="1" customWidth="1"/>
    <col min="294" max="294" width="8.453125" bestFit="1" customWidth="1"/>
    <col min="295" max="295" width="11.453125" bestFit="1" customWidth="1"/>
    <col min="296" max="296" width="8.453125" bestFit="1" customWidth="1"/>
    <col min="297" max="297" width="11.453125" bestFit="1" customWidth="1"/>
    <col min="298" max="298" width="8.453125" bestFit="1" customWidth="1"/>
    <col min="299" max="299" width="11.453125" bestFit="1" customWidth="1"/>
    <col min="300" max="300" width="8.453125" bestFit="1" customWidth="1"/>
    <col min="301" max="301" width="11.453125" bestFit="1" customWidth="1"/>
    <col min="302" max="302" width="8.453125" bestFit="1" customWidth="1"/>
    <col min="303" max="303" width="11.453125" bestFit="1" customWidth="1"/>
    <col min="304" max="304" width="8.453125" bestFit="1" customWidth="1"/>
    <col min="305" max="305" width="11.453125" bestFit="1" customWidth="1"/>
    <col min="306" max="306" width="8.453125" bestFit="1" customWidth="1"/>
    <col min="307" max="307" width="11.453125" bestFit="1" customWidth="1"/>
    <col min="308" max="308" width="8.453125" bestFit="1" customWidth="1"/>
    <col min="309" max="309" width="11.453125" bestFit="1" customWidth="1"/>
    <col min="310" max="310" width="8.453125" bestFit="1" customWidth="1"/>
    <col min="311" max="311" width="11.453125" bestFit="1" customWidth="1"/>
    <col min="312" max="312" width="8.453125" bestFit="1" customWidth="1"/>
    <col min="313" max="313" width="11.453125" bestFit="1" customWidth="1"/>
    <col min="314" max="314" width="8.453125" bestFit="1" customWidth="1"/>
    <col min="315" max="315" width="11.453125" bestFit="1" customWidth="1"/>
    <col min="316" max="316" width="8.453125" bestFit="1" customWidth="1"/>
    <col min="317" max="317" width="11.453125" bestFit="1" customWidth="1"/>
    <col min="318" max="318" width="8.453125" bestFit="1" customWidth="1"/>
    <col min="319" max="319" width="11.453125" bestFit="1" customWidth="1"/>
    <col min="320" max="320" width="8.453125" bestFit="1" customWidth="1"/>
    <col min="321" max="321" width="11.453125" bestFit="1" customWidth="1"/>
    <col min="322" max="322" width="8.453125" bestFit="1" customWidth="1"/>
    <col min="323" max="323" width="11.453125" bestFit="1" customWidth="1"/>
    <col min="324" max="324" width="8.453125" bestFit="1" customWidth="1"/>
    <col min="325" max="325" width="11.453125" bestFit="1" customWidth="1"/>
    <col min="326" max="326" width="8.453125" bestFit="1" customWidth="1"/>
    <col min="327" max="327" width="11.453125" bestFit="1" customWidth="1"/>
    <col min="328" max="328" width="8.453125" bestFit="1" customWidth="1"/>
    <col min="329" max="329" width="11.453125" bestFit="1" customWidth="1"/>
    <col min="330" max="330" width="8.453125" bestFit="1" customWidth="1"/>
    <col min="331" max="331" width="11.453125" bestFit="1" customWidth="1"/>
    <col min="332" max="332" width="10.54296875" bestFit="1" customWidth="1"/>
    <col min="333" max="333" width="25.7265625" bestFit="1" customWidth="1"/>
    <col min="334" max="334" width="22.453125" bestFit="1" customWidth="1"/>
    <col min="335" max="335" width="12.453125" bestFit="1" customWidth="1"/>
    <col min="336" max="336" width="25.7265625" bestFit="1" customWidth="1"/>
    <col min="337" max="337" width="22.453125" bestFit="1" customWidth="1"/>
    <col min="338" max="338" width="12.453125" bestFit="1" customWidth="1"/>
    <col min="339" max="339" width="25.7265625" bestFit="1" customWidth="1"/>
    <col min="340" max="340" width="22.453125" bestFit="1" customWidth="1"/>
    <col min="341" max="341" width="12.453125" bestFit="1" customWidth="1"/>
    <col min="342" max="342" width="25.7265625" bestFit="1" customWidth="1"/>
    <col min="343" max="343" width="22.453125" bestFit="1" customWidth="1"/>
    <col min="344" max="344" width="12.453125" bestFit="1" customWidth="1"/>
    <col min="345" max="345" width="25.7265625" bestFit="1" customWidth="1"/>
    <col min="346" max="346" width="22.453125" bestFit="1" customWidth="1"/>
    <col min="347" max="347" width="12.453125" bestFit="1" customWidth="1"/>
    <col min="348" max="348" width="25.7265625" bestFit="1" customWidth="1"/>
    <col min="349" max="349" width="22.453125" bestFit="1" customWidth="1"/>
    <col min="350" max="350" width="12.453125" bestFit="1" customWidth="1"/>
    <col min="351" max="351" width="25.7265625" bestFit="1" customWidth="1"/>
    <col min="352" max="352" width="22.453125" bestFit="1" customWidth="1"/>
    <col min="353" max="353" width="12.453125" bestFit="1" customWidth="1"/>
    <col min="354" max="354" width="25.7265625" bestFit="1" customWidth="1"/>
    <col min="355" max="355" width="22.453125" bestFit="1" customWidth="1"/>
    <col min="356" max="356" width="12.453125" bestFit="1" customWidth="1"/>
    <col min="357" max="357" width="25.7265625" bestFit="1" customWidth="1"/>
    <col min="358" max="358" width="22.453125" bestFit="1" customWidth="1"/>
    <col min="359" max="359" width="12.453125" bestFit="1" customWidth="1"/>
    <col min="360" max="360" width="25.7265625" bestFit="1" customWidth="1"/>
    <col min="361" max="361" width="22.453125" bestFit="1" customWidth="1"/>
    <col min="362" max="362" width="12.453125" bestFit="1" customWidth="1"/>
    <col min="363" max="363" width="25.7265625" bestFit="1" customWidth="1"/>
    <col min="364" max="364" width="22.453125" bestFit="1" customWidth="1"/>
    <col min="365" max="365" width="12.453125" bestFit="1" customWidth="1"/>
    <col min="366" max="366" width="25.7265625" bestFit="1" customWidth="1"/>
    <col min="367" max="367" width="22.453125" bestFit="1" customWidth="1"/>
    <col min="368" max="368" width="12.453125" bestFit="1" customWidth="1"/>
    <col min="369" max="369" width="25.7265625" bestFit="1" customWidth="1"/>
    <col min="370" max="370" width="22.453125" bestFit="1" customWidth="1"/>
    <col min="371" max="371" width="12.453125" bestFit="1" customWidth="1"/>
    <col min="372" max="372" width="25.7265625" bestFit="1" customWidth="1"/>
    <col min="373" max="373" width="22.453125" bestFit="1" customWidth="1"/>
    <col min="374" max="374" width="12.453125" bestFit="1" customWidth="1"/>
    <col min="375" max="375" width="25.7265625" bestFit="1" customWidth="1"/>
    <col min="376" max="376" width="22.453125" bestFit="1" customWidth="1"/>
    <col min="377" max="377" width="12.453125" bestFit="1" customWidth="1"/>
    <col min="378" max="378" width="25.7265625" bestFit="1" customWidth="1"/>
    <col min="379" max="379" width="22.453125" bestFit="1" customWidth="1"/>
    <col min="380" max="380" width="12.453125" bestFit="1" customWidth="1"/>
    <col min="381" max="381" width="25.7265625" bestFit="1" customWidth="1"/>
    <col min="382" max="382" width="22.453125" bestFit="1" customWidth="1"/>
    <col min="383" max="383" width="12.453125" bestFit="1" customWidth="1"/>
    <col min="384" max="384" width="25.7265625" bestFit="1" customWidth="1"/>
    <col min="385" max="385" width="22.453125" bestFit="1" customWidth="1"/>
    <col min="386" max="386" width="12.453125" bestFit="1" customWidth="1"/>
    <col min="387" max="387" width="25.7265625" bestFit="1" customWidth="1"/>
    <col min="388" max="388" width="22.453125" bestFit="1" customWidth="1"/>
    <col min="389" max="389" width="12.453125" bestFit="1" customWidth="1"/>
    <col min="390" max="390" width="25.7265625" bestFit="1" customWidth="1"/>
    <col min="391" max="391" width="22.453125" bestFit="1" customWidth="1"/>
    <col min="392" max="392" width="12.453125" bestFit="1" customWidth="1"/>
    <col min="393" max="393" width="25.7265625" bestFit="1" customWidth="1"/>
    <col min="394" max="394" width="22.453125" bestFit="1" customWidth="1"/>
    <col min="395" max="395" width="12.453125" bestFit="1" customWidth="1"/>
    <col min="396" max="396" width="25.7265625" bestFit="1" customWidth="1"/>
    <col min="397" max="397" width="22.453125" bestFit="1" customWidth="1"/>
    <col min="398" max="398" width="12.453125" bestFit="1" customWidth="1"/>
    <col min="399" max="399" width="25.7265625" bestFit="1" customWidth="1"/>
    <col min="400" max="400" width="22.453125" bestFit="1" customWidth="1"/>
    <col min="401" max="401" width="12.453125" bestFit="1" customWidth="1"/>
    <col min="402" max="402" width="25.7265625" bestFit="1" customWidth="1"/>
    <col min="403" max="403" width="22.453125" bestFit="1" customWidth="1"/>
    <col min="404" max="404" width="12.453125" bestFit="1" customWidth="1"/>
    <col min="405" max="405" width="25.7265625" bestFit="1" customWidth="1"/>
    <col min="406" max="406" width="22.453125" bestFit="1" customWidth="1"/>
    <col min="407" max="407" width="12.453125" bestFit="1" customWidth="1"/>
    <col min="408" max="408" width="25.7265625" bestFit="1" customWidth="1"/>
    <col min="409" max="409" width="22.453125" bestFit="1" customWidth="1"/>
    <col min="410" max="410" width="12.453125" bestFit="1" customWidth="1"/>
    <col min="411" max="411" width="25.7265625" bestFit="1" customWidth="1"/>
    <col min="412" max="412" width="22.453125" bestFit="1" customWidth="1"/>
    <col min="413" max="413" width="12.453125" bestFit="1" customWidth="1"/>
    <col min="414" max="414" width="25.7265625" bestFit="1" customWidth="1"/>
    <col min="415" max="415" width="22.453125" bestFit="1" customWidth="1"/>
    <col min="416" max="416" width="12.453125" bestFit="1" customWidth="1"/>
    <col min="417" max="417" width="25.7265625" bestFit="1" customWidth="1"/>
    <col min="418" max="418" width="22.453125" bestFit="1" customWidth="1"/>
    <col min="419" max="419" width="12.453125" bestFit="1" customWidth="1"/>
    <col min="420" max="420" width="25.7265625" bestFit="1" customWidth="1"/>
    <col min="421" max="421" width="22.453125" bestFit="1" customWidth="1"/>
    <col min="422" max="422" width="12.453125" bestFit="1" customWidth="1"/>
    <col min="423" max="423" width="25.7265625" bestFit="1" customWidth="1"/>
    <col min="424" max="424" width="22.453125" bestFit="1" customWidth="1"/>
    <col min="425" max="425" width="12.453125" bestFit="1" customWidth="1"/>
    <col min="426" max="426" width="25.7265625" bestFit="1" customWidth="1"/>
    <col min="427" max="427" width="22.453125" bestFit="1" customWidth="1"/>
    <col min="428" max="428" width="12.453125" bestFit="1" customWidth="1"/>
    <col min="429" max="429" width="25.7265625" bestFit="1" customWidth="1"/>
    <col min="430" max="430" width="22.453125" bestFit="1" customWidth="1"/>
    <col min="431" max="431" width="12.453125" bestFit="1" customWidth="1"/>
    <col min="432" max="432" width="25.7265625" bestFit="1" customWidth="1"/>
    <col min="433" max="433" width="22.453125" bestFit="1" customWidth="1"/>
    <col min="434" max="434" width="12.453125" bestFit="1" customWidth="1"/>
    <col min="435" max="435" width="25.7265625" bestFit="1" customWidth="1"/>
    <col min="436" max="436" width="22.453125" bestFit="1" customWidth="1"/>
    <col min="437" max="437" width="12.453125" bestFit="1" customWidth="1"/>
    <col min="438" max="438" width="25.7265625" bestFit="1" customWidth="1"/>
    <col min="439" max="439" width="22.453125" bestFit="1" customWidth="1"/>
    <col min="440" max="440" width="12.453125" bestFit="1" customWidth="1"/>
    <col min="441" max="441" width="25.7265625" bestFit="1" customWidth="1"/>
    <col min="442" max="442" width="22.453125" bestFit="1" customWidth="1"/>
    <col min="443" max="443" width="12.453125" bestFit="1" customWidth="1"/>
    <col min="444" max="444" width="25.7265625" bestFit="1" customWidth="1"/>
    <col min="445" max="445" width="22.453125" bestFit="1" customWidth="1"/>
    <col min="446" max="446" width="12.453125" bestFit="1" customWidth="1"/>
    <col min="447" max="447" width="25.7265625" bestFit="1" customWidth="1"/>
    <col min="448" max="448" width="22.453125" bestFit="1" customWidth="1"/>
    <col min="449" max="449" width="12.453125" bestFit="1" customWidth="1"/>
    <col min="450" max="450" width="25.7265625" bestFit="1" customWidth="1"/>
    <col min="451" max="451" width="22.453125" bestFit="1" customWidth="1"/>
    <col min="452" max="452" width="12.453125" bestFit="1" customWidth="1"/>
    <col min="453" max="453" width="25.7265625" bestFit="1" customWidth="1"/>
    <col min="454" max="454" width="22.453125" bestFit="1" customWidth="1"/>
    <col min="455" max="455" width="12.453125" bestFit="1" customWidth="1"/>
    <col min="456" max="456" width="25.7265625" bestFit="1" customWidth="1"/>
    <col min="457" max="457" width="22.453125" bestFit="1" customWidth="1"/>
    <col min="458" max="458" width="12.453125" bestFit="1" customWidth="1"/>
    <col min="459" max="459" width="25.7265625" bestFit="1" customWidth="1"/>
    <col min="460" max="460" width="22.453125" bestFit="1" customWidth="1"/>
    <col min="461" max="461" width="12.453125" bestFit="1" customWidth="1"/>
    <col min="462" max="462" width="25.7265625" bestFit="1" customWidth="1"/>
    <col min="463" max="463" width="22.453125" bestFit="1" customWidth="1"/>
    <col min="464" max="464" width="12.453125" bestFit="1" customWidth="1"/>
    <col min="465" max="465" width="25.7265625" bestFit="1" customWidth="1"/>
    <col min="466" max="466" width="22.453125" bestFit="1" customWidth="1"/>
    <col min="467" max="467" width="12.453125" bestFit="1" customWidth="1"/>
    <col min="468" max="468" width="25.7265625" bestFit="1" customWidth="1"/>
    <col min="469" max="469" width="22.453125" bestFit="1" customWidth="1"/>
    <col min="470" max="470" width="12.453125" bestFit="1" customWidth="1"/>
    <col min="471" max="471" width="25.7265625" bestFit="1" customWidth="1"/>
    <col min="472" max="472" width="8.81640625" bestFit="1" customWidth="1"/>
    <col min="473" max="473" width="10.453125" bestFit="1" customWidth="1"/>
    <col min="474" max="474" width="9.453125" bestFit="1" customWidth="1"/>
    <col min="475" max="475" width="12.453125" bestFit="1" customWidth="1"/>
    <col min="476" max="476" width="9.453125" bestFit="1" customWidth="1"/>
    <col min="477" max="477" width="12.453125" bestFit="1" customWidth="1"/>
    <col min="478" max="478" width="9.453125" bestFit="1" customWidth="1"/>
    <col min="479" max="479" width="12.453125" bestFit="1" customWidth="1"/>
    <col min="480" max="480" width="9.453125" bestFit="1" customWidth="1"/>
    <col min="481" max="481" width="12.453125" bestFit="1" customWidth="1"/>
    <col min="482" max="482" width="9.453125" bestFit="1" customWidth="1"/>
    <col min="483" max="483" width="12.453125" bestFit="1" customWidth="1"/>
    <col min="484" max="484" width="9.453125" bestFit="1" customWidth="1"/>
    <col min="485" max="485" width="12.453125" bestFit="1" customWidth="1"/>
    <col min="486" max="486" width="9.453125" bestFit="1" customWidth="1"/>
    <col min="487" max="487" width="12.453125" bestFit="1" customWidth="1"/>
    <col min="488" max="488" width="9.453125" bestFit="1" customWidth="1"/>
    <col min="489" max="489" width="12.453125" bestFit="1" customWidth="1"/>
    <col min="490" max="490" width="9.453125" bestFit="1" customWidth="1"/>
    <col min="491" max="491" width="12.453125" bestFit="1" customWidth="1"/>
    <col min="492" max="492" width="9.453125" bestFit="1" customWidth="1"/>
    <col min="493" max="493" width="12.453125" bestFit="1" customWidth="1"/>
    <col min="494" max="494" width="8.453125" bestFit="1" customWidth="1"/>
    <col min="495" max="495" width="11.453125" bestFit="1" customWidth="1"/>
    <col min="496" max="496" width="9.453125" bestFit="1" customWidth="1"/>
    <col min="497" max="497" width="12.453125" bestFit="1" customWidth="1"/>
    <col min="498" max="498" width="9.453125" bestFit="1" customWidth="1"/>
    <col min="499" max="499" width="12.453125" bestFit="1" customWidth="1"/>
    <col min="500" max="500" width="9.453125" bestFit="1" customWidth="1"/>
    <col min="501" max="501" width="12.453125" bestFit="1" customWidth="1"/>
    <col min="502" max="502" width="9.453125" bestFit="1" customWidth="1"/>
    <col min="503" max="503" width="12.453125" bestFit="1" customWidth="1"/>
    <col min="504" max="504" width="9.453125" bestFit="1" customWidth="1"/>
    <col min="505" max="505" width="12.453125" bestFit="1" customWidth="1"/>
    <col min="506" max="506" width="9.453125" bestFit="1" customWidth="1"/>
    <col min="507" max="507" width="12.453125" bestFit="1" customWidth="1"/>
    <col min="508" max="508" width="9.453125" bestFit="1" customWidth="1"/>
    <col min="509" max="509" width="12.453125" bestFit="1" customWidth="1"/>
    <col min="510" max="510" width="9.453125" bestFit="1" customWidth="1"/>
    <col min="511" max="511" width="12.453125" bestFit="1" customWidth="1"/>
    <col min="512" max="512" width="9.453125" bestFit="1" customWidth="1"/>
    <col min="513" max="513" width="12.453125" bestFit="1" customWidth="1"/>
    <col min="514" max="514" width="9.453125" bestFit="1" customWidth="1"/>
    <col min="515" max="515" width="12.453125" bestFit="1" customWidth="1"/>
    <col min="516" max="516" width="9.453125" bestFit="1" customWidth="1"/>
    <col min="517" max="517" width="12.453125" bestFit="1" customWidth="1"/>
    <col min="518" max="518" width="9.453125" bestFit="1" customWidth="1"/>
    <col min="519" max="519" width="12.453125" bestFit="1" customWidth="1"/>
    <col min="520" max="520" width="9.453125" bestFit="1" customWidth="1"/>
    <col min="521" max="521" width="12.453125" bestFit="1" customWidth="1"/>
    <col min="522" max="522" width="9.453125" bestFit="1" customWidth="1"/>
    <col min="523" max="523" width="12.453125" bestFit="1" customWidth="1"/>
    <col min="524" max="524" width="9.453125" bestFit="1" customWidth="1"/>
    <col min="525" max="525" width="12.453125" bestFit="1" customWidth="1"/>
    <col min="526" max="526" width="8.453125" bestFit="1" customWidth="1"/>
    <col min="527" max="527" width="11.453125" bestFit="1" customWidth="1"/>
    <col min="528" max="528" width="9.453125" bestFit="1" customWidth="1"/>
    <col min="529" max="529" width="12.453125" bestFit="1" customWidth="1"/>
    <col min="530" max="530" width="9.453125" bestFit="1" customWidth="1"/>
    <col min="531" max="531" width="12.453125" bestFit="1" customWidth="1"/>
    <col min="532" max="532" width="9.453125" bestFit="1" customWidth="1"/>
    <col min="533" max="533" width="12.453125" bestFit="1" customWidth="1"/>
    <col min="534" max="534" width="9.453125" bestFit="1" customWidth="1"/>
    <col min="535" max="535" width="12.453125" bestFit="1" customWidth="1"/>
    <col min="536" max="536" width="9.453125" bestFit="1" customWidth="1"/>
    <col min="537" max="537" width="12.453125" bestFit="1" customWidth="1"/>
    <col min="538" max="538" width="8.453125" bestFit="1" customWidth="1"/>
    <col min="539" max="539" width="11.453125" bestFit="1" customWidth="1"/>
    <col min="540" max="540" width="9.453125" bestFit="1" customWidth="1"/>
    <col min="541" max="541" width="12.453125" bestFit="1" customWidth="1"/>
    <col min="542" max="542" width="9.453125" bestFit="1" customWidth="1"/>
    <col min="543" max="543" width="12.453125" bestFit="1" customWidth="1"/>
    <col min="544" max="544" width="9.453125" bestFit="1" customWidth="1"/>
    <col min="545" max="545" width="12.453125" bestFit="1" customWidth="1"/>
    <col min="546" max="546" width="9.453125" bestFit="1" customWidth="1"/>
    <col min="547" max="547" width="12.453125" bestFit="1" customWidth="1"/>
    <col min="548" max="548" width="8.453125" bestFit="1" customWidth="1"/>
    <col min="549" max="549" width="11.453125" bestFit="1" customWidth="1"/>
    <col min="550" max="550" width="9.453125" bestFit="1" customWidth="1"/>
    <col min="551" max="551" width="12.453125" bestFit="1" customWidth="1"/>
    <col min="552" max="552" width="9.453125" bestFit="1" customWidth="1"/>
    <col min="553" max="553" width="12.453125" bestFit="1" customWidth="1"/>
    <col min="554" max="554" width="9.453125" bestFit="1" customWidth="1"/>
    <col min="555" max="555" width="12.453125" bestFit="1" customWidth="1"/>
    <col min="556" max="556" width="9.453125" bestFit="1" customWidth="1"/>
    <col min="557" max="557" width="12.453125" bestFit="1" customWidth="1"/>
    <col min="558" max="558" width="9.453125" bestFit="1" customWidth="1"/>
    <col min="559" max="559" width="12.453125" bestFit="1" customWidth="1"/>
    <col min="560" max="560" width="9.453125" bestFit="1" customWidth="1"/>
    <col min="561" max="561" width="12.453125" bestFit="1" customWidth="1"/>
    <col min="562" max="562" width="9.453125" bestFit="1" customWidth="1"/>
    <col min="563" max="563" width="12.453125" bestFit="1" customWidth="1"/>
    <col min="564" max="564" width="9.453125" bestFit="1" customWidth="1"/>
    <col min="565" max="565" width="12.453125" bestFit="1" customWidth="1"/>
    <col min="566" max="566" width="9.453125" bestFit="1" customWidth="1"/>
    <col min="567" max="567" width="12.453125" bestFit="1" customWidth="1"/>
    <col min="568" max="568" width="8.453125" bestFit="1" customWidth="1"/>
    <col min="569" max="569" width="11.453125" bestFit="1" customWidth="1"/>
    <col min="570" max="570" width="8.453125" bestFit="1" customWidth="1"/>
    <col min="571" max="571" width="11.453125" bestFit="1" customWidth="1"/>
    <col min="572" max="572" width="7.453125" bestFit="1" customWidth="1"/>
    <col min="573" max="573" width="10.453125" bestFit="1" customWidth="1"/>
    <col min="574" max="574" width="8.453125" bestFit="1" customWidth="1"/>
    <col min="575" max="575" width="11.453125" bestFit="1" customWidth="1"/>
    <col min="576" max="576" width="8.453125" bestFit="1" customWidth="1"/>
    <col min="577" max="577" width="11.453125" bestFit="1" customWidth="1"/>
    <col min="578" max="578" width="8.453125" bestFit="1" customWidth="1"/>
    <col min="579" max="579" width="11.453125" bestFit="1" customWidth="1"/>
    <col min="580" max="580" width="8.453125" bestFit="1" customWidth="1"/>
    <col min="581" max="581" width="11.453125" bestFit="1" customWidth="1"/>
    <col min="582" max="582" width="8.453125" bestFit="1" customWidth="1"/>
    <col min="583" max="583" width="11.453125" bestFit="1" customWidth="1"/>
    <col min="584" max="584" width="8.453125" bestFit="1" customWidth="1"/>
    <col min="585" max="585" width="11.453125" bestFit="1" customWidth="1"/>
    <col min="586" max="586" width="7.453125" bestFit="1" customWidth="1"/>
    <col min="587" max="587" width="10.453125" bestFit="1" customWidth="1"/>
    <col min="588" max="588" width="8.453125" bestFit="1" customWidth="1"/>
    <col min="589" max="589" width="11.453125" bestFit="1" customWidth="1"/>
    <col min="590" max="590" width="8.453125" bestFit="1" customWidth="1"/>
    <col min="591" max="591" width="11.453125" bestFit="1" customWidth="1"/>
    <col min="592" max="592" width="7.453125" bestFit="1" customWidth="1"/>
    <col min="593" max="593" width="10.453125" bestFit="1" customWidth="1"/>
    <col min="594" max="594" width="8.453125" bestFit="1" customWidth="1"/>
    <col min="595" max="595" width="11.453125" bestFit="1" customWidth="1"/>
    <col min="596" max="596" width="7.453125" bestFit="1" customWidth="1"/>
    <col min="597" max="597" width="10.453125" bestFit="1" customWidth="1"/>
    <col min="598" max="598" width="8.453125" bestFit="1" customWidth="1"/>
    <col min="599" max="599" width="11.453125" bestFit="1" customWidth="1"/>
    <col min="600" max="600" width="8.453125" bestFit="1" customWidth="1"/>
    <col min="601" max="601" width="11.453125" bestFit="1" customWidth="1"/>
    <col min="602" max="602" width="8.453125" bestFit="1" customWidth="1"/>
    <col min="603" max="603" width="11.453125" bestFit="1" customWidth="1"/>
    <col min="604" max="604" width="8.453125" bestFit="1" customWidth="1"/>
    <col min="605" max="605" width="11.453125" bestFit="1" customWidth="1"/>
    <col min="606" max="606" width="8.453125" bestFit="1" customWidth="1"/>
    <col min="607" max="607" width="11.453125" bestFit="1" customWidth="1"/>
    <col min="608" max="608" width="8.453125" bestFit="1" customWidth="1"/>
    <col min="609" max="609" width="11.453125" bestFit="1" customWidth="1"/>
    <col min="610" max="610" width="7.453125" bestFit="1" customWidth="1"/>
    <col min="611" max="611" width="10.453125" bestFit="1" customWidth="1"/>
    <col min="612" max="612" width="8.453125" bestFit="1" customWidth="1"/>
    <col min="613" max="613" width="11.453125" bestFit="1" customWidth="1"/>
    <col min="614" max="614" width="8.453125" bestFit="1" customWidth="1"/>
    <col min="615" max="615" width="11.453125" bestFit="1" customWidth="1"/>
    <col min="616" max="616" width="8.453125" bestFit="1" customWidth="1"/>
    <col min="617" max="617" width="11.453125" bestFit="1" customWidth="1"/>
    <col min="618" max="618" width="8.453125" bestFit="1" customWidth="1"/>
    <col min="619" max="619" width="11.453125" bestFit="1" customWidth="1"/>
    <col min="620" max="620" width="8.453125" bestFit="1" customWidth="1"/>
    <col min="621" max="621" width="11.453125" bestFit="1" customWidth="1"/>
    <col min="622" max="622" width="8.453125" bestFit="1" customWidth="1"/>
    <col min="623" max="623" width="11.453125" bestFit="1" customWidth="1"/>
    <col min="624" max="624" width="8.453125" bestFit="1" customWidth="1"/>
    <col min="625" max="625" width="11.453125" bestFit="1" customWidth="1"/>
    <col min="626" max="626" width="8.453125" bestFit="1" customWidth="1"/>
    <col min="627" max="627" width="11.453125" bestFit="1" customWidth="1"/>
    <col min="628" max="628" width="8.453125" bestFit="1" customWidth="1"/>
    <col min="629" max="629" width="11.453125" bestFit="1" customWidth="1"/>
    <col min="630" max="630" width="8.453125" bestFit="1" customWidth="1"/>
    <col min="631" max="631" width="11.453125" bestFit="1" customWidth="1"/>
    <col min="632" max="632" width="8.453125" bestFit="1" customWidth="1"/>
    <col min="633" max="633" width="11.453125" bestFit="1" customWidth="1"/>
    <col min="634" max="634" width="11.81640625" bestFit="1" customWidth="1"/>
    <col min="635" max="635" width="10.54296875" bestFit="1" customWidth="1"/>
  </cols>
  <sheetData>
    <row r="2" spans="1:7" x14ac:dyDescent="0.35">
      <c r="A2" s="30" t="s">
        <v>3</v>
      </c>
      <c r="B2" s="31" t="s">
        <v>23</v>
      </c>
      <c r="F2" s="41" t="s">
        <v>4053</v>
      </c>
      <c r="G2" s="41" t="s">
        <v>4261</v>
      </c>
    </row>
    <row r="3" spans="1:7" x14ac:dyDescent="0.35">
      <c r="F3" s="41" t="s">
        <v>4065</v>
      </c>
      <c r="G3" s="41">
        <v>157</v>
      </c>
    </row>
    <row r="4" spans="1:7" x14ac:dyDescent="0.35">
      <c r="A4" s="32" t="s">
        <v>4107</v>
      </c>
      <c r="B4" s="29" t="s">
        <v>4260</v>
      </c>
      <c r="C4" s="36" t="s">
        <v>4108</v>
      </c>
      <c r="F4" s="41" t="s">
        <v>4058</v>
      </c>
      <c r="G4" s="41">
        <v>73</v>
      </c>
    </row>
    <row r="5" spans="1:7" x14ac:dyDescent="0.35">
      <c r="A5" s="33" t="s">
        <v>184</v>
      </c>
      <c r="B5" s="29">
        <v>1</v>
      </c>
      <c r="C5" s="36">
        <v>1</v>
      </c>
      <c r="F5" s="41" t="s">
        <v>4054</v>
      </c>
      <c r="G5" s="41">
        <v>6</v>
      </c>
    </row>
    <row r="6" spans="1:7" x14ac:dyDescent="0.35">
      <c r="A6" s="34" t="s">
        <v>4111</v>
      </c>
      <c r="B6" s="39">
        <v>3</v>
      </c>
      <c r="C6" s="40">
        <v>3</v>
      </c>
      <c r="F6" s="41" t="s">
        <v>4262</v>
      </c>
      <c r="G6" s="41">
        <v>2</v>
      </c>
    </row>
    <row r="7" spans="1:7" x14ac:dyDescent="0.35">
      <c r="A7" s="34" t="s">
        <v>4112</v>
      </c>
      <c r="B7" s="39">
        <v>4</v>
      </c>
      <c r="C7" s="40">
        <v>4</v>
      </c>
      <c r="F7" s="42"/>
      <c r="G7" s="41">
        <f>SUM(G3:G6)</f>
        <v>238</v>
      </c>
    </row>
    <row r="8" spans="1:7" x14ac:dyDescent="0.35">
      <c r="A8" s="34" t="s">
        <v>4113</v>
      </c>
      <c r="B8" s="39">
        <v>2</v>
      </c>
      <c r="C8" s="40">
        <v>2</v>
      </c>
    </row>
    <row r="9" spans="1:7" x14ac:dyDescent="0.35">
      <c r="A9" s="34" t="s">
        <v>344</v>
      </c>
      <c r="B9" s="39">
        <v>1</v>
      </c>
      <c r="C9" s="40">
        <v>1</v>
      </c>
    </row>
    <row r="10" spans="1:7" x14ac:dyDescent="0.35">
      <c r="A10" s="34" t="s">
        <v>4114</v>
      </c>
      <c r="B10" s="39">
        <v>3</v>
      </c>
      <c r="C10" s="40">
        <v>3</v>
      </c>
    </row>
    <row r="11" spans="1:7" x14ac:dyDescent="0.35">
      <c r="A11" s="34" t="s">
        <v>4115</v>
      </c>
      <c r="B11" s="39">
        <v>3</v>
      </c>
      <c r="C11" s="40">
        <v>3</v>
      </c>
    </row>
    <row r="12" spans="1:7" x14ac:dyDescent="0.35">
      <c r="A12" s="34" t="s">
        <v>4116</v>
      </c>
      <c r="B12" s="39">
        <v>2</v>
      </c>
      <c r="C12" s="40">
        <v>2</v>
      </c>
    </row>
    <row r="13" spans="1:7" x14ac:dyDescent="0.35">
      <c r="A13" s="34" t="s">
        <v>4117</v>
      </c>
      <c r="B13" s="39">
        <v>2</v>
      </c>
      <c r="C13" s="40">
        <v>2</v>
      </c>
      <c r="F13" s="41">
        <f>COUNTA(A5:A161)</f>
        <v>157</v>
      </c>
    </row>
    <row r="14" spans="1:7" x14ac:dyDescent="0.35">
      <c r="A14" s="34" t="s">
        <v>4118</v>
      </c>
      <c r="B14" s="39">
        <v>4</v>
      </c>
      <c r="C14" s="40">
        <v>4</v>
      </c>
    </row>
    <row r="15" spans="1:7" x14ac:dyDescent="0.35">
      <c r="A15" s="34" t="s">
        <v>4119</v>
      </c>
      <c r="B15" s="39">
        <v>3</v>
      </c>
      <c r="C15" s="40">
        <v>3</v>
      </c>
    </row>
    <row r="16" spans="1:7" x14ac:dyDescent="0.35">
      <c r="A16" s="34" t="s">
        <v>4120</v>
      </c>
      <c r="B16" s="39">
        <v>3</v>
      </c>
      <c r="C16" s="40">
        <v>3</v>
      </c>
    </row>
    <row r="17" spans="1:3" x14ac:dyDescent="0.35">
      <c r="A17" s="34" t="s">
        <v>4121</v>
      </c>
      <c r="B17" s="39">
        <v>3</v>
      </c>
      <c r="C17" s="40">
        <v>3</v>
      </c>
    </row>
    <row r="18" spans="1:3" x14ac:dyDescent="0.35">
      <c r="A18" s="34" t="s">
        <v>4122</v>
      </c>
      <c r="B18" s="39">
        <v>3</v>
      </c>
      <c r="C18" s="40">
        <v>3</v>
      </c>
    </row>
    <row r="19" spans="1:3" x14ac:dyDescent="0.35">
      <c r="A19" s="34" t="s">
        <v>4123</v>
      </c>
      <c r="B19" s="39">
        <v>3</v>
      </c>
      <c r="C19" s="40">
        <v>3</v>
      </c>
    </row>
    <row r="20" spans="1:3" x14ac:dyDescent="0.35">
      <c r="A20" s="34" t="s">
        <v>652</v>
      </c>
      <c r="B20" s="39">
        <v>1</v>
      </c>
      <c r="C20" s="40">
        <v>1</v>
      </c>
    </row>
    <row r="21" spans="1:3" x14ac:dyDescent="0.35">
      <c r="A21" s="34" t="s">
        <v>4124</v>
      </c>
      <c r="B21" s="39">
        <v>5</v>
      </c>
      <c r="C21" s="40">
        <v>5</v>
      </c>
    </row>
    <row r="22" spans="1:3" x14ac:dyDescent="0.35">
      <c r="A22" s="34" t="s">
        <v>4125</v>
      </c>
      <c r="B22" s="39">
        <v>2</v>
      </c>
      <c r="C22" s="40">
        <v>2</v>
      </c>
    </row>
    <row r="23" spans="1:3" x14ac:dyDescent="0.35">
      <c r="A23" s="34" t="s">
        <v>4126</v>
      </c>
      <c r="B23" s="39">
        <v>2</v>
      </c>
      <c r="C23" s="40">
        <v>2</v>
      </c>
    </row>
    <row r="24" spans="1:3" x14ac:dyDescent="0.35">
      <c r="A24" s="34" t="s">
        <v>4127</v>
      </c>
      <c r="B24" s="39">
        <v>3</v>
      </c>
      <c r="C24" s="40">
        <v>3</v>
      </c>
    </row>
    <row r="25" spans="1:3" x14ac:dyDescent="0.35">
      <c r="A25" s="34" t="s">
        <v>4128</v>
      </c>
      <c r="B25" s="39">
        <v>2</v>
      </c>
      <c r="C25" s="40">
        <v>2</v>
      </c>
    </row>
    <row r="26" spans="1:3" x14ac:dyDescent="0.35">
      <c r="A26" s="34" t="s">
        <v>4129</v>
      </c>
      <c r="B26" s="39">
        <v>2</v>
      </c>
      <c r="C26" s="40">
        <v>2</v>
      </c>
    </row>
    <row r="27" spans="1:3" x14ac:dyDescent="0.35">
      <c r="A27" s="34" t="s">
        <v>4130</v>
      </c>
      <c r="B27" s="39">
        <v>4</v>
      </c>
      <c r="C27" s="40">
        <v>4</v>
      </c>
    </row>
    <row r="28" spans="1:3" x14ac:dyDescent="0.35">
      <c r="A28" s="34" t="s">
        <v>4131</v>
      </c>
      <c r="B28" s="39">
        <v>3</v>
      </c>
      <c r="C28" s="40">
        <v>3</v>
      </c>
    </row>
    <row r="29" spans="1:3" x14ac:dyDescent="0.35">
      <c r="A29" s="34" t="s">
        <v>4132</v>
      </c>
      <c r="B29" s="39">
        <v>2</v>
      </c>
      <c r="C29" s="40">
        <v>2</v>
      </c>
    </row>
    <row r="30" spans="1:3" x14ac:dyDescent="0.35">
      <c r="A30" s="34" t="s">
        <v>4133</v>
      </c>
      <c r="B30" s="39">
        <v>2</v>
      </c>
      <c r="C30" s="40">
        <v>2</v>
      </c>
    </row>
    <row r="31" spans="1:3" x14ac:dyDescent="0.35">
      <c r="A31" s="34" t="s">
        <v>4134</v>
      </c>
      <c r="B31" s="39">
        <v>5</v>
      </c>
      <c r="C31" s="40">
        <v>5</v>
      </c>
    </row>
    <row r="32" spans="1:3" x14ac:dyDescent="0.35">
      <c r="A32" s="34" t="s">
        <v>4135</v>
      </c>
      <c r="B32" s="39">
        <v>3</v>
      </c>
      <c r="C32" s="40">
        <v>3</v>
      </c>
    </row>
    <row r="33" spans="1:3" x14ac:dyDescent="0.35">
      <c r="A33" s="34" t="s">
        <v>4136</v>
      </c>
      <c r="B33" s="39">
        <v>2</v>
      </c>
      <c r="C33" s="40">
        <v>2</v>
      </c>
    </row>
    <row r="34" spans="1:3" x14ac:dyDescent="0.35">
      <c r="A34" s="34" t="s">
        <v>4137</v>
      </c>
      <c r="B34" s="39">
        <v>2</v>
      </c>
      <c r="C34" s="40">
        <v>2</v>
      </c>
    </row>
    <row r="35" spans="1:3" x14ac:dyDescent="0.35">
      <c r="A35" s="34" t="s">
        <v>940</v>
      </c>
      <c r="B35" s="39">
        <v>1</v>
      </c>
      <c r="C35" s="40">
        <v>1</v>
      </c>
    </row>
    <row r="36" spans="1:3" x14ac:dyDescent="0.35">
      <c r="A36" s="34" t="s">
        <v>4138</v>
      </c>
      <c r="B36" s="39">
        <v>3</v>
      </c>
      <c r="C36" s="40">
        <v>3</v>
      </c>
    </row>
    <row r="37" spans="1:3" x14ac:dyDescent="0.35">
      <c r="A37" s="34" t="s">
        <v>4139</v>
      </c>
      <c r="B37" s="39">
        <v>2</v>
      </c>
      <c r="C37" s="40">
        <v>2</v>
      </c>
    </row>
    <row r="38" spans="1:3" x14ac:dyDescent="0.35">
      <c r="A38" s="34" t="s">
        <v>4140</v>
      </c>
      <c r="B38" s="39">
        <v>6</v>
      </c>
      <c r="C38" s="40">
        <v>6</v>
      </c>
    </row>
    <row r="39" spans="1:3" x14ac:dyDescent="0.35">
      <c r="A39" s="34" t="s">
        <v>4141</v>
      </c>
      <c r="B39" s="39">
        <v>2</v>
      </c>
      <c r="C39" s="40">
        <v>2</v>
      </c>
    </row>
    <row r="40" spans="1:3" x14ac:dyDescent="0.35">
      <c r="A40" s="34" t="s">
        <v>4142</v>
      </c>
      <c r="B40" s="39">
        <v>3</v>
      </c>
      <c r="C40" s="40">
        <v>3</v>
      </c>
    </row>
    <row r="41" spans="1:3" x14ac:dyDescent="0.35">
      <c r="A41" s="34" t="s">
        <v>4143</v>
      </c>
      <c r="B41" s="39">
        <v>3</v>
      </c>
      <c r="C41" s="40">
        <v>3</v>
      </c>
    </row>
    <row r="42" spans="1:3" x14ac:dyDescent="0.35">
      <c r="A42" s="34" t="s">
        <v>4144</v>
      </c>
      <c r="B42" s="39">
        <v>3</v>
      </c>
      <c r="C42" s="40">
        <v>3</v>
      </c>
    </row>
    <row r="43" spans="1:3" x14ac:dyDescent="0.35">
      <c r="A43" s="34" t="s">
        <v>4145</v>
      </c>
      <c r="B43" s="39">
        <v>4</v>
      </c>
      <c r="C43" s="40">
        <v>4</v>
      </c>
    </row>
    <row r="44" spans="1:3" x14ac:dyDescent="0.35">
      <c r="A44" s="34" t="s">
        <v>4146</v>
      </c>
      <c r="B44" s="39">
        <v>3</v>
      </c>
      <c r="C44" s="40">
        <v>3</v>
      </c>
    </row>
    <row r="45" spans="1:3" x14ac:dyDescent="0.35">
      <c r="A45" s="34" t="s">
        <v>4147</v>
      </c>
      <c r="B45" s="39">
        <v>2</v>
      </c>
      <c r="C45" s="40">
        <v>2</v>
      </c>
    </row>
    <row r="46" spans="1:3" x14ac:dyDescent="0.35">
      <c r="A46" s="34" t="s">
        <v>4148</v>
      </c>
      <c r="B46" s="39">
        <v>4</v>
      </c>
      <c r="C46" s="40">
        <v>4</v>
      </c>
    </row>
    <row r="47" spans="1:3" x14ac:dyDescent="0.35">
      <c r="A47" s="34" t="s">
        <v>4149</v>
      </c>
      <c r="B47" s="39">
        <v>3</v>
      </c>
      <c r="C47" s="40">
        <v>3</v>
      </c>
    </row>
    <row r="48" spans="1:3" x14ac:dyDescent="0.35">
      <c r="A48" s="34" t="s">
        <v>4150</v>
      </c>
      <c r="B48" s="39">
        <v>2</v>
      </c>
      <c r="C48" s="40">
        <v>2</v>
      </c>
    </row>
    <row r="49" spans="1:3" x14ac:dyDescent="0.35">
      <c r="A49" s="34" t="s">
        <v>4151</v>
      </c>
      <c r="B49" s="39">
        <v>3</v>
      </c>
      <c r="C49" s="40">
        <v>3</v>
      </c>
    </row>
    <row r="50" spans="1:3" x14ac:dyDescent="0.35">
      <c r="A50" s="34" t="s">
        <v>4152</v>
      </c>
      <c r="B50" s="39">
        <v>4</v>
      </c>
      <c r="C50" s="40">
        <v>4</v>
      </c>
    </row>
    <row r="51" spans="1:3" x14ac:dyDescent="0.35">
      <c r="A51" s="34" t="s">
        <v>4153</v>
      </c>
      <c r="B51" s="39">
        <v>5</v>
      </c>
      <c r="C51" s="40">
        <v>5</v>
      </c>
    </row>
    <row r="52" spans="1:3" x14ac:dyDescent="0.35">
      <c r="A52" s="34" t="s">
        <v>4154</v>
      </c>
      <c r="B52" s="39">
        <v>3</v>
      </c>
      <c r="C52" s="40">
        <v>3</v>
      </c>
    </row>
    <row r="53" spans="1:3" x14ac:dyDescent="0.35">
      <c r="A53" s="34" t="s">
        <v>4155</v>
      </c>
      <c r="B53" s="39">
        <v>3</v>
      </c>
      <c r="C53" s="40">
        <v>3</v>
      </c>
    </row>
    <row r="54" spans="1:3" x14ac:dyDescent="0.35">
      <c r="A54" s="34" t="s">
        <v>4156</v>
      </c>
      <c r="B54" s="39">
        <v>2</v>
      </c>
      <c r="C54" s="40">
        <v>2</v>
      </c>
    </row>
    <row r="55" spans="1:3" x14ac:dyDescent="0.35">
      <c r="A55" s="34" t="s">
        <v>4157</v>
      </c>
      <c r="B55" s="39">
        <v>3</v>
      </c>
      <c r="C55" s="40">
        <v>3</v>
      </c>
    </row>
    <row r="56" spans="1:3" x14ac:dyDescent="0.35">
      <c r="A56" s="34" t="s">
        <v>4158</v>
      </c>
      <c r="B56" s="39">
        <v>3</v>
      </c>
      <c r="C56" s="40">
        <v>3</v>
      </c>
    </row>
    <row r="57" spans="1:3" x14ac:dyDescent="0.35">
      <c r="A57" s="34" t="s">
        <v>4159</v>
      </c>
      <c r="B57" s="39">
        <v>3</v>
      </c>
      <c r="C57" s="40">
        <v>3</v>
      </c>
    </row>
    <row r="58" spans="1:3" x14ac:dyDescent="0.35">
      <c r="A58" s="34" t="s">
        <v>4160</v>
      </c>
      <c r="B58" s="39">
        <v>5</v>
      </c>
      <c r="C58" s="40">
        <v>5</v>
      </c>
    </row>
    <row r="59" spans="1:3" x14ac:dyDescent="0.35">
      <c r="A59" s="34" t="s">
        <v>4161</v>
      </c>
      <c r="B59" s="39">
        <v>2</v>
      </c>
      <c r="C59" s="40">
        <v>2</v>
      </c>
    </row>
    <row r="60" spans="1:3" x14ac:dyDescent="0.35">
      <c r="A60" s="34" t="s">
        <v>4162</v>
      </c>
      <c r="B60" s="39">
        <v>2</v>
      </c>
      <c r="C60" s="40">
        <v>2</v>
      </c>
    </row>
    <row r="61" spans="1:3" x14ac:dyDescent="0.35">
      <c r="A61" s="34" t="s">
        <v>4163</v>
      </c>
      <c r="B61" s="39">
        <v>3</v>
      </c>
      <c r="C61" s="40">
        <v>3</v>
      </c>
    </row>
    <row r="62" spans="1:3" x14ac:dyDescent="0.35">
      <c r="A62" s="34" t="s">
        <v>4164</v>
      </c>
      <c r="B62" s="39">
        <v>3</v>
      </c>
      <c r="C62" s="40">
        <v>3</v>
      </c>
    </row>
    <row r="63" spans="1:3" x14ac:dyDescent="0.35">
      <c r="A63" s="34" t="s">
        <v>4165</v>
      </c>
      <c r="B63" s="39">
        <v>3</v>
      </c>
      <c r="C63" s="40">
        <v>3</v>
      </c>
    </row>
    <row r="64" spans="1:3" x14ac:dyDescent="0.35">
      <c r="A64" s="34" t="s">
        <v>4166</v>
      </c>
      <c r="B64" s="39">
        <v>2</v>
      </c>
      <c r="C64" s="40">
        <v>2</v>
      </c>
    </row>
    <row r="65" spans="1:3" x14ac:dyDescent="0.35">
      <c r="A65" s="34" t="s">
        <v>4167</v>
      </c>
      <c r="B65" s="39">
        <v>2</v>
      </c>
      <c r="C65" s="40">
        <v>2</v>
      </c>
    </row>
    <row r="66" spans="1:3" x14ac:dyDescent="0.35">
      <c r="A66" s="34" t="s">
        <v>4168</v>
      </c>
      <c r="B66" s="39">
        <v>3</v>
      </c>
      <c r="C66" s="40">
        <v>3</v>
      </c>
    </row>
    <row r="67" spans="1:3" x14ac:dyDescent="0.35">
      <c r="A67" s="34" t="s">
        <v>4169</v>
      </c>
      <c r="B67" s="39">
        <v>3</v>
      </c>
      <c r="C67" s="40">
        <v>3</v>
      </c>
    </row>
    <row r="68" spans="1:3" x14ac:dyDescent="0.35">
      <c r="A68" s="34" t="s">
        <v>4170</v>
      </c>
      <c r="B68" s="39">
        <v>6</v>
      </c>
      <c r="C68" s="40">
        <v>6</v>
      </c>
    </row>
    <row r="69" spans="1:3" x14ac:dyDescent="0.35">
      <c r="A69" s="34" t="s">
        <v>4171</v>
      </c>
      <c r="B69" s="39">
        <v>2</v>
      </c>
      <c r="C69" s="40">
        <v>2</v>
      </c>
    </row>
    <row r="70" spans="1:3" x14ac:dyDescent="0.35">
      <c r="A70" s="34" t="s">
        <v>4172</v>
      </c>
      <c r="B70" s="39">
        <v>4</v>
      </c>
      <c r="C70" s="40">
        <v>4</v>
      </c>
    </row>
    <row r="71" spans="1:3" x14ac:dyDescent="0.35">
      <c r="A71" s="34" t="s">
        <v>4173</v>
      </c>
      <c r="B71" s="39">
        <v>4</v>
      </c>
      <c r="C71" s="40">
        <v>4</v>
      </c>
    </row>
    <row r="72" spans="1:3" x14ac:dyDescent="0.35">
      <c r="A72" s="34" t="s">
        <v>4174</v>
      </c>
      <c r="B72" s="39">
        <v>2</v>
      </c>
      <c r="C72" s="40">
        <v>2</v>
      </c>
    </row>
    <row r="73" spans="1:3" x14ac:dyDescent="0.35">
      <c r="A73" s="34" t="s">
        <v>4175</v>
      </c>
      <c r="B73" s="39">
        <v>3</v>
      </c>
      <c r="C73" s="40">
        <v>3</v>
      </c>
    </row>
    <row r="74" spans="1:3" x14ac:dyDescent="0.35">
      <c r="A74" s="34" t="s">
        <v>4176</v>
      </c>
      <c r="B74" s="39">
        <v>4</v>
      </c>
      <c r="C74" s="40">
        <v>4</v>
      </c>
    </row>
    <row r="75" spans="1:3" x14ac:dyDescent="0.35">
      <c r="A75" s="34" t="s">
        <v>1959</v>
      </c>
      <c r="B75" s="39">
        <v>1</v>
      </c>
      <c r="C75" s="40">
        <v>1</v>
      </c>
    </row>
    <row r="76" spans="1:3" x14ac:dyDescent="0.35">
      <c r="A76" s="34" t="s">
        <v>4177</v>
      </c>
      <c r="B76" s="39">
        <v>3</v>
      </c>
      <c r="C76" s="40">
        <v>3</v>
      </c>
    </row>
    <row r="77" spans="1:3" x14ac:dyDescent="0.35">
      <c r="A77" s="34" t="s">
        <v>4178</v>
      </c>
      <c r="B77" s="39">
        <v>6</v>
      </c>
      <c r="C77" s="40">
        <v>6</v>
      </c>
    </row>
    <row r="78" spans="1:3" x14ac:dyDescent="0.35">
      <c r="A78" s="34" t="s">
        <v>4179</v>
      </c>
      <c r="B78" s="39">
        <v>6</v>
      </c>
      <c r="C78" s="40">
        <v>6</v>
      </c>
    </row>
    <row r="79" spans="1:3" x14ac:dyDescent="0.35">
      <c r="A79" s="34" t="s">
        <v>4180</v>
      </c>
      <c r="B79" s="39">
        <v>3</v>
      </c>
      <c r="C79" s="40">
        <v>3</v>
      </c>
    </row>
    <row r="80" spans="1:3" x14ac:dyDescent="0.35">
      <c r="A80" s="34" t="s">
        <v>4181</v>
      </c>
      <c r="B80" s="39">
        <v>2</v>
      </c>
      <c r="C80" s="40">
        <v>2</v>
      </c>
    </row>
    <row r="81" spans="1:3" x14ac:dyDescent="0.35">
      <c r="A81" s="34" t="s">
        <v>4182</v>
      </c>
      <c r="B81" s="39">
        <v>3</v>
      </c>
      <c r="C81" s="40">
        <v>3</v>
      </c>
    </row>
    <row r="82" spans="1:3" x14ac:dyDescent="0.35">
      <c r="A82" s="34" t="s">
        <v>4183</v>
      </c>
      <c r="B82" s="39">
        <v>2</v>
      </c>
      <c r="C82" s="40">
        <v>2</v>
      </c>
    </row>
    <row r="83" spans="1:3" x14ac:dyDescent="0.35">
      <c r="A83" s="34" t="s">
        <v>4184</v>
      </c>
      <c r="B83" s="39">
        <v>3</v>
      </c>
      <c r="C83" s="40">
        <v>3</v>
      </c>
    </row>
    <row r="84" spans="1:3" x14ac:dyDescent="0.35">
      <c r="A84" s="34" t="s">
        <v>4185</v>
      </c>
      <c r="B84" s="39">
        <v>2</v>
      </c>
      <c r="C84" s="40">
        <v>2</v>
      </c>
    </row>
    <row r="85" spans="1:3" x14ac:dyDescent="0.35">
      <c r="A85" s="34" t="s">
        <v>4186</v>
      </c>
      <c r="B85" s="39">
        <v>3</v>
      </c>
      <c r="C85" s="40">
        <v>3</v>
      </c>
    </row>
    <row r="86" spans="1:3" x14ac:dyDescent="0.35">
      <c r="A86" s="34" t="s">
        <v>4187</v>
      </c>
      <c r="B86" s="39">
        <v>3</v>
      </c>
      <c r="C86" s="40">
        <v>3</v>
      </c>
    </row>
    <row r="87" spans="1:3" x14ac:dyDescent="0.35">
      <c r="A87" s="34" t="s">
        <v>4188</v>
      </c>
      <c r="B87" s="39">
        <v>3</v>
      </c>
      <c r="C87" s="40">
        <v>3</v>
      </c>
    </row>
    <row r="88" spans="1:3" x14ac:dyDescent="0.35">
      <c r="A88" s="34" t="s">
        <v>4189</v>
      </c>
      <c r="B88" s="39">
        <v>3</v>
      </c>
      <c r="C88" s="40">
        <v>3</v>
      </c>
    </row>
    <row r="89" spans="1:3" x14ac:dyDescent="0.35">
      <c r="A89" s="34" t="s">
        <v>4190</v>
      </c>
      <c r="B89" s="39">
        <v>3</v>
      </c>
      <c r="C89" s="40">
        <v>3</v>
      </c>
    </row>
    <row r="90" spans="1:3" x14ac:dyDescent="0.35">
      <c r="A90" s="34" t="s">
        <v>4191</v>
      </c>
      <c r="B90" s="39">
        <v>3</v>
      </c>
      <c r="C90" s="40">
        <v>3</v>
      </c>
    </row>
    <row r="91" spans="1:3" x14ac:dyDescent="0.35">
      <c r="A91" s="34" t="s">
        <v>4192</v>
      </c>
      <c r="B91" s="39">
        <v>3</v>
      </c>
      <c r="C91" s="40">
        <v>3</v>
      </c>
    </row>
    <row r="92" spans="1:3" x14ac:dyDescent="0.35">
      <c r="A92" s="34" t="s">
        <v>4110</v>
      </c>
      <c r="B92" s="39">
        <v>2</v>
      </c>
      <c r="C92" s="40">
        <v>2</v>
      </c>
    </row>
    <row r="93" spans="1:3" x14ac:dyDescent="0.35">
      <c r="A93" s="34" t="s">
        <v>4193</v>
      </c>
      <c r="B93" s="39">
        <v>2</v>
      </c>
      <c r="C93" s="40">
        <v>2</v>
      </c>
    </row>
    <row r="94" spans="1:3" x14ac:dyDescent="0.35">
      <c r="A94" s="34" t="s">
        <v>4194</v>
      </c>
      <c r="B94" s="39">
        <v>7</v>
      </c>
      <c r="C94" s="40">
        <v>7</v>
      </c>
    </row>
    <row r="95" spans="1:3" x14ac:dyDescent="0.35">
      <c r="A95" s="34" t="s">
        <v>4195</v>
      </c>
      <c r="B95" s="39">
        <v>2</v>
      </c>
      <c r="C95" s="40">
        <v>2</v>
      </c>
    </row>
    <row r="96" spans="1:3" x14ac:dyDescent="0.35">
      <c r="A96" s="34" t="s">
        <v>4196</v>
      </c>
      <c r="B96" s="39">
        <v>3</v>
      </c>
      <c r="C96" s="40">
        <v>3</v>
      </c>
    </row>
    <row r="97" spans="1:3" x14ac:dyDescent="0.35">
      <c r="A97" s="34" t="s">
        <v>4197</v>
      </c>
      <c r="B97" s="39">
        <v>2</v>
      </c>
      <c r="C97" s="40">
        <v>2</v>
      </c>
    </row>
    <row r="98" spans="1:3" x14ac:dyDescent="0.35">
      <c r="A98" s="34" t="s">
        <v>4198</v>
      </c>
      <c r="B98" s="39">
        <v>2</v>
      </c>
      <c r="C98" s="40">
        <v>2</v>
      </c>
    </row>
    <row r="99" spans="1:3" x14ac:dyDescent="0.35">
      <c r="A99" s="34" t="s">
        <v>4199</v>
      </c>
      <c r="B99" s="39">
        <v>2</v>
      </c>
      <c r="C99" s="40">
        <v>2</v>
      </c>
    </row>
    <row r="100" spans="1:3" x14ac:dyDescent="0.35">
      <c r="A100" s="34" t="s">
        <v>4200</v>
      </c>
      <c r="B100" s="39">
        <v>3</v>
      </c>
      <c r="C100" s="40">
        <v>3</v>
      </c>
    </row>
    <row r="101" spans="1:3" x14ac:dyDescent="0.35">
      <c r="A101" s="34" t="s">
        <v>4201</v>
      </c>
      <c r="B101" s="39">
        <v>3</v>
      </c>
      <c r="C101" s="40">
        <v>3</v>
      </c>
    </row>
    <row r="102" spans="1:3" x14ac:dyDescent="0.35">
      <c r="A102" s="34" t="s">
        <v>4202</v>
      </c>
      <c r="B102" s="39">
        <v>3</v>
      </c>
      <c r="C102" s="40">
        <v>3</v>
      </c>
    </row>
    <row r="103" spans="1:3" x14ac:dyDescent="0.35">
      <c r="A103" s="34" t="s">
        <v>4203</v>
      </c>
      <c r="B103" s="39">
        <v>2</v>
      </c>
      <c r="C103" s="40">
        <v>2</v>
      </c>
    </row>
    <row r="104" spans="1:3" x14ac:dyDescent="0.35">
      <c r="A104" s="34" t="s">
        <v>4204</v>
      </c>
      <c r="B104" s="39">
        <v>3</v>
      </c>
      <c r="C104" s="40">
        <v>3</v>
      </c>
    </row>
    <row r="105" spans="1:3" x14ac:dyDescent="0.35">
      <c r="A105" s="34" t="s">
        <v>4205</v>
      </c>
      <c r="B105" s="39">
        <v>3</v>
      </c>
      <c r="C105" s="40">
        <v>3</v>
      </c>
    </row>
    <row r="106" spans="1:3" x14ac:dyDescent="0.35">
      <c r="A106" s="34" t="s">
        <v>4206</v>
      </c>
      <c r="B106" s="39">
        <v>2</v>
      </c>
      <c r="C106" s="40">
        <v>2</v>
      </c>
    </row>
    <row r="107" spans="1:3" x14ac:dyDescent="0.35">
      <c r="A107" s="34" t="s">
        <v>4207</v>
      </c>
      <c r="B107" s="39">
        <v>2</v>
      </c>
      <c r="C107" s="40">
        <v>2</v>
      </c>
    </row>
    <row r="108" spans="1:3" x14ac:dyDescent="0.35">
      <c r="A108" s="34" t="s">
        <v>4208</v>
      </c>
      <c r="B108" s="39">
        <v>2</v>
      </c>
      <c r="C108" s="40">
        <v>2</v>
      </c>
    </row>
    <row r="109" spans="1:3" x14ac:dyDescent="0.35">
      <c r="A109" s="34" t="s">
        <v>4209</v>
      </c>
      <c r="B109" s="39">
        <v>3</v>
      </c>
      <c r="C109" s="40">
        <v>3</v>
      </c>
    </row>
    <row r="110" spans="1:3" x14ac:dyDescent="0.35">
      <c r="A110" s="34" t="s">
        <v>4210</v>
      </c>
      <c r="B110" s="39">
        <v>2</v>
      </c>
      <c r="C110" s="40">
        <v>2</v>
      </c>
    </row>
    <row r="111" spans="1:3" x14ac:dyDescent="0.35">
      <c r="A111" s="34" t="s">
        <v>4211</v>
      </c>
      <c r="B111" s="39">
        <v>2</v>
      </c>
      <c r="C111" s="40">
        <v>2</v>
      </c>
    </row>
    <row r="112" spans="1:3" x14ac:dyDescent="0.35">
      <c r="A112" s="34" t="s">
        <v>4212</v>
      </c>
      <c r="B112" s="39">
        <v>3</v>
      </c>
      <c r="C112" s="40">
        <v>3</v>
      </c>
    </row>
    <row r="113" spans="1:3" x14ac:dyDescent="0.35">
      <c r="A113" s="34" t="s">
        <v>4213</v>
      </c>
      <c r="B113" s="39">
        <v>2</v>
      </c>
      <c r="C113" s="40">
        <v>2</v>
      </c>
    </row>
    <row r="114" spans="1:3" x14ac:dyDescent="0.35">
      <c r="A114" s="34" t="s">
        <v>4214</v>
      </c>
      <c r="B114" s="39">
        <v>2</v>
      </c>
      <c r="C114" s="40">
        <v>2</v>
      </c>
    </row>
    <row r="115" spans="1:3" x14ac:dyDescent="0.35">
      <c r="A115" s="34" t="s">
        <v>4215</v>
      </c>
      <c r="B115" s="39">
        <v>2</v>
      </c>
      <c r="C115" s="40">
        <v>2</v>
      </c>
    </row>
    <row r="116" spans="1:3" x14ac:dyDescent="0.35">
      <c r="A116" s="34" t="s">
        <v>4216</v>
      </c>
      <c r="B116" s="39">
        <v>2</v>
      </c>
      <c r="C116" s="40">
        <v>2</v>
      </c>
    </row>
    <row r="117" spans="1:3" x14ac:dyDescent="0.35">
      <c r="A117" s="34" t="s">
        <v>4217</v>
      </c>
      <c r="B117" s="39">
        <v>2</v>
      </c>
      <c r="C117" s="40">
        <v>2</v>
      </c>
    </row>
    <row r="118" spans="1:3" x14ac:dyDescent="0.35">
      <c r="A118" s="34" t="s">
        <v>4218</v>
      </c>
      <c r="B118" s="39">
        <v>3</v>
      </c>
      <c r="C118" s="40">
        <v>3</v>
      </c>
    </row>
    <row r="119" spans="1:3" x14ac:dyDescent="0.35">
      <c r="A119" s="34" t="s">
        <v>4219</v>
      </c>
      <c r="B119" s="39">
        <v>2</v>
      </c>
      <c r="C119" s="40">
        <v>2</v>
      </c>
    </row>
    <row r="120" spans="1:3" x14ac:dyDescent="0.35">
      <c r="A120" s="34" t="s">
        <v>4220</v>
      </c>
      <c r="B120" s="39">
        <v>2</v>
      </c>
      <c r="C120" s="40">
        <v>2</v>
      </c>
    </row>
    <row r="121" spans="1:3" x14ac:dyDescent="0.35">
      <c r="A121" s="34" t="s">
        <v>4221</v>
      </c>
      <c r="B121" s="39">
        <v>3</v>
      </c>
      <c r="C121" s="40">
        <v>3</v>
      </c>
    </row>
    <row r="122" spans="1:3" x14ac:dyDescent="0.35">
      <c r="A122" s="34" t="s">
        <v>4222</v>
      </c>
      <c r="B122" s="39">
        <v>2</v>
      </c>
      <c r="C122" s="40">
        <v>2</v>
      </c>
    </row>
    <row r="123" spans="1:3" x14ac:dyDescent="0.35">
      <c r="A123" s="34" t="s">
        <v>4223</v>
      </c>
      <c r="B123" s="39">
        <v>2</v>
      </c>
      <c r="C123" s="40">
        <v>2</v>
      </c>
    </row>
    <row r="124" spans="1:3" x14ac:dyDescent="0.35">
      <c r="A124" s="34" t="s">
        <v>4224</v>
      </c>
      <c r="B124" s="39">
        <v>3</v>
      </c>
      <c r="C124" s="40">
        <v>3</v>
      </c>
    </row>
    <row r="125" spans="1:3" x14ac:dyDescent="0.35">
      <c r="A125" s="34" t="s">
        <v>4225</v>
      </c>
      <c r="B125" s="39">
        <v>3</v>
      </c>
      <c r="C125" s="40">
        <v>3</v>
      </c>
    </row>
    <row r="126" spans="1:3" x14ac:dyDescent="0.35">
      <c r="A126" s="34" t="s">
        <v>4226</v>
      </c>
      <c r="B126" s="39">
        <v>2</v>
      </c>
      <c r="C126" s="40">
        <v>2</v>
      </c>
    </row>
    <row r="127" spans="1:3" x14ac:dyDescent="0.35">
      <c r="A127" s="34" t="s">
        <v>4227</v>
      </c>
      <c r="B127" s="39">
        <v>2</v>
      </c>
      <c r="C127" s="40">
        <v>2</v>
      </c>
    </row>
    <row r="128" spans="1:3" x14ac:dyDescent="0.35">
      <c r="A128" s="34" t="s">
        <v>4228</v>
      </c>
      <c r="B128" s="39">
        <v>2</v>
      </c>
      <c r="C128" s="40">
        <v>2</v>
      </c>
    </row>
    <row r="129" spans="1:3" x14ac:dyDescent="0.35">
      <c r="A129" s="34" t="s">
        <v>4229</v>
      </c>
      <c r="B129" s="39">
        <v>2</v>
      </c>
      <c r="C129" s="40">
        <v>2</v>
      </c>
    </row>
    <row r="130" spans="1:3" x14ac:dyDescent="0.35">
      <c r="A130" s="34" t="s">
        <v>4230</v>
      </c>
      <c r="B130" s="39">
        <v>3</v>
      </c>
      <c r="C130" s="40">
        <v>3</v>
      </c>
    </row>
    <row r="131" spans="1:3" x14ac:dyDescent="0.35">
      <c r="A131" s="34" t="s">
        <v>4231</v>
      </c>
      <c r="B131" s="39">
        <v>3</v>
      </c>
      <c r="C131" s="40">
        <v>3</v>
      </c>
    </row>
    <row r="132" spans="1:3" x14ac:dyDescent="0.35">
      <c r="A132" s="34" t="s">
        <v>4232</v>
      </c>
      <c r="B132" s="39">
        <v>3</v>
      </c>
      <c r="C132" s="40">
        <v>3</v>
      </c>
    </row>
    <row r="133" spans="1:3" x14ac:dyDescent="0.35">
      <c r="A133" s="34" t="s">
        <v>4233</v>
      </c>
      <c r="B133" s="39">
        <v>2</v>
      </c>
      <c r="C133" s="40">
        <v>2</v>
      </c>
    </row>
    <row r="134" spans="1:3" x14ac:dyDescent="0.35">
      <c r="A134" s="34" t="s">
        <v>4234</v>
      </c>
      <c r="B134" s="39">
        <v>3</v>
      </c>
      <c r="C134" s="40">
        <v>3</v>
      </c>
    </row>
    <row r="135" spans="1:3" x14ac:dyDescent="0.35">
      <c r="A135" s="34" t="s">
        <v>4235</v>
      </c>
      <c r="B135" s="39">
        <v>2</v>
      </c>
      <c r="C135" s="40">
        <v>2</v>
      </c>
    </row>
    <row r="136" spans="1:3" x14ac:dyDescent="0.35">
      <c r="A136" s="34" t="s">
        <v>4236</v>
      </c>
      <c r="B136" s="39">
        <v>2</v>
      </c>
      <c r="C136" s="40">
        <v>2</v>
      </c>
    </row>
    <row r="137" spans="1:3" x14ac:dyDescent="0.35">
      <c r="A137" s="34" t="s">
        <v>4237</v>
      </c>
      <c r="B137" s="39">
        <v>3</v>
      </c>
      <c r="C137" s="40">
        <v>3</v>
      </c>
    </row>
    <row r="138" spans="1:3" x14ac:dyDescent="0.35">
      <c r="A138" s="34" t="s">
        <v>4238</v>
      </c>
      <c r="B138" s="39">
        <v>3</v>
      </c>
      <c r="C138" s="40">
        <v>3</v>
      </c>
    </row>
    <row r="139" spans="1:3" x14ac:dyDescent="0.35">
      <c r="A139" s="34" t="s">
        <v>4239</v>
      </c>
      <c r="B139" s="39">
        <v>2</v>
      </c>
      <c r="C139" s="40">
        <v>2</v>
      </c>
    </row>
    <row r="140" spans="1:3" x14ac:dyDescent="0.35">
      <c r="A140" s="34" t="s">
        <v>4240</v>
      </c>
      <c r="B140" s="39">
        <v>4</v>
      </c>
      <c r="C140" s="40">
        <v>4</v>
      </c>
    </row>
    <row r="141" spans="1:3" x14ac:dyDescent="0.35">
      <c r="A141" s="34" t="s">
        <v>4241</v>
      </c>
      <c r="B141" s="39">
        <v>2</v>
      </c>
      <c r="C141" s="40">
        <v>2</v>
      </c>
    </row>
    <row r="142" spans="1:3" x14ac:dyDescent="0.35">
      <c r="A142" s="34" t="s">
        <v>4242</v>
      </c>
      <c r="B142" s="39">
        <v>2</v>
      </c>
      <c r="C142" s="40">
        <v>2</v>
      </c>
    </row>
    <row r="143" spans="1:3" x14ac:dyDescent="0.35">
      <c r="A143" s="34" t="s">
        <v>4243</v>
      </c>
      <c r="B143" s="39">
        <v>2</v>
      </c>
      <c r="C143" s="40">
        <v>2</v>
      </c>
    </row>
    <row r="144" spans="1:3" x14ac:dyDescent="0.35">
      <c r="A144" s="34" t="s">
        <v>3791</v>
      </c>
      <c r="B144" s="39">
        <v>1</v>
      </c>
      <c r="C144" s="40">
        <v>1</v>
      </c>
    </row>
    <row r="145" spans="1:3" x14ac:dyDescent="0.35">
      <c r="A145" s="34" t="s">
        <v>3812</v>
      </c>
      <c r="B145" s="39">
        <v>1</v>
      </c>
      <c r="C145" s="40">
        <v>1</v>
      </c>
    </row>
    <row r="146" spans="1:3" x14ac:dyDescent="0.35">
      <c r="A146" s="34" t="s">
        <v>4244</v>
      </c>
      <c r="B146" s="39">
        <v>8</v>
      </c>
      <c r="C146" s="40">
        <v>8</v>
      </c>
    </row>
    <row r="147" spans="1:3" x14ac:dyDescent="0.35">
      <c r="A147" s="34" t="s">
        <v>4245</v>
      </c>
      <c r="B147" s="39">
        <v>2</v>
      </c>
      <c r="C147" s="40">
        <v>2</v>
      </c>
    </row>
    <row r="148" spans="1:3" x14ac:dyDescent="0.35">
      <c r="A148" s="34" t="s">
        <v>4246</v>
      </c>
      <c r="B148" s="39">
        <v>3</v>
      </c>
      <c r="C148" s="40">
        <v>3</v>
      </c>
    </row>
    <row r="149" spans="1:3" x14ac:dyDescent="0.35">
      <c r="A149" s="34" t="s">
        <v>4247</v>
      </c>
      <c r="B149" s="39">
        <v>2</v>
      </c>
      <c r="C149" s="40">
        <v>2</v>
      </c>
    </row>
    <row r="150" spans="1:3" x14ac:dyDescent="0.35">
      <c r="A150" s="34" t="s">
        <v>4248</v>
      </c>
      <c r="B150" s="39">
        <v>3</v>
      </c>
      <c r="C150" s="40">
        <v>3</v>
      </c>
    </row>
    <row r="151" spans="1:3" x14ac:dyDescent="0.35">
      <c r="A151" s="34" t="s">
        <v>4249</v>
      </c>
      <c r="B151" s="39">
        <v>2</v>
      </c>
      <c r="C151" s="40">
        <v>2</v>
      </c>
    </row>
    <row r="152" spans="1:3" x14ac:dyDescent="0.35">
      <c r="A152" s="34" t="s">
        <v>4250</v>
      </c>
      <c r="B152" s="39">
        <v>2</v>
      </c>
      <c r="C152" s="40">
        <v>2</v>
      </c>
    </row>
    <row r="153" spans="1:3" x14ac:dyDescent="0.35">
      <c r="A153" s="34" t="s">
        <v>4251</v>
      </c>
      <c r="B153" s="39">
        <v>2</v>
      </c>
      <c r="C153" s="40">
        <v>2</v>
      </c>
    </row>
    <row r="154" spans="1:3" x14ac:dyDescent="0.35">
      <c r="A154" s="34" t="s">
        <v>4252</v>
      </c>
      <c r="B154" s="39">
        <v>4</v>
      </c>
      <c r="C154" s="40">
        <v>4</v>
      </c>
    </row>
    <row r="155" spans="1:3" x14ac:dyDescent="0.35">
      <c r="A155" s="34" t="s">
        <v>4253</v>
      </c>
      <c r="B155" s="39">
        <v>3</v>
      </c>
      <c r="C155" s="40">
        <v>3</v>
      </c>
    </row>
    <row r="156" spans="1:3" x14ac:dyDescent="0.35">
      <c r="A156" s="34" t="s">
        <v>4254</v>
      </c>
      <c r="B156" s="39">
        <v>3</v>
      </c>
      <c r="C156" s="40">
        <v>3</v>
      </c>
    </row>
    <row r="157" spans="1:3" x14ac:dyDescent="0.35">
      <c r="A157" s="34" t="s">
        <v>4255</v>
      </c>
      <c r="B157" s="39">
        <v>4</v>
      </c>
      <c r="C157" s="40">
        <v>4</v>
      </c>
    </row>
    <row r="158" spans="1:3" x14ac:dyDescent="0.35">
      <c r="A158" s="34" t="s">
        <v>4256</v>
      </c>
      <c r="B158" s="39">
        <v>7</v>
      </c>
      <c r="C158" s="40">
        <v>7</v>
      </c>
    </row>
    <row r="159" spans="1:3" x14ac:dyDescent="0.35">
      <c r="A159" s="34" t="s">
        <v>4257</v>
      </c>
      <c r="B159" s="39">
        <v>2</v>
      </c>
      <c r="C159" s="40">
        <v>2</v>
      </c>
    </row>
    <row r="160" spans="1:3" x14ac:dyDescent="0.35">
      <c r="A160" s="34" t="s">
        <v>4258</v>
      </c>
      <c r="B160" s="39">
        <v>3</v>
      </c>
      <c r="C160" s="40">
        <v>3</v>
      </c>
    </row>
    <row r="161" spans="1:3" x14ac:dyDescent="0.35">
      <c r="A161" s="34" t="s">
        <v>4259</v>
      </c>
      <c r="B161" s="39">
        <v>2</v>
      </c>
      <c r="C161" s="40">
        <v>2</v>
      </c>
    </row>
    <row r="162" spans="1:3" x14ac:dyDescent="0.35">
      <c r="A162" s="35" t="s">
        <v>4106</v>
      </c>
      <c r="B162" s="37">
        <v>438</v>
      </c>
      <c r="C162" s="38">
        <v>438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684"/>
  <sheetViews>
    <sheetView tabSelected="1" zoomScale="85" zoomScaleNormal="85" workbookViewId="0">
      <selection activeCell="D4" sqref="D4:D3682"/>
    </sheetView>
  </sheetViews>
  <sheetFormatPr defaultColWidth="9.1796875" defaultRowHeight="14.5" x14ac:dyDescent="0.35"/>
  <cols>
    <col min="1" max="1" width="41.453125" style="6" customWidth="1"/>
    <col min="2" max="2" width="12.81640625" style="6" customWidth="1"/>
    <col min="3" max="3" width="10.54296875" style="6" bestFit="1" customWidth="1"/>
    <col min="4" max="4" width="10.54296875" style="6" customWidth="1"/>
    <col min="5" max="5" width="10.54296875" style="6" bestFit="1" customWidth="1"/>
    <col min="6" max="6" width="9.26953125" style="6" bestFit="1" customWidth="1"/>
    <col min="7" max="8" width="25.81640625" style="6" customWidth="1"/>
    <col min="9" max="10" width="25.81640625" style="9" customWidth="1"/>
    <col min="11" max="11" width="23.453125" style="6" customWidth="1"/>
    <col min="12" max="13" width="16.453125" style="6" customWidth="1"/>
    <col min="14" max="14" width="23.7265625" style="6" customWidth="1"/>
    <col min="15" max="15" width="36.54296875" style="6" customWidth="1"/>
    <col min="16" max="16" width="15" style="6" customWidth="1"/>
    <col min="17" max="17" width="11" style="6" customWidth="1"/>
    <col min="18" max="20" width="17.453125" style="6" customWidth="1"/>
    <col min="21" max="21" width="18.81640625" style="6" customWidth="1"/>
    <col min="22" max="22" width="22.7265625" style="6" customWidth="1"/>
    <col min="23" max="16384" width="9.1796875" style="6"/>
  </cols>
  <sheetData>
    <row r="1" spans="1:22" s="5" customFormat="1" ht="29" x14ac:dyDescent="0.35">
      <c r="A1" s="3" t="s">
        <v>0</v>
      </c>
      <c r="B1" s="3" t="s">
        <v>1</v>
      </c>
      <c r="C1" s="3" t="s">
        <v>2</v>
      </c>
      <c r="D1" s="3" t="s">
        <v>4109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4263</v>
      </c>
      <c r="K1" s="3" t="s">
        <v>8</v>
      </c>
      <c r="L1" s="3" t="s">
        <v>9</v>
      </c>
      <c r="M1" s="3" t="s">
        <v>4100</v>
      </c>
      <c r="N1" s="2" t="s">
        <v>4049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4096</v>
      </c>
      <c r="V1" s="3" t="s">
        <v>4096</v>
      </c>
    </row>
    <row r="2" spans="1:22" hidden="1" x14ac:dyDescent="0.35">
      <c r="A2" s="6" t="s">
        <v>16</v>
      </c>
      <c r="B2" s="6" t="s">
        <v>17</v>
      </c>
      <c r="C2" s="6" t="s">
        <v>18</v>
      </c>
      <c r="D2" s="6">
        <f t="shared" ref="D2:D65" si="0">C2-B2</f>
        <v>0.5</v>
      </c>
      <c r="E2" s="6" t="s">
        <v>19</v>
      </c>
      <c r="F2" s="6" t="str">
        <f>MID(A2,19,1)</f>
        <v>S</v>
      </c>
      <c r="G2" s="6">
        <v>-22.872293413439539</v>
      </c>
      <c r="H2" s="6">
        <v>-47.131860939192613</v>
      </c>
      <c r="I2" s="9">
        <v>142.44999999999999</v>
      </c>
      <c r="K2" s="6">
        <v>4.9800000000000004</v>
      </c>
      <c r="L2" s="6">
        <v>30</v>
      </c>
      <c r="N2" s="1">
        <f>IF(OR(R2="Sim",S2="Sim",T2="Sim"),(L2/100)*I2,0)</f>
        <v>0</v>
      </c>
      <c r="O2" s="6" t="s">
        <v>20</v>
      </c>
      <c r="Q2" s="6" t="s">
        <v>21</v>
      </c>
      <c r="R2" s="6" t="s">
        <v>21</v>
      </c>
      <c r="S2" s="6" t="s">
        <v>21</v>
      </c>
      <c r="T2" s="6" t="s">
        <v>21</v>
      </c>
      <c r="U2" s="6">
        <f>IF(N2=0,(I2*(L2/100)),0)</f>
        <v>42.734999999999992</v>
      </c>
      <c r="V2" s="6">
        <f>(I2*(L2/100))</f>
        <v>42.734999999999992</v>
      </c>
    </row>
    <row r="3" spans="1:22" hidden="1" x14ac:dyDescent="0.35">
      <c r="A3" s="6" t="s">
        <v>22</v>
      </c>
      <c r="B3" s="6" t="s">
        <v>17</v>
      </c>
      <c r="C3" s="6" t="s">
        <v>18</v>
      </c>
      <c r="D3" s="6">
        <f t="shared" si="0"/>
        <v>0.5</v>
      </c>
      <c r="E3" s="6" t="s">
        <v>23</v>
      </c>
      <c r="F3" s="6" t="str">
        <f>MID(A3,19,1)</f>
        <v>C</v>
      </c>
      <c r="G3" s="6">
        <v>-22.87064902825011</v>
      </c>
      <c r="H3" s="6">
        <v>-47.131750965529733</v>
      </c>
      <c r="I3" s="9">
        <v>13141.37</v>
      </c>
      <c r="J3" s="9">
        <f>I3/500</f>
        <v>26.28274</v>
      </c>
      <c r="K3" s="6">
        <v>4.13</v>
      </c>
      <c r="L3" s="6">
        <v>50</v>
      </c>
      <c r="N3" s="1">
        <f t="shared" ref="N3:N65" si="1">IF(OR(R3="Sim",S3="Sim",T3="Sim"),(L3/100)*I3,0)</f>
        <v>0</v>
      </c>
      <c r="O3" s="6" t="s">
        <v>20</v>
      </c>
      <c r="Q3" s="6" t="s">
        <v>21</v>
      </c>
      <c r="R3" s="6" t="s">
        <v>21</v>
      </c>
      <c r="S3" s="6" t="s">
        <v>21</v>
      </c>
      <c r="T3" s="6" t="s">
        <v>21</v>
      </c>
      <c r="U3" s="6">
        <f t="shared" ref="U3:U66" si="2">IF(N3=0,(I3*(L3/100)),0)</f>
        <v>6570.6850000000004</v>
      </c>
      <c r="V3" s="6">
        <f>(I3*(L3/100))</f>
        <v>6570.6850000000004</v>
      </c>
    </row>
    <row r="4" spans="1:22" x14ac:dyDescent="0.35">
      <c r="A4" s="8" t="s">
        <v>24</v>
      </c>
      <c r="B4" s="8" t="s">
        <v>17</v>
      </c>
      <c r="C4" s="8" t="s">
        <v>18</v>
      </c>
      <c r="D4" s="6">
        <f t="shared" si="0"/>
        <v>0.5</v>
      </c>
      <c r="E4" s="8" t="s">
        <v>19</v>
      </c>
      <c r="F4" s="6" t="str">
        <f>MID(A4,19,1)</f>
        <v>N</v>
      </c>
      <c r="G4" s="8">
        <v>-22.870434372791031</v>
      </c>
      <c r="H4" s="8">
        <v>-47.131452162097482</v>
      </c>
      <c r="I4" s="7">
        <v>1782.96</v>
      </c>
      <c r="J4" s="7"/>
      <c r="K4" s="8">
        <v>3.97</v>
      </c>
      <c r="L4" s="8">
        <v>65</v>
      </c>
      <c r="M4" s="8"/>
      <c r="N4" s="11">
        <f>IF(OR(R4="Sim",S4="Sim",T4="Sim"),(L4/100)*I4,0)</f>
        <v>1158.924</v>
      </c>
      <c r="O4" s="8" t="s">
        <v>25</v>
      </c>
      <c r="P4" s="8"/>
      <c r="Q4" s="8" t="s">
        <v>21</v>
      </c>
      <c r="R4" s="8" t="s">
        <v>26</v>
      </c>
      <c r="S4" s="8" t="s">
        <v>21</v>
      </c>
      <c r="T4" s="8" t="s">
        <v>26</v>
      </c>
      <c r="U4" s="6">
        <f t="shared" si="2"/>
        <v>0</v>
      </c>
    </row>
    <row r="5" spans="1:22" hidden="1" x14ac:dyDescent="0.35">
      <c r="A5" s="6" t="s">
        <v>27</v>
      </c>
      <c r="B5" s="6" t="s">
        <v>17</v>
      </c>
      <c r="C5" s="6" t="s">
        <v>18</v>
      </c>
      <c r="D5" s="6">
        <f t="shared" si="0"/>
        <v>0.5</v>
      </c>
      <c r="E5" s="6" t="s">
        <v>19</v>
      </c>
      <c r="F5" s="6" t="str">
        <f>MID(A5,19,1)</f>
        <v>S</v>
      </c>
      <c r="G5" s="6">
        <v>-22.87244395417467</v>
      </c>
      <c r="H5" s="6">
        <v>-47.131960339333077</v>
      </c>
      <c r="I5" s="9">
        <v>181.51</v>
      </c>
      <c r="K5" s="6">
        <v>4.5</v>
      </c>
      <c r="L5" s="6">
        <v>30</v>
      </c>
      <c r="N5" s="1">
        <f t="shared" si="1"/>
        <v>0</v>
      </c>
      <c r="O5" s="6" t="s">
        <v>20</v>
      </c>
      <c r="Q5" s="6" t="s">
        <v>21</v>
      </c>
      <c r="R5" s="6" t="s">
        <v>21</v>
      </c>
      <c r="S5" s="6" t="s">
        <v>21</v>
      </c>
      <c r="T5" s="6" t="s">
        <v>21</v>
      </c>
      <c r="U5" s="6">
        <f t="shared" si="2"/>
        <v>54.452999999999996</v>
      </c>
      <c r="V5" s="6">
        <f t="shared" ref="V5:V6" si="3">(I5*(L5/100))</f>
        <v>54.452999999999996</v>
      </c>
    </row>
    <row r="6" spans="1:22" hidden="1" x14ac:dyDescent="0.35">
      <c r="A6" s="6" t="s">
        <v>28</v>
      </c>
      <c r="B6" s="6" t="s">
        <v>17</v>
      </c>
      <c r="C6" s="6" t="s">
        <v>18</v>
      </c>
      <c r="D6" s="6">
        <f t="shared" si="0"/>
        <v>0.5</v>
      </c>
      <c r="E6" s="6" t="s">
        <v>23</v>
      </c>
      <c r="F6" s="6" t="str">
        <f>MID(A6,19,1)</f>
        <v>C</v>
      </c>
      <c r="G6" s="6">
        <v>-22.874740541027059</v>
      </c>
      <c r="H6" s="6">
        <v>-47.131259901617717</v>
      </c>
      <c r="I6" s="9">
        <v>14948.87</v>
      </c>
      <c r="J6" s="9">
        <f>I6/500</f>
        <v>29.897740000000002</v>
      </c>
      <c r="K6" s="6">
        <v>3.68</v>
      </c>
      <c r="L6" s="6">
        <v>50</v>
      </c>
      <c r="N6" s="1">
        <f t="shared" si="1"/>
        <v>0</v>
      </c>
      <c r="O6" s="6" t="s">
        <v>20</v>
      </c>
      <c r="Q6" s="6" t="s">
        <v>21</v>
      </c>
      <c r="R6" s="6" t="s">
        <v>21</v>
      </c>
      <c r="S6" s="6" t="s">
        <v>21</v>
      </c>
      <c r="T6" s="6" t="s">
        <v>21</v>
      </c>
      <c r="U6" s="6">
        <f t="shared" si="2"/>
        <v>7474.4350000000004</v>
      </c>
      <c r="V6" s="6">
        <f t="shared" si="3"/>
        <v>7474.4350000000004</v>
      </c>
    </row>
    <row r="7" spans="1:22" x14ac:dyDescent="0.35">
      <c r="A7" s="8" t="s">
        <v>29</v>
      </c>
      <c r="B7" s="8" t="s">
        <v>17</v>
      </c>
      <c r="C7" s="8" t="s">
        <v>18</v>
      </c>
      <c r="D7" s="6">
        <f t="shared" si="0"/>
        <v>0.5</v>
      </c>
      <c r="E7" s="8" t="s">
        <v>19</v>
      </c>
      <c r="F7" s="6" t="str">
        <f>MID(A7,19,1)</f>
        <v>N</v>
      </c>
      <c r="G7" s="8">
        <v>-22.874699975263422</v>
      </c>
      <c r="H7" s="8">
        <v>-47.130945455290203</v>
      </c>
      <c r="I7" s="7">
        <v>1775.42</v>
      </c>
      <c r="J7" s="7"/>
      <c r="K7" s="8">
        <v>5.94</v>
      </c>
      <c r="L7" s="8">
        <v>65</v>
      </c>
      <c r="M7" s="8"/>
      <c r="N7" s="11">
        <f t="shared" si="1"/>
        <v>1154.0230000000001</v>
      </c>
      <c r="O7" s="8" t="s">
        <v>25</v>
      </c>
      <c r="P7" s="8"/>
      <c r="Q7" s="8" t="s">
        <v>21</v>
      </c>
      <c r="R7" s="8" t="s">
        <v>26</v>
      </c>
      <c r="S7" s="8" t="s">
        <v>21</v>
      </c>
      <c r="T7" s="8" t="s">
        <v>26</v>
      </c>
      <c r="U7" s="6">
        <f t="shared" si="2"/>
        <v>0</v>
      </c>
    </row>
    <row r="8" spans="1:22" hidden="1" x14ac:dyDescent="0.35">
      <c r="A8" s="8" t="s">
        <v>30</v>
      </c>
      <c r="B8" s="8" t="s">
        <v>17</v>
      </c>
      <c r="C8" s="8" t="s">
        <v>18</v>
      </c>
      <c r="D8" s="6">
        <f t="shared" si="0"/>
        <v>0.5</v>
      </c>
      <c r="E8" s="8" t="s">
        <v>19</v>
      </c>
      <c r="F8" s="6" t="str">
        <f>MID(A8,19,1)</f>
        <v>S</v>
      </c>
      <c r="G8" s="8">
        <v>-22.870435567915859</v>
      </c>
      <c r="H8" s="8">
        <v>-47.132125844695011</v>
      </c>
      <c r="I8" s="7">
        <v>1708.11</v>
      </c>
      <c r="J8" s="7"/>
      <c r="K8" s="8">
        <v>5</v>
      </c>
      <c r="L8" s="8">
        <v>70</v>
      </c>
      <c r="M8" s="8"/>
      <c r="N8" s="11">
        <f t="shared" ref="N8:N36" si="4">IF(OR(R8="Sim",S8="Sim",T8="Sim"),(L8/100)*I8,0)</f>
        <v>1195.6769999999999</v>
      </c>
      <c r="O8" s="8" t="s">
        <v>25</v>
      </c>
      <c r="P8" s="8"/>
      <c r="Q8" s="8" t="s">
        <v>21</v>
      </c>
      <c r="R8" s="8" t="s">
        <v>21</v>
      </c>
      <c r="S8" s="8" t="s">
        <v>21</v>
      </c>
      <c r="T8" s="8" t="s">
        <v>26</v>
      </c>
      <c r="U8" s="6">
        <f t="shared" si="2"/>
        <v>0</v>
      </c>
    </row>
    <row r="9" spans="1:22" hidden="1" x14ac:dyDescent="0.35">
      <c r="A9" s="8" t="s">
        <v>31</v>
      </c>
      <c r="B9" s="8" t="s">
        <v>17</v>
      </c>
      <c r="C9" s="8" t="s">
        <v>18</v>
      </c>
      <c r="D9" s="6">
        <f t="shared" si="0"/>
        <v>0.5</v>
      </c>
      <c r="E9" s="8" t="s">
        <v>19</v>
      </c>
      <c r="F9" s="6" t="str">
        <f>MID(A9,19,1)</f>
        <v>S</v>
      </c>
      <c r="G9" s="8">
        <v>-22.874752010047569</v>
      </c>
      <c r="H9" s="8">
        <v>-47.131572441543739</v>
      </c>
      <c r="I9" s="7">
        <v>1775.38</v>
      </c>
      <c r="J9" s="7"/>
      <c r="K9" s="8">
        <v>2.33</v>
      </c>
      <c r="L9" s="8">
        <v>70</v>
      </c>
      <c r="M9" s="8"/>
      <c r="N9" s="11">
        <f t="shared" si="4"/>
        <v>1242.7660000000001</v>
      </c>
      <c r="O9" s="8" t="s">
        <v>25</v>
      </c>
      <c r="P9" s="8"/>
      <c r="Q9" s="8" t="s">
        <v>21</v>
      </c>
      <c r="R9" s="8" t="s">
        <v>21</v>
      </c>
      <c r="S9" s="8" t="s">
        <v>21</v>
      </c>
      <c r="T9" s="8" t="s">
        <v>26</v>
      </c>
      <c r="U9" s="6">
        <f t="shared" si="2"/>
        <v>0</v>
      </c>
    </row>
    <row r="10" spans="1:22" x14ac:dyDescent="0.35">
      <c r="A10" s="6" t="s">
        <v>32</v>
      </c>
      <c r="B10" s="6" t="s">
        <v>33</v>
      </c>
      <c r="C10" s="6" t="s">
        <v>34</v>
      </c>
      <c r="D10" s="6">
        <f t="shared" si="0"/>
        <v>0.5</v>
      </c>
      <c r="E10" s="6" t="s">
        <v>19</v>
      </c>
      <c r="F10" s="6" t="str">
        <f>MID(A10,19,1)</f>
        <v>N</v>
      </c>
      <c r="G10" s="6">
        <v>-22.885221865306349</v>
      </c>
      <c r="H10" s="6">
        <v>-47.130885131611123</v>
      </c>
      <c r="I10" s="9">
        <v>537.91</v>
      </c>
      <c r="K10" s="6">
        <v>3.97</v>
      </c>
      <c r="L10" s="6">
        <v>30</v>
      </c>
      <c r="N10" s="1">
        <f t="shared" si="4"/>
        <v>0</v>
      </c>
      <c r="O10" s="6" t="s">
        <v>20</v>
      </c>
      <c r="Q10" s="6" t="s">
        <v>21</v>
      </c>
      <c r="R10" s="6" t="s">
        <v>21</v>
      </c>
      <c r="S10" s="6" t="s">
        <v>21</v>
      </c>
      <c r="T10" s="6" t="s">
        <v>21</v>
      </c>
      <c r="U10" s="6">
        <f t="shared" si="2"/>
        <v>161.37299999999999</v>
      </c>
      <c r="V10" s="6">
        <f>(I10*(L10/100))</f>
        <v>161.37299999999999</v>
      </c>
    </row>
    <row r="11" spans="1:22" hidden="1" x14ac:dyDescent="0.35">
      <c r="A11" s="8" t="s">
        <v>35</v>
      </c>
      <c r="B11" s="8" t="s">
        <v>33</v>
      </c>
      <c r="C11" s="8" t="s">
        <v>34</v>
      </c>
      <c r="D11" s="6">
        <f t="shared" si="0"/>
        <v>0.5</v>
      </c>
      <c r="E11" s="8" t="s">
        <v>19</v>
      </c>
      <c r="F11" s="6" t="str">
        <f>MID(A11,19,1)</f>
        <v>S</v>
      </c>
      <c r="G11" s="8">
        <v>-22.87936209440916</v>
      </c>
      <c r="H11" s="8">
        <v>-47.131089766409168</v>
      </c>
      <c r="I11" s="7">
        <v>2009.47</v>
      </c>
      <c r="J11" s="7"/>
      <c r="K11" s="8">
        <v>2.5499999999999998</v>
      </c>
      <c r="L11" s="8">
        <v>70</v>
      </c>
      <c r="M11" s="8"/>
      <c r="N11" s="11">
        <f t="shared" si="4"/>
        <v>1406.6289999999999</v>
      </c>
      <c r="O11" s="8" t="s">
        <v>25</v>
      </c>
      <c r="P11" s="8"/>
      <c r="Q11" s="8" t="s">
        <v>21</v>
      </c>
      <c r="R11" s="8" t="s">
        <v>21</v>
      </c>
      <c r="S11" s="8" t="s">
        <v>21</v>
      </c>
      <c r="T11" s="8" t="s">
        <v>26</v>
      </c>
      <c r="U11" s="6">
        <f t="shared" si="2"/>
        <v>0</v>
      </c>
    </row>
    <row r="12" spans="1:22" x14ac:dyDescent="0.35">
      <c r="A12" s="6" t="s">
        <v>36</v>
      </c>
      <c r="B12" s="6" t="s">
        <v>33</v>
      </c>
      <c r="C12" s="6" t="s">
        <v>34</v>
      </c>
      <c r="D12" s="6">
        <f t="shared" si="0"/>
        <v>0.5</v>
      </c>
      <c r="E12" s="6" t="s">
        <v>19</v>
      </c>
      <c r="F12" s="6" t="str">
        <f>MID(A12,19,1)</f>
        <v>N</v>
      </c>
      <c r="G12" s="6">
        <v>-22.88319119747576</v>
      </c>
      <c r="H12" s="6">
        <v>-47.130494014240263</v>
      </c>
      <c r="I12" s="9">
        <v>1180.71</v>
      </c>
      <c r="K12" s="6">
        <v>1.48</v>
      </c>
      <c r="L12" s="6">
        <v>30</v>
      </c>
      <c r="N12" s="1">
        <f t="shared" si="4"/>
        <v>0</v>
      </c>
      <c r="O12" s="6" t="s">
        <v>20</v>
      </c>
      <c r="Q12" s="6" t="s">
        <v>21</v>
      </c>
      <c r="R12" s="6" t="s">
        <v>21</v>
      </c>
      <c r="S12" s="6" t="s">
        <v>21</v>
      </c>
      <c r="T12" s="6" t="s">
        <v>21</v>
      </c>
      <c r="U12" s="6">
        <f t="shared" si="2"/>
        <v>354.21300000000002</v>
      </c>
      <c r="V12" s="6">
        <f t="shared" ref="V12:V13" si="5">(I12*(L12/100))</f>
        <v>354.21300000000002</v>
      </c>
    </row>
    <row r="13" spans="1:22" hidden="1" x14ac:dyDescent="0.35">
      <c r="A13" s="6" t="s">
        <v>37</v>
      </c>
      <c r="B13" s="6" t="s">
        <v>33</v>
      </c>
      <c r="C13" s="6" t="s">
        <v>34</v>
      </c>
      <c r="D13" s="6">
        <f t="shared" si="0"/>
        <v>0.5</v>
      </c>
      <c r="E13" s="6" t="s">
        <v>23</v>
      </c>
      <c r="F13" s="6" t="str">
        <f>MID(A13,19,1)</f>
        <v>C</v>
      </c>
      <c r="G13" s="6">
        <v>-22.88312424894221</v>
      </c>
      <c r="H13" s="6">
        <v>-47.13079857019973</v>
      </c>
      <c r="I13" s="9">
        <v>9163.4599999999991</v>
      </c>
      <c r="J13" s="9">
        <f>I13/500</f>
        <v>18.326919999999998</v>
      </c>
      <c r="K13" s="6">
        <v>1.86</v>
      </c>
      <c r="L13" s="6">
        <v>50</v>
      </c>
      <c r="N13" s="1">
        <f t="shared" si="4"/>
        <v>0</v>
      </c>
      <c r="O13" s="6" t="s">
        <v>20</v>
      </c>
      <c r="Q13" s="6" t="s">
        <v>21</v>
      </c>
      <c r="R13" s="6" t="s">
        <v>21</v>
      </c>
      <c r="S13" s="6" t="s">
        <v>21</v>
      </c>
      <c r="T13" s="6" t="s">
        <v>21</v>
      </c>
      <c r="U13" s="6">
        <f t="shared" si="2"/>
        <v>4581.7299999999996</v>
      </c>
      <c r="V13" s="6">
        <f t="shared" si="5"/>
        <v>4581.7299999999996</v>
      </c>
    </row>
    <row r="14" spans="1:22" hidden="1" x14ac:dyDescent="0.35">
      <c r="A14" s="8" t="s">
        <v>38</v>
      </c>
      <c r="B14" s="8" t="s">
        <v>33</v>
      </c>
      <c r="C14" s="8" t="s">
        <v>34</v>
      </c>
      <c r="D14" s="6">
        <f t="shared" si="0"/>
        <v>0.5</v>
      </c>
      <c r="E14" s="8" t="s">
        <v>19</v>
      </c>
      <c r="F14" s="6" t="str">
        <f>MID(A14,19,1)</f>
        <v>S</v>
      </c>
      <c r="G14" s="8">
        <v>-22.88510875972711</v>
      </c>
      <c r="H14" s="8">
        <v>-47.131492281448779</v>
      </c>
      <c r="I14" s="7">
        <v>486.94</v>
      </c>
      <c r="J14" s="7"/>
      <c r="K14" s="8">
        <v>4</v>
      </c>
      <c r="L14" s="8">
        <v>70</v>
      </c>
      <c r="M14" s="8"/>
      <c r="N14" s="11">
        <f t="shared" si="4"/>
        <v>340.858</v>
      </c>
      <c r="O14" s="8" t="s">
        <v>25</v>
      </c>
      <c r="P14" s="8"/>
      <c r="Q14" s="8" t="s">
        <v>21</v>
      </c>
      <c r="R14" s="8" t="s">
        <v>21</v>
      </c>
      <c r="S14" s="8" t="s">
        <v>21</v>
      </c>
      <c r="T14" s="8" t="s">
        <v>26</v>
      </c>
      <c r="U14" s="6">
        <f t="shared" si="2"/>
        <v>0</v>
      </c>
    </row>
    <row r="15" spans="1:22" hidden="1" x14ac:dyDescent="0.35">
      <c r="A15" s="8" t="s">
        <v>39</v>
      </c>
      <c r="B15" s="8" t="s">
        <v>33</v>
      </c>
      <c r="C15" s="8" t="s">
        <v>34</v>
      </c>
      <c r="D15" s="6">
        <f t="shared" si="0"/>
        <v>0.5</v>
      </c>
      <c r="E15" s="8" t="s">
        <v>19</v>
      </c>
      <c r="F15" s="6" t="str">
        <f>MID(A15,19,1)</f>
        <v>S</v>
      </c>
      <c r="G15" s="8">
        <v>-22.883141594312761</v>
      </c>
      <c r="H15" s="8">
        <v>-47.131122402412458</v>
      </c>
      <c r="I15" s="7">
        <v>1093.43</v>
      </c>
      <c r="J15" s="7"/>
      <c r="K15" s="8">
        <v>2.39</v>
      </c>
      <c r="L15" s="8">
        <v>70</v>
      </c>
      <c r="M15" s="8"/>
      <c r="N15" s="11">
        <f t="shared" si="4"/>
        <v>765.40099999999995</v>
      </c>
      <c r="O15" s="8" t="s">
        <v>25</v>
      </c>
      <c r="P15" s="8"/>
      <c r="Q15" s="8" t="s">
        <v>21</v>
      </c>
      <c r="R15" s="8" t="s">
        <v>21</v>
      </c>
      <c r="S15" s="8" t="s">
        <v>21</v>
      </c>
      <c r="T15" s="8" t="s">
        <v>26</v>
      </c>
      <c r="U15" s="6">
        <f t="shared" si="2"/>
        <v>0</v>
      </c>
    </row>
    <row r="16" spans="1:22" hidden="1" x14ac:dyDescent="0.35">
      <c r="A16" s="6" t="s">
        <v>40</v>
      </c>
      <c r="B16" s="6" t="s">
        <v>33</v>
      </c>
      <c r="C16" s="6" t="s">
        <v>34</v>
      </c>
      <c r="D16" s="6">
        <f t="shared" si="0"/>
        <v>0.5</v>
      </c>
      <c r="E16" s="6" t="s">
        <v>23</v>
      </c>
      <c r="F16" s="6" t="str">
        <f>MID(A16,19,1)</f>
        <v>C</v>
      </c>
      <c r="G16" s="6">
        <v>-22.879328385768108</v>
      </c>
      <c r="H16" s="6">
        <v>-47.130775795706292</v>
      </c>
      <c r="I16" s="9">
        <v>16782.150000000001</v>
      </c>
      <c r="J16" s="9">
        <f>I16/500</f>
        <v>33.564300000000003</v>
      </c>
      <c r="K16" s="6">
        <v>2.73</v>
      </c>
      <c r="L16" s="6">
        <v>50</v>
      </c>
      <c r="N16" s="1">
        <f t="shared" si="4"/>
        <v>0</v>
      </c>
      <c r="O16" s="6" t="s">
        <v>20</v>
      </c>
      <c r="Q16" s="6" t="s">
        <v>21</v>
      </c>
      <c r="R16" s="6" t="s">
        <v>21</v>
      </c>
      <c r="S16" s="6" t="s">
        <v>21</v>
      </c>
      <c r="T16" s="6" t="s">
        <v>21</v>
      </c>
      <c r="U16" s="6">
        <f t="shared" si="2"/>
        <v>8391.0750000000007</v>
      </c>
      <c r="V16" s="6">
        <f t="shared" ref="V16:V18" si="6">(I16*(L16/100))</f>
        <v>8391.0750000000007</v>
      </c>
    </row>
    <row r="17" spans="1:22" x14ac:dyDescent="0.35">
      <c r="A17" s="6" t="s">
        <v>41</v>
      </c>
      <c r="B17" s="6" t="s">
        <v>33</v>
      </c>
      <c r="C17" s="6" t="s">
        <v>34</v>
      </c>
      <c r="D17" s="6">
        <f t="shared" si="0"/>
        <v>0.5</v>
      </c>
      <c r="E17" s="6" t="s">
        <v>19</v>
      </c>
      <c r="F17" s="6" t="str">
        <f>MID(A17,19,1)</f>
        <v>N</v>
      </c>
      <c r="G17" s="6">
        <v>-22.879305441330729</v>
      </c>
      <c r="H17" s="6">
        <v>-47.130465012241459</v>
      </c>
      <c r="I17" s="9">
        <v>2005.28</v>
      </c>
      <c r="K17" s="6">
        <v>3.34</v>
      </c>
      <c r="L17" s="6">
        <v>30</v>
      </c>
      <c r="N17" s="1">
        <f t="shared" si="4"/>
        <v>0</v>
      </c>
      <c r="O17" s="6" t="s">
        <v>20</v>
      </c>
      <c r="Q17" s="6" t="s">
        <v>21</v>
      </c>
      <c r="R17" s="6" t="s">
        <v>21</v>
      </c>
      <c r="S17" s="6" t="s">
        <v>21</v>
      </c>
      <c r="T17" s="6" t="s">
        <v>21</v>
      </c>
      <c r="U17" s="6">
        <f t="shared" si="2"/>
        <v>601.58399999999995</v>
      </c>
      <c r="V17" s="6">
        <f t="shared" si="6"/>
        <v>601.58399999999995</v>
      </c>
    </row>
    <row r="18" spans="1:22" hidden="1" x14ac:dyDescent="0.35">
      <c r="A18" s="6" t="s">
        <v>42</v>
      </c>
      <c r="B18" s="6" t="s">
        <v>33</v>
      </c>
      <c r="C18" s="6" t="s">
        <v>34</v>
      </c>
      <c r="D18" s="6">
        <f t="shared" si="0"/>
        <v>0.5</v>
      </c>
      <c r="E18" s="6" t="s">
        <v>23</v>
      </c>
      <c r="F18" s="6" t="str">
        <f>MID(A18,19,1)</f>
        <v>C</v>
      </c>
      <c r="G18" s="6">
        <v>-22.885185646757471</v>
      </c>
      <c r="H18" s="6">
        <v>-47.131190230415918</v>
      </c>
      <c r="I18" s="9">
        <v>4137.74</v>
      </c>
      <c r="J18" s="9">
        <f>I18/500</f>
        <v>8.2754799999999999</v>
      </c>
      <c r="K18" s="6">
        <v>3.73</v>
      </c>
      <c r="L18" s="6">
        <v>50</v>
      </c>
      <c r="N18" s="1">
        <f t="shared" si="4"/>
        <v>0</v>
      </c>
      <c r="O18" s="6" t="s">
        <v>20</v>
      </c>
      <c r="Q18" s="6" t="s">
        <v>21</v>
      </c>
      <c r="R18" s="6" t="s">
        <v>21</v>
      </c>
      <c r="S18" s="6" t="s">
        <v>21</v>
      </c>
      <c r="T18" s="6" t="s">
        <v>21</v>
      </c>
      <c r="U18" s="6">
        <f t="shared" si="2"/>
        <v>2068.87</v>
      </c>
      <c r="V18" s="6">
        <f t="shared" si="6"/>
        <v>2068.87</v>
      </c>
    </row>
    <row r="19" spans="1:22" hidden="1" x14ac:dyDescent="0.35">
      <c r="A19" s="8" t="s">
        <v>43</v>
      </c>
      <c r="B19" s="8" t="s">
        <v>44</v>
      </c>
      <c r="C19" s="8" t="s">
        <v>45</v>
      </c>
      <c r="D19" s="6">
        <f t="shared" si="0"/>
        <v>0.5</v>
      </c>
      <c r="E19" s="8" t="s">
        <v>19</v>
      </c>
      <c r="F19" s="6" t="str">
        <f>MID(A19,19,1)</f>
        <v>S</v>
      </c>
      <c r="G19" s="8">
        <v>-22.88756885494346</v>
      </c>
      <c r="H19" s="8">
        <v>-47.132393784861009</v>
      </c>
      <c r="I19" s="7">
        <v>1638</v>
      </c>
      <c r="J19" s="7"/>
      <c r="K19" s="8">
        <v>3.99</v>
      </c>
      <c r="L19" s="8">
        <v>70</v>
      </c>
      <c r="M19" s="8"/>
      <c r="N19" s="11">
        <f t="shared" si="4"/>
        <v>1146.5999999999999</v>
      </c>
      <c r="O19" s="8" t="s">
        <v>25</v>
      </c>
      <c r="P19" s="8"/>
      <c r="Q19" s="8" t="s">
        <v>21</v>
      </c>
      <c r="R19" s="8" t="s">
        <v>21</v>
      </c>
      <c r="S19" s="8" t="s">
        <v>21</v>
      </c>
      <c r="T19" s="8" t="s">
        <v>26</v>
      </c>
      <c r="U19" s="6">
        <f t="shared" si="2"/>
        <v>0</v>
      </c>
    </row>
    <row r="20" spans="1:22" hidden="1" x14ac:dyDescent="0.35">
      <c r="A20" s="6" t="s">
        <v>46</v>
      </c>
      <c r="B20" s="6" t="s">
        <v>44</v>
      </c>
      <c r="C20" s="6" t="s">
        <v>45</v>
      </c>
      <c r="D20" s="6">
        <f t="shared" si="0"/>
        <v>0.5</v>
      </c>
      <c r="E20" s="6" t="s">
        <v>23</v>
      </c>
      <c r="F20" s="6" t="str">
        <f>MID(A20,19,1)</f>
        <v>C</v>
      </c>
      <c r="G20" s="6">
        <v>-22.89013473087093</v>
      </c>
      <c r="H20" s="6">
        <v>-47.133174307372201</v>
      </c>
      <c r="I20" s="9">
        <v>4566.32</v>
      </c>
      <c r="J20" s="9">
        <f>I20/500</f>
        <v>9.1326399999999985</v>
      </c>
      <c r="K20" s="6">
        <v>4.54</v>
      </c>
      <c r="L20" s="6">
        <v>50</v>
      </c>
      <c r="N20" s="1">
        <f t="shared" si="4"/>
        <v>0</v>
      </c>
      <c r="O20" s="6" t="s">
        <v>20</v>
      </c>
      <c r="Q20" s="6" t="s">
        <v>21</v>
      </c>
      <c r="R20" s="6" t="s">
        <v>21</v>
      </c>
      <c r="S20" s="6" t="s">
        <v>21</v>
      </c>
      <c r="T20" s="6" t="s">
        <v>21</v>
      </c>
      <c r="U20" s="6">
        <f t="shared" si="2"/>
        <v>2283.16</v>
      </c>
      <c r="V20" s="6">
        <f>(I20*(L20/100))</f>
        <v>2283.16</v>
      </c>
    </row>
    <row r="21" spans="1:22" hidden="1" x14ac:dyDescent="0.35">
      <c r="A21" s="8" t="s">
        <v>47</v>
      </c>
      <c r="B21" s="8" t="s">
        <v>44</v>
      </c>
      <c r="C21" s="8" t="s">
        <v>45</v>
      </c>
      <c r="D21" s="6">
        <f t="shared" si="0"/>
        <v>0.5</v>
      </c>
      <c r="E21" s="8" t="s">
        <v>19</v>
      </c>
      <c r="F21" s="6" t="str">
        <f>MID(A21,19,1)</f>
        <v>S</v>
      </c>
      <c r="G21" s="8">
        <v>-22.890032036203511</v>
      </c>
      <c r="H21" s="8">
        <v>-47.133502887006912</v>
      </c>
      <c r="I21" s="7">
        <v>552.45000000000005</v>
      </c>
      <c r="J21" s="7"/>
      <c r="K21" s="8">
        <v>4.9800000000000004</v>
      </c>
      <c r="L21" s="8">
        <v>65</v>
      </c>
      <c r="M21" s="8"/>
      <c r="N21" s="11">
        <f t="shared" si="4"/>
        <v>359.09250000000003</v>
      </c>
      <c r="O21" s="8" t="s">
        <v>48</v>
      </c>
      <c r="P21" s="8"/>
      <c r="Q21" s="8" t="s">
        <v>21</v>
      </c>
      <c r="R21" s="8" t="s">
        <v>26</v>
      </c>
      <c r="S21" s="8" t="s">
        <v>21</v>
      </c>
      <c r="T21" s="8" t="s">
        <v>26</v>
      </c>
      <c r="U21" s="6">
        <f>IF(N21=0,(I21*(L21/100)),0)</f>
        <v>0</v>
      </c>
    </row>
    <row r="22" spans="1:22" hidden="1" x14ac:dyDescent="0.35">
      <c r="A22" s="6" t="s">
        <v>49</v>
      </c>
      <c r="B22" s="6" t="s">
        <v>44</v>
      </c>
      <c r="C22" s="6" t="s">
        <v>45</v>
      </c>
      <c r="D22" s="6">
        <f t="shared" si="0"/>
        <v>0.5</v>
      </c>
      <c r="E22" s="6" t="s">
        <v>23</v>
      </c>
      <c r="F22" s="6" t="str">
        <f>MID(A22,19,1)</f>
        <v>C</v>
      </c>
      <c r="G22" s="6">
        <v>-22.887652133357481</v>
      </c>
      <c r="H22" s="6">
        <v>-47.132087139164433</v>
      </c>
      <c r="I22" s="9">
        <v>13724.57</v>
      </c>
      <c r="J22" s="9">
        <f t="shared" ref="J22:J24" si="7">I22/500</f>
        <v>27.44914</v>
      </c>
      <c r="K22" s="6">
        <v>3.11</v>
      </c>
      <c r="L22" s="6">
        <v>50</v>
      </c>
      <c r="N22" s="1">
        <f t="shared" si="4"/>
        <v>0</v>
      </c>
      <c r="O22" s="6" t="s">
        <v>20</v>
      </c>
      <c r="Q22" s="6" t="s">
        <v>21</v>
      </c>
      <c r="R22" s="6" t="s">
        <v>21</v>
      </c>
      <c r="S22" s="6" t="s">
        <v>21</v>
      </c>
      <c r="T22" s="6" t="s">
        <v>21</v>
      </c>
      <c r="U22" s="6">
        <f t="shared" si="2"/>
        <v>6862.2849999999999</v>
      </c>
      <c r="V22" s="6">
        <f t="shared" ref="V22:V27" si="8">(I22*(L22/100))</f>
        <v>6862.2849999999999</v>
      </c>
    </row>
    <row r="23" spans="1:22" hidden="1" x14ac:dyDescent="0.35">
      <c r="A23" s="6" t="s">
        <v>50</v>
      </c>
      <c r="B23" s="6" t="s">
        <v>44</v>
      </c>
      <c r="C23" s="6" t="s">
        <v>45</v>
      </c>
      <c r="D23" s="6">
        <f t="shared" si="0"/>
        <v>0.5</v>
      </c>
      <c r="E23" s="6" t="s">
        <v>23</v>
      </c>
      <c r="F23" s="6" t="str">
        <f>MID(A23,19,1)</f>
        <v>C</v>
      </c>
      <c r="G23" s="6">
        <v>-22.891916490229381</v>
      </c>
      <c r="H23" s="6">
        <v>-47.133986461766739</v>
      </c>
      <c r="I23" s="9">
        <v>7322.67</v>
      </c>
      <c r="J23" s="9">
        <f t="shared" si="7"/>
        <v>14.645340000000001</v>
      </c>
      <c r="K23" s="6">
        <v>4.92</v>
      </c>
      <c r="L23" s="6">
        <v>50</v>
      </c>
      <c r="N23" s="1">
        <f t="shared" si="4"/>
        <v>0</v>
      </c>
      <c r="O23" s="6" t="s">
        <v>20</v>
      </c>
      <c r="Q23" s="6" t="s">
        <v>21</v>
      </c>
      <c r="R23" s="6" t="s">
        <v>21</v>
      </c>
      <c r="S23" s="6" t="s">
        <v>21</v>
      </c>
      <c r="T23" s="6" t="s">
        <v>21</v>
      </c>
      <c r="U23" s="6">
        <f t="shared" si="2"/>
        <v>3661.335</v>
      </c>
      <c r="V23" s="6">
        <f t="shared" si="8"/>
        <v>3661.335</v>
      </c>
    </row>
    <row r="24" spans="1:22" hidden="1" x14ac:dyDescent="0.35">
      <c r="A24" s="6" t="s">
        <v>51</v>
      </c>
      <c r="B24" s="6" t="s">
        <v>44</v>
      </c>
      <c r="C24" s="6" t="s">
        <v>45</v>
      </c>
      <c r="D24" s="6">
        <f t="shared" si="0"/>
        <v>0.5</v>
      </c>
      <c r="E24" s="6" t="s">
        <v>23</v>
      </c>
      <c r="F24" s="6" t="str">
        <f>MID(A24,19,1)</f>
        <v>C</v>
      </c>
      <c r="G24" s="6">
        <v>-22.89374410944211</v>
      </c>
      <c r="H24" s="6">
        <v>-47.134814629218148</v>
      </c>
      <c r="I24" s="9">
        <v>4150.7</v>
      </c>
      <c r="J24" s="9">
        <f t="shared" si="7"/>
        <v>8.3013999999999992</v>
      </c>
      <c r="K24" s="6">
        <v>5.23</v>
      </c>
      <c r="L24" s="6">
        <v>50</v>
      </c>
      <c r="N24" s="1">
        <f t="shared" si="4"/>
        <v>0</v>
      </c>
      <c r="O24" s="6" t="s">
        <v>20</v>
      </c>
      <c r="Q24" s="6" t="s">
        <v>21</v>
      </c>
      <c r="R24" s="6" t="s">
        <v>21</v>
      </c>
      <c r="S24" s="6" t="s">
        <v>21</v>
      </c>
      <c r="T24" s="6" t="s">
        <v>21</v>
      </c>
      <c r="U24" s="6">
        <f t="shared" si="2"/>
        <v>2075.35</v>
      </c>
      <c r="V24" s="6">
        <f t="shared" si="8"/>
        <v>2075.35</v>
      </c>
    </row>
    <row r="25" spans="1:22" x14ac:dyDescent="0.35">
      <c r="A25" s="6" t="s">
        <v>52</v>
      </c>
      <c r="B25" s="6" t="s">
        <v>44</v>
      </c>
      <c r="C25" s="6" t="s">
        <v>45</v>
      </c>
      <c r="D25" s="6">
        <f t="shared" si="0"/>
        <v>0.5</v>
      </c>
      <c r="E25" s="6" t="s">
        <v>19</v>
      </c>
      <c r="F25" s="6" t="str">
        <f>MID(A25,19,1)</f>
        <v>N</v>
      </c>
      <c r="G25" s="6">
        <v>-22.890051538455129</v>
      </c>
      <c r="H25" s="6">
        <v>-47.132809018627597</v>
      </c>
      <c r="I25" s="9">
        <v>397.68</v>
      </c>
      <c r="K25" s="6">
        <v>7.45</v>
      </c>
      <c r="L25" s="6">
        <v>30</v>
      </c>
      <c r="N25" s="1">
        <f t="shared" si="4"/>
        <v>0</v>
      </c>
      <c r="O25" s="6" t="s">
        <v>20</v>
      </c>
      <c r="Q25" s="6" t="s">
        <v>21</v>
      </c>
      <c r="R25" s="6" t="s">
        <v>21</v>
      </c>
      <c r="S25" s="6" t="s">
        <v>21</v>
      </c>
      <c r="T25" s="6" t="s">
        <v>21</v>
      </c>
      <c r="U25" s="6">
        <f t="shared" si="2"/>
        <v>119.304</v>
      </c>
      <c r="V25" s="6">
        <f t="shared" si="8"/>
        <v>119.304</v>
      </c>
    </row>
    <row r="26" spans="1:22" x14ac:dyDescent="0.35">
      <c r="A26" s="6" t="s">
        <v>53</v>
      </c>
      <c r="B26" s="6" t="s">
        <v>44</v>
      </c>
      <c r="C26" s="6" t="s">
        <v>45</v>
      </c>
      <c r="D26" s="6">
        <f t="shared" si="0"/>
        <v>0.5</v>
      </c>
      <c r="E26" s="6" t="s">
        <v>19</v>
      </c>
      <c r="F26" s="6" t="str">
        <f>MID(A26,19,1)</f>
        <v>N</v>
      </c>
      <c r="G26" s="6">
        <v>-22.891976044985881</v>
      </c>
      <c r="H26" s="6">
        <v>-47.133671981587923</v>
      </c>
      <c r="I26" s="9">
        <v>964.3</v>
      </c>
      <c r="K26" s="6">
        <v>6.28</v>
      </c>
      <c r="L26" s="6">
        <v>30</v>
      </c>
      <c r="N26" s="1">
        <f t="shared" si="4"/>
        <v>0</v>
      </c>
      <c r="O26" s="6" t="s">
        <v>20</v>
      </c>
      <c r="Q26" s="6" t="s">
        <v>21</v>
      </c>
      <c r="R26" s="6" t="s">
        <v>21</v>
      </c>
      <c r="S26" s="6" t="s">
        <v>21</v>
      </c>
      <c r="T26" s="6" t="s">
        <v>21</v>
      </c>
      <c r="U26" s="6">
        <f t="shared" si="2"/>
        <v>289.28999999999996</v>
      </c>
      <c r="V26" s="6">
        <f t="shared" si="8"/>
        <v>289.28999999999996</v>
      </c>
    </row>
    <row r="27" spans="1:22" x14ac:dyDescent="0.35">
      <c r="A27" s="6" t="s">
        <v>54</v>
      </c>
      <c r="B27" s="6" t="s">
        <v>44</v>
      </c>
      <c r="C27" s="6" t="s">
        <v>45</v>
      </c>
      <c r="D27" s="6">
        <f t="shared" si="0"/>
        <v>0.5</v>
      </c>
      <c r="E27" s="6" t="s">
        <v>19</v>
      </c>
      <c r="F27" s="6" t="str">
        <f>MID(A27,19,1)</f>
        <v>N</v>
      </c>
      <c r="G27" s="6">
        <v>-22.893853656547972</v>
      </c>
      <c r="H27" s="6">
        <v>-47.134553419845702</v>
      </c>
      <c r="I27" s="9">
        <v>473.99</v>
      </c>
      <c r="K27" s="6">
        <v>6.07</v>
      </c>
      <c r="L27" s="6">
        <v>30</v>
      </c>
      <c r="N27" s="1">
        <f t="shared" si="4"/>
        <v>0</v>
      </c>
      <c r="O27" s="6" t="s">
        <v>20</v>
      </c>
      <c r="Q27" s="6" t="s">
        <v>21</v>
      </c>
      <c r="R27" s="6" t="s">
        <v>21</v>
      </c>
      <c r="S27" s="6" t="s">
        <v>21</v>
      </c>
      <c r="T27" s="6" t="s">
        <v>21</v>
      </c>
      <c r="U27" s="6">
        <f t="shared" si="2"/>
        <v>142.197</v>
      </c>
      <c r="V27" s="6">
        <f t="shared" si="8"/>
        <v>142.197</v>
      </c>
    </row>
    <row r="28" spans="1:22" hidden="1" x14ac:dyDescent="0.35">
      <c r="A28" s="8" t="s">
        <v>55</v>
      </c>
      <c r="B28" s="8" t="s">
        <v>44</v>
      </c>
      <c r="C28" s="8" t="s">
        <v>45</v>
      </c>
      <c r="D28" s="6">
        <f t="shared" si="0"/>
        <v>0.5</v>
      </c>
      <c r="E28" s="8" t="s">
        <v>19</v>
      </c>
      <c r="F28" s="6" t="str">
        <f>MID(A28,19,1)</f>
        <v>S</v>
      </c>
      <c r="G28" s="8">
        <v>-22.89172550343827</v>
      </c>
      <c r="H28" s="8">
        <v>-47.134251764012546</v>
      </c>
      <c r="I28" s="7">
        <v>934.25</v>
      </c>
      <c r="J28" s="7"/>
      <c r="K28" s="8">
        <v>4.57</v>
      </c>
      <c r="L28" s="8">
        <v>70</v>
      </c>
      <c r="M28" s="8"/>
      <c r="N28" s="11">
        <f t="shared" si="4"/>
        <v>653.97499999999991</v>
      </c>
      <c r="O28" s="8" t="s">
        <v>25</v>
      </c>
      <c r="P28" s="8"/>
      <c r="Q28" s="8" t="s">
        <v>21</v>
      </c>
      <c r="R28" s="8" t="s">
        <v>21</v>
      </c>
      <c r="S28" s="8" t="s">
        <v>21</v>
      </c>
      <c r="T28" s="8" t="s">
        <v>26</v>
      </c>
      <c r="U28" s="6">
        <f t="shared" si="2"/>
        <v>0</v>
      </c>
    </row>
    <row r="29" spans="1:22" hidden="1" x14ac:dyDescent="0.35">
      <c r="A29" s="8" t="s">
        <v>56</v>
      </c>
      <c r="B29" s="8" t="s">
        <v>44</v>
      </c>
      <c r="C29" s="8" t="s">
        <v>45</v>
      </c>
      <c r="D29" s="6">
        <f t="shared" si="0"/>
        <v>0.5</v>
      </c>
      <c r="E29" s="8" t="s">
        <v>19</v>
      </c>
      <c r="F29" s="6" t="str">
        <f>MID(A29,19,1)</f>
        <v>S</v>
      </c>
      <c r="G29" s="8">
        <v>-22.893628872973771</v>
      </c>
      <c r="H29" s="8">
        <v>-47.13510539555071</v>
      </c>
      <c r="I29" s="7">
        <v>509.62</v>
      </c>
      <c r="J29" s="7"/>
      <c r="K29" s="8">
        <v>4.0999999999999996</v>
      </c>
      <c r="L29" s="8">
        <v>70</v>
      </c>
      <c r="M29" s="8"/>
      <c r="N29" s="11">
        <f t="shared" si="4"/>
        <v>356.73399999999998</v>
      </c>
      <c r="O29" s="8" t="s">
        <v>25</v>
      </c>
      <c r="P29" s="8"/>
      <c r="Q29" s="8" t="s">
        <v>21</v>
      </c>
      <c r="R29" s="8" t="s">
        <v>21</v>
      </c>
      <c r="S29" s="8" t="s">
        <v>21</v>
      </c>
      <c r="T29" s="8" t="s">
        <v>26</v>
      </c>
      <c r="U29" s="6">
        <f t="shared" si="2"/>
        <v>0</v>
      </c>
    </row>
    <row r="30" spans="1:22" x14ac:dyDescent="0.35">
      <c r="A30" s="6" t="s">
        <v>57</v>
      </c>
      <c r="B30" s="6" t="s">
        <v>44</v>
      </c>
      <c r="C30" s="6" t="s">
        <v>45</v>
      </c>
      <c r="D30" s="6">
        <f t="shared" si="0"/>
        <v>0.5</v>
      </c>
      <c r="E30" s="6" t="s">
        <v>19</v>
      </c>
      <c r="F30" s="6" t="str">
        <f>MID(A30,19,1)</f>
        <v>N</v>
      </c>
      <c r="G30" s="6">
        <v>-22.887743578522951</v>
      </c>
      <c r="H30" s="6">
        <v>-47.131794828198551</v>
      </c>
      <c r="I30" s="9">
        <v>1636.96</v>
      </c>
      <c r="K30" s="6">
        <v>3.66</v>
      </c>
      <c r="L30" s="6">
        <v>30</v>
      </c>
      <c r="N30" s="1">
        <f t="shared" si="4"/>
        <v>0</v>
      </c>
      <c r="O30" s="6" t="s">
        <v>20</v>
      </c>
      <c r="Q30" s="6" t="s">
        <v>21</v>
      </c>
      <c r="R30" s="6" t="s">
        <v>21</v>
      </c>
      <c r="S30" s="6" t="s">
        <v>21</v>
      </c>
      <c r="T30" s="6" t="s">
        <v>21</v>
      </c>
      <c r="U30" s="6">
        <f t="shared" si="2"/>
        <v>491.08799999999997</v>
      </c>
      <c r="V30" s="6">
        <f t="shared" ref="V30:V31" si="9">(I30*(L30/100))</f>
        <v>491.08799999999997</v>
      </c>
    </row>
    <row r="31" spans="1:22" x14ac:dyDescent="0.35">
      <c r="A31" s="6" t="s">
        <v>58</v>
      </c>
      <c r="B31" s="6" t="s">
        <v>44</v>
      </c>
      <c r="C31" s="6" t="s">
        <v>45</v>
      </c>
      <c r="D31" s="6">
        <f t="shared" si="0"/>
        <v>0.5</v>
      </c>
      <c r="E31" s="6" t="s">
        <v>19</v>
      </c>
      <c r="F31" s="6" t="str">
        <f>MID(A31,19,1)</f>
        <v>N</v>
      </c>
      <c r="G31" s="6">
        <v>-22.893194677695249</v>
      </c>
      <c r="H31" s="6">
        <v>-47.134222159854652</v>
      </c>
      <c r="I31" s="9">
        <v>8.11</v>
      </c>
      <c r="K31" s="6">
        <v>4.08</v>
      </c>
      <c r="N31" s="1">
        <f t="shared" si="4"/>
        <v>0</v>
      </c>
      <c r="Q31" s="6" t="s">
        <v>21</v>
      </c>
      <c r="R31" s="6" t="s">
        <v>21</v>
      </c>
      <c r="S31" s="6" t="s">
        <v>21</v>
      </c>
      <c r="T31" s="6" t="s">
        <v>21</v>
      </c>
      <c r="U31" s="6">
        <f t="shared" si="2"/>
        <v>0</v>
      </c>
      <c r="V31" s="6">
        <f t="shared" si="9"/>
        <v>0</v>
      </c>
    </row>
    <row r="32" spans="1:22" hidden="1" x14ac:dyDescent="0.35">
      <c r="A32" s="8" t="s">
        <v>59</v>
      </c>
      <c r="B32" s="8" t="s">
        <v>60</v>
      </c>
      <c r="C32" s="8" t="s">
        <v>61</v>
      </c>
      <c r="D32" s="6">
        <f t="shared" si="0"/>
        <v>0.5</v>
      </c>
      <c r="E32" s="8" t="s">
        <v>19</v>
      </c>
      <c r="F32" s="6" t="str">
        <f>MID(A32,19,1)</f>
        <v>S</v>
      </c>
      <c r="G32" s="8">
        <v>-22.89722968994862</v>
      </c>
      <c r="H32" s="8">
        <v>-47.136581919509233</v>
      </c>
      <c r="I32" s="7">
        <v>1223.3599999999999</v>
      </c>
      <c r="J32" s="7"/>
      <c r="K32" s="8">
        <v>5.29</v>
      </c>
      <c r="L32" s="8">
        <v>65</v>
      </c>
      <c r="M32" s="8"/>
      <c r="N32" s="11">
        <f t="shared" si="4"/>
        <v>795.18399999999997</v>
      </c>
      <c r="O32" s="8" t="s">
        <v>25</v>
      </c>
      <c r="P32" s="8"/>
      <c r="Q32" s="8" t="s">
        <v>21</v>
      </c>
      <c r="R32" s="8" t="s">
        <v>21</v>
      </c>
      <c r="S32" s="8" t="s">
        <v>21</v>
      </c>
      <c r="T32" s="8" t="s">
        <v>26</v>
      </c>
      <c r="U32" s="6">
        <f t="shared" si="2"/>
        <v>0</v>
      </c>
    </row>
    <row r="33" spans="1:22" x14ac:dyDescent="0.35">
      <c r="A33" s="6" t="s">
        <v>62</v>
      </c>
      <c r="B33" s="6" t="s">
        <v>60</v>
      </c>
      <c r="C33" s="6" t="s">
        <v>61</v>
      </c>
      <c r="D33" s="6">
        <f t="shared" si="0"/>
        <v>0.5</v>
      </c>
      <c r="E33" s="6" t="s">
        <v>19</v>
      </c>
      <c r="F33" s="6" t="str">
        <f>MID(A33,19,1)</f>
        <v>N</v>
      </c>
      <c r="G33" s="6">
        <v>-22.901182107313421</v>
      </c>
      <c r="H33" s="6">
        <v>-47.13656112082932</v>
      </c>
      <c r="I33" s="9">
        <v>1900.28</v>
      </c>
      <c r="K33" s="6">
        <v>6.35</v>
      </c>
      <c r="L33" s="6">
        <v>30</v>
      </c>
      <c r="N33" s="1">
        <f t="shared" si="4"/>
        <v>0</v>
      </c>
      <c r="O33" s="6" t="s">
        <v>20</v>
      </c>
      <c r="Q33" s="6" t="s">
        <v>21</v>
      </c>
      <c r="R33" s="6" t="s">
        <v>21</v>
      </c>
      <c r="S33" s="6" t="s">
        <v>21</v>
      </c>
      <c r="T33" s="6" t="s">
        <v>21</v>
      </c>
      <c r="U33" s="6">
        <f t="shared" si="2"/>
        <v>570.08399999999995</v>
      </c>
      <c r="V33" s="6">
        <f t="shared" ref="V33:V35" si="10">(I33*(L33/100))</f>
        <v>570.08399999999995</v>
      </c>
    </row>
    <row r="34" spans="1:22" x14ac:dyDescent="0.35">
      <c r="A34" s="6" t="s">
        <v>63</v>
      </c>
      <c r="B34" s="6" t="s">
        <v>60</v>
      </c>
      <c r="C34" s="6" t="s">
        <v>61</v>
      </c>
      <c r="D34" s="6">
        <f t="shared" si="0"/>
        <v>0.5</v>
      </c>
      <c r="E34" s="6" t="s">
        <v>19</v>
      </c>
      <c r="F34" s="6" t="str">
        <f>MID(A34,19,1)</f>
        <v>N</v>
      </c>
      <c r="G34" s="6">
        <v>-22.896600304057689</v>
      </c>
      <c r="H34" s="6">
        <v>-47.135682988387167</v>
      </c>
      <c r="I34" s="9">
        <v>1929.66</v>
      </c>
      <c r="K34" s="6">
        <v>4.99</v>
      </c>
      <c r="L34" s="6">
        <v>30</v>
      </c>
      <c r="N34" s="1">
        <f t="shared" si="4"/>
        <v>0</v>
      </c>
      <c r="O34" s="6" t="s">
        <v>20</v>
      </c>
      <c r="Q34" s="6" t="s">
        <v>21</v>
      </c>
      <c r="R34" s="6" t="s">
        <v>21</v>
      </c>
      <c r="S34" s="6" t="s">
        <v>21</v>
      </c>
      <c r="T34" s="6" t="s">
        <v>21</v>
      </c>
      <c r="U34" s="6">
        <f t="shared" si="2"/>
        <v>578.89800000000002</v>
      </c>
      <c r="V34" s="6">
        <f t="shared" si="10"/>
        <v>578.89800000000002</v>
      </c>
    </row>
    <row r="35" spans="1:22" hidden="1" x14ac:dyDescent="0.35">
      <c r="A35" s="6" t="s">
        <v>64</v>
      </c>
      <c r="B35" s="6" t="s">
        <v>60</v>
      </c>
      <c r="C35" s="6" t="s">
        <v>61</v>
      </c>
      <c r="D35" s="6">
        <f t="shared" si="0"/>
        <v>0.5</v>
      </c>
      <c r="E35" s="6" t="s">
        <v>23</v>
      </c>
      <c r="F35" s="6" t="str">
        <f>MID(A35,19,1)</f>
        <v>C</v>
      </c>
      <c r="G35" s="6">
        <v>-22.896514328791</v>
      </c>
      <c r="H35" s="6">
        <v>-47.13597818942462</v>
      </c>
      <c r="I35" s="9">
        <v>15947.51</v>
      </c>
      <c r="J35" s="9">
        <f>I35/500</f>
        <v>31.895019999999999</v>
      </c>
      <c r="K35" s="6">
        <v>4.97</v>
      </c>
      <c r="L35" s="6">
        <v>50</v>
      </c>
      <c r="N35" s="1">
        <f t="shared" si="4"/>
        <v>0</v>
      </c>
      <c r="O35" s="6" t="s">
        <v>20</v>
      </c>
      <c r="Q35" s="6" t="s">
        <v>21</v>
      </c>
      <c r="R35" s="6" t="s">
        <v>21</v>
      </c>
      <c r="S35" s="6" t="s">
        <v>21</v>
      </c>
      <c r="T35" s="6" t="s">
        <v>21</v>
      </c>
      <c r="U35" s="6">
        <f t="shared" si="2"/>
        <v>7973.7550000000001</v>
      </c>
      <c r="V35" s="6">
        <f t="shared" si="10"/>
        <v>7973.7550000000001</v>
      </c>
    </row>
    <row r="36" spans="1:22" hidden="1" x14ac:dyDescent="0.35">
      <c r="A36" s="8" t="s">
        <v>65</v>
      </c>
      <c r="B36" s="8" t="s">
        <v>60</v>
      </c>
      <c r="C36" s="8" t="s">
        <v>61</v>
      </c>
      <c r="D36" s="6">
        <f t="shared" si="0"/>
        <v>0.5</v>
      </c>
      <c r="E36" s="8" t="s">
        <v>19</v>
      </c>
      <c r="F36" s="6" t="str">
        <f>MID(A36,19,1)</f>
        <v>S</v>
      </c>
      <c r="G36" s="8">
        <v>-22.8949935686876</v>
      </c>
      <c r="H36" s="8">
        <v>-47.135723938900753</v>
      </c>
      <c r="I36" s="7">
        <v>698.88</v>
      </c>
      <c r="J36" s="7"/>
      <c r="K36" s="8">
        <v>4.55</v>
      </c>
      <c r="L36" s="8">
        <v>65</v>
      </c>
      <c r="M36" s="8"/>
      <c r="N36" s="11">
        <f t="shared" si="4"/>
        <v>454.27199999999999</v>
      </c>
      <c r="O36" s="8" t="s">
        <v>25</v>
      </c>
      <c r="P36" s="8"/>
      <c r="Q36" s="8" t="s">
        <v>21</v>
      </c>
      <c r="R36" s="8" t="s">
        <v>26</v>
      </c>
      <c r="S36" s="8" t="s">
        <v>21</v>
      </c>
      <c r="T36" s="8" t="s">
        <v>26</v>
      </c>
      <c r="U36" s="6">
        <f t="shared" si="2"/>
        <v>0</v>
      </c>
    </row>
    <row r="37" spans="1:22" hidden="1" x14ac:dyDescent="0.35">
      <c r="A37" s="6" t="s">
        <v>66</v>
      </c>
      <c r="B37" s="6" t="s">
        <v>60</v>
      </c>
      <c r="C37" s="6" t="s">
        <v>61</v>
      </c>
      <c r="D37" s="6">
        <f t="shared" si="0"/>
        <v>0.5</v>
      </c>
      <c r="E37" s="6" t="s">
        <v>23</v>
      </c>
      <c r="F37" s="6" t="str">
        <f>MID(A37,19,1)</f>
        <v>C</v>
      </c>
      <c r="G37" s="6">
        <v>-22.901125906317748</v>
      </c>
      <c r="H37" s="6">
        <v>-47.136872350212293</v>
      </c>
      <c r="I37" s="9">
        <v>16119.56</v>
      </c>
      <c r="J37" s="9">
        <f>I37/500</f>
        <v>32.23912</v>
      </c>
      <c r="K37" s="6">
        <v>5.65</v>
      </c>
      <c r="L37" s="6">
        <v>50</v>
      </c>
      <c r="N37" s="1">
        <f t="shared" si="1"/>
        <v>0</v>
      </c>
      <c r="O37" s="6" t="s">
        <v>20</v>
      </c>
      <c r="Q37" s="6" t="s">
        <v>21</v>
      </c>
      <c r="R37" s="6" t="s">
        <v>21</v>
      </c>
      <c r="S37" s="6" t="s">
        <v>21</v>
      </c>
      <c r="T37" s="6" t="s">
        <v>21</v>
      </c>
      <c r="U37" s="6">
        <f t="shared" si="2"/>
        <v>8059.78</v>
      </c>
      <c r="V37" s="6">
        <f t="shared" ref="V37:V38" si="11">(I37*(L37/100))</f>
        <v>8059.78</v>
      </c>
    </row>
    <row r="38" spans="1:22" hidden="1" x14ac:dyDescent="0.35">
      <c r="A38" s="6" t="s">
        <v>67</v>
      </c>
      <c r="B38" s="6" t="s">
        <v>60</v>
      </c>
      <c r="C38" s="6" t="s">
        <v>61</v>
      </c>
      <c r="D38" s="6">
        <f t="shared" si="0"/>
        <v>0.5</v>
      </c>
      <c r="E38" s="6" t="s">
        <v>19</v>
      </c>
      <c r="F38" s="6" t="str">
        <f>MID(A38,19,1)</f>
        <v>S</v>
      </c>
      <c r="G38" s="6">
        <v>-22.90105802453591</v>
      </c>
      <c r="H38" s="6">
        <v>-47.137176060138167</v>
      </c>
      <c r="I38" s="9">
        <v>1951.06</v>
      </c>
      <c r="K38" s="6">
        <v>7.47</v>
      </c>
      <c r="L38" s="6">
        <v>30</v>
      </c>
      <c r="N38" s="1">
        <f t="shared" si="1"/>
        <v>0</v>
      </c>
      <c r="O38" s="6" t="s">
        <v>20</v>
      </c>
      <c r="Q38" s="6" t="s">
        <v>21</v>
      </c>
      <c r="R38" s="6" t="s">
        <v>21</v>
      </c>
      <c r="S38" s="6" t="s">
        <v>21</v>
      </c>
      <c r="T38" s="6" t="s">
        <v>21</v>
      </c>
      <c r="U38" s="6">
        <f t="shared" si="2"/>
        <v>585.31799999999998</v>
      </c>
      <c r="V38" s="6">
        <f t="shared" si="11"/>
        <v>585.31799999999998</v>
      </c>
    </row>
    <row r="39" spans="1:22" x14ac:dyDescent="0.35">
      <c r="A39" s="8" t="s">
        <v>68</v>
      </c>
      <c r="B39" s="8" t="s">
        <v>69</v>
      </c>
      <c r="C39" s="8" t="s">
        <v>70</v>
      </c>
      <c r="D39" s="6">
        <f t="shared" si="0"/>
        <v>0.5</v>
      </c>
      <c r="E39" s="8" t="s">
        <v>19</v>
      </c>
      <c r="F39" s="6" t="str">
        <f>MID(A39,19,1)</f>
        <v>N</v>
      </c>
      <c r="G39" s="8">
        <v>-22.90763967327597</v>
      </c>
      <c r="H39" s="8">
        <v>-47.136557984341358</v>
      </c>
      <c r="I39" s="7">
        <v>2009.54</v>
      </c>
      <c r="J39" s="7"/>
      <c r="K39" s="8">
        <v>3.98</v>
      </c>
      <c r="L39" s="8">
        <v>70</v>
      </c>
      <c r="M39" s="8"/>
      <c r="N39" s="11">
        <f t="shared" si="1"/>
        <v>1406.6779999999999</v>
      </c>
      <c r="O39" s="8" t="s">
        <v>71</v>
      </c>
      <c r="P39" s="8"/>
      <c r="Q39" s="8" t="s">
        <v>21</v>
      </c>
      <c r="R39" s="8" t="s">
        <v>21</v>
      </c>
      <c r="S39" s="8" t="s">
        <v>21</v>
      </c>
      <c r="T39" s="8" t="s">
        <v>26</v>
      </c>
      <c r="U39" s="6">
        <f t="shared" si="2"/>
        <v>0</v>
      </c>
    </row>
    <row r="40" spans="1:22" x14ac:dyDescent="0.35">
      <c r="A40" s="8" t="s">
        <v>72</v>
      </c>
      <c r="B40" s="8" t="s">
        <v>69</v>
      </c>
      <c r="C40" s="8" t="s">
        <v>70</v>
      </c>
      <c r="D40" s="6">
        <f t="shared" si="0"/>
        <v>0.5</v>
      </c>
      <c r="E40" s="8" t="s">
        <v>19</v>
      </c>
      <c r="F40" s="6" t="str">
        <f>MID(A40,19,1)</f>
        <v>N</v>
      </c>
      <c r="G40" s="8">
        <v>-22.908965110337</v>
      </c>
      <c r="H40" s="8">
        <v>-47.136490315238859</v>
      </c>
      <c r="I40" s="7">
        <v>1907.39</v>
      </c>
      <c r="J40" s="7"/>
      <c r="K40" s="8">
        <v>5.91</v>
      </c>
      <c r="L40" s="8">
        <v>60</v>
      </c>
      <c r="M40" s="8"/>
      <c r="N40" s="11">
        <f t="shared" si="1"/>
        <v>1144.434</v>
      </c>
      <c r="O40" s="8" t="s">
        <v>25</v>
      </c>
      <c r="P40" s="8"/>
      <c r="Q40" s="8" t="s">
        <v>21</v>
      </c>
      <c r="R40" s="8" t="s">
        <v>21</v>
      </c>
      <c r="S40" s="8" t="s">
        <v>21</v>
      </c>
      <c r="T40" s="8" t="s">
        <v>26</v>
      </c>
      <c r="U40" s="6">
        <f t="shared" si="2"/>
        <v>0</v>
      </c>
    </row>
    <row r="41" spans="1:22" x14ac:dyDescent="0.35">
      <c r="A41" s="6" t="s">
        <v>73</v>
      </c>
      <c r="B41" s="6" t="s">
        <v>69</v>
      </c>
      <c r="C41" s="6" t="s">
        <v>70</v>
      </c>
      <c r="D41" s="6">
        <f t="shared" si="0"/>
        <v>0.5</v>
      </c>
      <c r="E41" s="6" t="s">
        <v>19</v>
      </c>
      <c r="F41" s="6" t="str">
        <f>MID(A41,19,1)</f>
        <v>N</v>
      </c>
      <c r="G41" s="6">
        <v>-22.90517585548184</v>
      </c>
      <c r="H41" s="6">
        <v>-47.136619715409623</v>
      </c>
      <c r="I41" s="9">
        <v>1363.12</v>
      </c>
      <c r="K41" s="6">
        <v>10.39</v>
      </c>
      <c r="L41" s="6">
        <v>30</v>
      </c>
      <c r="N41" s="1">
        <f t="shared" si="1"/>
        <v>0</v>
      </c>
      <c r="O41" s="6" t="s">
        <v>20</v>
      </c>
      <c r="Q41" s="6" t="s">
        <v>21</v>
      </c>
      <c r="R41" s="6" t="s">
        <v>21</v>
      </c>
      <c r="S41" s="6" t="s">
        <v>21</v>
      </c>
      <c r="T41" s="6" t="s">
        <v>21</v>
      </c>
      <c r="U41" s="6">
        <f t="shared" si="2"/>
        <v>408.93599999999998</v>
      </c>
      <c r="V41" s="6">
        <f t="shared" ref="V41:V45" si="12">(I41*(L41/100))</f>
        <v>408.93599999999998</v>
      </c>
    </row>
    <row r="42" spans="1:22" hidden="1" x14ac:dyDescent="0.35">
      <c r="A42" s="6" t="s">
        <v>74</v>
      </c>
      <c r="B42" s="6" t="s">
        <v>69</v>
      </c>
      <c r="C42" s="6" t="s">
        <v>70</v>
      </c>
      <c r="D42" s="6">
        <f t="shared" si="0"/>
        <v>0.5</v>
      </c>
      <c r="E42" s="6" t="s">
        <v>19</v>
      </c>
      <c r="F42" s="6" t="str">
        <f>MID(A42,19,1)</f>
        <v>S</v>
      </c>
      <c r="G42" s="6">
        <v>-22.909189341960879</v>
      </c>
      <c r="H42" s="6">
        <v>-47.137259829004662</v>
      </c>
      <c r="I42" s="9">
        <v>1890.91</v>
      </c>
      <c r="K42" s="6">
        <v>4.5</v>
      </c>
      <c r="L42" s="6">
        <v>30</v>
      </c>
      <c r="N42" s="1">
        <f t="shared" si="1"/>
        <v>0</v>
      </c>
      <c r="O42" s="6" t="s">
        <v>20</v>
      </c>
      <c r="Q42" s="6" t="s">
        <v>21</v>
      </c>
      <c r="R42" s="6" t="s">
        <v>21</v>
      </c>
      <c r="S42" s="6" t="s">
        <v>21</v>
      </c>
      <c r="T42" s="6" t="s">
        <v>21</v>
      </c>
      <c r="U42" s="6">
        <f t="shared" si="2"/>
        <v>567.27300000000002</v>
      </c>
      <c r="V42" s="6">
        <f t="shared" si="12"/>
        <v>567.27300000000002</v>
      </c>
    </row>
    <row r="43" spans="1:22" hidden="1" x14ac:dyDescent="0.35">
      <c r="A43" s="6" t="s">
        <v>75</v>
      </c>
      <c r="B43" s="6" t="s">
        <v>69</v>
      </c>
      <c r="C43" s="6" t="s">
        <v>70</v>
      </c>
      <c r="D43" s="6">
        <f t="shared" si="0"/>
        <v>0.5</v>
      </c>
      <c r="E43" s="6" t="s">
        <v>19</v>
      </c>
      <c r="F43" s="6" t="str">
        <f>MID(A43,19,1)</f>
        <v>S</v>
      </c>
      <c r="G43" s="6">
        <v>-22.907095415672011</v>
      </c>
      <c r="H43" s="6">
        <v>-47.137374604735648</v>
      </c>
      <c r="I43" s="9">
        <v>1.88</v>
      </c>
      <c r="K43" s="6">
        <v>6.34</v>
      </c>
      <c r="N43" s="1">
        <f t="shared" si="1"/>
        <v>0</v>
      </c>
      <c r="Q43" s="6" t="s">
        <v>21</v>
      </c>
      <c r="R43" s="6" t="s">
        <v>21</v>
      </c>
      <c r="S43" s="6" t="s">
        <v>21</v>
      </c>
      <c r="T43" s="6" t="s">
        <v>21</v>
      </c>
      <c r="U43" s="6">
        <f t="shared" si="2"/>
        <v>0</v>
      </c>
      <c r="V43" s="6">
        <f t="shared" si="12"/>
        <v>0</v>
      </c>
    </row>
    <row r="44" spans="1:22" hidden="1" x14ac:dyDescent="0.35">
      <c r="A44" s="6" t="s">
        <v>76</v>
      </c>
      <c r="B44" s="6" t="s">
        <v>69</v>
      </c>
      <c r="C44" s="6" t="s">
        <v>70</v>
      </c>
      <c r="D44" s="6">
        <f t="shared" si="0"/>
        <v>0.5</v>
      </c>
      <c r="E44" s="6" t="s">
        <v>23</v>
      </c>
      <c r="F44" s="6" t="str">
        <f>MID(A44,19,1)</f>
        <v>C</v>
      </c>
      <c r="G44" s="6">
        <v>-22.905195414804151</v>
      </c>
      <c r="H44" s="6">
        <v>-47.136934818471573</v>
      </c>
      <c r="I44" s="9">
        <v>11742.12</v>
      </c>
      <c r="J44" s="9">
        <f t="shared" ref="J44:J45" si="13">I44/500</f>
        <v>23.484240000000003</v>
      </c>
      <c r="K44" s="6">
        <v>7.57</v>
      </c>
      <c r="L44" s="6">
        <v>50</v>
      </c>
      <c r="N44" s="1">
        <f t="shared" si="1"/>
        <v>0</v>
      </c>
      <c r="O44" s="6" t="s">
        <v>20</v>
      </c>
      <c r="Q44" s="6" t="s">
        <v>21</v>
      </c>
      <c r="R44" s="6" t="s">
        <v>21</v>
      </c>
      <c r="S44" s="6" t="s">
        <v>21</v>
      </c>
      <c r="T44" s="6" t="s">
        <v>21</v>
      </c>
      <c r="U44" s="6">
        <f t="shared" si="2"/>
        <v>5871.06</v>
      </c>
      <c r="V44" s="6">
        <f t="shared" si="12"/>
        <v>5871.06</v>
      </c>
    </row>
    <row r="45" spans="1:22" hidden="1" x14ac:dyDescent="0.35">
      <c r="A45" s="6" t="s">
        <v>77</v>
      </c>
      <c r="B45" s="6" t="s">
        <v>69</v>
      </c>
      <c r="C45" s="6" t="s">
        <v>70</v>
      </c>
      <c r="D45" s="6">
        <f t="shared" si="0"/>
        <v>0.5</v>
      </c>
      <c r="E45" s="6" t="s">
        <v>23</v>
      </c>
      <c r="F45" s="6" t="str">
        <f>MID(A45,19,1)</f>
        <v>C</v>
      </c>
      <c r="G45" s="6">
        <v>-22.906995464708601</v>
      </c>
      <c r="H45" s="6">
        <v>-47.136922660500083</v>
      </c>
      <c r="I45" s="9">
        <v>289.33999999999997</v>
      </c>
      <c r="J45" s="9">
        <f t="shared" si="13"/>
        <v>0.57867999999999997</v>
      </c>
      <c r="K45" s="6">
        <v>2.89</v>
      </c>
      <c r="L45" s="6">
        <v>50</v>
      </c>
      <c r="N45" s="1">
        <f t="shared" si="1"/>
        <v>0</v>
      </c>
      <c r="O45" s="6" t="s">
        <v>20</v>
      </c>
      <c r="Q45" s="6" t="s">
        <v>21</v>
      </c>
      <c r="R45" s="6" t="s">
        <v>21</v>
      </c>
      <c r="S45" s="6" t="s">
        <v>21</v>
      </c>
      <c r="T45" s="6" t="s">
        <v>21</v>
      </c>
      <c r="U45" s="6">
        <f t="shared" si="2"/>
        <v>144.66999999999999</v>
      </c>
      <c r="V45" s="6">
        <f t="shared" si="12"/>
        <v>144.66999999999999</v>
      </c>
    </row>
    <row r="46" spans="1:22" hidden="1" x14ac:dyDescent="0.35">
      <c r="A46" s="8" t="s">
        <v>78</v>
      </c>
      <c r="B46" s="8" t="s">
        <v>69</v>
      </c>
      <c r="C46" s="8" t="s">
        <v>70</v>
      </c>
      <c r="D46" s="6">
        <f t="shared" si="0"/>
        <v>0.5</v>
      </c>
      <c r="E46" s="8" t="s">
        <v>19</v>
      </c>
      <c r="F46" s="6" t="str">
        <f>MID(A46,19,1)</f>
        <v>S</v>
      </c>
      <c r="G46" s="8">
        <v>-22.90794519008335</v>
      </c>
      <c r="H46" s="8">
        <v>-47.137328250068997</v>
      </c>
      <c r="I46" s="7">
        <v>2930.97</v>
      </c>
      <c r="J46" s="7"/>
      <c r="K46" s="8">
        <v>5.84</v>
      </c>
      <c r="L46" s="8">
        <v>70</v>
      </c>
      <c r="M46" s="8"/>
      <c r="N46" s="11">
        <f t="shared" si="1"/>
        <v>2051.6789999999996</v>
      </c>
      <c r="O46" s="8" t="s">
        <v>71</v>
      </c>
      <c r="P46" s="8"/>
      <c r="Q46" s="8" t="s">
        <v>21</v>
      </c>
      <c r="R46" s="8" t="s">
        <v>21</v>
      </c>
      <c r="S46" s="8" t="s">
        <v>21</v>
      </c>
      <c r="T46" s="8" t="s">
        <v>26</v>
      </c>
      <c r="U46" s="6">
        <f t="shared" si="2"/>
        <v>0</v>
      </c>
    </row>
    <row r="47" spans="1:22" hidden="1" x14ac:dyDescent="0.35">
      <c r="A47" s="6" t="s">
        <v>79</v>
      </c>
      <c r="B47" s="6" t="s">
        <v>69</v>
      </c>
      <c r="C47" s="6" t="s">
        <v>70</v>
      </c>
      <c r="D47" s="6">
        <f t="shared" si="0"/>
        <v>0.5</v>
      </c>
      <c r="E47" s="6" t="s">
        <v>23</v>
      </c>
      <c r="F47" s="6" t="str">
        <f>MID(A47,19,1)</f>
        <v>C</v>
      </c>
      <c r="G47" s="6">
        <v>-22.909260872124641</v>
      </c>
      <c r="H47" s="6">
        <v>-47.13685961259602</v>
      </c>
      <c r="I47" s="9">
        <v>14084.71</v>
      </c>
      <c r="J47" s="9">
        <f>I47/500</f>
        <v>28.169419999999999</v>
      </c>
      <c r="K47" s="6">
        <v>4.38</v>
      </c>
      <c r="L47" s="6">
        <v>50</v>
      </c>
      <c r="N47" s="1">
        <f t="shared" si="1"/>
        <v>0</v>
      </c>
      <c r="O47" s="6" t="s">
        <v>20</v>
      </c>
      <c r="Q47" s="6" t="s">
        <v>21</v>
      </c>
      <c r="R47" s="6" t="s">
        <v>21</v>
      </c>
      <c r="S47" s="6" t="s">
        <v>21</v>
      </c>
      <c r="T47" s="6" t="s">
        <v>21</v>
      </c>
      <c r="U47" s="6">
        <f t="shared" si="2"/>
        <v>7042.3549999999996</v>
      </c>
      <c r="V47" s="6">
        <f t="shared" ref="V47:V50" si="14">(I47*(L47/100))</f>
        <v>7042.3549999999996</v>
      </c>
    </row>
    <row r="48" spans="1:22" hidden="1" x14ac:dyDescent="0.35">
      <c r="A48" s="6" t="s">
        <v>80</v>
      </c>
      <c r="B48" s="6" t="s">
        <v>69</v>
      </c>
      <c r="C48" s="6" t="s">
        <v>70</v>
      </c>
      <c r="D48" s="6">
        <f t="shared" si="0"/>
        <v>0.5</v>
      </c>
      <c r="E48" s="6" t="s">
        <v>19</v>
      </c>
      <c r="F48" s="6" t="str">
        <f>MID(A48,19,1)</f>
        <v>S</v>
      </c>
      <c r="G48" s="6">
        <v>-22.905253196508191</v>
      </c>
      <c r="H48" s="6">
        <v>-47.137241727562063</v>
      </c>
      <c r="I48" s="9">
        <v>1477.29</v>
      </c>
      <c r="K48" s="6">
        <v>4.4800000000000004</v>
      </c>
      <c r="L48" s="6">
        <v>30</v>
      </c>
      <c r="N48" s="1">
        <f t="shared" si="1"/>
        <v>0</v>
      </c>
      <c r="O48" s="6" t="s">
        <v>20</v>
      </c>
      <c r="Q48" s="6" t="s">
        <v>21</v>
      </c>
      <c r="R48" s="6" t="s">
        <v>21</v>
      </c>
      <c r="S48" s="6" t="s">
        <v>21</v>
      </c>
      <c r="T48" s="6" t="s">
        <v>21</v>
      </c>
      <c r="U48" s="6">
        <f t="shared" si="2"/>
        <v>443.18699999999995</v>
      </c>
      <c r="V48" s="6">
        <f t="shared" si="14"/>
        <v>443.18699999999995</v>
      </c>
    </row>
    <row r="49" spans="1:22" hidden="1" x14ac:dyDescent="0.35">
      <c r="A49" s="6" t="s">
        <v>81</v>
      </c>
      <c r="B49" s="6" t="s">
        <v>82</v>
      </c>
      <c r="C49" s="6" t="s">
        <v>83</v>
      </c>
      <c r="D49" s="6">
        <f t="shared" si="0"/>
        <v>0.5</v>
      </c>
      <c r="E49" s="6" t="s">
        <v>19</v>
      </c>
      <c r="F49" s="6" t="str">
        <f>MID(A49,19,1)</f>
        <v>S</v>
      </c>
      <c r="G49" s="6">
        <v>-22.913599075205241</v>
      </c>
      <c r="H49" s="6">
        <v>-47.13624033973629</v>
      </c>
      <c r="I49" s="9">
        <v>1833.68</v>
      </c>
      <c r="K49" s="6">
        <v>4.63</v>
      </c>
      <c r="L49" s="6">
        <v>30</v>
      </c>
      <c r="N49" s="1">
        <f t="shared" si="1"/>
        <v>0</v>
      </c>
      <c r="O49" s="6" t="s">
        <v>20</v>
      </c>
      <c r="Q49" s="6" t="s">
        <v>21</v>
      </c>
      <c r="R49" s="6" t="s">
        <v>21</v>
      </c>
      <c r="S49" s="6" t="s">
        <v>21</v>
      </c>
      <c r="T49" s="6" t="s">
        <v>21</v>
      </c>
      <c r="U49" s="6">
        <f t="shared" si="2"/>
        <v>550.10400000000004</v>
      </c>
      <c r="V49" s="6">
        <f t="shared" si="14"/>
        <v>550.10400000000004</v>
      </c>
    </row>
    <row r="50" spans="1:22" x14ac:dyDescent="0.35">
      <c r="A50" s="6" t="s">
        <v>84</v>
      </c>
      <c r="B50" s="6" t="s">
        <v>82</v>
      </c>
      <c r="C50" s="6" t="s">
        <v>83</v>
      </c>
      <c r="D50" s="6">
        <f t="shared" si="0"/>
        <v>0.5</v>
      </c>
      <c r="E50" s="6" t="s">
        <v>19</v>
      </c>
      <c r="F50" s="6" t="str">
        <f>MID(A50,19,1)</f>
        <v>N</v>
      </c>
      <c r="G50" s="6">
        <v>-22.919744742780519</v>
      </c>
      <c r="H50" s="6">
        <v>-47.133203275535507</v>
      </c>
      <c r="I50" s="9">
        <v>3740.18</v>
      </c>
      <c r="K50" s="6">
        <v>6.34</v>
      </c>
      <c r="L50" s="6">
        <v>30</v>
      </c>
      <c r="N50" s="1">
        <f t="shared" si="1"/>
        <v>0</v>
      </c>
      <c r="O50" s="6" t="s">
        <v>20</v>
      </c>
      <c r="Q50" s="6" t="s">
        <v>21</v>
      </c>
      <c r="R50" s="6" t="s">
        <v>21</v>
      </c>
      <c r="S50" s="6" t="s">
        <v>21</v>
      </c>
      <c r="T50" s="6" t="s">
        <v>21</v>
      </c>
      <c r="U50" s="6">
        <f t="shared" si="2"/>
        <v>1122.0539999999999</v>
      </c>
      <c r="V50" s="6">
        <f t="shared" si="14"/>
        <v>1122.0539999999999</v>
      </c>
    </row>
    <row r="51" spans="1:22" x14ac:dyDescent="0.35">
      <c r="A51" s="8" t="s">
        <v>85</v>
      </c>
      <c r="B51" s="8" t="s">
        <v>82</v>
      </c>
      <c r="C51" s="8" t="s">
        <v>83</v>
      </c>
      <c r="D51" s="6">
        <f t="shared" si="0"/>
        <v>0.5</v>
      </c>
      <c r="E51" s="8" t="s">
        <v>19</v>
      </c>
      <c r="F51" s="6" t="str">
        <f>MID(A51,19,1)</f>
        <v>N</v>
      </c>
      <c r="G51" s="8">
        <v>-22.913399057758671</v>
      </c>
      <c r="H51" s="8">
        <v>-47.135647528313498</v>
      </c>
      <c r="I51" s="7">
        <v>1831.42</v>
      </c>
      <c r="J51" s="7"/>
      <c r="K51" s="8">
        <v>4.1399999999999997</v>
      </c>
      <c r="L51" s="8">
        <v>60</v>
      </c>
      <c r="M51" s="8"/>
      <c r="N51" s="11">
        <f t="shared" si="1"/>
        <v>1098.8520000000001</v>
      </c>
      <c r="O51" s="8" t="s">
        <v>25</v>
      </c>
      <c r="P51" s="8"/>
      <c r="Q51" s="8" t="s">
        <v>21</v>
      </c>
      <c r="R51" s="8" t="s">
        <v>21</v>
      </c>
      <c r="S51" s="8" t="s">
        <v>21</v>
      </c>
      <c r="T51" s="8" t="s">
        <v>26</v>
      </c>
      <c r="U51" s="6">
        <f t="shared" si="2"/>
        <v>0</v>
      </c>
    </row>
    <row r="52" spans="1:22" hidden="1" x14ac:dyDescent="0.35">
      <c r="A52" s="6" t="s">
        <v>86</v>
      </c>
      <c r="B52" s="6" t="s">
        <v>82</v>
      </c>
      <c r="C52" s="6" t="s">
        <v>83</v>
      </c>
      <c r="D52" s="6">
        <f t="shared" si="0"/>
        <v>0.5</v>
      </c>
      <c r="E52" s="6" t="s">
        <v>23</v>
      </c>
      <c r="F52" s="6" t="str">
        <f>MID(A52,19,1)</f>
        <v>C</v>
      </c>
      <c r="G52" s="6">
        <v>-22.913486689779759</v>
      </c>
      <c r="H52" s="6">
        <v>-47.135952195375822</v>
      </c>
      <c r="I52" s="9">
        <v>15333.78</v>
      </c>
      <c r="J52" s="9">
        <f>I52/500</f>
        <v>30.667560000000002</v>
      </c>
      <c r="K52" s="6">
        <v>3.51</v>
      </c>
      <c r="L52" s="6">
        <v>50</v>
      </c>
      <c r="N52" s="1">
        <f t="shared" si="1"/>
        <v>0</v>
      </c>
      <c r="O52" s="6" t="s">
        <v>20</v>
      </c>
      <c r="Q52" s="6" t="s">
        <v>21</v>
      </c>
      <c r="R52" s="6" t="s">
        <v>21</v>
      </c>
      <c r="S52" s="6" t="s">
        <v>21</v>
      </c>
      <c r="T52" s="6" t="s">
        <v>21</v>
      </c>
      <c r="U52" s="6">
        <f t="shared" si="2"/>
        <v>7666.89</v>
      </c>
      <c r="V52" s="6">
        <f t="shared" ref="V52:V64" si="15">(I52*(L52/100))</f>
        <v>7666.89</v>
      </c>
    </row>
    <row r="53" spans="1:22" hidden="1" x14ac:dyDescent="0.35">
      <c r="A53" s="6" t="s">
        <v>87</v>
      </c>
      <c r="B53" s="6" t="s">
        <v>82</v>
      </c>
      <c r="C53" s="6" t="s">
        <v>83</v>
      </c>
      <c r="D53" s="6">
        <f t="shared" si="0"/>
        <v>0.5</v>
      </c>
      <c r="E53" s="6" t="s">
        <v>19</v>
      </c>
      <c r="F53" s="6" t="str">
        <f>MID(A53,19,1)</f>
        <v>S</v>
      </c>
      <c r="G53" s="6">
        <v>-22.918574044206309</v>
      </c>
      <c r="H53" s="6">
        <v>-47.134665581399361</v>
      </c>
      <c r="I53" s="9">
        <v>2414.3200000000002</v>
      </c>
      <c r="K53" s="6">
        <v>4.1399999999999997</v>
      </c>
      <c r="L53" s="6">
        <v>30</v>
      </c>
      <c r="N53" s="1">
        <f t="shared" si="1"/>
        <v>0</v>
      </c>
      <c r="O53" s="6" t="s">
        <v>20</v>
      </c>
      <c r="Q53" s="6" t="s">
        <v>21</v>
      </c>
      <c r="R53" s="6" t="s">
        <v>21</v>
      </c>
      <c r="S53" s="6" t="s">
        <v>21</v>
      </c>
      <c r="T53" s="6" t="s">
        <v>21</v>
      </c>
      <c r="U53" s="6">
        <f t="shared" si="2"/>
        <v>724.29600000000005</v>
      </c>
      <c r="V53" s="6">
        <f t="shared" si="15"/>
        <v>724.29600000000005</v>
      </c>
    </row>
    <row r="54" spans="1:22" hidden="1" x14ac:dyDescent="0.35">
      <c r="A54" s="6" t="s">
        <v>88</v>
      </c>
      <c r="B54" s="6" t="s">
        <v>82</v>
      </c>
      <c r="C54" s="6" t="s">
        <v>83</v>
      </c>
      <c r="D54" s="6">
        <f t="shared" si="0"/>
        <v>0.5</v>
      </c>
      <c r="E54" s="6" t="s">
        <v>23</v>
      </c>
      <c r="F54" s="6" t="str">
        <f>MID(A54,19,1)</f>
        <v>C</v>
      </c>
      <c r="G54" s="6">
        <v>-22.91941305163202</v>
      </c>
      <c r="H54" s="6">
        <v>-47.133854388941138</v>
      </c>
      <c r="I54" s="9">
        <v>29528.93</v>
      </c>
      <c r="J54" s="9">
        <f>I54/500</f>
        <v>59.057859999999998</v>
      </c>
      <c r="K54" s="6">
        <v>4.42</v>
      </c>
      <c r="L54" s="6">
        <v>50</v>
      </c>
      <c r="N54" s="1">
        <f t="shared" si="1"/>
        <v>0</v>
      </c>
      <c r="O54" s="6" t="s">
        <v>20</v>
      </c>
      <c r="Q54" s="6" t="s">
        <v>21</v>
      </c>
      <c r="R54" s="6" t="s">
        <v>21</v>
      </c>
      <c r="S54" s="6" t="s">
        <v>21</v>
      </c>
      <c r="T54" s="6" t="s">
        <v>21</v>
      </c>
      <c r="U54" s="6">
        <f t="shared" si="2"/>
        <v>14764.465</v>
      </c>
      <c r="V54" s="6">
        <f t="shared" si="15"/>
        <v>14764.465</v>
      </c>
    </row>
    <row r="55" spans="1:22" x14ac:dyDescent="0.35">
      <c r="A55" s="6" t="s">
        <v>89</v>
      </c>
      <c r="B55" s="6" t="s">
        <v>90</v>
      </c>
      <c r="C55" s="6" t="s">
        <v>91</v>
      </c>
      <c r="D55" s="6">
        <f t="shared" si="0"/>
        <v>0.5</v>
      </c>
      <c r="E55" s="6" t="s">
        <v>19</v>
      </c>
      <c r="F55" s="6" t="str">
        <f>MID(A55,19,1)</f>
        <v>N</v>
      </c>
      <c r="G55" s="6">
        <v>-23.51304321568885</v>
      </c>
      <c r="H55" s="6">
        <v>-46.726753519949817</v>
      </c>
      <c r="I55" s="9">
        <v>1674.76</v>
      </c>
      <c r="K55" s="6">
        <v>3.4</v>
      </c>
      <c r="L55" s="6">
        <v>0</v>
      </c>
      <c r="N55" s="1">
        <f t="shared" si="1"/>
        <v>0</v>
      </c>
      <c r="Q55" s="6" t="s">
        <v>21</v>
      </c>
      <c r="R55" s="6" t="s">
        <v>21</v>
      </c>
      <c r="S55" s="6" t="s">
        <v>21</v>
      </c>
      <c r="T55" s="6" t="s">
        <v>21</v>
      </c>
      <c r="U55" s="6">
        <f t="shared" si="2"/>
        <v>0</v>
      </c>
      <c r="V55" s="6">
        <f t="shared" si="15"/>
        <v>0</v>
      </c>
    </row>
    <row r="56" spans="1:22" x14ac:dyDescent="0.35">
      <c r="A56" s="6" t="s">
        <v>92</v>
      </c>
      <c r="B56" s="6" t="s">
        <v>90</v>
      </c>
      <c r="C56" s="6" t="s">
        <v>91</v>
      </c>
      <c r="D56" s="6">
        <f t="shared" si="0"/>
        <v>0.5</v>
      </c>
      <c r="E56" s="6" t="s">
        <v>19</v>
      </c>
      <c r="F56" s="6" t="str">
        <f>MID(A56,19,1)</f>
        <v>N</v>
      </c>
      <c r="G56" s="6">
        <v>-23.51248919768252</v>
      </c>
      <c r="H56" s="6">
        <v>-46.726112281850646</v>
      </c>
      <c r="I56" s="9">
        <v>3107.96</v>
      </c>
      <c r="K56" s="6">
        <v>4.7</v>
      </c>
      <c r="L56" s="6">
        <v>0</v>
      </c>
      <c r="N56" s="1">
        <f t="shared" si="1"/>
        <v>0</v>
      </c>
      <c r="Q56" s="6" t="s">
        <v>21</v>
      </c>
      <c r="R56" s="6" t="s">
        <v>21</v>
      </c>
      <c r="S56" s="6" t="s">
        <v>21</v>
      </c>
      <c r="T56" s="6" t="s">
        <v>21</v>
      </c>
      <c r="U56" s="6">
        <f t="shared" si="2"/>
        <v>0</v>
      </c>
      <c r="V56" s="6">
        <f t="shared" si="15"/>
        <v>0</v>
      </c>
    </row>
    <row r="57" spans="1:22" hidden="1" x14ac:dyDescent="0.35">
      <c r="A57" s="6" t="s">
        <v>93</v>
      </c>
      <c r="B57" s="6" t="s">
        <v>90</v>
      </c>
      <c r="C57" s="6" t="s">
        <v>91</v>
      </c>
      <c r="D57" s="6">
        <f t="shared" si="0"/>
        <v>0.5</v>
      </c>
      <c r="E57" s="6" t="s">
        <v>23</v>
      </c>
      <c r="F57" s="6" t="str">
        <f>MID(A57,19,1)</f>
        <v>C</v>
      </c>
      <c r="G57" s="6">
        <v>-23.51242236514064</v>
      </c>
      <c r="H57" s="6">
        <v>-46.724954872956232</v>
      </c>
      <c r="I57" s="9">
        <v>6.93</v>
      </c>
      <c r="J57" s="9">
        <f t="shared" ref="J57:J59" si="16">I57/500</f>
        <v>1.3859999999999999E-2</v>
      </c>
      <c r="K57" s="6">
        <v>9.6</v>
      </c>
      <c r="N57" s="1">
        <f t="shared" si="1"/>
        <v>0</v>
      </c>
      <c r="Q57" s="6" t="s">
        <v>21</v>
      </c>
      <c r="R57" s="6" t="s">
        <v>21</v>
      </c>
      <c r="S57" s="6" t="s">
        <v>21</v>
      </c>
      <c r="T57" s="6" t="s">
        <v>21</v>
      </c>
      <c r="U57" s="6">
        <f t="shared" si="2"/>
        <v>0</v>
      </c>
      <c r="V57" s="6">
        <f t="shared" si="15"/>
        <v>0</v>
      </c>
    </row>
    <row r="58" spans="1:22" hidden="1" x14ac:dyDescent="0.35">
      <c r="A58" s="6" t="s">
        <v>94</v>
      </c>
      <c r="B58" s="6" t="s">
        <v>90</v>
      </c>
      <c r="C58" s="6" t="s">
        <v>91</v>
      </c>
      <c r="D58" s="6">
        <f t="shared" si="0"/>
        <v>0.5</v>
      </c>
      <c r="E58" s="6" t="s">
        <v>23</v>
      </c>
      <c r="F58" s="6" t="str">
        <f>MID(A58,19,1)</f>
        <v>C</v>
      </c>
      <c r="G58" s="6">
        <v>-23.513938699891039</v>
      </c>
      <c r="H58" s="6">
        <v>-46.72723505649153</v>
      </c>
      <c r="I58" s="9">
        <v>375.84</v>
      </c>
      <c r="J58" s="9">
        <f t="shared" si="16"/>
        <v>0.7516799999999999</v>
      </c>
      <c r="K58" s="6">
        <v>5.07</v>
      </c>
      <c r="L58" s="6">
        <v>0</v>
      </c>
      <c r="N58" s="1">
        <f t="shared" si="1"/>
        <v>0</v>
      </c>
      <c r="Q58" s="6" t="s">
        <v>21</v>
      </c>
      <c r="R58" s="6" t="s">
        <v>21</v>
      </c>
      <c r="S58" s="6" t="s">
        <v>21</v>
      </c>
      <c r="T58" s="6" t="s">
        <v>21</v>
      </c>
      <c r="U58" s="6">
        <f t="shared" si="2"/>
        <v>0</v>
      </c>
      <c r="V58" s="6">
        <f t="shared" si="15"/>
        <v>0</v>
      </c>
    </row>
    <row r="59" spans="1:22" hidden="1" x14ac:dyDescent="0.35">
      <c r="A59" s="6" t="s">
        <v>95</v>
      </c>
      <c r="B59" s="6" t="s">
        <v>90</v>
      </c>
      <c r="C59" s="6" t="s">
        <v>91</v>
      </c>
      <c r="D59" s="6">
        <f t="shared" si="0"/>
        <v>0.5</v>
      </c>
      <c r="E59" s="6" t="s">
        <v>23</v>
      </c>
      <c r="F59" s="6" t="str">
        <f>MID(A59,19,1)</f>
        <v>C</v>
      </c>
      <c r="G59" s="6">
        <v>-23.51287062912467</v>
      </c>
      <c r="H59" s="6">
        <v>-46.726082162965717</v>
      </c>
      <c r="I59" s="9">
        <v>4813.16</v>
      </c>
      <c r="J59" s="9">
        <f t="shared" si="16"/>
        <v>9.6263199999999998</v>
      </c>
      <c r="K59" s="6">
        <v>2.99</v>
      </c>
      <c r="L59" s="6">
        <v>0</v>
      </c>
      <c r="N59" s="1">
        <f t="shared" si="1"/>
        <v>0</v>
      </c>
      <c r="Q59" s="6" t="s">
        <v>21</v>
      </c>
      <c r="R59" s="6" t="s">
        <v>21</v>
      </c>
      <c r="S59" s="6" t="s">
        <v>21</v>
      </c>
      <c r="T59" s="6" t="s">
        <v>21</v>
      </c>
      <c r="U59" s="6">
        <f t="shared" si="2"/>
        <v>0</v>
      </c>
      <c r="V59" s="6">
        <f t="shared" si="15"/>
        <v>0</v>
      </c>
    </row>
    <row r="60" spans="1:22" hidden="1" x14ac:dyDescent="0.35">
      <c r="A60" s="6" t="s">
        <v>96</v>
      </c>
      <c r="B60" s="6" t="s">
        <v>90</v>
      </c>
      <c r="C60" s="6" t="s">
        <v>91</v>
      </c>
      <c r="D60" s="6">
        <f t="shared" si="0"/>
        <v>0.5</v>
      </c>
      <c r="E60" s="6" t="s">
        <v>19</v>
      </c>
      <c r="F60" s="6" t="str">
        <f>MID(A60,19,1)</f>
        <v>S</v>
      </c>
      <c r="G60" s="6">
        <v>-23.51362465715016</v>
      </c>
      <c r="H60" s="6">
        <v>-46.727482223177738</v>
      </c>
      <c r="I60" s="9">
        <v>291.5</v>
      </c>
      <c r="K60" s="6">
        <v>3.93</v>
      </c>
      <c r="L60" s="6">
        <v>0</v>
      </c>
      <c r="N60" s="1">
        <f t="shared" si="1"/>
        <v>0</v>
      </c>
      <c r="Q60" s="6" t="s">
        <v>21</v>
      </c>
      <c r="R60" s="6" t="s">
        <v>21</v>
      </c>
      <c r="S60" s="6" t="s">
        <v>21</v>
      </c>
      <c r="T60" s="6" t="s">
        <v>21</v>
      </c>
      <c r="U60" s="6">
        <f t="shared" si="2"/>
        <v>0</v>
      </c>
      <c r="V60" s="6">
        <f t="shared" si="15"/>
        <v>0</v>
      </c>
    </row>
    <row r="61" spans="1:22" hidden="1" x14ac:dyDescent="0.35">
      <c r="A61" s="6" t="s">
        <v>97</v>
      </c>
      <c r="B61" s="6" t="s">
        <v>90</v>
      </c>
      <c r="C61" s="6" t="s">
        <v>91</v>
      </c>
      <c r="D61" s="6">
        <f t="shared" si="0"/>
        <v>0.5</v>
      </c>
      <c r="E61" s="6" t="s">
        <v>19</v>
      </c>
      <c r="F61" s="6" t="str">
        <f>MID(A61,19,1)</f>
        <v>S</v>
      </c>
      <c r="G61" s="6">
        <v>-23.513153826144912</v>
      </c>
      <c r="H61" s="6">
        <v>-46.727174861730752</v>
      </c>
      <c r="I61" s="9">
        <v>4411.68</v>
      </c>
      <c r="K61" s="6">
        <v>3.32</v>
      </c>
      <c r="L61" s="6">
        <v>0</v>
      </c>
      <c r="N61" s="1">
        <f t="shared" si="1"/>
        <v>0</v>
      </c>
      <c r="Q61" s="6" t="s">
        <v>21</v>
      </c>
      <c r="R61" s="6" t="s">
        <v>21</v>
      </c>
      <c r="S61" s="6" t="s">
        <v>21</v>
      </c>
      <c r="T61" s="6" t="s">
        <v>21</v>
      </c>
      <c r="U61" s="6">
        <f t="shared" si="2"/>
        <v>0</v>
      </c>
      <c r="V61" s="6">
        <f t="shared" si="15"/>
        <v>0</v>
      </c>
    </row>
    <row r="62" spans="1:22" x14ac:dyDescent="0.35">
      <c r="A62" s="6" t="s">
        <v>98</v>
      </c>
      <c r="B62" s="6" t="s">
        <v>99</v>
      </c>
      <c r="C62" s="6" t="s">
        <v>100</v>
      </c>
      <c r="D62" s="6">
        <f t="shared" si="0"/>
        <v>0.5</v>
      </c>
      <c r="E62" s="6" t="s">
        <v>19</v>
      </c>
      <c r="F62" s="6" t="str">
        <f>MID(A62,19,1)</f>
        <v>N</v>
      </c>
      <c r="G62" s="6">
        <v>-23.508489622009709</v>
      </c>
      <c r="H62" s="6">
        <v>-46.73149165126015</v>
      </c>
      <c r="I62" s="9">
        <v>139.71</v>
      </c>
      <c r="K62" s="6">
        <v>2.58</v>
      </c>
      <c r="L62" s="6">
        <v>0</v>
      </c>
      <c r="N62" s="1">
        <f t="shared" si="1"/>
        <v>0</v>
      </c>
      <c r="Q62" s="6" t="s">
        <v>21</v>
      </c>
      <c r="R62" s="6" t="s">
        <v>21</v>
      </c>
      <c r="S62" s="6" t="s">
        <v>21</v>
      </c>
      <c r="T62" s="6" t="s">
        <v>21</v>
      </c>
      <c r="U62" s="6">
        <f t="shared" si="2"/>
        <v>0</v>
      </c>
      <c r="V62" s="6">
        <f t="shared" si="15"/>
        <v>0</v>
      </c>
    </row>
    <row r="63" spans="1:22" hidden="1" x14ac:dyDescent="0.35">
      <c r="A63" s="6" t="s">
        <v>101</v>
      </c>
      <c r="B63" s="6" t="s">
        <v>99</v>
      </c>
      <c r="C63" s="6" t="s">
        <v>100</v>
      </c>
      <c r="D63" s="6">
        <f t="shared" si="0"/>
        <v>0.5</v>
      </c>
      <c r="E63" s="6" t="s">
        <v>19</v>
      </c>
      <c r="F63" s="6" t="str">
        <f>MID(A63,19,1)</f>
        <v>S</v>
      </c>
      <c r="G63" s="6">
        <v>-23.509345947439261</v>
      </c>
      <c r="H63" s="6">
        <v>-46.731992383783002</v>
      </c>
      <c r="I63" s="9">
        <v>104.96</v>
      </c>
      <c r="K63" s="6">
        <v>2.79</v>
      </c>
      <c r="L63" s="6">
        <v>0</v>
      </c>
      <c r="N63" s="1">
        <f t="shared" si="1"/>
        <v>0</v>
      </c>
      <c r="Q63" s="6" t="s">
        <v>21</v>
      </c>
      <c r="R63" s="6" t="s">
        <v>21</v>
      </c>
      <c r="S63" s="6" t="s">
        <v>21</v>
      </c>
      <c r="T63" s="6" t="s">
        <v>21</v>
      </c>
      <c r="U63" s="6">
        <f t="shared" si="2"/>
        <v>0</v>
      </c>
      <c r="V63" s="6">
        <f t="shared" si="15"/>
        <v>0</v>
      </c>
    </row>
    <row r="64" spans="1:22" x14ac:dyDescent="0.35">
      <c r="A64" s="6" t="s">
        <v>102</v>
      </c>
      <c r="B64" s="6" t="s">
        <v>99</v>
      </c>
      <c r="C64" s="6" t="s">
        <v>100</v>
      </c>
      <c r="D64" s="6">
        <f t="shared" si="0"/>
        <v>0.5</v>
      </c>
      <c r="E64" s="6" t="s">
        <v>19</v>
      </c>
      <c r="F64" s="6" t="str">
        <f>MID(A64,19,1)</f>
        <v>N</v>
      </c>
      <c r="G64" s="6">
        <v>-23.511490065553861</v>
      </c>
      <c r="H64" s="6">
        <v>-46.72690351632238</v>
      </c>
      <c r="I64" s="9">
        <v>65.75</v>
      </c>
      <c r="K64" s="6">
        <v>8.19</v>
      </c>
      <c r="L64" s="6">
        <v>0</v>
      </c>
      <c r="N64" s="1">
        <f t="shared" si="1"/>
        <v>0</v>
      </c>
      <c r="Q64" s="6" t="s">
        <v>21</v>
      </c>
      <c r="R64" s="6" t="s">
        <v>21</v>
      </c>
      <c r="S64" s="6" t="s">
        <v>21</v>
      </c>
      <c r="T64" s="6" t="s">
        <v>21</v>
      </c>
      <c r="U64" s="6">
        <f t="shared" si="2"/>
        <v>0</v>
      </c>
      <c r="V64" s="6">
        <f t="shared" si="15"/>
        <v>0</v>
      </c>
    </row>
    <row r="65" spans="1:22" hidden="1" x14ac:dyDescent="0.35">
      <c r="A65" s="8" t="s">
        <v>103</v>
      </c>
      <c r="B65" s="8" t="s">
        <v>99</v>
      </c>
      <c r="C65" s="8" t="s">
        <v>100</v>
      </c>
      <c r="D65" s="6">
        <f t="shared" si="0"/>
        <v>0.5</v>
      </c>
      <c r="E65" s="8" t="s">
        <v>19</v>
      </c>
      <c r="F65" s="6" t="str">
        <f>MID(A65,19,1)</f>
        <v>S</v>
      </c>
      <c r="G65" s="8">
        <v>-23.508920289510861</v>
      </c>
      <c r="H65" s="8">
        <v>-46.732643714967168</v>
      </c>
      <c r="I65" s="7">
        <v>2626.94</v>
      </c>
      <c r="J65" s="7"/>
      <c r="K65" s="8">
        <v>2.38</v>
      </c>
      <c r="L65" s="8">
        <v>75</v>
      </c>
      <c r="M65" s="8"/>
      <c r="N65" s="11">
        <f t="shared" si="1"/>
        <v>1970.2049999999999</v>
      </c>
      <c r="O65" s="8" t="s">
        <v>71</v>
      </c>
      <c r="P65" s="8"/>
      <c r="Q65" s="8" t="s">
        <v>21</v>
      </c>
      <c r="R65" s="8" t="s">
        <v>26</v>
      </c>
      <c r="S65" s="8" t="s">
        <v>21</v>
      </c>
      <c r="T65" s="8" t="s">
        <v>21</v>
      </c>
      <c r="U65" s="6">
        <f t="shared" si="2"/>
        <v>0</v>
      </c>
    </row>
    <row r="66" spans="1:22" x14ac:dyDescent="0.35">
      <c r="A66" s="6" t="s">
        <v>104</v>
      </c>
      <c r="B66" s="6" t="s">
        <v>99</v>
      </c>
      <c r="C66" s="6" t="s">
        <v>100</v>
      </c>
      <c r="D66" s="6">
        <f t="shared" ref="D66:D129" si="17">C66-B66</f>
        <v>0.5</v>
      </c>
      <c r="E66" s="6" t="s">
        <v>19</v>
      </c>
      <c r="F66" s="6" t="str">
        <f>MID(A66,19,1)</f>
        <v>N</v>
      </c>
      <c r="G66" s="6">
        <v>-23.508409103004961</v>
      </c>
      <c r="H66" s="6">
        <v>-46.732652389279927</v>
      </c>
      <c r="I66" s="9">
        <v>1013.78</v>
      </c>
      <c r="K66" s="6">
        <v>4.46</v>
      </c>
      <c r="L66" s="6">
        <v>0</v>
      </c>
      <c r="N66" s="1">
        <f t="shared" ref="N66:N129" si="18">IF(OR(R66="Sim",S66="Sim",T66="Sim"),(L66/100)*I66,0)</f>
        <v>0</v>
      </c>
      <c r="Q66" s="6" t="s">
        <v>21</v>
      </c>
      <c r="R66" s="6" t="s">
        <v>21</v>
      </c>
      <c r="S66" s="6" t="s">
        <v>21</v>
      </c>
      <c r="T66" s="6" t="s">
        <v>21</v>
      </c>
      <c r="U66" s="6">
        <f t="shared" si="2"/>
        <v>0</v>
      </c>
      <c r="V66" s="6">
        <f>(I66*(L66/100))</f>
        <v>0</v>
      </c>
    </row>
    <row r="67" spans="1:22" hidden="1" x14ac:dyDescent="0.35">
      <c r="A67" s="6" t="s">
        <v>105</v>
      </c>
      <c r="B67" s="6" t="s">
        <v>99</v>
      </c>
      <c r="C67" s="6" t="s">
        <v>100</v>
      </c>
      <c r="D67" s="6">
        <f t="shared" si="17"/>
        <v>0.5</v>
      </c>
      <c r="E67" s="6" t="s">
        <v>19</v>
      </c>
      <c r="F67" s="6" t="str">
        <f>MID(A67,19,1)</f>
        <v>S</v>
      </c>
      <c r="G67" s="6">
        <v>-23.508778383276599</v>
      </c>
      <c r="H67" s="6">
        <v>-46.734098056658617</v>
      </c>
      <c r="I67" s="9">
        <v>145.01</v>
      </c>
      <c r="K67" s="6">
        <v>8.23</v>
      </c>
      <c r="L67" s="6">
        <v>0</v>
      </c>
      <c r="N67" s="1">
        <f t="shared" si="18"/>
        <v>0</v>
      </c>
      <c r="Q67" s="6" t="s">
        <v>26</v>
      </c>
      <c r="R67" s="6" t="s">
        <v>21</v>
      </c>
      <c r="S67" s="6" t="s">
        <v>21</v>
      </c>
      <c r="T67" s="6" t="s">
        <v>21</v>
      </c>
      <c r="U67" s="6">
        <f t="shared" ref="U67:U130" si="19">IF(N67=0,(I67*(L67/100)),0)</f>
        <v>0</v>
      </c>
    </row>
    <row r="68" spans="1:22" x14ac:dyDescent="0.35">
      <c r="A68" s="6" t="s">
        <v>106</v>
      </c>
      <c r="B68" s="6" t="s">
        <v>99</v>
      </c>
      <c r="C68" s="6" t="s">
        <v>100</v>
      </c>
      <c r="D68" s="6">
        <f t="shared" si="17"/>
        <v>0.5</v>
      </c>
      <c r="E68" s="6" t="s">
        <v>19</v>
      </c>
      <c r="F68" s="6" t="str">
        <f>MID(A68,19,1)</f>
        <v>N</v>
      </c>
      <c r="G68" s="6">
        <v>-23.50819876783692</v>
      </c>
      <c r="H68" s="6">
        <v>-46.733098281494151</v>
      </c>
      <c r="I68" s="9">
        <v>19.38</v>
      </c>
      <c r="K68" s="6">
        <v>7.2</v>
      </c>
      <c r="N68" s="1">
        <f t="shared" si="18"/>
        <v>0</v>
      </c>
      <c r="Q68" s="6" t="s">
        <v>21</v>
      </c>
      <c r="R68" s="6" t="s">
        <v>21</v>
      </c>
      <c r="S68" s="6" t="s">
        <v>21</v>
      </c>
      <c r="T68" s="6" t="s">
        <v>21</v>
      </c>
      <c r="U68" s="6">
        <f t="shared" si="19"/>
        <v>0</v>
      </c>
      <c r="V68" s="6">
        <f t="shared" ref="V68:V85" si="20">(I68*(L68/100))</f>
        <v>0</v>
      </c>
    </row>
    <row r="69" spans="1:22" x14ac:dyDescent="0.35">
      <c r="A69" s="6" t="s">
        <v>107</v>
      </c>
      <c r="B69" s="6" t="s">
        <v>99</v>
      </c>
      <c r="C69" s="6" t="s">
        <v>100</v>
      </c>
      <c r="D69" s="6">
        <f t="shared" si="17"/>
        <v>0.5</v>
      </c>
      <c r="E69" s="6" t="s">
        <v>19</v>
      </c>
      <c r="F69" s="6" t="str">
        <f>MID(A69,19,1)</f>
        <v>N</v>
      </c>
      <c r="G69" s="6">
        <v>-23.512110643550379</v>
      </c>
      <c r="H69" s="6">
        <v>-46.726098731000938</v>
      </c>
      <c r="I69" s="9">
        <v>399.45</v>
      </c>
      <c r="K69" s="6">
        <v>7.16</v>
      </c>
      <c r="L69" s="6">
        <v>0</v>
      </c>
      <c r="N69" s="1">
        <f t="shared" si="18"/>
        <v>0</v>
      </c>
      <c r="Q69" s="6" t="s">
        <v>21</v>
      </c>
      <c r="R69" s="6" t="s">
        <v>21</v>
      </c>
      <c r="S69" s="6" t="s">
        <v>21</v>
      </c>
      <c r="T69" s="6" t="s">
        <v>21</v>
      </c>
      <c r="U69" s="6">
        <f t="shared" si="19"/>
        <v>0</v>
      </c>
      <c r="V69" s="6">
        <f t="shared" si="20"/>
        <v>0</v>
      </c>
    </row>
    <row r="70" spans="1:22" x14ac:dyDescent="0.35">
      <c r="A70" s="6" t="s">
        <v>108</v>
      </c>
      <c r="B70" s="6" t="s">
        <v>99</v>
      </c>
      <c r="C70" s="6" t="s">
        <v>100</v>
      </c>
      <c r="D70" s="6">
        <f t="shared" si="17"/>
        <v>0.5</v>
      </c>
      <c r="E70" s="6" t="s">
        <v>19</v>
      </c>
      <c r="F70" s="6" t="str">
        <f>MID(A70,19,1)</f>
        <v>N</v>
      </c>
      <c r="G70" s="6">
        <v>-23.51169891487373</v>
      </c>
      <c r="H70" s="6">
        <v>-46.727319521947202</v>
      </c>
      <c r="I70" s="9">
        <v>101.29</v>
      </c>
      <c r="K70" s="6">
        <v>5.59</v>
      </c>
      <c r="L70" s="6">
        <v>0</v>
      </c>
      <c r="N70" s="1">
        <f t="shared" si="18"/>
        <v>0</v>
      </c>
      <c r="Q70" s="6" t="s">
        <v>21</v>
      </c>
      <c r="R70" s="6" t="s">
        <v>21</v>
      </c>
      <c r="S70" s="6" t="s">
        <v>21</v>
      </c>
      <c r="T70" s="6" t="s">
        <v>21</v>
      </c>
      <c r="U70" s="6">
        <f t="shared" si="19"/>
        <v>0</v>
      </c>
      <c r="V70" s="6">
        <f t="shared" si="20"/>
        <v>0</v>
      </c>
    </row>
    <row r="71" spans="1:22" x14ac:dyDescent="0.35">
      <c r="A71" s="6" t="s">
        <v>109</v>
      </c>
      <c r="B71" s="6" t="s">
        <v>99</v>
      </c>
      <c r="C71" s="6" t="s">
        <v>100</v>
      </c>
      <c r="D71" s="6">
        <f t="shared" si="17"/>
        <v>0.5</v>
      </c>
      <c r="E71" s="6" t="s">
        <v>19</v>
      </c>
      <c r="F71" s="6" t="str">
        <f>MID(A71,19,1)</f>
        <v>N</v>
      </c>
      <c r="G71" s="6">
        <v>-23.512037875908071</v>
      </c>
      <c r="H71" s="6">
        <v>-46.726745687363447</v>
      </c>
      <c r="I71" s="9">
        <v>458.7</v>
      </c>
      <c r="K71" s="6">
        <v>4.66</v>
      </c>
      <c r="L71" s="6">
        <v>0</v>
      </c>
      <c r="N71" s="1">
        <f t="shared" si="18"/>
        <v>0</v>
      </c>
      <c r="Q71" s="6" t="s">
        <v>21</v>
      </c>
      <c r="R71" s="6" t="s">
        <v>21</v>
      </c>
      <c r="S71" s="6" t="s">
        <v>21</v>
      </c>
      <c r="T71" s="6" t="s">
        <v>21</v>
      </c>
      <c r="U71" s="6">
        <f t="shared" si="19"/>
        <v>0</v>
      </c>
      <c r="V71" s="6">
        <f t="shared" si="20"/>
        <v>0</v>
      </c>
    </row>
    <row r="72" spans="1:22" hidden="1" x14ac:dyDescent="0.35">
      <c r="A72" s="6" t="s">
        <v>110</v>
      </c>
      <c r="B72" s="6" t="s">
        <v>99</v>
      </c>
      <c r="C72" s="6" t="s">
        <v>100</v>
      </c>
      <c r="D72" s="6">
        <f t="shared" si="17"/>
        <v>0.5</v>
      </c>
      <c r="E72" s="6" t="s">
        <v>19</v>
      </c>
      <c r="F72" s="6" t="str">
        <f>MID(A72,19,1)</f>
        <v>S</v>
      </c>
      <c r="G72" s="6">
        <v>-23.508667672506238</v>
      </c>
      <c r="H72" s="6">
        <v>-46.734223966486383</v>
      </c>
      <c r="I72" s="9">
        <v>626.5</v>
      </c>
      <c r="K72" s="6">
        <v>6.8</v>
      </c>
      <c r="L72" s="6">
        <v>0</v>
      </c>
      <c r="N72" s="1">
        <f t="shared" si="18"/>
        <v>0</v>
      </c>
      <c r="Q72" s="6" t="s">
        <v>21</v>
      </c>
      <c r="R72" s="6" t="s">
        <v>21</v>
      </c>
      <c r="S72" s="6" t="s">
        <v>21</v>
      </c>
      <c r="T72" s="6" t="s">
        <v>21</v>
      </c>
      <c r="U72" s="6">
        <f t="shared" si="19"/>
        <v>0</v>
      </c>
      <c r="V72" s="6">
        <f t="shared" si="20"/>
        <v>0</v>
      </c>
    </row>
    <row r="73" spans="1:22" hidden="1" x14ac:dyDescent="0.35">
      <c r="A73" s="6" t="s">
        <v>111</v>
      </c>
      <c r="B73" s="6" t="s">
        <v>99</v>
      </c>
      <c r="C73" s="6" t="s">
        <v>100</v>
      </c>
      <c r="D73" s="6">
        <f t="shared" si="17"/>
        <v>0.5</v>
      </c>
      <c r="E73" s="6" t="s">
        <v>19</v>
      </c>
      <c r="F73" s="6" t="str">
        <f>MID(A73,19,1)</f>
        <v>S</v>
      </c>
      <c r="G73" s="6">
        <v>-23.511396452278461</v>
      </c>
      <c r="H73" s="6">
        <v>-46.727880221003623</v>
      </c>
      <c r="I73" s="9">
        <v>278.95999999999998</v>
      </c>
      <c r="K73" s="6">
        <v>5.22</v>
      </c>
      <c r="L73" s="6">
        <v>0</v>
      </c>
      <c r="N73" s="1">
        <f t="shared" si="18"/>
        <v>0</v>
      </c>
      <c r="Q73" s="6" t="s">
        <v>21</v>
      </c>
      <c r="R73" s="6" t="s">
        <v>21</v>
      </c>
      <c r="S73" s="6" t="s">
        <v>21</v>
      </c>
      <c r="T73" s="6" t="s">
        <v>21</v>
      </c>
      <c r="U73" s="6">
        <f t="shared" si="19"/>
        <v>0</v>
      </c>
      <c r="V73" s="6">
        <f t="shared" si="20"/>
        <v>0</v>
      </c>
    </row>
    <row r="74" spans="1:22" x14ac:dyDescent="0.35">
      <c r="A74" s="6" t="s">
        <v>112</v>
      </c>
      <c r="B74" s="6" t="s">
        <v>99</v>
      </c>
      <c r="C74" s="6" t="s">
        <v>100</v>
      </c>
      <c r="D74" s="6">
        <f t="shared" si="17"/>
        <v>0.5</v>
      </c>
      <c r="E74" s="6" t="s">
        <v>19</v>
      </c>
      <c r="F74" s="6" t="str">
        <f>MID(A74,19,1)</f>
        <v>N</v>
      </c>
      <c r="G74" s="6">
        <v>-23.50822913895653</v>
      </c>
      <c r="H74" s="6">
        <v>-46.734033497401072</v>
      </c>
      <c r="I74" s="9">
        <v>258.99</v>
      </c>
      <c r="K74" s="6">
        <v>5.53</v>
      </c>
      <c r="L74" s="6">
        <v>0</v>
      </c>
      <c r="N74" s="1">
        <f t="shared" si="18"/>
        <v>0</v>
      </c>
      <c r="Q74" s="6" t="s">
        <v>21</v>
      </c>
      <c r="R74" s="6" t="s">
        <v>21</v>
      </c>
      <c r="S74" s="6" t="s">
        <v>21</v>
      </c>
      <c r="T74" s="6" t="s">
        <v>21</v>
      </c>
      <c r="U74" s="6">
        <f t="shared" si="19"/>
        <v>0</v>
      </c>
      <c r="V74" s="6">
        <f t="shared" si="20"/>
        <v>0</v>
      </c>
    </row>
    <row r="75" spans="1:22" hidden="1" x14ac:dyDescent="0.35">
      <c r="A75" s="6" t="s">
        <v>113</v>
      </c>
      <c r="B75" s="6" t="s">
        <v>99</v>
      </c>
      <c r="C75" s="6" t="s">
        <v>100</v>
      </c>
      <c r="D75" s="6">
        <f t="shared" si="17"/>
        <v>0.5</v>
      </c>
      <c r="E75" s="6" t="s">
        <v>19</v>
      </c>
      <c r="F75" s="6" t="str">
        <f>MID(A75,19,1)</f>
        <v>S</v>
      </c>
      <c r="G75" s="6">
        <v>-23.509390597436681</v>
      </c>
      <c r="H75" s="6">
        <v>-46.731864728981307</v>
      </c>
      <c r="I75" s="9">
        <v>58.79</v>
      </c>
      <c r="K75" s="6">
        <v>3.02</v>
      </c>
      <c r="L75" s="6">
        <v>0</v>
      </c>
      <c r="N75" s="1">
        <f t="shared" si="18"/>
        <v>0</v>
      </c>
      <c r="Q75" s="6" t="s">
        <v>21</v>
      </c>
      <c r="R75" s="6" t="s">
        <v>21</v>
      </c>
      <c r="S75" s="6" t="s">
        <v>21</v>
      </c>
      <c r="T75" s="6" t="s">
        <v>21</v>
      </c>
      <c r="U75" s="6">
        <f t="shared" si="19"/>
        <v>0</v>
      </c>
      <c r="V75" s="6">
        <f t="shared" si="20"/>
        <v>0</v>
      </c>
    </row>
    <row r="76" spans="1:22" hidden="1" x14ac:dyDescent="0.35">
      <c r="A76" s="6" t="s">
        <v>114</v>
      </c>
      <c r="B76" s="6" t="s">
        <v>99</v>
      </c>
      <c r="C76" s="6" t="s">
        <v>100</v>
      </c>
      <c r="D76" s="6">
        <f t="shared" si="17"/>
        <v>0.5</v>
      </c>
      <c r="E76" s="6" t="s">
        <v>19</v>
      </c>
      <c r="F76" s="6" t="str">
        <f>MID(A76,19,1)</f>
        <v>S</v>
      </c>
      <c r="G76" s="6">
        <v>-23.511026568899819</v>
      </c>
      <c r="H76" s="6">
        <v>-46.728609307589288</v>
      </c>
      <c r="I76" s="9">
        <v>260.73</v>
      </c>
      <c r="K76" s="6">
        <v>7.18</v>
      </c>
      <c r="L76" s="6">
        <v>0</v>
      </c>
      <c r="N76" s="1">
        <f t="shared" si="18"/>
        <v>0</v>
      </c>
      <c r="Q76" s="6" t="s">
        <v>21</v>
      </c>
      <c r="R76" s="6" t="s">
        <v>21</v>
      </c>
      <c r="S76" s="6" t="s">
        <v>21</v>
      </c>
      <c r="T76" s="6" t="s">
        <v>21</v>
      </c>
      <c r="U76" s="6">
        <f t="shared" si="19"/>
        <v>0</v>
      </c>
      <c r="V76" s="6">
        <f t="shared" si="20"/>
        <v>0</v>
      </c>
    </row>
    <row r="77" spans="1:22" hidden="1" x14ac:dyDescent="0.35">
      <c r="A77" s="6" t="s">
        <v>115</v>
      </c>
      <c r="B77" s="6" t="s">
        <v>99</v>
      </c>
      <c r="C77" s="6" t="s">
        <v>100</v>
      </c>
      <c r="D77" s="6">
        <f t="shared" si="17"/>
        <v>0.5</v>
      </c>
      <c r="E77" s="6" t="s">
        <v>19</v>
      </c>
      <c r="F77" s="6" t="str">
        <f>MID(A77,19,1)</f>
        <v>S</v>
      </c>
      <c r="G77" s="6">
        <v>-23.512142892203801</v>
      </c>
      <c r="H77" s="6">
        <v>-46.727373195828037</v>
      </c>
      <c r="I77" s="9">
        <v>143.37</v>
      </c>
      <c r="K77" s="6">
        <v>3.61</v>
      </c>
      <c r="L77" s="6">
        <v>0</v>
      </c>
      <c r="N77" s="1">
        <f t="shared" si="18"/>
        <v>0</v>
      </c>
      <c r="Q77" s="6" t="s">
        <v>21</v>
      </c>
      <c r="R77" s="6" t="s">
        <v>21</v>
      </c>
      <c r="S77" s="6" t="s">
        <v>21</v>
      </c>
      <c r="T77" s="6" t="s">
        <v>21</v>
      </c>
      <c r="U77" s="6">
        <f t="shared" si="19"/>
        <v>0</v>
      </c>
      <c r="V77" s="6">
        <f t="shared" si="20"/>
        <v>0</v>
      </c>
    </row>
    <row r="78" spans="1:22" hidden="1" x14ac:dyDescent="0.35">
      <c r="A78" s="6" t="s">
        <v>116</v>
      </c>
      <c r="B78" s="6" t="s">
        <v>99</v>
      </c>
      <c r="C78" s="6" t="s">
        <v>100</v>
      </c>
      <c r="D78" s="6">
        <f t="shared" si="17"/>
        <v>0.5</v>
      </c>
      <c r="E78" s="6" t="s">
        <v>19</v>
      </c>
      <c r="F78" s="6" t="str">
        <f>MID(A78,19,1)</f>
        <v>S</v>
      </c>
      <c r="G78" s="6">
        <v>-23.50992936692791</v>
      </c>
      <c r="H78" s="6">
        <v>-46.729959714250242</v>
      </c>
      <c r="I78" s="9">
        <v>1306.4100000000001</v>
      </c>
      <c r="K78" s="6">
        <v>4.03</v>
      </c>
      <c r="L78" s="6">
        <v>0</v>
      </c>
      <c r="N78" s="1">
        <f t="shared" si="18"/>
        <v>0</v>
      </c>
      <c r="Q78" s="6" t="s">
        <v>21</v>
      </c>
      <c r="R78" s="6" t="s">
        <v>21</v>
      </c>
      <c r="S78" s="6" t="s">
        <v>21</v>
      </c>
      <c r="T78" s="6" t="s">
        <v>21</v>
      </c>
      <c r="U78" s="6">
        <f t="shared" si="19"/>
        <v>0</v>
      </c>
      <c r="V78" s="6">
        <f t="shared" si="20"/>
        <v>0</v>
      </c>
    </row>
    <row r="79" spans="1:22" hidden="1" x14ac:dyDescent="0.35">
      <c r="A79" s="6" t="s">
        <v>117</v>
      </c>
      <c r="B79" s="6" t="s">
        <v>99</v>
      </c>
      <c r="C79" s="6" t="s">
        <v>100</v>
      </c>
      <c r="D79" s="6">
        <f t="shared" si="17"/>
        <v>0.5</v>
      </c>
      <c r="E79" s="6" t="s">
        <v>19</v>
      </c>
      <c r="F79" s="6" t="str">
        <f>MID(A79,19,1)</f>
        <v>S</v>
      </c>
      <c r="G79" s="6">
        <v>-23.51198720343217</v>
      </c>
      <c r="H79" s="6">
        <v>-46.727905476435701</v>
      </c>
      <c r="I79" s="9">
        <v>1159.44</v>
      </c>
      <c r="K79" s="6">
        <v>5.76</v>
      </c>
      <c r="L79" s="6">
        <v>0</v>
      </c>
      <c r="N79" s="1">
        <f t="shared" si="18"/>
        <v>0</v>
      </c>
      <c r="Q79" s="6" t="s">
        <v>21</v>
      </c>
      <c r="R79" s="6" t="s">
        <v>21</v>
      </c>
      <c r="S79" s="6" t="s">
        <v>21</v>
      </c>
      <c r="T79" s="6" t="s">
        <v>21</v>
      </c>
      <c r="U79" s="6">
        <f t="shared" si="19"/>
        <v>0</v>
      </c>
      <c r="V79" s="6">
        <f t="shared" si="20"/>
        <v>0</v>
      </c>
    </row>
    <row r="80" spans="1:22" x14ac:dyDescent="0.35">
      <c r="A80" s="6" t="s">
        <v>118</v>
      </c>
      <c r="B80" s="6" t="s">
        <v>99</v>
      </c>
      <c r="C80" s="6" t="s">
        <v>100</v>
      </c>
      <c r="D80" s="6">
        <f t="shared" si="17"/>
        <v>0.5</v>
      </c>
      <c r="E80" s="6" t="s">
        <v>19</v>
      </c>
      <c r="F80" s="6" t="str">
        <f>MID(A80,19,1)</f>
        <v>N</v>
      </c>
      <c r="G80" s="6">
        <v>-23.508630503447112</v>
      </c>
      <c r="H80" s="6">
        <v>-46.731679710797742</v>
      </c>
      <c r="I80" s="9">
        <v>14.85</v>
      </c>
      <c r="K80" s="6">
        <v>3.34</v>
      </c>
      <c r="L80" s="6">
        <v>0</v>
      </c>
      <c r="N80" s="1">
        <f t="shared" si="18"/>
        <v>0</v>
      </c>
      <c r="Q80" s="6" t="s">
        <v>21</v>
      </c>
      <c r="R80" s="6" t="s">
        <v>21</v>
      </c>
      <c r="S80" s="6" t="s">
        <v>21</v>
      </c>
      <c r="T80" s="6" t="s">
        <v>21</v>
      </c>
      <c r="U80" s="6">
        <f t="shared" si="19"/>
        <v>0</v>
      </c>
      <c r="V80" s="6">
        <f t="shared" si="20"/>
        <v>0</v>
      </c>
    </row>
    <row r="81" spans="1:22" hidden="1" x14ac:dyDescent="0.35">
      <c r="A81" s="6" t="s">
        <v>119</v>
      </c>
      <c r="B81" s="6" t="s">
        <v>99</v>
      </c>
      <c r="C81" s="6" t="s">
        <v>100</v>
      </c>
      <c r="D81" s="6">
        <f t="shared" si="17"/>
        <v>0.5</v>
      </c>
      <c r="E81" s="6" t="s">
        <v>19</v>
      </c>
      <c r="F81" s="6" t="str">
        <f>MID(A81,19,1)</f>
        <v>S</v>
      </c>
      <c r="G81" s="6">
        <v>-23.51187144977828</v>
      </c>
      <c r="H81" s="6">
        <v>-46.727507357693199</v>
      </c>
      <c r="I81" s="9">
        <v>112.95</v>
      </c>
      <c r="K81" s="6">
        <v>3.36</v>
      </c>
      <c r="L81" s="6">
        <v>0</v>
      </c>
      <c r="N81" s="1">
        <f t="shared" si="18"/>
        <v>0</v>
      </c>
      <c r="Q81" s="6" t="s">
        <v>21</v>
      </c>
      <c r="R81" s="6" t="s">
        <v>21</v>
      </c>
      <c r="S81" s="6" t="s">
        <v>21</v>
      </c>
      <c r="T81" s="6" t="s">
        <v>21</v>
      </c>
      <c r="U81" s="6">
        <f t="shared" si="19"/>
        <v>0</v>
      </c>
      <c r="V81" s="6">
        <f t="shared" si="20"/>
        <v>0</v>
      </c>
    </row>
    <row r="82" spans="1:22" hidden="1" x14ac:dyDescent="0.35">
      <c r="A82" s="6" t="s">
        <v>120</v>
      </c>
      <c r="B82" s="6" t="s">
        <v>99</v>
      </c>
      <c r="C82" s="6" t="s">
        <v>100</v>
      </c>
      <c r="D82" s="6">
        <f t="shared" si="17"/>
        <v>0.5</v>
      </c>
      <c r="E82" s="6" t="s">
        <v>19</v>
      </c>
      <c r="F82" s="6" t="str">
        <f>MID(A82,19,1)</f>
        <v>S</v>
      </c>
      <c r="G82" s="6">
        <v>-23.51211368219607</v>
      </c>
      <c r="H82" s="6">
        <v>-46.727478579765858</v>
      </c>
      <c r="I82" s="9">
        <v>72.930000000000007</v>
      </c>
      <c r="K82" s="6">
        <v>4.6900000000000004</v>
      </c>
      <c r="L82" s="6">
        <v>0</v>
      </c>
      <c r="N82" s="1">
        <f t="shared" si="18"/>
        <v>0</v>
      </c>
      <c r="Q82" s="6" t="s">
        <v>21</v>
      </c>
      <c r="R82" s="6" t="s">
        <v>21</v>
      </c>
      <c r="S82" s="6" t="s">
        <v>21</v>
      </c>
      <c r="T82" s="6" t="s">
        <v>21</v>
      </c>
      <c r="U82" s="6">
        <f t="shared" si="19"/>
        <v>0</v>
      </c>
      <c r="V82" s="6">
        <f t="shared" si="20"/>
        <v>0</v>
      </c>
    </row>
    <row r="83" spans="1:22" x14ac:dyDescent="0.35">
      <c r="A83" s="6" t="s">
        <v>121</v>
      </c>
      <c r="B83" s="6" t="s">
        <v>99</v>
      </c>
      <c r="C83" s="6" t="s">
        <v>100</v>
      </c>
      <c r="D83" s="6">
        <f t="shared" si="17"/>
        <v>0.5</v>
      </c>
      <c r="E83" s="6" t="s">
        <v>19</v>
      </c>
      <c r="F83" s="6" t="str">
        <f>MID(A83,19,1)</f>
        <v>N</v>
      </c>
      <c r="G83" s="6">
        <v>-23.50842311413307</v>
      </c>
      <c r="H83" s="6">
        <v>-46.731655673252078</v>
      </c>
      <c r="I83" s="9">
        <v>3.68</v>
      </c>
      <c r="K83" s="6">
        <v>2.36</v>
      </c>
      <c r="L83" s="6">
        <v>0</v>
      </c>
      <c r="N83" s="1">
        <f t="shared" si="18"/>
        <v>0</v>
      </c>
      <c r="Q83" s="6" t="s">
        <v>21</v>
      </c>
      <c r="R83" s="6" t="s">
        <v>21</v>
      </c>
      <c r="S83" s="6" t="s">
        <v>21</v>
      </c>
      <c r="T83" s="6" t="s">
        <v>21</v>
      </c>
      <c r="U83" s="6">
        <f t="shared" si="19"/>
        <v>0</v>
      </c>
      <c r="V83" s="6">
        <f t="shared" si="20"/>
        <v>0</v>
      </c>
    </row>
    <row r="84" spans="1:22" hidden="1" x14ac:dyDescent="0.35">
      <c r="A84" s="6" t="s">
        <v>122</v>
      </c>
      <c r="B84" s="6" t="s">
        <v>99</v>
      </c>
      <c r="C84" s="6" t="s">
        <v>100</v>
      </c>
      <c r="D84" s="6">
        <f t="shared" si="17"/>
        <v>0.5</v>
      </c>
      <c r="E84" s="6" t="s">
        <v>19</v>
      </c>
      <c r="F84" s="6" t="str">
        <f>MID(A84,19,1)</f>
        <v>S</v>
      </c>
      <c r="G84" s="6">
        <v>-23.51278090875989</v>
      </c>
      <c r="H84" s="6">
        <v>-46.727677269139043</v>
      </c>
      <c r="I84" s="9">
        <v>6139.43</v>
      </c>
      <c r="K84" s="6">
        <v>3.89</v>
      </c>
      <c r="L84" s="6">
        <v>0</v>
      </c>
      <c r="N84" s="1">
        <f t="shared" si="18"/>
        <v>0</v>
      </c>
      <c r="Q84" s="6" t="s">
        <v>21</v>
      </c>
      <c r="R84" s="6" t="s">
        <v>21</v>
      </c>
      <c r="S84" s="6" t="s">
        <v>21</v>
      </c>
      <c r="T84" s="6" t="s">
        <v>21</v>
      </c>
      <c r="U84" s="6">
        <f t="shared" si="19"/>
        <v>0</v>
      </c>
      <c r="V84" s="6">
        <f t="shared" si="20"/>
        <v>0</v>
      </c>
    </row>
    <row r="85" spans="1:22" hidden="1" x14ac:dyDescent="0.35">
      <c r="A85" s="6" t="s">
        <v>123</v>
      </c>
      <c r="B85" s="6" t="s">
        <v>99</v>
      </c>
      <c r="C85" s="6" t="s">
        <v>100</v>
      </c>
      <c r="D85" s="6">
        <f t="shared" si="17"/>
        <v>0.5</v>
      </c>
      <c r="E85" s="6" t="s">
        <v>19</v>
      </c>
      <c r="F85" s="6" t="str">
        <f>MID(A85,19,1)</f>
        <v>S</v>
      </c>
      <c r="G85" s="6">
        <v>-23.51053630897696</v>
      </c>
      <c r="H85" s="6">
        <v>-46.728970015325039</v>
      </c>
      <c r="I85" s="9">
        <v>1324.56</v>
      </c>
      <c r="K85" s="6">
        <v>4.12</v>
      </c>
      <c r="L85" s="6">
        <v>0</v>
      </c>
      <c r="N85" s="1">
        <f t="shared" si="18"/>
        <v>0</v>
      </c>
      <c r="Q85" s="6" t="s">
        <v>21</v>
      </c>
      <c r="R85" s="6" t="s">
        <v>21</v>
      </c>
      <c r="S85" s="6" t="s">
        <v>21</v>
      </c>
      <c r="T85" s="6" t="s">
        <v>21</v>
      </c>
      <c r="U85" s="6">
        <f t="shared" si="19"/>
        <v>0</v>
      </c>
      <c r="V85" s="6">
        <f t="shared" si="20"/>
        <v>0</v>
      </c>
    </row>
    <row r="86" spans="1:22" hidden="1" x14ac:dyDescent="0.35">
      <c r="A86" s="6" t="s">
        <v>124</v>
      </c>
      <c r="B86" s="6" t="s">
        <v>99</v>
      </c>
      <c r="C86" s="6" t="s">
        <v>100</v>
      </c>
      <c r="D86" s="6">
        <f t="shared" si="17"/>
        <v>0.5</v>
      </c>
      <c r="E86" s="6" t="s">
        <v>19</v>
      </c>
      <c r="F86" s="6" t="str">
        <f>MID(A86,19,1)</f>
        <v>S</v>
      </c>
      <c r="G86" s="6">
        <v>-23.5088351862797</v>
      </c>
      <c r="H86" s="6">
        <v>-46.733670187883831</v>
      </c>
      <c r="I86" s="9">
        <v>27.31</v>
      </c>
      <c r="K86" s="6">
        <v>6.95</v>
      </c>
      <c r="L86" s="6">
        <v>0</v>
      </c>
      <c r="N86" s="1">
        <f t="shared" si="18"/>
        <v>0</v>
      </c>
      <c r="Q86" s="6" t="s">
        <v>26</v>
      </c>
      <c r="R86" s="6" t="s">
        <v>21</v>
      </c>
      <c r="S86" s="6" t="s">
        <v>21</v>
      </c>
      <c r="T86" s="6" t="s">
        <v>21</v>
      </c>
      <c r="U86" s="6">
        <f t="shared" si="19"/>
        <v>0</v>
      </c>
    </row>
    <row r="87" spans="1:22" hidden="1" x14ac:dyDescent="0.35">
      <c r="A87" s="8" t="s">
        <v>125</v>
      </c>
      <c r="B87" s="8" t="s">
        <v>99</v>
      </c>
      <c r="C87" s="8" t="s">
        <v>100</v>
      </c>
      <c r="D87" s="6">
        <f t="shared" si="17"/>
        <v>0.5</v>
      </c>
      <c r="E87" s="8" t="s">
        <v>19</v>
      </c>
      <c r="F87" s="6" t="str">
        <f>MID(A87,19,1)</f>
        <v>S</v>
      </c>
      <c r="G87" s="8">
        <v>-23.50929158731029</v>
      </c>
      <c r="H87" s="8">
        <v>-46.731260011480963</v>
      </c>
      <c r="I87" s="7">
        <v>1878.94</v>
      </c>
      <c r="J87" s="7"/>
      <c r="K87" s="8">
        <v>3.59</v>
      </c>
      <c r="L87" s="8">
        <v>70</v>
      </c>
      <c r="M87" s="8"/>
      <c r="N87" s="11">
        <f t="shared" si="18"/>
        <v>1315.258</v>
      </c>
      <c r="O87" s="8" t="s">
        <v>126</v>
      </c>
      <c r="P87" s="8"/>
      <c r="Q87" s="8" t="s">
        <v>21</v>
      </c>
      <c r="R87" s="8" t="s">
        <v>26</v>
      </c>
      <c r="S87" s="8" t="s">
        <v>21</v>
      </c>
      <c r="T87" s="8" t="s">
        <v>21</v>
      </c>
      <c r="U87" s="6">
        <f t="shared" si="19"/>
        <v>0</v>
      </c>
    </row>
    <row r="88" spans="1:22" x14ac:dyDescent="0.35">
      <c r="A88" s="6" t="s">
        <v>127</v>
      </c>
      <c r="B88" s="6" t="s">
        <v>99</v>
      </c>
      <c r="C88" s="6" t="s">
        <v>100</v>
      </c>
      <c r="D88" s="6">
        <f t="shared" si="17"/>
        <v>0.5</v>
      </c>
      <c r="E88" s="6" t="s">
        <v>19</v>
      </c>
      <c r="F88" s="6" t="str">
        <f>MID(A88,19,1)</f>
        <v>N</v>
      </c>
      <c r="G88" s="6">
        <v>-23.511739517453059</v>
      </c>
      <c r="H88" s="6">
        <v>-46.726994088760101</v>
      </c>
      <c r="I88" s="9">
        <v>60.64</v>
      </c>
      <c r="K88" s="6">
        <v>7.16</v>
      </c>
      <c r="L88" s="6">
        <v>0</v>
      </c>
      <c r="N88" s="1">
        <f t="shared" si="18"/>
        <v>0</v>
      </c>
      <c r="Q88" s="6" t="s">
        <v>21</v>
      </c>
      <c r="R88" s="6" t="s">
        <v>21</v>
      </c>
      <c r="S88" s="6" t="s">
        <v>21</v>
      </c>
      <c r="T88" s="6" t="s">
        <v>21</v>
      </c>
      <c r="U88" s="6">
        <f t="shared" si="19"/>
        <v>0</v>
      </c>
      <c r="V88" s="6">
        <f t="shared" ref="V88:V106" si="21">(I88*(L88/100))</f>
        <v>0</v>
      </c>
    </row>
    <row r="89" spans="1:22" x14ac:dyDescent="0.35">
      <c r="A89" s="6" t="s">
        <v>128</v>
      </c>
      <c r="B89" s="6" t="s">
        <v>129</v>
      </c>
      <c r="C89" s="6" t="s">
        <v>130</v>
      </c>
      <c r="D89" s="6">
        <f t="shared" si="17"/>
        <v>0.5</v>
      </c>
      <c r="E89" s="6" t="s">
        <v>19</v>
      </c>
      <c r="F89" s="6" t="str">
        <f>MID(A89,19,1)</f>
        <v>N</v>
      </c>
      <c r="G89" s="6">
        <v>-23.50742804418303</v>
      </c>
      <c r="H89" s="6">
        <v>-46.744188913065173</v>
      </c>
      <c r="I89" s="9">
        <v>354.75</v>
      </c>
      <c r="K89" s="6">
        <v>2.91</v>
      </c>
      <c r="L89" s="6">
        <v>10</v>
      </c>
      <c r="N89" s="1">
        <f t="shared" si="18"/>
        <v>0</v>
      </c>
      <c r="O89" s="6" t="s">
        <v>20</v>
      </c>
      <c r="Q89" s="6" t="s">
        <v>21</v>
      </c>
      <c r="R89" s="6" t="s">
        <v>21</v>
      </c>
      <c r="S89" s="6" t="s">
        <v>21</v>
      </c>
      <c r="T89" s="6" t="s">
        <v>21</v>
      </c>
      <c r="U89" s="6">
        <f t="shared" si="19"/>
        <v>35.475000000000001</v>
      </c>
      <c r="V89" s="6">
        <f t="shared" si="21"/>
        <v>35.475000000000001</v>
      </c>
    </row>
    <row r="90" spans="1:22" x14ac:dyDescent="0.35">
      <c r="A90" s="6" t="s">
        <v>131</v>
      </c>
      <c r="B90" s="6" t="s">
        <v>129</v>
      </c>
      <c r="C90" s="6" t="s">
        <v>130</v>
      </c>
      <c r="D90" s="6">
        <f t="shared" si="17"/>
        <v>0.5</v>
      </c>
      <c r="E90" s="6" t="s">
        <v>19</v>
      </c>
      <c r="F90" s="6" t="str">
        <f>MID(A90,19,1)</f>
        <v>N</v>
      </c>
      <c r="G90" s="6">
        <v>-23.50737501776101</v>
      </c>
      <c r="H90" s="6">
        <v>-46.742363520328233</v>
      </c>
      <c r="I90" s="9">
        <v>304.14</v>
      </c>
      <c r="K90" s="6">
        <v>3.66</v>
      </c>
      <c r="L90" s="6">
        <v>0</v>
      </c>
      <c r="N90" s="1">
        <f t="shared" si="18"/>
        <v>0</v>
      </c>
      <c r="Q90" s="6" t="s">
        <v>21</v>
      </c>
      <c r="R90" s="6" t="s">
        <v>21</v>
      </c>
      <c r="S90" s="6" t="s">
        <v>21</v>
      </c>
      <c r="T90" s="6" t="s">
        <v>21</v>
      </c>
      <c r="U90" s="6">
        <f t="shared" si="19"/>
        <v>0</v>
      </c>
      <c r="V90" s="6">
        <f t="shared" si="21"/>
        <v>0</v>
      </c>
    </row>
    <row r="91" spans="1:22" hidden="1" x14ac:dyDescent="0.35">
      <c r="A91" s="6" t="s">
        <v>132</v>
      </c>
      <c r="B91" s="6" t="s">
        <v>129</v>
      </c>
      <c r="C91" s="6" t="s">
        <v>130</v>
      </c>
      <c r="D91" s="6">
        <f t="shared" si="17"/>
        <v>0.5</v>
      </c>
      <c r="E91" s="6" t="s">
        <v>23</v>
      </c>
      <c r="F91" s="6" t="str">
        <f>MID(A91,19,1)</f>
        <v>C</v>
      </c>
      <c r="G91" s="6">
        <v>-23.508134173473721</v>
      </c>
      <c r="H91" s="6">
        <v>-46.738629025818689</v>
      </c>
      <c r="I91" s="9">
        <v>1352.89</v>
      </c>
      <c r="J91" s="9">
        <f>I91/500</f>
        <v>2.7057800000000003</v>
      </c>
      <c r="K91" s="6">
        <v>5.17</v>
      </c>
      <c r="L91" s="6">
        <v>80</v>
      </c>
      <c r="N91" s="1">
        <f t="shared" si="18"/>
        <v>0</v>
      </c>
      <c r="O91" s="6" t="s">
        <v>20</v>
      </c>
      <c r="Q91" s="6" t="s">
        <v>21</v>
      </c>
      <c r="R91" s="6" t="s">
        <v>21</v>
      </c>
      <c r="S91" s="6" t="s">
        <v>21</v>
      </c>
      <c r="T91" s="6" t="s">
        <v>21</v>
      </c>
      <c r="U91" s="6">
        <f t="shared" si="19"/>
        <v>1082.3120000000001</v>
      </c>
      <c r="V91" s="6">
        <f t="shared" si="21"/>
        <v>1082.3120000000001</v>
      </c>
    </row>
    <row r="92" spans="1:22" hidden="1" x14ac:dyDescent="0.35">
      <c r="A92" s="6" t="s">
        <v>133</v>
      </c>
      <c r="B92" s="6" t="s">
        <v>129</v>
      </c>
      <c r="C92" s="6" t="s">
        <v>130</v>
      </c>
      <c r="D92" s="6">
        <f t="shared" si="17"/>
        <v>0.5</v>
      </c>
      <c r="E92" s="6" t="s">
        <v>19</v>
      </c>
      <c r="F92" s="6" t="str">
        <f>MID(A92,19,1)</f>
        <v>S</v>
      </c>
      <c r="G92" s="6">
        <v>-23.508628497798622</v>
      </c>
      <c r="H92" s="6">
        <v>-46.738878416333478</v>
      </c>
      <c r="I92" s="9">
        <v>1249.5899999999999</v>
      </c>
      <c r="K92" s="6">
        <v>3.62</v>
      </c>
      <c r="L92" s="6">
        <v>0</v>
      </c>
      <c r="N92" s="1">
        <f t="shared" si="18"/>
        <v>0</v>
      </c>
      <c r="Q92" s="6" t="s">
        <v>21</v>
      </c>
      <c r="R92" s="6" t="s">
        <v>21</v>
      </c>
      <c r="S92" s="6" t="s">
        <v>21</v>
      </c>
      <c r="T92" s="6" t="s">
        <v>21</v>
      </c>
      <c r="U92" s="6">
        <f t="shared" si="19"/>
        <v>0</v>
      </c>
      <c r="V92" s="6">
        <f t="shared" si="21"/>
        <v>0</v>
      </c>
    </row>
    <row r="93" spans="1:22" hidden="1" x14ac:dyDescent="0.35">
      <c r="A93" s="6" t="s">
        <v>134</v>
      </c>
      <c r="B93" s="6" t="s">
        <v>129</v>
      </c>
      <c r="C93" s="6" t="s">
        <v>130</v>
      </c>
      <c r="D93" s="6">
        <f t="shared" si="17"/>
        <v>0.5</v>
      </c>
      <c r="E93" s="6" t="s">
        <v>19</v>
      </c>
      <c r="F93" s="6" t="str">
        <f>MID(A93,19,1)</f>
        <v>S</v>
      </c>
      <c r="G93" s="6">
        <v>-23.50833678659691</v>
      </c>
      <c r="H93" s="6">
        <v>-46.744229931970182</v>
      </c>
      <c r="I93" s="9">
        <v>464.86</v>
      </c>
      <c r="K93" s="6">
        <v>3.99</v>
      </c>
      <c r="L93" s="6">
        <v>0</v>
      </c>
      <c r="N93" s="1">
        <f t="shared" si="18"/>
        <v>0</v>
      </c>
      <c r="Q93" s="6" t="s">
        <v>21</v>
      </c>
      <c r="R93" s="6" t="s">
        <v>21</v>
      </c>
      <c r="S93" s="6" t="s">
        <v>21</v>
      </c>
      <c r="T93" s="6" t="s">
        <v>21</v>
      </c>
      <c r="U93" s="6">
        <f t="shared" si="19"/>
        <v>0</v>
      </c>
      <c r="V93" s="6">
        <f t="shared" si="21"/>
        <v>0</v>
      </c>
    </row>
    <row r="94" spans="1:22" hidden="1" x14ac:dyDescent="0.35">
      <c r="A94" s="6" t="s">
        <v>135</v>
      </c>
      <c r="B94" s="6" t="s">
        <v>129</v>
      </c>
      <c r="C94" s="6" t="s">
        <v>130</v>
      </c>
      <c r="D94" s="6">
        <f t="shared" si="17"/>
        <v>0.5</v>
      </c>
      <c r="E94" s="6" t="s">
        <v>19</v>
      </c>
      <c r="F94" s="6" t="str">
        <f>MID(A94,19,1)</f>
        <v>S</v>
      </c>
      <c r="G94" s="6">
        <v>-23.50806034262148</v>
      </c>
      <c r="H94" s="6">
        <v>-46.744017856223657</v>
      </c>
      <c r="I94" s="9">
        <v>25.32</v>
      </c>
      <c r="K94" s="6">
        <v>3.21</v>
      </c>
      <c r="L94" s="6">
        <v>0</v>
      </c>
      <c r="N94" s="1">
        <f t="shared" si="18"/>
        <v>0</v>
      </c>
      <c r="Q94" s="6" t="s">
        <v>21</v>
      </c>
      <c r="R94" s="6" t="s">
        <v>21</v>
      </c>
      <c r="S94" s="6" t="s">
        <v>21</v>
      </c>
      <c r="T94" s="6" t="s">
        <v>21</v>
      </c>
      <c r="U94" s="6">
        <f t="shared" si="19"/>
        <v>0</v>
      </c>
      <c r="V94" s="6">
        <f t="shared" si="21"/>
        <v>0</v>
      </c>
    </row>
    <row r="95" spans="1:22" hidden="1" x14ac:dyDescent="0.35">
      <c r="A95" s="6" t="s">
        <v>136</v>
      </c>
      <c r="B95" s="6" t="s">
        <v>129</v>
      </c>
      <c r="C95" s="6" t="s">
        <v>130</v>
      </c>
      <c r="D95" s="6">
        <f t="shared" si="17"/>
        <v>0.5</v>
      </c>
      <c r="E95" s="6" t="s">
        <v>19</v>
      </c>
      <c r="F95" s="6" t="str">
        <f>MID(A95,19,1)</f>
        <v>S</v>
      </c>
      <c r="G95" s="6">
        <v>-23.508171154280149</v>
      </c>
      <c r="H95" s="6">
        <v>-46.741229552403802</v>
      </c>
      <c r="I95" s="9">
        <v>1238.7</v>
      </c>
      <c r="K95" s="6">
        <v>2.99</v>
      </c>
      <c r="L95" s="6">
        <v>0</v>
      </c>
      <c r="N95" s="1">
        <f t="shared" si="18"/>
        <v>0</v>
      </c>
      <c r="Q95" s="6" t="s">
        <v>21</v>
      </c>
      <c r="R95" s="6" t="s">
        <v>21</v>
      </c>
      <c r="S95" s="6" t="s">
        <v>21</v>
      </c>
      <c r="T95" s="6" t="s">
        <v>21</v>
      </c>
      <c r="U95" s="6">
        <f t="shared" si="19"/>
        <v>0</v>
      </c>
      <c r="V95" s="6">
        <f t="shared" si="21"/>
        <v>0</v>
      </c>
    </row>
    <row r="96" spans="1:22" hidden="1" x14ac:dyDescent="0.35">
      <c r="A96" s="6" t="s">
        <v>137</v>
      </c>
      <c r="B96" s="6" t="s">
        <v>129</v>
      </c>
      <c r="C96" s="6" t="s">
        <v>130</v>
      </c>
      <c r="D96" s="6">
        <f t="shared" si="17"/>
        <v>0.5</v>
      </c>
      <c r="E96" s="6" t="s">
        <v>19</v>
      </c>
      <c r="F96" s="6" t="str">
        <f>MID(A96,19,1)</f>
        <v>S</v>
      </c>
      <c r="G96" s="6">
        <v>-23.508513900536919</v>
      </c>
      <c r="H96" s="6">
        <v>-46.740215504350942</v>
      </c>
      <c r="I96" s="9">
        <v>109.79</v>
      </c>
      <c r="K96" s="6">
        <v>0.97</v>
      </c>
      <c r="L96" s="6">
        <v>0</v>
      </c>
      <c r="N96" s="1">
        <f t="shared" si="18"/>
        <v>0</v>
      </c>
      <c r="Q96" s="6" t="s">
        <v>21</v>
      </c>
      <c r="R96" s="6" t="s">
        <v>21</v>
      </c>
      <c r="S96" s="6" t="s">
        <v>21</v>
      </c>
      <c r="T96" s="6" t="s">
        <v>21</v>
      </c>
      <c r="U96" s="6">
        <f t="shared" si="19"/>
        <v>0</v>
      </c>
      <c r="V96" s="6">
        <f t="shared" si="21"/>
        <v>0</v>
      </c>
    </row>
    <row r="97" spans="1:22" hidden="1" x14ac:dyDescent="0.35">
      <c r="A97" s="6" t="s">
        <v>138</v>
      </c>
      <c r="B97" s="6" t="s">
        <v>129</v>
      </c>
      <c r="C97" s="6" t="s">
        <v>130</v>
      </c>
      <c r="D97" s="6">
        <f t="shared" si="17"/>
        <v>0.5</v>
      </c>
      <c r="E97" s="6" t="s">
        <v>19</v>
      </c>
      <c r="F97" s="6" t="str">
        <f>MID(A97,19,1)</f>
        <v>S</v>
      </c>
      <c r="G97" s="6">
        <v>-23.508371485929541</v>
      </c>
      <c r="H97" s="6">
        <v>-46.742010483049476</v>
      </c>
      <c r="I97" s="9">
        <v>1374.37</v>
      </c>
      <c r="K97" s="6">
        <v>2.13</v>
      </c>
      <c r="L97" s="6">
        <v>0</v>
      </c>
      <c r="N97" s="1">
        <f t="shared" si="18"/>
        <v>0</v>
      </c>
      <c r="Q97" s="6" t="s">
        <v>21</v>
      </c>
      <c r="R97" s="6" t="s">
        <v>21</v>
      </c>
      <c r="S97" s="6" t="s">
        <v>21</v>
      </c>
      <c r="T97" s="6" t="s">
        <v>21</v>
      </c>
      <c r="U97" s="6">
        <f t="shared" si="19"/>
        <v>0</v>
      </c>
      <c r="V97" s="6">
        <f t="shared" si="21"/>
        <v>0</v>
      </c>
    </row>
    <row r="98" spans="1:22" hidden="1" x14ac:dyDescent="0.35">
      <c r="A98" s="6" t="s">
        <v>139</v>
      </c>
      <c r="B98" s="6" t="s">
        <v>129</v>
      </c>
      <c r="C98" s="6" t="s">
        <v>130</v>
      </c>
      <c r="D98" s="6">
        <f t="shared" si="17"/>
        <v>0.5</v>
      </c>
      <c r="E98" s="6" t="s">
        <v>19</v>
      </c>
      <c r="F98" s="6" t="str">
        <f>MID(A98,19,1)</f>
        <v>S</v>
      </c>
      <c r="G98" s="6">
        <v>-23.50810698153532</v>
      </c>
      <c r="H98" s="6">
        <v>-46.743256612547171</v>
      </c>
      <c r="I98" s="9">
        <v>1022.15</v>
      </c>
      <c r="K98" s="6">
        <v>2.86</v>
      </c>
      <c r="L98" s="6">
        <v>0</v>
      </c>
      <c r="N98" s="1">
        <f t="shared" si="18"/>
        <v>0</v>
      </c>
      <c r="Q98" s="6" t="s">
        <v>21</v>
      </c>
      <c r="R98" s="6" t="s">
        <v>21</v>
      </c>
      <c r="S98" s="6" t="s">
        <v>21</v>
      </c>
      <c r="T98" s="6" t="s">
        <v>21</v>
      </c>
      <c r="U98" s="6">
        <f t="shared" si="19"/>
        <v>0</v>
      </c>
      <c r="V98" s="6">
        <f t="shared" si="21"/>
        <v>0</v>
      </c>
    </row>
    <row r="99" spans="1:22" hidden="1" x14ac:dyDescent="0.35">
      <c r="A99" s="6" t="s">
        <v>140</v>
      </c>
      <c r="B99" s="6" t="s">
        <v>129</v>
      </c>
      <c r="C99" s="6" t="s">
        <v>130</v>
      </c>
      <c r="D99" s="6">
        <f t="shared" si="17"/>
        <v>0.5</v>
      </c>
      <c r="E99" s="6" t="s">
        <v>19</v>
      </c>
      <c r="F99" s="6" t="str">
        <f>MID(A99,19,1)</f>
        <v>S</v>
      </c>
      <c r="G99" s="6">
        <v>-23.509083488722059</v>
      </c>
      <c r="H99" s="6">
        <v>-46.73833576904547</v>
      </c>
      <c r="I99" s="9">
        <v>49.1</v>
      </c>
      <c r="K99" s="6">
        <v>1.64</v>
      </c>
      <c r="L99" s="6">
        <v>0</v>
      </c>
      <c r="N99" s="1">
        <f t="shared" si="18"/>
        <v>0</v>
      </c>
      <c r="Q99" s="6" t="s">
        <v>21</v>
      </c>
      <c r="R99" s="6" t="s">
        <v>21</v>
      </c>
      <c r="S99" s="6" t="s">
        <v>21</v>
      </c>
      <c r="T99" s="6" t="s">
        <v>21</v>
      </c>
      <c r="U99" s="6">
        <f t="shared" si="19"/>
        <v>0</v>
      </c>
      <c r="V99" s="6">
        <f t="shared" si="21"/>
        <v>0</v>
      </c>
    </row>
    <row r="100" spans="1:22" hidden="1" x14ac:dyDescent="0.35">
      <c r="A100" s="6" t="s">
        <v>141</v>
      </c>
      <c r="B100" s="6" t="s">
        <v>129</v>
      </c>
      <c r="C100" s="6" t="s">
        <v>130</v>
      </c>
      <c r="D100" s="6">
        <f t="shared" si="17"/>
        <v>0.5</v>
      </c>
      <c r="E100" s="6" t="s">
        <v>19</v>
      </c>
      <c r="F100" s="6" t="str">
        <f>MID(A100,19,1)</f>
        <v>S</v>
      </c>
      <c r="G100" s="6">
        <v>-23.50854589006407</v>
      </c>
      <c r="H100" s="6">
        <v>-46.73974954250891</v>
      </c>
      <c r="I100" s="9">
        <v>222.77</v>
      </c>
      <c r="K100" s="6">
        <v>1.71</v>
      </c>
      <c r="L100" s="6">
        <v>0</v>
      </c>
      <c r="N100" s="1">
        <f t="shared" si="18"/>
        <v>0</v>
      </c>
      <c r="Q100" s="6" t="s">
        <v>21</v>
      </c>
      <c r="R100" s="6" t="s">
        <v>21</v>
      </c>
      <c r="S100" s="6" t="s">
        <v>21</v>
      </c>
      <c r="T100" s="6" t="s">
        <v>21</v>
      </c>
      <c r="U100" s="6">
        <f t="shared" si="19"/>
        <v>0</v>
      </c>
      <c r="V100" s="6">
        <f t="shared" si="21"/>
        <v>0</v>
      </c>
    </row>
    <row r="101" spans="1:22" hidden="1" x14ac:dyDescent="0.35">
      <c r="A101" s="6" t="s">
        <v>142</v>
      </c>
      <c r="B101" s="6" t="s">
        <v>129</v>
      </c>
      <c r="C101" s="6" t="s">
        <v>130</v>
      </c>
      <c r="D101" s="6">
        <f t="shared" si="17"/>
        <v>0.5</v>
      </c>
      <c r="E101" s="6" t="s">
        <v>19</v>
      </c>
      <c r="F101" s="6" t="str">
        <f>MID(A101,19,1)</f>
        <v>S</v>
      </c>
      <c r="G101" s="6">
        <v>-23.508588789148039</v>
      </c>
      <c r="H101" s="6">
        <v>-46.739384421677777</v>
      </c>
      <c r="I101" s="9">
        <v>80.45</v>
      </c>
      <c r="K101" s="6">
        <v>5.12</v>
      </c>
      <c r="L101" s="6">
        <v>0</v>
      </c>
      <c r="N101" s="1">
        <f t="shared" si="18"/>
        <v>0</v>
      </c>
      <c r="Q101" s="6" t="s">
        <v>21</v>
      </c>
      <c r="R101" s="6" t="s">
        <v>21</v>
      </c>
      <c r="S101" s="6" t="s">
        <v>21</v>
      </c>
      <c r="T101" s="6" t="s">
        <v>21</v>
      </c>
      <c r="U101" s="6">
        <f t="shared" si="19"/>
        <v>0</v>
      </c>
      <c r="V101" s="6">
        <f t="shared" si="21"/>
        <v>0</v>
      </c>
    </row>
    <row r="102" spans="1:22" hidden="1" x14ac:dyDescent="0.35">
      <c r="A102" s="6" t="s">
        <v>143</v>
      </c>
      <c r="B102" s="6" t="s">
        <v>129</v>
      </c>
      <c r="C102" s="6" t="s">
        <v>130</v>
      </c>
      <c r="D102" s="6">
        <f t="shared" si="17"/>
        <v>0.5</v>
      </c>
      <c r="E102" s="6" t="s">
        <v>19</v>
      </c>
      <c r="F102" s="6" t="str">
        <f>MID(A102,19,1)</f>
        <v>S</v>
      </c>
      <c r="G102" s="6">
        <v>-23.50828850322117</v>
      </c>
      <c r="H102" s="6">
        <v>-46.740157241415083</v>
      </c>
      <c r="I102" s="9">
        <v>2812.02</v>
      </c>
      <c r="K102" s="6">
        <v>2.36</v>
      </c>
      <c r="L102" s="6">
        <v>0</v>
      </c>
      <c r="N102" s="1">
        <f t="shared" si="18"/>
        <v>0</v>
      </c>
      <c r="Q102" s="6" t="s">
        <v>21</v>
      </c>
      <c r="R102" s="6" t="s">
        <v>21</v>
      </c>
      <c r="S102" s="6" t="s">
        <v>21</v>
      </c>
      <c r="T102" s="6" t="s">
        <v>21</v>
      </c>
      <c r="U102" s="6">
        <f t="shared" si="19"/>
        <v>0</v>
      </c>
      <c r="V102" s="6">
        <f t="shared" si="21"/>
        <v>0</v>
      </c>
    </row>
    <row r="103" spans="1:22" x14ac:dyDescent="0.35">
      <c r="A103" s="6" t="s">
        <v>144</v>
      </c>
      <c r="B103" s="6" t="s">
        <v>129</v>
      </c>
      <c r="C103" s="6" t="s">
        <v>130</v>
      </c>
      <c r="D103" s="6">
        <f t="shared" si="17"/>
        <v>0.5</v>
      </c>
      <c r="E103" s="6" t="s">
        <v>19</v>
      </c>
      <c r="F103" s="6" t="str">
        <f>MID(A103,19,1)</f>
        <v>N</v>
      </c>
      <c r="G103" s="6">
        <v>-23.507697322710829</v>
      </c>
      <c r="H103" s="6">
        <v>-46.739970799332283</v>
      </c>
      <c r="I103" s="9">
        <v>2284.1</v>
      </c>
      <c r="K103" s="6">
        <v>5.91</v>
      </c>
      <c r="L103" s="6">
        <v>0</v>
      </c>
      <c r="N103" s="1">
        <f t="shared" si="18"/>
        <v>0</v>
      </c>
      <c r="Q103" s="6" t="s">
        <v>21</v>
      </c>
      <c r="R103" s="6" t="s">
        <v>21</v>
      </c>
      <c r="S103" s="6" t="s">
        <v>21</v>
      </c>
      <c r="T103" s="6" t="s">
        <v>21</v>
      </c>
      <c r="U103" s="6">
        <f t="shared" si="19"/>
        <v>0</v>
      </c>
      <c r="V103" s="6">
        <f t="shared" si="21"/>
        <v>0</v>
      </c>
    </row>
    <row r="104" spans="1:22" hidden="1" x14ac:dyDescent="0.35">
      <c r="A104" s="6" t="s">
        <v>145</v>
      </c>
      <c r="B104" s="6" t="s">
        <v>129</v>
      </c>
      <c r="C104" s="6" t="s">
        <v>130</v>
      </c>
      <c r="D104" s="6">
        <f t="shared" si="17"/>
        <v>0.5</v>
      </c>
      <c r="E104" s="6" t="s">
        <v>19</v>
      </c>
      <c r="F104" s="6" t="str">
        <f>MID(A104,19,1)</f>
        <v>S</v>
      </c>
      <c r="G104" s="6">
        <v>-23.508927665337829</v>
      </c>
      <c r="H104" s="6">
        <v>-46.737979607331503</v>
      </c>
      <c r="I104" s="9">
        <v>178.7</v>
      </c>
      <c r="K104" s="6">
        <v>4.26</v>
      </c>
      <c r="L104" s="6">
        <v>0</v>
      </c>
      <c r="N104" s="1">
        <f t="shared" si="18"/>
        <v>0</v>
      </c>
      <c r="Q104" s="6" t="s">
        <v>21</v>
      </c>
      <c r="R104" s="6" t="s">
        <v>21</v>
      </c>
      <c r="S104" s="6" t="s">
        <v>21</v>
      </c>
      <c r="T104" s="6" t="s">
        <v>21</v>
      </c>
      <c r="U104" s="6">
        <f t="shared" si="19"/>
        <v>0</v>
      </c>
      <c r="V104" s="6">
        <f t="shared" si="21"/>
        <v>0</v>
      </c>
    </row>
    <row r="105" spans="1:22" x14ac:dyDescent="0.35">
      <c r="A105" s="6" t="s">
        <v>146</v>
      </c>
      <c r="B105" s="6" t="s">
        <v>129</v>
      </c>
      <c r="C105" s="6" t="s">
        <v>130</v>
      </c>
      <c r="D105" s="6">
        <f t="shared" si="17"/>
        <v>0.5</v>
      </c>
      <c r="E105" s="6" t="s">
        <v>19</v>
      </c>
      <c r="F105" s="6" t="str">
        <f>MID(A105,19,1)</f>
        <v>N</v>
      </c>
      <c r="G105" s="6">
        <v>-23.507552171040629</v>
      </c>
      <c r="H105" s="6">
        <v>-46.741911184088849</v>
      </c>
      <c r="I105" s="9">
        <v>1343.03</v>
      </c>
      <c r="K105" s="6">
        <v>5.45</v>
      </c>
      <c r="L105" s="6">
        <v>0</v>
      </c>
      <c r="N105" s="1">
        <f t="shared" si="18"/>
        <v>0</v>
      </c>
      <c r="Q105" s="6" t="s">
        <v>21</v>
      </c>
      <c r="R105" s="6" t="s">
        <v>21</v>
      </c>
      <c r="S105" s="6" t="s">
        <v>21</v>
      </c>
      <c r="T105" s="6" t="s">
        <v>21</v>
      </c>
      <c r="U105" s="6">
        <f t="shared" si="19"/>
        <v>0</v>
      </c>
      <c r="V105" s="6">
        <f t="shared" si="21"/>
        <v>0</v>
      </c>
    </row>
    <row r="106" spans="1:22" x14ac:dyDescent="0.35">
      <c r="A106" s="6" t="s">
        <v>147</v>
      </c>
      <c r="B106" s="6" t="s">
        <v>129</v>
      </c>
      <c r="C106" s="6" t="s">
        <v>130</v>
      </c>
      <c r="D106" s="6">
        <f t="shared" si="17"/>
        <v>0.5</v>
      </c>
      <c r="E106" s="6" t="s">
        <v>19</v>
      </c>
      <c r="F106" s="6" t="str">
        <f>MID(A106,19,1)</f>
        <v>N</v>
      </c>
      <c r="G106" s="6">
        <v>-23.507414101232861</v>
      </c>
      <c r="H106" s="6">
        <v>-46.741657171437701</v>
      </c>
      <c r="I106" s="9">
        <v>80.900000000000006</v>
      </c>
      <c r="K106" s="6">
        <v>6.03</v>
      </c>
      <c r="L106" s="6">
        <v>0</v>
      </c>
      <c r="N106" s="1">
        <f t="shared" si="18"/>
        <v>0</v>
      </c>
      <c r="Q106" s="6" t="s">
        <v>21</v>
      </c>
      <c r="R106" s="6" t="s">
        <v>21</v>
      </c>
      <c r="S106" s="6" t="s">
        <v>21</v>
      </c>
      <c r="T106" s="6" t="s">
        <v>21</v>
      </c>
      <c r="U106" s="6">
        <f t="shared" si="19"/>
        <v>0</v>
      </c>
      <c r="V106" s="6">
        <f t="shared" si="21"/>
        <v>0</v>
      </c>
    </row>
    <row r="107" spans="1:22" x14ac:dyDescent="0.35">
      <c r="A107" s="6" t="s">
        <v>148</v>
      </c>
      <c r="B107" s="6" t="s">
        <v>129</v>
      </c>
      <c r="C107" s="6" t="s">
        <v>130</v>
      </c>
      <c r="D107" s="6">
        <f t="shared" si="17"/>
        <v>0.5</v>
      </c>
      <c r="E107" s="6" t="s">
        <v>19</v>
      </c>
      <c r="F107" s="6" t="str">
        <f>MID(A107,19,1)</f>
        <v>N</v>
      </c>
      <c r="G107" s="6">
        <v>-23.507609938753269</v>
      </c>
      <c r="H107" s="6">
        <v>-46.743488546560698</v>
      </c>
      <c r="I107" s="9">
        <v>244.41</v>
      </c>
      <c r="K107" s="6">
        <v>3.31</v>
      </c>
      <c r="L107" s="6">
        <v>0</v>
      </c>
      <c r="N107" s="1">
        <f t="shared" si="18"/>
        <v>0</v>
      </c>
      <c r="Q107" s="6" t="s">
        <v>26</v>
      </c>
      <c r="R107" s="6" t="s">
        <v>21</v>
      </c>
      <c r="S107" s="6" t="s">
        <v>21</v>
      </c>
      <c r="T107" s="6" t="s">
        <v>21</v>
      </c>
      <c r="U107" s="6">
        <f t="shared" si="19"/>
        <v>0</v>
      </c>
    </row>
    <row r="108" spans="1:22" hidden="1" x14ac:dyDescent="0.35">
      <c r="A108" s="6" t="s">
        <v>149</v>
      </c>
      <c r="B108" s="6" t="s">
        <v>129</v>
      </c>
      <c r="C108" s="6" t="s">
        <v>130</v>
      </c>
      <c r="D108" s="6">
        <f t="shared" si="17"/>
        <v>0.5</v>
      </c>
      <c r="E108" s="6" t="s">
        <v>19</v>
      </c>
      <c r="F108" s="6" t="str">
        <f>MID(A108,19,1)</f>
        <v>S</v>
      </c>
      <c r="G108" s="6">
        <v>-23.50876938554428</v>
      </c>
      <c r="H108" s="6">
        <v>-46.735031264621767</v>
      </c>
      <c r="I108" s="9">
        <v>892.08</v>
      </c>
      <c r="K108" s="6">
        <v>4.8600000000000003</v>
      </c>
      <c r="L108" s="6">
        <v>0</v>
      </c>
      <c r="N108" s="1">
        <f t="shared" si="18"/>
        <v>0</v>
      </c>
      <c r="Q108" s="6" t="s">
        <v>21</v>
      </c>
      <c r="R108" s="6" t="s">
        <v>21</v>
      </c>
      <c r="S108" s="6" t="s">
        <v>21</v>
      </c>
      <c r="T108" s="6" t="s">
        <v>21</v>
      </c>
      <c r="U108" s="6">
        <f t="shared" si="19"/>
        <v>0</v>
      </c>
      <c r="V108" s="6">
        <f t="shared" ref="V108:V112" si="22">(I108*(L108/100))</f>
        <v>0</v>
      </c>
    </row>
    <row r="109" spans="1:22" hidden="1" x14ac:dyDescent="0.35">
      <c r="A109" s="6" t="s">
        <v>150</v>
      </c>
      <c r="B109" s="6" t="s">
        <v>129</v>
      </c>
      <c r="C109" s="6" t="s">
        <v>130</v>
      </c>
      <c r="D109" s="6">
        <f t="shared" si="17"/>
        <v>0.5</v>
      </c>
      <c r="E109" s="6" t="s">
        <v>19</v>
      </c>
      <c r="F109" s="6" t="str">
        <f>MID(A109,19,1)</f>
        <v>S</v>
      </c>
      <c r="G109" s="6">
        <v>-23.50864069385419</v>
      </c>
      <c r="H109" s="6">
        <v>-46.739288122220081</v>
      </c>
      <c r="I109" s="9">
        <v>0.06</v>
      </c>
      <c r="K109" s="6">
        <v>7.62</v>
      </c>
      <c r="N109" s="1">
        <f t="shared" si="18"/>
        <v>0</v>
      </c>
      <c r="Q109" s="6" t="s">
        <v>21</v>
      </c>
      <c r="R109" s="6" t="s">
        <v>21</v>
      </c>
      <c r="S109" s="6" t="s">
        <v>21</v>
      </c>
      <c r="T109" s="6" t="s">
        <v>21</v>
      </c>
      <c r="U109" s="6">
        <f t="shared" si="19"/>
        <v>0</v>
      </c>
      <c r="V109" s="6">
        <f t="shared" si="22"/>
        <v>0</v>
      </c>
    </row>
    <row r="110" spans="1:22" hidden="1" x14ac:dyDescent="0.35">
      <c r="A110" s="6" t="s">
        <v>151</v>
      </c>
      <c r="B110" s="6" t="s">
        <v>129</v>
      </c>
      <c r="C110" s="6" t="s">
        <v>130</v>
      </c>
      <c r="D110" s="6">
        <f t="shared" si="17"/>
        <v>0.5</v>
      </c>
      <c r="E110" s="6" t="s">
        <v>19</v>
      </c>
      <c r="F110" s="6" t="str">
        <f>MID(A110,19,1)</f>
        <v>S</v>
      </c>
      <c r="G110" s="6">
        <v>-23.508002915591231</v>
      </c>
      <c r="H110" s="6">
        <v>-46.744010943721307</v>
      </c>
      <c r="I110" s="9">
        <v>45.73</v>
      </c>
      <c r="K110" s="6">
        <v>3.21</v>
      </c>
      <c r="L110" s="6">
        <v>0</v>
      </c>
      <c r="N110" s="1">
        <f t="shared" si="18"/>
        <v>0</v>
      </c>
      <c r="Q110" s="6" t="s">
        <v>21</v>
      </c>
      <c r="R110" s="6" t="s">
        <v>21</v>
      </c>
      <c r="S110" s="6" t="s">
        <v>21</v>
      </c>
      <c r="T110" s="6" t="s">
        <v>21</v>
      </c>
      <c r="U110" s="6">
        <f t="shared" si="19"/>
        <v>0</v>
      </c>
      <c r="V110" s="6">
        <f t="shared" si="22"/>
        <v>0</v>
      </c>
    </row>
    <row r="111" spans="1:22" x14ac:dyDescent="0.35">
      <c r="A111" s="6" t="s">
        <v>152</v>
      </c>
      <c r="B111" s="6" t="s">
        <v>129</v>
      </c>
      <c r="C111" s="6" t="s">
        <v>130</v>
      </c>
      <c r="D111" s="6">
        <f t="shared" si="17"/>
        <v>0.5</v>
      </c>
      <c r="E111" s="6" t="s">
        <v>19</v>
      </c>
      <c r="F111" s="6" t="str">
        <f>MID(A111,19,1)</f>
        <v>N</v>
      </c>
      <c r="G111" s="6">
        <v>-23.508257124373412</v>
      </c>
      <c r="H111" s="6">
        <v>-46.734692027755798</v>
      </c>
      <c r="I111" s="9">
        <v>185.9</v>
      </c>
      <c r="K111" s="6">
        <v>9.06</v>
      </c>
      <c r="L111" s="6">
        <v>0</v>
      </c>
      <c r="N111" s="1">
        <f t="shared" si="18"/>
        <v>0</v>
      </c>
      <c r="Q111" s="6" t="s">
        <v>21</v>
      </c>
      <c r="R111" s="6" t="s">
        <v>21</v>
      </c>
      <c r="S111" s="6" t="s">
        <v>21</v>
      </c>
      <c r="T111" s="6" t="s">
        <v>21</v>
      </c>
      <c r="U111" s="6">
        <f t="shared" si="19"/>
        <v>0</v>
      </c>
      <c r="V111" s="6">
        <f t="shared" si="22"/>
        <v>0</v>
      </c>
    </row>
    <row r="112" spans="1:22" x14ac:dyDescent="0.35">
      <c r="A112" s="6" t="s">
        <v>153</v>
      </c>
      <c r="B112" s="6" t="s">
        <v>129</v>
      </c>
      <c r="C112" s="6" t="s">
        <v>130</v>
      </c>
      <c r="D112" s="6">
        <f t="shared" si="17"/>
        <v>0.5</v>
      </c>
      <c r="E112" s="6" t="s">
        <v>19</v>
      </c>
      <c r="F112" s="6" t="str">
        <f>MID(A112,19,1)</f>
        <v>N</v>
      </c>
      <c r="G112" s="6">
        <v>-23.507454208456942</v>
      </c>
      <c r="H112" s="6">
        <v>-46.74362699009351</v>
      </c>
      <c r="I112" s="9">
        <v>287.17</v>
      </c>
      <c r="K112" s="6">
        <v>3.94</v>
      </c>
      <c r="L112" s="6">
        <v>10</v>
      </c>
      <c r="N112" s="1">
        <f t="shared" si="18"/>
        <v>0</v>
      </c>
      <c r="O112" s="6" t="s">
        <v>20</v>
      </c>
      <c r="Q112" s="6" t="s">
        <v>21</v>
      </c>
      <c r="R112" s="6" t="s">
        <v>21</v>
      </c>
      <c r="S112" s="6" t="s">
        <v>21</v>
      </c>
      <c r="T112" s="6" t="s">
        <v>21</v>
      </c>
      <c r="U112" s="6">
        <f t="shared" si="19"/>
        <v>28.717000000000002</v>
      </c>
      <c r="V112" s="6">
        <f t="shared" si="22"/>
        <v>28.717000000000002</v>
      </c>
    </row>
    <row r="113" spans="1:22" x14ac:dyDescent="0.35">
      <c r="A113" s="8" t="s">
        <v>154</v>
      </c>
      <c r="B113" s="8" t="s">
        <v>129</v>
      </c>
      <c r="C113" s="8" t="s">
        <v>130</v>
      </c>
      <c r="D113" s="6">
        <f t="shared" si="17"/>
        <v>0.5</v>
      </c>
      <c r="E113" s="8" t="s">
        <v>19</v>
      </c>
      <c r="F113" s="6" t="str">
        <f>MID(A113,19,1)</f>
        <v>N</v>
      </c>
      <c r="G113" s="8">
        <v>-23.50799201731774</v>
      </c>
      <c r="H113" s="8">
        <v>-46.73743326668211</v>
      </c>
      <c r="I113" s="7">
        <v>8539.8799999999992</v>
      </c>
      <c r="J113" s="7"/>
      <c r="K113" s="8">
        <v>6.14</v>
      </c>
      <c r="L113" s="8">
        <v>80</v>
      </c>
      <c r="M113" s="8"/>
      <c r="N113" s="11">
        <f t="shared" si="18"/>
        <v>6831.9039999999995</v>
      </c>
      <c r="O113" s="8" t="s">
        <v>20</v>
      </c>
      <c r="P113" s="8"/>
      <c r="Q113" s="8" t="s">
        <v>21</v>
      </c>
      <c r="R113" s="8" t="s">
        <v>21</v>
      </c>
      <c r="S113" s="8" t="s">
        <v>26</v>
      </c>
      <c r="T113" s="8" t="s">
        <v>21</v>
      </c>
      <c r="U113" s="6">
        <f t="shared" si="19"/>
        <v>0</v>
      </c>
    </row>
    <row r="114" spans="1:22" hidden="1" x14ac:dyDescent="0.35">
      <c r="A114" s="6" t="s">
        <v>155</v>
      </c>
      <c r="B114" s="6" t="s">
        <v>129</v>
      </c>
      <c r="C114" s="6" t="s">
        <v>130</v>
      </c>
      <c r="D114" s="6">
        <f t="shared" si="17"/>
        <v>0.5</v>
      </c>
      <c r="E114" s="6" t="s">
        <v>23</v>
      </c>
      <c r="F114" s="6" t="str">
        <f>MID(A114,19,1)</f>
        <v>C</v>
      </c>
      <c r="G114" s="6">
        <v>-23.507884258998391</v>
      </c>
      <c r="H114" s="6">
        <v>-46.74133554520828</v>
      </c>
      <c r="I114" s="9">
        <v>5671.85</v>
      </c>
      <c r="J114" s="9">
        <f>I114/500</f>
        <v>11.3437</v>
      </c>
      <c r="K114" s="6">
        <v>4.41</v>
      </c>
      <c r="L114" s="6">
        <v>80</v>
      </c>
      <c r="N114" s="1">
        <f t="shared" si="18"/>
        <v>0</v>
      </c>
      <c r="O114" s="6" t="s">
        <v>20</v>
      </c>
      <c r="Q114" s="6" t="s">
        <v>21</v>
      </c>
      <c r="R114" s="6" t="s">
        <v>21</v>
      </c>
      <c r="S114" s="6" t="s">
        <v>21</v>
      </c>
      <c r="T114" s="6" t="s">
        <v>21</v>
      </c>
      <c r="U114" s="6">
        <f t="shared" si="19"/>
        <v>4537.4800000000005</v>
      </c>
      <c r="V114" s="6">
        <f t="shared" ref="V114:V121" si="23">(I114*(L114/100))</f>
        <v>4537.4800000000005</v>
      </c>
    </row>
    <row r="115" spans="1:22" x14ac:dyDescent="0.35">
      <c r="A115" s="6" t="s">
        <v>156</v>
      </c>
      <c r="B115" s="6" t="s">
        <v>129</v>
      </c>
      <c r="C115" s="6" t="s">
        <v>130</v>
      </c>
      <c r="D115" s="6">
        <f t="shared" si="17"/>
        <v>0.5</v>
      </c>
      <c r="E115" s="6" t="s">
        <v>19</v>
      </c>
      <c r="F115" s="6" t="str">
        <f>MID(A115,19,1)</f>
        <v>N</v>
      </c>
      <c r="G115" s="6">
        <v>-23.507996361929031</v>
      </c>
      <c r="H115" s="6">
        <v>-46.735502875456532</v>
      </c>
      <c r="I115" s="9">
        <v>84.89</v>
      </c>
      <c r="K115" s="6">
        <v>7.29</v>
      </c>
      <c r="L115" s="6">
        <v>0</v>
      </c>
      <c r="N115" s="1">
        <f t="shared" si="18"/>
        <v>0</v>
      </c>
      <c r="Q115" s="6" t="s">
        <v>21</v>
      </c>
      <c r="R115" s="6" t="s">
        <v>21</v>
      </c>
      <c r="S115" s="6" t="s">
        <v>21</v>
      </c>
      <c r="T115" s="6" t="s">
        <v>21</v>
      </c>
      <c r="U115" s="6">
        <f t="shared" si="19"/>
        <v>0</v>
      </c>
      <c r="V115" s="6">
        <f t="shared" si="23"/>
        <v>0</v>
      </c>
    </row>
    <row r="116" spans="1:22" hidden="1" x14ac:dyDescent="0.35">
      <c r="A116" s="6" t="s">
        <v>157</v>
      </c>
      <c r="B116" s="6" t="s">
        <v>129</v>
      </c>
      <c r="C116" s="6" t="s">
        <v>130</v>
      </c>
      <c r="D116" s="6">
        <f t="shared" si="17"/>
        <v>0.5</v>
      </c>
      <c r="E116" s="6" t="s">
        <v>19</v>
      </c>
      <c r="F116" s="6" t="str">
        <f>MID(A116,19,1)</f>
        <v>S</v>
      </c>
      <c r="G116" s="6">
        <v>-23.508466079907919</v>
      </c>
      <c r="H116" s="6">
        <v>-46.74088695928539</v>
      </c>
      <c r="I116" s="9">
        <v>36.799999999999997</v>
      </c>
      <c r="K116" s="6">
        <v>1.72</v>
      </c>
      <c r="L116" s="6">
        <v>0</v>
      </c>
      <c r="N116" s="1">
        <f t="shared" si="18"/>
        <v>0</v>
      </c>
      <c r="Q116" s="6" t="s">
        <v>21</v>
      </c>
      <c r="R116" s="6" t="s">
        <v>21</v>
      </c>
      <c r="S116" s="6" t="s">
        <v>21</v>
      </c>
      <c r="T116" s="6" t="s">
        <v>21</v>
      </c>
      <c r="U116" s="6">
        <f t="shared" si="19"/>
        <v>0</v>
      </c>
      <c r="V116" s="6">
        <f t="shared" si="23"/>
        <v>0</v>
      </c>
    </row>
    <row r="117" spans="1:22" hidden="1" x14ac:dyDescent="0.35">
      <c r="A117" s="6" t="s">
        <v>158</v>
      </c>
      <c r="B117" s="6" t="s">
        <v>129</v>
      </c>
      <c r="C117" s="6" t="s">
        <v>130</v>
      </c>
      <c r="D117" s="6">
        <f t="shared" si="17"/>
        <v>0.5</v>
      </c>
      <c r="E117" s="6" t="s">
        <v>23</v>
      </c>
      <c r="F117" s="6" t="str">
        <f>MID(A117,19,1)</f>
        <v>C</v>
      </c>
      <c r="G117" s="6">
        <v>-23.508525648532409</v>
      </c>
      <c r="H117" s="6">
        <v>-46.737470975779289</v>
      </c>
      <c r="I117" s="9">
        <v>10800.76</v>
      </c>
      <c r="J117" s="9">
        <f>I117/500</f>
        <v>21.601520000000001</v>
      </c>
      <c r="K117" s="6">
        <v>4.8</v>
      </c>
      <c r="L117" s="6">
        <v>0</v>
      </c>
      <c r="N117" s="1">
        <f t="shared" si="18"/>
        <v>0</v>
      </c>
      <c r="Q117" s="6" t="s">
        <v>21</v>
      </c>
      <c r="R117" s="6" t="s">
        <v>21</v>
      </c>
      <c r="S117" s="6" t="s">
        <v>21</v>
      </c>
      <c r="T117" s="6" t="s">
        <v>21</v>
      </c>
      <c r="U117" s="6">
        <f t="shared" si="19"/>
        <v>0</v>
      </c>
      <c r="V117" s="6">
        <f t="shared" si="23"/>
        <v>0</v>
      </c>
    </row>
    <row r="118" spans="1:22" x14ac:dyDescent="0.35">
      <c r="A118" s="6" t="s">
        <v>159</v>
      </c>
      <c r="B118" s="6" t="s">
        <v>160</v>
      </c>
      <c r="C118" s="6" t="s">
        <v>161</v>
      </c>
      <c r="D118" s="6">
        <f t="shared" si="17"/>
        <v>0.5</v>
      </c>
      <c r="E118" s="6" t="s">
        <v>19</v>
      </c>
      <c r="F118" s="6" t="str">
        <f>MID(A118,19,1)</f>
        <v>N</v>
      </c>
      <c r="G118" s="6">
        <v>-23.50729646040984</v>
      </c>
      <c r="H118" s="6">
        <v>-46.744313436796297</v>
      </c>
      <c r="I118" s="9">
        <v>478.94</v>
      </c>
      <c r="K118" s="6">
        <v>4.99</v>
      </c>
      <c r="L118" s="6">
        <v>10</v>
      </c>
      <c r="N118" s="1">
        <f t="shared" si="18"/>
        <v>0</v>
      </c>
      <c r="O118" s="6" t="s">
        <v>20</v>
      </c>
      <c r="Q118" s="6" t="s">
        <v>21</v>
      </c>
      <c r="R118" s="6" t="s">
        <v>21</v>
      </c>
      <c r="S118" s="6" t="s">
        <v>21</v>
      </c>
      <c r="T118" s="6" t="s">
        <v>21</v>
      </c>
      <c r="U118" s="6">
        <f t="shared" si="19"/>
        <v>47.894000000000005</v>
      </c>
      <c r="V118" s="6">
        <f t="shared" si="23"/>
        <v>47.894000000000005</v>
      </c>
    </row>
    <row r="119" spans="1:22" hidden="1" x14ac:dyDescent="0.35">
      <c r="A119" s="6" t="s">
        <v>162</v>
      </c>
      <c r="B119" s="6" t="s">
        <v>160</v>
      </c>
      <c r="C119" s="6" t="s">
        <v>161</v>
      </c>
      <c r="D119" s="6">
        <f t="shared" si="17"/>
        <v>0.5</v>
      </c>
      <c r="E119" s="6" t="s">
        <v>19</v>
      </c>
      <c r="F119" s="6" t="str">
        <f>MID(A119,19,1)</f>
        <v>S</v>
      </c>
      <c r="G119" s="6">
        <v>-23.508704091926941</v>
      </c>
      <c r="H119" s="6">
        <v>-46.745494030544499</v>
      </c>
      <c r="I119" s="9">
        <v>43.62</v>
      </c>
      <c r="K119" s="6">
        <v>7.36</v>
      </c>
      <c r="L119" s="6">
        <v>0</v>
      </c>
      <c r="N119" s="1">
        <f t="shared" si="18"/>
        <v>0</v>
      </c>
      <c r="Q119" s="6" t="s">
        <v>21</v>
      </c>
      <c r="R119" s="6" t="s">
        <v>21</v>
      </c>
      <c r="S119" s="6" t="s">
        <v>21</v>
      </c>
      <c r="T119" s="6" t="s">
        <v>21</v>
      </c>
      <c r="U119" s="6">
        <f t="shared" si="19"/>
        <v>0</v>
      </c>
      <c r="V119" s="6">
        <f t="shared" si="23"/>
        <v>0</v>
      </c>
    </row>
    <row r="120" spans="1:22" hidden="1" x14ac:dyDescent="0.35">
      <c r="A120" s="6" t="s">
        <v>163</v>
      </c>
      <c r="B120" s="6" t="s">
        <v>160</v>
      </c>
      <c r="C120" s="6" t="s">
        <v>161</v>
      </c>
      <c r="D120" s="6">
        <f t="shared" si="17"/>
        <v>0.5</v>
      </c>
      <c r="E120" s="6" t="s">
        <v>19</v>
      </c>
      <c r="F120" s="6" t="str">
        <f>MID(A120,19,1)</f>
        <v>S</v>
      </c>
      <c r="G120" s="6">
        <v>-23.5060760747741</v>
      </c>
      <c r="H120" s="6">
        <v>-46.751754012631629</v>
      </c>
      <c r="I120" s="9">
        <v>2571.61</v>
      </c>
      <c r="K120" s="6">
        <v>7.16</v>
      </c>
      <c r="L120" s="6">
        <v>0</v>
      </c>
      <c r="N120" s="1">
        <f t="shared" si="18"/>
        <v>0</v>
      </c>
      <c r="Q120" s="6" t="s">
        <v>21</v>
      </c>
      <c r="R120" s="6" t="s">
        <v>21</v>
      </c>
      <c r="S120" s="6" t="s">
        <v>21</v>
      </c>
      <c r="T120" s="6" t="s">
        <v>21</v>
      </c>
      <c r="U120" s="6">
        <f t="shared" si="19"/>
        <v>0</v>
      </c>
      <c r="V120" s="6">
        <f t="shared" si="23"/>
        <v>0</v>
      </c>
    </row>
    <row r="121" spans="1:22" hidden="1" x14ac:dyDescent="0.35">
      <c r="A121" s="6" t="s">
        <v>164</v>
      </c>
      <c r="B121" s="6" t="s">
        <v>160</v>
      </c>
      <c r="C121" s="6" t="s">
        <v>161</v>
      </c>
      <c r="D121" s="6">
        <f t="shared" si="17"/>
        <v>0.5</v>
      </c>
      <c r="E121" s="6" t="s">
        <v>23</v>
      </c>
      <c r="F121" s="6" t="str">
        <f>MID(A121,19,1)</f>
        <v>C</v>
      </c>
      <c r="G121" s="6">
        <v>-23.50438761919488</v>
      </c>
      <c r="H121" s="6">
        <v>-46.753182400815021</v>
      </c>
      <c r="I121" s="9">
        <v>984.25</v>
      </c>
      <c r="J121" s="9">
        <f>I121/500</f>
        <v>1.9684999999999999</v>
      </c>
      <c r="K121" s="6">
        <v>6.57</v>
      </c>
      <c r="L121" s="6">
        <v>0</v>
      </c>
      <c r="N121" s="1">
        <f t="shared" si="18"/>
        <v>0</v>
      </c>
      <c r="Q121" s="6" t="s">
        <v>21</v>
      </c>
      <c r="R121" s="6" t="s">
        <v>21</v>
      </c>
      <c r="S121" s="6" t="s">
        <v>21</v>
      </c>
      <c r="T121" s="6" t="s">
        <v>21</v>
      </c>
      <c r="U121" s="6">
        <f t="shared" si="19"/>
        <v>0</v>
      </c>
      <c r="V121" s="6">
        <f t="shared" si="23"/>
        <v>0</v>
      </c>
    </row>
    <row r="122" spans="1:22" x14ac:dyDescent="0.35">
      <c r="A122" s="6" t="s">
        <v>165</v>
      </c>
      <c r="B122" s="6" t="s">
        <v>160</v>
      </c>
      <c r="C122" s="6" t="s">
        <v>161</v>
      </c>
      <c r="D122" s="6">
        <f t="shared" si="17"/>
        <v>0.5</v>
      </c>
      <c r="E122" s="6" t="s">
        <v>19</v>
      </c>
      <c r="F122" s="6" t="str">
        <f>MID(A122,19,1)</f>
        <v>N</v>
      </c>
      <c r="G122" s="6">
        <v>-23.507478944991149</v>
      </c>
      <c r="H122" s="6">
        <v>-46.745181307593917</v>
      </c>
      <c r="I122" s="9">
        <v>440.01</v>
      </c>
      <c r="K122" s="6">
        <v>3.57</v>
      </c>
      <c r="L122" s="6">
        <v>0</v>
      </c>
      <c r="N122" s="1">
        <f t="shared" si="18"/>
        <v>0</v>
      </c>
      <c r="Q122" s="6" t="s">
        <v>26</v>
      </c>
      <c r="R122" s="6" t="s">
        <v>21</v>
      </c>
      <c r="S122" s="6" t="s">
        <v>21</v>
      </c>
      <c r="T122" s="6" t="s">
        <v>21</v>
      </c>
      <c r="U122" s="6">
        <f t="shared" si="19"/>
        <v>0</v>
      </c>
    </row>
    <row r="123" spans="1:22" x14ac:dyDescent="0.35">
      <c r="A123" s="6" t="s">
        <v>166</v>
      </c>
      <c r="B123" s="6" t="s">
        <v>160</v>
      </c>
      <c r="C123" s="6" t="s">
        <v>161</v>
      </c>
      <c r="D123" s="6">
        <f t="shared" si="17"/>
        <v>0.5</v>
      </c>
      <c r="E123" s="6" t="s">
        <v>19</v>
      </c>
      <c r="F123" s="6" t="str">
        <f>MID(A123,19,1)</f>
        <v>N</v>
      </c>
      <c r="G123" s="6">
        <v>-23.50698814014315</v>
      </c>
      <c r="H123" s="6">
        <v>-46.748263144674297</v>
      </c>
      <c r="I123" s="9">
        <v>524.85</v>
      </c>
      <c r="K123" s="6">
        <v>5.22</v>
      </c>
      <c r="L123" s="6">
        <v>10</v>
      </c>
      <c r="N123" s="1">
        <f t="shared" si="18"/>
        <v>0</v>
      </c>
      <c r="O123" s="6" t="s">
        <v>20</v>
      </c>
      <c r="Q123" s="6" t="s">
        <v>21</v>
      </c>
      <c r="R123" s="6" t="s">
        <v>21</v>
      </c>
      <c r="S123" s="6" t="s">
        <v>21</v>
      </c>
      <c r="T123" s="6" t="s">
        <v>21</v>
      </c>
      <c r="U123" s="6">
        <f t="shared" si="19"/>
        <v>52.485000000000007</v>
      </c>
      <c r="V123" s="6">
        <f t="shared" ref="V123:V140" si="24">(I123*(L123/100))</f>
        <v>52.485000000000007</v>
      </c>
    </row>
    <row r="124" spans="1:22" x14ac:dyDescent="0.35">
      <c r="A124" s="6" t="s">
        <v>167</v>
      </c>
      <c r="B124" s="6" t="s">
        <v>160</v>
      </c>
      <c r="C124" s="6" t="s">
        <v>161</v>
      </c>
      <c r="D124" s="6">
        <f t="shared" si="17"/>
        <v>0.5</v>
      </c>
      <c r="E124" s="6" t="s">
        <v>19</v>
      </c>
      <c r="F124" s="6" t="str">
        <f>MID(A124,19,1)</f>
        <v>N</v>
      </c>
      <c r="G124" s="6">
        <v>-23.504362897391609</v>
      </c>
      <c r="H124" s="6">
        <v>-46.752748389147563</v>
      </c>
      <c r="I124" s="9">
        <v>2105.4899999999998</v>
      </c>
      <c r="K124" s="6">
        <v>3.14</v>
      </c>
      <c r="L124" s="6">
        <v>50</v>
      </c>
      <c r="N124" s="1">
        <f t="shared" si="18"/>
        <v>0</v>
      </c>
      <c r="O124" s="6" t="s">
        <v>20</v>
      </c>
      <c r="Q124" s="6" t="s">
        <v>21</v>
      </c>
      <c r="R124" s="6" t="s">
        <v>21</v>
      </c>
      <c r="S124" s="6" t="s">
        <v>21</v>
      </c>
      <c r="T124" s="6" t="s">
        <v>21</v>
      </c>
      <c r="U124" s="6">
        <f t="shared" si="19"/>
        <v>1052.7449999999999</v>
      </c>
      <c r="V124" s="6">
        <f t="shared" si="24"/>
        <v>1052.7449999999999</v>
      </c>
    </row>
    <row r="125" spans="1:22" hidden="1" x14ac:dyDescent="0.35">
      <c r="A125" s="6" t="s">
        <v>168</v>
      </c>
      <c r="B125" s="6" t="s">
        <v>160</v>
      </c>
      <c r="C125" s="6" t="s">
        <v>161</v>
      </c>
      <c r="D125" s="6">
        <f t="shared" si="17"/>
        <v>0.5</v>
      </c>
      <c r="E125" s="6" t="s">
        <v>19</v>
      </c>
      <c r="F125" s="6" t="str">
        <f>MID(A125,19,1)</f>
        <v>S</v>
      </c>
      <c r="G125" s="6">
        <v>-23.50748369631658</v>
      </c>
      <c r="H125" s="6">
        <v>-46.721927511351844</v>
      </c>
      <c r="I125" s="9">
        <v>839.54</v>
      </c>
      <c r="K125" s="6">
        <v>5.56</v>
      </c>
      <c r="L125" s="6">
        <v>0</v>
      </c>
      <c r="N125" s="1">
        <f t="shared" si="18"/>
        <v>0</v>
      </c>
      <c r="Q125" s="6" t="s">
        <v>21</v>
      </c>
      <c r="R125" s="6" t="s">
        <v>21</v>
      </c>
      <c r="S125" s="6" t="s">
        <v>21</v>
      </c>
      <c r="T125" s="6" t="s">
        <v>21</v>
      </c>
      <c r="U125" s="6">
        <f t="shared" si="19"/>
        <v>0</v>
      </c>
      <c r="V125" s="6">
        <f t="shared" si="24"/>
        <v>0</v>
      </c>
    </row>
    <row r="126" spans="1:22" hidden="1" x14ac:dyDescent="0.35">
      <c r="A126" s="6" t="s">
        <v>169</v>
      </c>
      <c r="B126" s="6" t="s">
        <v>160</v>
      </c>
      <c r="C126" s="6" t="s">
        <v>161</v>
      </c>
      <c r="D126" s="6">
        <f t="shared" si="17"/>
        <v>0.5</v>
      </c>
      <c r="E126" s="6" t="s">
        <v>19</v>
      </c>
      <c r="F126" s="6" t="str">
        <f>MID(A126,19,1)</f>
        <v>S</v>
      </c>
      <c r="G126" s="6">
        <v>-23.508101844141351</v>
      </c>
      <c r="H126" s="6">
        <v>-46.744349580586487</v>
      </c>
      <c r="I126" s="9">
        <v>704.37</v>
      </c>
      <c r="K126" s="6">
        <v>3.52</v>
      </c>
      <c r="L126" s="6">
        <v>0</v>
      </c>
      <c r="N126" s="1">
        <f t="shared" si="18"/>
        <v>0</v>
      </c>
      <c r="Q126" s="6" t="s">
        <v>21</v>
      </c>
      <c r="R126" s="6" t="s">
        <v>21</v>
      </c>
      <c r="S126" s="6" t="s">
        <v>21</v>
      </c>
      <c r="T126" s="6" t="s">
        <v>21</v>
      </c>
      <c r="U126" s="6">
        <f t="shared" si="19"/>
        <v>0</v>
      </c>
      <c r="V126" s="6">
        <f t="shared" si="24"/>
        <v>0</v>
      </c>
    </row>
    <row r="127" spans="1:22" hidden="1" x14ac:dyDescent="0.35">
      <c r="A127" s="6" t="s">
        <v>170</v>
      </c>
      <c r="B127" s="6" t="s">
        <v>160</v>
      </c>
      <c r="C127" s="6" t="s">
        <v>161</v>
      </c>
      <c r="D127" s="6">
        <f t="shared" si="17"/>
        <v>0.5</v>
      </c>
      <c r="E127" s="6" t="s">
        <v>23</v>
      </c>
      <c r="F127" s="6" t="str">
        <f>MID(A127,19,1)</f>
        <v>C</v>
      </c>
      <c r="G127" s="6">
        <v>-23.507939543252441</v>
      </c>
      <c r="H127" s="6">
        <v>-46.745056138930863</v>
      </c>
      <c r="I127" s="9">
        <v>23.14</v>
      </c>
      <c r="J127" s="9">
        <f>I127/500</f>
        <v>4.6280000000000002E-2</v>
      </c>
      <c r="K127" s="6">
        <v>3.02</v>
      </c>
      <c r="L127" s="6">
        <v>0</v>
      </c>
      <c r="N127" s="1">
        <f t="shared" si="18"/>
        <v>0</v>
      </c>
      <c r="Q127" s="6" t="s">
        <v>21</v>
      </c>
      <c r="R127" s="6" t="s">
        <v>21</v>
      </c>
      <c r="S127" s="6" t="s">
        <v>21</v>
      </c>
      <c r="T127" s="6" t="s">
        <v>21</v>
      </c>
      <c r="U127" s="6">
        <f t="shared" si="19"/>
        <v>0</v>
      </c>
      <c r="V127" s="6">
        <f t="shared" si="24"/>
        <v>0</v>
      </c>
    </row>
    <row r="128" spans="1:22" hidden="1" x14ac:dyDescent="0.35">
      <c r="A128" s="6" t="s">
        <v>171</v>
      </c>
      <c r="B128" s="6" t="s">
        <v>160</v>
      </c>
      <c r="C128" s="6" t="s">
        <v>161</v>
      </c>
      <c r="D128" s="6">
        <f t="shared" si="17"/>
        <v>0.5</v>
      </c>
      <c r="E128" s="6" t="s">
        <v>19</v>
      </c>
      <c r="F128" s="6" t="str">
        <f>MID(A128,19,1)</f>
        <v>S</v>
      </c>
      <c r="G128" s="6">
        <v>-23.508034615650171</v>
      </c>
      <c r="H128" s="6">
        <v>-46.745874107741493</v>
      </c>
      <c r="I128" s="9">
        <v>4224.42</v>
      </c>
      <c r="K128" s="6">
        <v>4.63</v>
      </c>
      <c r="L128" s="6">
        <v>0</v>
      </c>
      <c r="N128" s="1">
        <f t="shared" si="18"/>
        <v>0</v>
      </c>
      <c r="Q128" s="6" t="s">
        <v>21</v>
      </c>
      <c r="R128" s="6" t="s">
        <v>21</v>
      </c>
      <c r="S128" s="6" t="s">
        <v>21</v>
      </c>
      <c r="T128" s="6" t="s">
        <v>21</v>
      </c>
      <c r="U128" s="6">
        <f t="shared" si="19"/>
        <v>0</v>
      </c>
      <c r="V128" s="6">
        <f t="shared" si="24"/>
        <v>0</v>
      </c>
    </row>
    <row r="129" spans="1:22" hidden="1" x14ac:dyDescent="0.35">
      <c r="A129" s="6" t="s">
        <v>172</v>
      </c>
      <c r="B129" s="6" t="s">
        <v>160</v>
      </c>
      <c r="C129" s="6" t="s">
        <v>161</v>
      </c>
      <c r="D129" s="6">
        <f t="shared" si="17"/>
        <v>0.5</v>
      </c>
      <c r="E129" s="6" t="s">
        <v>23</v>
      </c>
      <c r="F129" s="6" t="str">
        <f>MID(A129,19,1)</f>
        <v>C</v>
      </c>
      <c r="G129" s="6">
        <v>-23.508127372354501</v>
      </c>
      <c r="H129" s="6">
        <v>-46.745202338576732</v>
      </c>
      <c r="I129" s="9">
        <v>572.51</v>
      </c>
      <c r="J129" s="9">
        <f>I129/500</f>
        <v>1.1450199999999999</v>
      </c>
      <c r="K129" s="6">
        <v>2.13</v>
      </c>
      <c r="L129" s="6">
        <v>0</v>
      </c>
      <c r="N129" s="1">
        <f t="shared" si="18"/>
        <v>0</v>
      </c>
      <c r="Q129" s="6" t="s">
        <v>21</v>
      </c>
      <c r="R129" s="6" t="s">
        <v>21</v>
      </c>
      <c r="S129" s="6" t="s">
        <v>21</v>
      </c>
      <c r="T129" s="6" t="s">
        <v>21</v>
      </c>
      <c r="U129" s="6">
        <f t="shared" si="19"/>
        <v>0</v>
      </c>
      <c r="V129" s="6">
        <f t="shared" si="24"/>
        <v>0</v>
      </c>
    </row>
    <row r="130" spans="1:22" x14ac:dyDescent="0.35">
      <c r="A130" s="6" t="s">
        <v>173</v>
      </c>
      <c r="B130" s="6" t="s">
        <v>160</v>
      </c>
      <c r="C130" s="6" t="s">
        <v>161</v>
      </c>
      <c r="D130" s="6">
        <f t="shared" ref="D130:D140" si="25">C130-B130</f>
        <v>0.5</v>
      </c>
      <c r="E130" s="6" t="s">
        <v>19</v>
      </c>
      <c r="F130" s="6" t="str">
        <f>MID(A130,19,1)</f>
        <v>N</v>
      </c>
      <c r="G130" s="6">
        <v>-23.506972437261801</v>
      </c>
      <c r="H130" s="6">
        <v>-46.721003583453928</v>
      </c>
      <c r="I130" s="9">
        <v>928.76</v>
      </c>
      <c r="K130" s="6">
        <v>13.34</v>
      </c>
      <c r="L130" s="6">
        <v>70</v>
      </c>
      <c r="N130" s="1">
        <f t="shared" ref="N130:N193" si="26">IF(OR(R130="Sim",S130="Sim",T130="Sim"),(L130/100)*I130,0)</f>
        <v>0</v>
      </c>
      <c r="O130" s="6" t="s">
        <v>20</v>
      </c>
      <c r="Q130" s="6" t="s">
        <v>21</v>
      </c>
      <c r="R130" s="6" t="s">
        <v>21</v>
      </c>
      <c r="S130" s="6" t="s">
        <v>21</v>
      </c>
      <c r="T130" s="6" t="s">
        <v>21</v>
      </c>
      <c r="U130" s="6">
        <f t="shared" si="19"/>
        <v>650.13199999999995</v>
      </c>
      <c r="V130" s="6">
        <f t="shared" si="24"/>
        <v>650.13199999999995</v>
      </c>
    </row>
    <row r="131" spans="1:22" hidden="1" x14ac:dyDescent="0.35">
      <c r="A131" s="6" t="s">
        <v>174</v>
      </c>
      <c r="B131" s="6" t="s">
        <v>160</v>
      </c>
      <c r="C131" s="6" t="s">
        <v>161</v>
      </c>
      <c r="D131" s="6">
        <f t="shared" si="25"/>
        <v>0.5</v>
      </c>
      <c r="E131" s="6" t="s">
        <v>19</v>
      </c>
      <c r="F131" s="6" t="str">
        <f>MID(A131,19,1)</f>
        <v>S</v>
      </c>
      <c r="G131" s="6">
        <v>-23.50822677755874</v>
      </c>
      <c r="H131" s="6">
        <v>-46.746183979320577</v>
      </c>
      <c r="I131" s="9">
        <v>645.62</v>
      </c>
      <c r="K131" s="6">
        <v>5.79</v>
      </c>
      <c r="L131" s="6">
        <v>0</v>
      </c>
      <c r="N131" s="1">
        <f t="shared" si="26"/>
        <v>0</v>
      </c>
      <c r="Q131" s="6" t="s">
        <v>21</v>
      </c>
      <c r="R131" s="6" t="s">
        <v>21</v>
      </c>
      <c r="S131" s="6" t="s">
        <v>21</v>
      </c>
      <c r="T131" s="6" t="s">
        <v>21</v>
      </c>
      <c r="U131" s="6">
        <f t="shared" ref="U131:U194" si="27">IF(N131=0,(I131*(L131/100)),0)</f>
        <v>0</v>
      </c>
      <c r="V131" s="6">
        <f t="shared" si="24"/>
        <v>0</v>
      </c>
    </row>
    <row r="132" spans="1:22" hidden="1" x14ac:dyDescent="0.35">
      <c r="A132" s="6" t="s">
        <v>175</v>
      </c>
      <c r="B132" s="6" t="s">
        <v>160</v>
      </c>
      <c r="C132" s="6" t="s">
        <v>161</v>
      </c>
      <c r="D132" s="6">
        <f t="shared" si="25"/>
        <v>0.5</v>
      </c>
      <c r="E132" s="6" t="s">
        <v>19</v>
      </c>
      <c r="F132" s="6" t="str">
        <f>MID(A132,19,1)</f>
        <v>S</v>
      </c>
      <c r="G132" s="6">
        <v>-23.50802380232987</v>
      </c>
      <c r="H132" s="6">
        <v>-46.744726776121517</v>
      </c>
      <c r="I132" s="9">
        <v>116.53</v>
      </c>
      <c r="K132" s="6">
        <v>4.58</v>
      </c>
      <c r="L132" s="6">
        <v>0</v>
      </c>
      <c r="N132" s="1">
        <f t="shared" si="26"/>
        <v>0</v>
      </c>
      <c r="Q132" s="6" t="s">
        <v>21</v>
      </c>
      <c r="R132" s="6" t="s">
        <v>21</v>
      </c>
      <c r="S132" s="6" t="s">
        <v>21</v>
      </c>
      <c r="T132" s="6" t="s">
        <v>21</v>
      </c>
      <c r="U132" s="6">
        <f t="shared" si="27"/>
        <v>0</v>
      </c>
      <c r="V132" s="6">
        <f t="shared" si="24"/>
        <v>0</v>
      </c>
    </row>
    <row r="133" spans="1:22" x14ac:dyDescent="0.35">
      <c r="A133" s="6" t="s">
        <v>176</v>
      </c>
      <c r="B133" s="6" t="s">
        <v>160</v>
      </c>
      <c r="C133" s="6" t="s">
        <v>161</v>
      </c>
      <c r="D133" s="6">
        <f t="shared" si="25"/>
        <v>0.5</v>
      </c>
      <c r="E133" s="6" t="s">
        <v>19</v>
      </c>
      <c r="F133" s="6" t="str">
        <f>MID(A133,19,1)</f>
        <v>N</v>
      </c>
      <c r="G133" s="6">
        <v>-23.507419022622091</v>
      </c>
      <c r="H133" s="6">
        <v>-46.744541657534768</v>
      </c>
      <c r="I133" s="9">
        <v>1.81</v>
      </c>
      <c r="K133" s="6">
        <v>3.09</v>
      </c>
      <c r="N133" s="1">
        <f t="shared" si="26"/>
        <v>0</v>
      </c>
      <c r="Q133" s="6" t="s">
        <v>21</v>
      </c>
      <c r="R133" s="6" t="s">
        <v>21</v>
      </c>
      <c r="S133" s="6" t="s">
        <v>21</v>
      </c>
      <c r="T133" s="6" t="s">
        <v>21</v>
      </c>
      <c r="U133" s="6">
        <f t="shared" si="27"/>
        <v>0</v>
      </c>
      <c r="V133" s="6">
        <f t="shared" si="24"/>
        <v>0</v>
      </c>
    </row>
    <row r="134" spans="1:22" hidden="1" x14ac:dyDescent="0.35">
      <c r="A134" s="6" t="s">
        <v>177</v>
      </c>
      <c r="B134" s="6" t="s">
        <v>160</v>
      </c>
      <c r="C134" s="6" t="s">
        <v>161</v>
      </c>
      <c r="D134" s="6">
        <f t="shared" si="25"/>
        <v>0.5</v>
      </c>
      <c r="E134" s="6" t="s">
        <v>19</v>
      </c>
      <c r="F134" s="6" t="str">
        <f>MID(A134,19,1)</f>
        <v>S</v>
      </c>
      <c r="G134" s="6">
        <v>-23.508312099016472</v>
      </c>
      <c r="H134" s="6">
        <v>-46.744782081737029</v>
      </c>
      <c r="I134" s="9">
        <v>20.2</v>
      </c>
      <c r="K134" s="6">
        <v>3.95</v>
      </c>
      <c r="L134" s="6">
        <v>0</v>
      </c>
      <c r="N134" s="1">
        <f t="shared" si="26"/>
        <v>0</v>
      </c>
      <c r="Q134" s="6" t="s">
        <v>21</v>
      </c>
      <c r="R134" s="6" t="s">
        <v>21</v>
      </c>
      <c r="S134" s="6" t="s">
        <v>21</v>
      </c>
      <c r="T134" s="6" t="s">
        <v>21</v>
      </c>
      <c r="U134" s="6">
        <f t="shared" si="27"/>
        <v>0</v>
      </c>
      <c r="V134" s="6">
        <f t="shared" si="24"/>
        <v>0</v>
      </c>
    </row>
    <row r="135" spans="1:22" hidden="1" x14ac:dyDescent="0.35">
      <c r="A135" s="6" t="s">
        <v>178</v>
      </c>
      <c r="B135" s="6" t="s">
        <v>160</v>
      </c>
      <c r="C135" s="6" t="s">
        <v>161</v>
      </c>
      <c r="D135" s="6">
        <f t="shared" si="25"/>
        <v>0.5</v>
      </c>
      <c r="E135" s="6" t="s">
        <v>19</v>
      </c>
      <c r="F135" s="6" t="str">
        <f>MID(A135,19,1)</f>
        <v>S</v>
      </c>
      <c r="G135" s="6">
        <v>-23.507978189641481</v>
      </c>
      <c r="H135" s="6">
        <v>-46.744937277576618</v>
      </c>
      <c r="I135" s="9">
        <v>43.38</v>
      </c>
      <c r="K135" s="6">
        <v>3.8</v>
      </c>
      <c r="L135" s="6">
        <v>0</v>
      </c>
      <c r="N135" s="1">
        <f t="shared" si="26"/>
        <v>0</v>
      </c>
      <c r="Q135" s="6" t="s">
        <v>21</v>
      </c>
      <c r="R135" s="6" t="s">
        <v>21</v>
      </c>
      <c r="S135" s="6" t="s">
        <v>21</v>
      </c>
      <c r="T135" s="6" t="s">
        <v>21</v>
      </c>
      <c r="U135" s="6">
        <f t="shared" si="27"/>
        <v>0</v>
      </c>
      <c r="V135" s="6">
        <f t="shared" si="24"/>
        <v>0</v>
      </c>
    </row>
    <row r="136" spans="1:22" hidden="1" x14ac:dyDescent="0.35">
      <c r="A136" s="6" t="s">
        <v>179</v>
      </c>
      <c r="B136" s="6" t="s">
        <v>160</v>
      </c>
      <c r="C136" s="6" t="s">
        <v>161</v>
      </c>
      <c r="D136" s="6">
        <f t="shared" si="25"/>
        <v>0.5</v>
      </c>
      <c r="E136" s="6" t="s">
        <v>19</v>
      </c>
      <c r="F136" s="6" t="str">
        <f>MID(A136,19,1)</f>
        <v>S</v>
      </c>
      <c r="G136" s="6">
        <v>-23.50766646758662</v>
      </c>
      <c r="H136" s="6">
        <v>-46.747449726031867</v>
      </c>
      <c r="I136" s="9">
        <v>57.57</v>
      </c>
      <c r="K136" s="6">
        <v>1.65</v>
      </c>
      <c r="L136" s="6">
        <v>0</v>
      </c>
      <c r="N136" s="1">
        <f t="shared" si="26"/>
        <v>0</v>
      </c>
      <c r="Q136" s="6" t="s">
        <v>21</v>
      </c>
      <c r="R136" s="6" t="s">
        <v>21</v>
      </c>
      <c r="S136" s="6" t="s">
        <v>21</v>
      </c>
      <c r="T136" s="6" t="s">
        <v>21</v>
      </c>
      <c r="U136" s="6">
        <f t="shared" si="27"/>
        <v>0</v>
      </c>
      <c r="V136" s="6">
        <f t="shared" si="24"/>
        <v>0</v>
      </c>
    </row>
    <row r="137" spans="1:22" hidden="1" x14ac:dyDescent="0.35">
      <c r="A137" s="6" t="s">
        <v>180</v>
      </c>
      <c r="B137" s="6" t="s">
        <v>160</v>
      </c>
      <c r="C137" s="6" t="s">
        <v>161</v>
      </c>
      <c r="D137" s="6">
        <f t="shared" si="25"/>
        <v>0.5</v>
      </c>
      <c r="E137" s="6" t="s">
        <v>19</v>
      </c>
      <c r="F137" s="6" t="str">
        <f>MID(A137,19,1)</f>
        <v>S</v>
      </c>
      <c r="G137" s="6">
        <v>-23.507995280222008</v>
      </c>
      <c r="H137" s="6">
        <v>-46.721404653726132</v>
      </c>
      <c r="I137" s="9">
        <v>730.71</v>
      </c>
      <c r="K137" s="6">
        <v>4.6900000000000004</v>
      </c>
      <c r="L137" s="6">
        <v>0</v>
      </c>
      <c r="N137" s="1">
        <f t="shared" si="26"/>
        <v>0</v>
      </c>
      <c r="Q137" s="6" t="s">
        <v>21</v>
      </c>
      <c r="R137" s="6" t="s">
        <v>21</v>
      </c>
      <c r="S137" s="6" t="s">
        <v>21</v>
      </c>
      <c r="T137" s="6" t="s">
        <v>21</v>
      </c>
      <c r="U137" s="6">
        <f t="shared" si="27"/>
        <v>0</v>
      </c>
      <c r="V137" s="6">
        <f t="shared" si="24"/>
        <v>0</v>
      </c>
    </row>
    <row r="138" spans="1:22" hidden="1" x14ac:dyDescent="0.35">
      <c r="A138" s="6" t="s">
        <v>181</v>
      </c>
      <c r="B138" s="6" t="s">
        <v>160</v>
      </c>
      <c r="C138" s="6" t="s">
        <v>161</v>
      </c>
      <c r="D138" s="6">
        <f t="shared" si="25"/>
        <v>0.5</v>
      </c>
      <c r="E138" s="6" t="s">
        <v>19</v>
      </c>
      <c r="F138" s="6" t="str">
        <f>MID(A138,19,1)</f>
        <v>S</v>
      </c>
      <c r="G138" s="6">
        <v>-23.50754527742653</v>
      </c>
      <c r="H138" s="6">
        <v>-46.74850701855852</v>
      </c>
      <c r="I138" s="9">
        <v>466.7</v>
      </c>
      <c r="K138" s="6">
        <v>1.94</v>
      </c>
      <c r="L138" s="6">
        <v>0</v>
      </c>
      <c r="N138" s="1">
        <f t="shared" si="26"/>
        <v>0</v>
      </c>
      <c r="Q138" s="6" t="s">
        <v>21</v>
      </c>
      <c r="R138" s="6" t="s">
        <v>21</v>
      </c>
      <c r="S138" s="6" t="s">
        <v>21</v>
      </c>
      <c r="T138" s="6" t="s">
        <v>21</v>
      </c>
      <c r="U138" s="6">
        <f t="shared" si="27"/>
        <v>0</v>
      </c>
      <c r="V138" s="6">
        <f t="shared" si="24"/>
        <v>0</v>
      </c>
    </row>
    <row r="139" spans="1:22" hidden="1" x14ac:dyDescent="0.35">
      <c r="A139" s="6" t="s">
        <v>182</v>
      </c>
      <c r="B139" s="6" t="s">
        <v>160</v>
      </c>
      <c r="C139" s="6" t="s">
        <v>161</v>
      </c>
      <c r="D139" s="6">
        <f t="shared" si="25"/>
        <v>0.5</v>
      </c>
      <c r="E139" s="6" t="s">
        <v>19</v>
      </c>
      <c r="F139" s="6" t="str">
        <f>MID(A139,19,1)</f>
        <v>S</v>
      </c>
      <c r="G139" s="6">
        <v>-23.505238894876779</v>
      </c>
      <c r="H139" s="6">
        <v>-46.752876002803127</v>
      </c>
      <c r="I139" s="9">
        <v>2103.94</v>
      </c>
      <c r="K139" s="6">
        <v>4.1500000000000004</v>
      </c>
      <c r="L139" s="6">
        <v>0</v>
      </c>
      <c r="N139" s="1">
        <f t="shared" si="26"/>
        <v>0</v>
      </c>
      <c r="Q139" s="6" t="s">
        <v>21</v>
      </c>
      <c r="R139" s="6" t="s">
        <v>21</v>
      </c>
      <c r="S139" s="6" t="s">
        <v>21</v>
      </c>
      <c r="T139" s="6" t="s">
        <v>21</v>
      </c>
      <c r="U139" s="6">
        <f t="shared" si="27"/>
        <v>0</v>
      </c>
      <c r="V139" s="6">
        <f t="shared" si="24"/>
        <v>0</v>
      </c>
    </row>
    <row r="140" spans="1:22" hidden="1" x14ac:dyDescent="0.35">
      <c r="A140" s="6" t="s">
        <v>183</v>
      </c>
      <c r="B140" s="6" t="s">
        <v>160</v>
      </c>
      <c r="C140" s="6" t="s">
        <v>161</v>
      </c>
      <c r="D140" s="6">
        <f t="shared" si="25"/>
        <v>0.5</v>
      </c>
      <c r="E140" s="6" t="s">
        <v>19</v>
      </c>
      <c r="F140" s="6" t="str">
        <f>MID(A140,19,1)</f>
        <v>S</v>
      </c>
      <c r="G140" s="6">
        <v>-23.508499470722661</v>
      </c>
      <c r="H140" s="6">
        <v>-46.74515110855652</v>
      </c>
      <c r="I140" s="9">
        <v>309.26</v>
      </c>
      <c r="K140" s="6">
        <v>5.28</v>
      </c>
      <c r="L140" s="6">
        <v>0</v>
      </c>
      <c r="N140" s="1">
        <f t="shared" si="26"/>
        <v>0</v>
      </c>
      <c r="Q140" s="6" t="s">
        <v>21</v>
      </c>
      <c r="R140" s="6" t="s">
        <v>21</v>
      </c>
      <c r="S140" s="6" t="s">
        <v>21</v>
      </c>
      <c r="T140" s="6" t="s">
        <v>21</v>
      </c>
      <c r="U140" s="6">
        <f t="shared" si="27"/>
        <v>0</v>
      </c>
      <c r="V140" s="6">
        <f t="shared" si="24"/>
        <v>0</v>
      </c>
    </row>
    <row r="141" spans="1:22" hidden="1" x14ac:dyDescent="0.35">
      <c r="A141" s="6" t="s">
        <v>184</v>
      </c>
      <c r="B141" s="6" t="s">
        <v>160</v>
      </c>
      <c r="C141" s="6" t="s">
        <v>161</v>
      </c>
      <c r="D141" s="6">
        <f>C141-B141</f>
        <v>0.5</v>
      </c>
      <c r="E141" s="6" t="s">
        <v>23</v>
      </c>
      <c r="F141" s="6" t="str">
        <f>MID(A141,19,1)</f>
        <v>C</v>
      </c>
      <c r="G141" s="6">
        <v>-23.507446174034531</v>
      </c>
      <c r="H141" s="6">
        <v>-46.721295393543564</v>
      </c>
      <c r="I141" s="9">
        <v>12583.72</v>
      </c>
      <c r="J141" s="9">
        <f>I141/500</f>
        <v>25.167439999999999</v>
      </c>
      <c r="K141" s="6">
        <v>6.85</v>
      </c>
      <c r="L141" s="6">
        <v>30</v>
      </c>
      <c r="N141" s="1">
        <f t="shared" si="26"/>
        <v>0</v>
      </c>
      <c r="O141" s="6" t="s">
        <v>185</v>
      </c>
      <c r="Q141" s="6" t="s">
        <v>21</v>
      </c>
      <c r="R141" s="6" t="s">
        <v>21</v>
      </c>
      <c r="S141" s="6" t="s">
        <v>21</v>
      </c>
      <c r="T141" s="6" t="s">
        <v>21</v>
      </c>
      <c r="U141" s="6">
        <f t="shared" si="27"/>
        <v>3775.1159999999995</v>
      </c>
      <c r="V141" s="6">
        <f>(I141*(L141/100))</f>
        <v>3775.1159999999995</v>
      </c>
    </row>
    <row r="142" spans="1:22" x14ac:dyDescent="0.35">
      <c r="A142" s="6" t="s">
        <v>186</v>
      </c>
      <c r="B142" s="6" t="s">
        <v>160</v>
      </c>
      <c r="C142" s="6" t="s">
        <v>161</v>
      </c>
      <c r="D142" s="6">
        <f t="shared" ref="D142:D205" si="28">C142-B142</f>
        <v>0.5</v>
      </c>
      <c r="E142" s="6" t="s">
        <v>19</v>
      </c>
      <c r="F142" s="6" t="str">
        <f>MID(A142,19,1)</f>
        <v>N</v>
      </c>
      <c r="G142" s="6">
        <v>-23.507560322783078</v>
      </c>
      <c r="H142" s="6">
        <v>-46.744226728505581</v>
      </c>
      <c r="I142" s="9">
        <v>278.89</v>
      </c>
      <c r="K142" s="6">
        <v>2.91</v>
      </c>
      <c r="L142" s="6">
        <v>0</v>
      </c>
      <c r="N142" s="1">
        <f t="shared" si="26"/>
        <v>0</v>
      </c>
      <c r="Q142" s="6" t="s">
        <v>26</v>
      </c>
      <c r="R142" s="6" t="s">
        <v>21</v>
      </c>
      <c r="S142" s="6" t="s">
        <v>21</v>
      </c>
      <c r="T142" s="6" t="s">
        <v>21</v>
      </c>
      <c r="U142" s="6">
        <f t="shared" si="27"/>
        <v>0</v>
      </c>
    </row>
    <row r="143" spans="1:22" hidden="1" x14ac:dyDescent="0.35">
      <c r="A143" s="6" t="s">
        <v>187</v>
      </c>
      <c r="B143" s="6" t="s">
        <v>160</v>
      </c>
      <c r="C143" s="6" t="s">
        <v>161</v>
      </c>
      <c r="D143" s="6">
        <f t="shared" si="28"/>
        <v>0.5</v>
      </c>
      <c r="E143" s="6" t="s">
        <v>19</v>
      </c>
      <c r="F143" s="6" t="str">
        <f>MID(A143,19,1)</f>
        <v>S</v>
      </c>
      <c r="G143" s="6">
        <v>-23.508448157530449</v>
      </c>
      <c r="H143" s="6">
        <v>-46.745608179250858</v>
      </c>
      <c r="I143" s="9">
        <v>19.07</v>
      </c>
      <c r="K143" s="6">
        <v>5.19</v>
      </c>
      <c r="L143" s="6">
        <v>0</v>
      </c>
      <c r="N143" s="1">
        <f t="shared" si="26"/>
        <v>0</v>
      </c>
      <c r="Q143" s="6" t="s">
        <v>21</v>
      </c>
      <c r="R143" s="6" t="s">
        <v>21</v>
      </c>
      <c r="S143" s="6" t="s">
        <v>21</v>
      </c>
      <c r="T143" s="6" t="s">
        <v>21</v>
      </c>
      <c r="U143" s="6">
        <f t="shared" si="27"/>
        <v>0</v>
      </c>
      <c r="V143" s="6">
        <f t="shared" ref="V143:V206" si="29">(I143*(L143/100))</f>
        <v>0</v>
      </c>
    </row>
    <row r="144" spans="1:22" x14ac:dyDescent="0.35">
      <c r="A144" s="6" t="s">
        <v>188</v>
      </c>
      <c r="B144" s="6" t="s">
        <v>160</v>
      </c>
      <c r="C144" s="6" t="s">
        <v>161</v>
      </c>
      <c r="D144" s="6">
        <f t="shared" si="28"/>
        <v>0.5</v>
      </c>
      <c r="E144" s="6" t="s">
        <v>19</v>
      </c>
      <c r="F144" s="6" t="str">
        <f>MID(A144,19,1)</f>
        <v>N</v>
      </c>
      <c r="G144" s="6">
        <v>-23.507607601356149</v>
      </c>
      <c r="H144" s="6">
        <v>-46.720418500029062</v>
      </c>
      <c r="I144" s="9">
        <v>1540.02</v>
      </c>
      <c r="K144" s="6">
        <v>7.49</v>
      </c>
      <c r="L144" s="6">
        <v>70</v>
      </c>
      <c r="N144" s="1">
        <f t="shared" si="26"/>
        <v>0</v>
      </c>
      <c r="O144" s="6" t="s">
        <v>20</v>
      </c>
      <c r="Q144" s="6" t="s">
        <v>21</v>
      </c>
      <c r="R144" s="6" t="s">
        <v>21</v>
      </c>
      <c r="S144" s="6" t="s">
        <v>21</v>
      </c>
      <c r="T144" s="6" t="s">
        <v>21</v>
      </c>
      <c r="U144" s="6">
        <f t="shared" si="27"/>
        <v>1078.0139999999999</v>
      </c>
      <c r="V144" s="6">
        <f t="shared" si="29"/>
        <v>1078.0139999999999</v>
      </c>
    </row>
    <row r="145" spans="1:22" x14ac:dyDescent="0.35">
      <c r="A145" s="6" t="s">
        <v>189</v>
      </c>
      <c r="B145" s="6" t="s">
        <v>160</v>
      </c>
      <c r="C145" s="6" t="s">
        <v>161</v>
      </c>
      <c r="D145" s="6">
        <f t="shared" si="28"/>
        <v>0.5</v>
      </c>
      <c r="E145" s="6" t="s">
        <v>19</v>
      </c>
      <c r="F145" s="6" t="str">
        <f>MID(A145,19,1)</f>
        <v>N</v>
      </c>
      <c r="G145" s="6">
        <v>-23.505944626751571</v>
      </c>
      <c r="H145" s="6">
        <v>-46.751263483791817</v>
      </c>
      <c r="I145" s="9">
        <v>4652.18</v>
      </c>
      <c r="K145" s="6">
        <v>5.91</v>
      </c>
      <c r="L145" s="6">
        <v>0</v>
      </c>
      <c r="N145" s="1">
        <f t="shared" si="26"/>
        <v>0</v>
      </c>
      <c r="Q145" s="6" t="s">
        <v>21</v>
      </c>
      <c r="R145" s="6" t="s">
        <v>21</v>
      </c>
      <c r="S145" s="6" t="s">
        <v>21</v>
      </c>
      <c r="T145" s="6" t="s">
        <v>21</v>
      </c>
      <c r="U145" s="6">
        <f t="shared" si="27"/>
        <v>0</v>
      </c>
      <c r="V145" s="6">
        <f t="shared" si="29"/>
        <v>0</v>
      </c>
    </row>
    <row r="146" spans="1:22" x14ac:dyDescent="0.35">
      <c r="A146" s="6" t="s">
        <v>190</v>
      </c>
      <c r="B146" s="6" t="s">
        <v>160</v>
      </c>
      <c r="C146" s="6" t="s">
        <v>161</v>
      </c>
      <c r="D146" s="6">
        <f t="shared" si="28"/>
        <v>0.5</v>
      </c>
      <c r="E146" s="6" t="s">
        <v>19</v>
      </c>
      <c r="F146" s="6" t="str">
        <f>MID(A146,19,1)</f>
        <v>N</v>
      </c>
      <c r="G146" s="6">
        <v>-23.507149856593841</v>
      </c>
      <c r="H146" s="6">
        <v>-46.747157386694887</v>
      </c>
      <c r="I146" s="9">
        <v>341.95</v>
      </c>
      <c r="K146" s="6">
        <v>4.9400000000000004</v>
      </c>
      <c r="L146" s="6">
        <v>10</v>
      </c>
      <c r="N146" s="1">
        <f t="shared" si="26"/>
        <v>0</v>
      </c>
      <c r="O146" s="6" t="s">
        <v>20</v>
      </c>
      <c r="Q146" s="6" t="s">
        <v>21</v>
      </c>
      <c r="R146" s="6" t="s">
        <v>21</v>
      </c>
      <c r="S146" s="6" t="s">
        <v>21</v>
      </c>
      <c r="T146" s="6" t="s">
        <v>21</v>
      </c>
      <c r="U146" s="6">
        <f t="shared" si="27"/>
        <v>34.195</v>
      </c>
      <c r="V146" s="6">
        <f t="shared" si="29"/>
        <v>34.195</v>
      </c>
    </row>
    <row r="147" spans="1:22" x14ac:dyDescent="0.35">
      <c r="A147" s="6" t="s">
        <v>191</v>
      </c>
      <c r="B147" s="6" t="s">
        <v>160</v>
      </c>
      <c r="C147" s="6" t="s">
        <v>161</v>
      </c>
      <c r="D147" s="6">
        <f t="shared" si="28"/>
        <v>0.5</v>
      </c>
      <c r="E147" s="6" t="s">
        <v>19</v>
      </c>
      <c r="F147" s="6" t="str">
        <f>MID(A147,19,1)</f>
        <v>N</v>
      </c>
      <c r="G147" s="6">
        <v>-23.507242651923949</v>
      </c>
      <c r="H147" s="6">
        <v>-46.745464662906294</v>
      </c>
      <c r="I147" s="9">
        <v>4004.79</v>
      </c>
      <c r="K147" s="6">
        <v>5.92</v>
      </c>
      <c r="L147" s="6">
        <v>10</v>
      </c>
      <c r="N147" s="1">
        <f t="shared" si="26"/>
        <v>0</v>
      </c>
      <c r="O147" s="6" t="s">
        <v>20</v>
      </c>
      <c r="Q147" s="6" t="s">
        <v>21</v>
      </c>
      <c r="R147" s="6" t="s">
        <v>21</v>
      </c>
      <c r="S147" s="6" t="s">
        <v>21</v>
      </c>
      <c r="T147" s="6" t="s">
        <v>21</v>
      </c>
      <c r="U147" s="6">
        <f t="shared" si="27"/>
        <v>400.47900000000004</v>
      </c>
      <c r="V147" s="6">
        <f t="shared" si="29"/>
        <v>400.47900000000004</v>
      </c>
    </row>
    <row r="148" spans="1:22" hidden="1" x14ac:dyDescent="0.35">
      <c r="A148" s="6" t="s">
        <v>192</v>
      </c>
      <c r="B148" s="6" t="s">
        <v>193</v>
      </c>
      <c r="C148" s="6" t="s">
        <v>194</v>
      </c>
      <c r="D148" s="6">
        <f t="shared" si="28"/>
        <v>0.5</v>
      </c>
      <c r="E148" s="6" t="s">
        <v>19</v>
      </c>
      <c r="F148" s="6" t="str">
        <f>MID(A148,19,1)</f>
        <v>S</v>
      </c>
      <c r="G148" s="6">
        <v>-23.496632366999531</v>
      </c>
      <c r="H148" s="6">
        <v>-46.755220090371907</v>
      </c>
      <c r="I148" s="9">
        <v>117.67</v>
      </c>
      <c r="K148" s="6">
        <v>4.22</v>
      </c>
      <c r="L148" s="6">
        <v>0</v>
      </c>
      <c r="N148" s="1">
        <f t="shared" si="26"/>
        <v>0</v>
      </c>
      <c r="Q148" s="6" t="s">
        <v>21</v>
      </c>
      <c r="R148" s="6" t="s">
        <v>21</v>
      </c>
      <c r="S148" s="6" t="s">
        <v>21</v>
      </c>
      <c r="T148" s="6" t="s">
        <v>21</v>
      </c>
      <c r="U148" s="6">
        <f t="shared" si="27"/>
        <v>0</v>
      </c>
      <c r="V148" s="6">
        <f t="shared" si="29"/>
        <v>0</v>
      </c>
    </row>
    <row r="149" spans="1:22" hidden="1" x14ac:dyDescent="0.35">
      <c r="A149" s="6" t="s">
        <v>195</v>
      </c>
      <c r="B149" s="6" t="s">
        <v>193</v>
      </c>
      <c r="C149" s="6" t="s">
        <v>194</v>
      </c>
      <c r="D149" s="6">
        <f t="shared" si="28"/>
        <v>0.5</v>
      </c>
      <c r="E149" s="6" t="s">
        <v>19</v>
      </c>
      <c r="F149" s="6" t="str">
        <f>MID(A149,19,1)</f>
        <v>S</v>
      </c>
      <c r="G149" s="6">
        <v>-23.50324332917382</v>
      </c>
      <c r="H149" s="6">
        <v>-46.754399576978429</v>
      </c>
      <c r="I149" s="9">
        <v>871.94</v>
      </c>
      <c r="K149" s="6">
        <v>9.4700000000000006</v>
      </c>
      <c r="L149" s="6">
        <v>0</v>
      </c>
      <c r="N149" s="1">
        <f t="shared" si="26"/>
        <v>0</v>
      </c>
      <c r="Q149" s="6" t="s">
        <v>21</v>
      </c>
      <c r="R149" s="6" t="s">
        <v>21</v>
      </c>
      <c r="S149" s="6" t="s">
        <v>21</v>
      </c>
      <c r="T149" s="6" t="s">
        <v>21</v>
      </c>
      <c r="U149" s="6">
        <f t="shared" si="27"/>
        <v>0</v>
      </c>
      <c r="V149" s="6">
        <f t="shared" si="29"/>
        <v>0</v>
      </c>
    </row>
    <row r="150" spans="1:22" hidden="1" x14ac:dyDescent="0.35">
      <c r="A150" s="6" t="s">
        <v>196</v>
      </c>
      <c r="B150" s="6" t="s">
        <v>193</v>
      </c>
      <c r="C150" s="6" t="s">
        <v>194</v>
      </c>
      <c r="D150" s="6">
        <f t="shared" si="28"/>
        <v>0.5</v>
      </c>
      <c r="E150" s="6" t="s">
        <v>19</v>
      </c>
      <c r="F150" s="6" t="str">
        <f>MID(A150,19,1)</f>
        <v>S</v>
      </c>
      <c r="G150" s="6">
        <v>-23.502576720334869</v>
      </c>
      <c r="H150" s="6">
        <v>-46.755454971130114</v>
      </c>
      <c r="I150" s="9">
        <v>272.87</v>
      </c>
      <c r="K150" s="6">
        <v>8.36</v>
      </c>
      <c r="L150" s="6">
        <v>0</v>
      </c>
      <c r="N150" s="1">
        <f t="shared" si="26"/>
        <v>0</v>
      </c>
      <c r="Q150" s="6" t="s">
        <v>21</v>
      </c>
      <c r="R150" s="6" t="s">
        <v>21</v>
      </c>
      <c r="S150" s="6" t="s">
        <v>21</v>
      </c>
      <c r="T150" s="6" t="s">
        <v>21</v>
      </c>
      <c r="U150" s="6">
        <f t="shared" si="27"/>
        <v>0</v>
      </c>
      <c r="V150" s="6">
        <f t="shared" si="29"/>
        <v>0</v>
      </c>
    </row>
    <row r="151" spans="1:22" hidden="1" x14ac:dyDescent="0.35">
      <c r="A151" s="6" t="s">
        <v>197</v>
      </c>
      <c r="B151" s="6" t="s">
        <v>193</v>
      </c>
      <c r="C151" s="6" t="s">
        <v>194</v>
      </c>
      <c r="D151" s="6">
        <f t="shared" si="28"/>
        <v>0.5</v>
      </c>
      <c r="E151" s="6" t="s">
        <v>19</v>
      </c>
      <c r="F151" s="6" t="str">
        <f>MID(A151,19,1)</f>
        <v>S</v>
      </c>
      <c r="G151" s="6">
        <v>-23.50052191411757</v>
      </c>
      <c r="H151" s="6">
        <v>-46.75497650314076</v>
      </c>
      <c r="I151" s="9">
        <v>523.03</v>
      </c>
      <c r="K151" s="6">
        <v>2.63</v>
      </c>
      <c r="L151" s="6">
        <v>0</v>
      </c>
      <c r="N151" s="1">
        <f t="shared" si="26"/>
        <v>0</v>
      </c>
      <c r="Q151" s="6" t="s">
        <v>21</v>
      </c>
      <c r="R151" s="6" t="s">
        <v>21</v>
      </c>
      <c r="S151" s="6" t="s">
        <v>21</v>
      </c>
      <c r="T151" s="6" t="s">
        <v>21</v>
      </c>
      <c r="U151" s="6">
        <f t="shared" si="27"/>
        <v>0</v>
      </c>
      <c r="V151" s="6">
        <f t="shared" si="29"/>
        <v>0</v>
      </c>
    </row>
    <row r="152" spans="1:22" hidden="1" x14ac:dyDescent="0.35">
      <c r="A152" s="6" t="s">
        <v>198</v>
      </c>
      <c r="B152" s="6" t="s">
        <v>193</v>
      </c>
      <c r="C152" s="6" t="s">
        <v>194</v>
      </c>
      <c r="D152" s="6">
        <f t="shared" si="28"/>
        <v>0.5</v>
      </c>
      <c r="E152" s="6" t="s">
        <v>19</v>
      </c>
      <c r="F152" s="6" t="str">
        <f>MID(A152,19,1)</f>
        <v>S</v>
      </c>
      <c r="G152" s="6">
        <v>-23.497933406222899</v>
      </c>
      <c r="H152" s="6">
        <v>-46.755027389717718</v>
      </c>
      <c r="I152" s="9">
        <v>53.12</v>
      </c>
      <c r="K152" s="6">
        <v>3.92</v>
      </c>
      <c r="L152" s="6">
        <v>0</v>
      </c>
      <c r="N152" s="1">
        <f t="shared" si="26"/>
        <v>0</v>
      </c>
      <c r="Q152" s="6" t="s">
        <v>21</v>
      </c>
      <c r="R152" s="6" t="s">
        <v>21</v>
      </c>
      <c r="S152" s="6" t="s">
        <v>21</v>
      </c>
      <c r="T152" s="6" t="s">
        <v>21</v>
      </c>
      <c r="U152" s="6">
        <f t="shared" si="27"/>
        <v>0</v>
      </c>
      <c r="V152" s="6">
        <f t="shared" si="29"/>
        <v>0</v>
      </c>
    </row>
    <row r="153" spans="1:22" hidden="1" x14ac:dyDescent="0.35">
      <c r="A153" s="6" t="s">
        <v>199</v>
      </c>
      <c r="B153" s="6" t="s">
        <v>193</v>
      </c>
      <c r="C153" s="6" t="s">
        <v>194</v>
      </c>
      <c r="D153" s="6">
        <f t="shared" si="28"/>
        <v>0.5</v>
      </c>
      <c r="E153" s="6" t="s">
        <v>19</v>
      </c>
      <c r="F153" s="6" t="str">
        <f>MID(A153,19,1)</f>
        <v>S</v>
      </c>
      <c r="G153" s="6">
        <v>-23.497161255074761</v>
      </c>
      <c r="H153" s="6">
        <v>-46.75512072187459</v>
      </c>
      <c r="I153" s="9">
        <v>326.55</v>
      </c>
      <c r="K153" s="6">
        <v>5.86</v>
      </c>
      <c r="L153" s="6">
        <v>0</v>
      </c>
      <c r="N153" s="1">
        <f t="shared" si="26"/>
        <v>0</v>
      </c>
      <c r="Q153" s="6" t="s">
        <v>21</v>
      </c>
      <c r="R153" s="6" t="s">
        <v>21</v>
      </c>
      <c r="S153" s="6" t="s">
        <v>21</v>
      </c>
      <c r="T153" s="6" t="s">
        <v>21</v>
      </c>
      <c r="U153" s="6">
        <f t="shared" si="27"/>
        <v>0</v>
      </c>
      <c r="V153" s="6">
        <f t="shared" si="29"/>
        <v>0</v>
      </c>
    </row>
    <row r="154" spans="1:22" hidden="1" x14ac:dyDescent="0.35">
      <c r="A154" s="6" t="s">
        <v>200</v>
      </c>
      <c r="B154" s="6" t="s">
        <v>193</v>
      </c>
      <c r="C154" s="6" t="s">
        <v>194</v>
      </c>
      <c r="D154" s="6">
        <f t="shared" si="28"/>
        <v>0.5</v>
      </c>
      <c r="E154" s="6" t="s">
        <v>19</v>
      </c>
      <c r="F154" s="6" t="str">
        <f>MID(A154,19,1)</f>
        <v>S</v>
      </c>
      <c r="G154" s="6">
        <v>-23.49934581363528</v>
      </c>
      <c r="H154" s="6">
        <v>-46.754974524060607</v>
      </c>
      <c r="I154" s="9">
        <v>750.59</v>
      </c>
      <c r="K154" s="6">
        <v>7.14</v>
      </c>
      <c r="L154" s="6">
        <v>0</v>
      </c>
      <c r="N154" s="1">
        <f t="shared" si="26"/>
        <v>0</v>
      </c>
      <c r="Q154" s="6" t="s">
        <v>21</v>
      </c>
      <c r="R154" s="6" t="s">
        <v>21</v>
      </c>
      <c r="S154" s="6" t="s">
        <v>21</v>
      </c>
      <c r="T154" s="6" t="s">
        <v>21</v>
      </c>
      <c r="U154" s="6">
        <f t="shared" si="27"/>
        <v>0</v>
      </c>
      <c r="V154" s="6">
        <f t="shared" si="29"/>
        <v>0</v>
      </c>
    </row>
    <row r="155" spans="1:22" hidden="1" x14ac:dyDescent="0.35">
      <c r="A155" s="6" t="s">
        <v>201</v>
      </c>
      <c r="B155" s="6" t="s">
        <v>193</v>
      </c>
      <c r="C155" s="6" t="s">
        <v>194</v>
      </c>
      <c r="D155" s="6">
        <f t="shared" si="28"/>
        <v>0.5</v>
      </c>
      <c r="E155" s="6" t="s">
        <v>19</v>
      </c>
      <c r="F155" s="6" t="str">
        <f>MID(A155,19,1)</f>
        <v>S</v>
      </c>
      <c r="G155" s="6">
        <v>-23.502442024388191</v>
      </c>
      <c r="H155" s="6">
        <v>-46.754787955937317</v>
      </c>
      <c r="I155" s="9">
        <v>1213.55</v>
      </c>
      <c r="K155" s="6">
        <v>6.27</v>
      </c>
      <c r="L155" s="6">
        <v>0</v>
      </c>
      <c r="N155" s="1">
        <f t="shared" si="26"/>
        <v>0</v>
      </c>
      <c r="Q155" s="6" t="s">
        <v>21</v>
      </c>
      <c r="R155" s="6" t="s">
        <v>21</v>
      </c>
      <c r="S155" s="6" t="s">
        <v>21</v>
      </c>
      <c r="T155" s="6" t="s">
        <v>21</v>
      </c>
      <c r="U155" s="6">
        <f t="shared" si="27"/>
        <v>0</v>
      </c>
      <c r="V155" s="6">
        <f t="shared" si="29"/>
        <v>0</v>
      </c>
    </row>
    <row r="156" spans="1:22" hidden="1" x14ac:dyDescent="0.35">
      <c r="A156" s="6" t="s">
        <v>202</v>
      </c>
      <c r="B156" s="6" t="s">
        <v>193</v>
      </c>
      <c r="C156" s="6" t="s">
        <v>194</v>
      </c>
      <c r="D156" s="6">
        <f t="shared" si="28"/>
        <v>0.5</v>
      </c>
      <c r="E156" s="6" t="s">
        <v>19</v>
      </c>
      <c r="F156" s="6" t="str">
        <f>MID(A156,19,1)</f>
        <v>S</v>
      </c>
      <c r="G156" s="6">
        <v>-23.501819022226371</v>
      </c>
      <c r="H156" s="6">
        <v>-46.754945052828852</v>
      </c>
      <c r="I156" s="9">
        <v>719.45</v>
      </c>
      <c r="K156" s="6">
        <v>4.5599999999999996</v>
      </c>
      <c r="L156" s="6">
        <v>0</v>
      </c>
      <c r="N156" s="1">
        <f t="shared" si="26"/>
        <v>0</v>
      </c>
      <c r="Q156" s="6" t="s">
        <v>21</v>
      </c>
      <c r="R156" s="6" t="s">
        <v>21</v>
      </c>
      <c r="S156" s="6" t="s">
        <v>21</v>
      </c>
      <c r="T156" s="6" t="s">
        <v>21</v>
      </c>
      <c r="U156" s="6">
        <f t="shared" si="27"/>
        <v>0</v>
      </c>
      <c r="V156" s="6">
        <f t="shared" si="29"/>
        <v>0</v>
      </c>
    </row>
    <row r="157" spans="1:22" x14ac:dyDescent="0.35">
      <c r="A157" s="6" t="s">
        <v>203</v>
      </c>
      <c r="B157" s="6" t="s">
        <v>193</v>
      </c>
      <c r="C157" s="6" t="s">
        <v>194</v>
      </c>
      <c r="D157" s="6">
        <f t="shared" si="28"/>
        <v>0.5</v>
      </c>
      <c r="E157" s="6" t="s">
        <v>19</v>
      </c>
      <c r="F157" s="6" t="str">
        <f>MID(A157,19,1)</f>
        <v>N</v>
      </c>
      <c r="G157" s="6">
        <v>-23.496880607260842</v>
      </c>
      <c r="H157" s="6">
        <v>-46.754447976964393</v>
      </c>
      <c r="I157" s="9">
        <v>517.19000000000005</v>
      </c>
      <c r="K157" s="6">
        <v>11.77</v>
      </c>
      <c r="L157" s="6">
        <v>0</v>
      </c>
      <c r="N157" s="1">
        <f t="shared" si="26"/>
        <v>0</v>
      </c>
      <c r="Q157" s="6" t="s">
        <v>21</v>
      </c>
      <c r="R157" s="6" t="s">
        <v>21</v>
      </c>
      <c r="S157" s="6" t="s">
        <v>21</v>
      </c>
      <c r="T157" s="6" t="s">
        <v>21</v>
      </c>
      <c r="U157" s="6">
        <f t="shared" si="27"/>
        <v>0</v>
      </c>
      <c r="V157" s="6">
        <f t="shared" si="29"/>
        <v>0</v>
      </c>
    </row>
    <row r="158" spans="1:22" x14ac:dyDescent="0.35">
      <c r="A158" s="6" t="s">
        <v>204</v>
      </c>
      <c r="B158" s="6" t="s">
        <v>193</v>
      </c>
      <c r="C158" s="6" t="s">
        <v>194</v>
      </c>
      <c r="D158" s="6">
        <f t="shared" si="28"/>
        <v>0.5</v>
      </c>
      <c r="E158" s="6" t="s">
        <v>19</v>
      </c>
      <c r="F158" s="6" t="str">
        <f>MID(A158,19,1)</f>
        <v>N</v>
      </c>
      <c r="G158" s="6">
        <v>-23.49879151770082</v>
      </c>
      <c r="H158" s="6">
        <v>-46.754335169853363</v>
      </c>
      <c r="I158" s="9">
        <v>1103.72</v>
      </c>
      <c r="K158" s="6">
        <v>10.27</v>
      </c>
      <c r="L158" s="6">
        <v>0</v>
      </c>
      <c r="N158" s="1">
        <f t="shared" si="26"/>
        <v>0</v>
      </c>
      <c r="Q158" s="6" t="s">
        <v>21</v>
      </c>
      <c r="R158" s="6" t="s">
        <v>21</v>
      </c>
      <c r="S158" s="6" t="s">
        <v>21</v>
      </c>
      <c r="T158" s="6" t="s">
        <v>21</v>
      </c>
      <c r="U158" s="6">
        <f t="shared" si="27"/>
        <v>0</v>
      </c>
      <c r="V158" s="6">
        <f t="shared" si="29"/>
        <v>0</v>
      </c>
    </row>
    <row r="159" spans="1:22" hidden="1" x14ac:dyDescent="0.35">
      <c r="A159" s="6" t="s">
        <v>205</v>
      </c>
      <c r="B159" s="6" t="s">
        <v>193</v>
      </c>
      <c r="C159" s="6" t="s">
        <v>194</v>
      </c>
      <c r="D159" s="6">
        <f t="shared" si="28"/>
        <v>0.5</v>
      </c>
      <c r="E159" s="6" t="s">
        <v>23</v>
      </c>
      <c r="F159" s="6" t="str">
        <f>MID(A159,19,1)</f>
        <v>C</v>
      </c>
      <c r="G159" s="6">
        <v>-23.50319526702631</v>
      </c>
      <c r="H159" s="6">
        <v>-46.754042485268442</v>
      </c>
      <c r="I159" s="9">
        <v>1407.35</v>
      </c>
      <c r="J159" s="9">
        <f>I159/500</f>
        <v>2.8146999999999998</v>
      </c>
      <c r="K159" s="6">
        <v>8.19</v>
      </c>
      <c r="L159" s="6">
        <v>0</v>
      </c>
      <c r="N159" s="1">
        <f t="shared" si="26"/>
        <v>0</v>
      </c>
      <c r="Q159" s="6" t="s">
        <v>21</v>
      </c>
      <c r="R159" s="6" t="s">
        <v>21</v>
      </c>
      <c r="S159" s="6" t="s">
        <v>21</v>
      </c>
      <c r="T159" s="6" t="s">
        <v>21</v>
      </c>
      <c r="U159" s="6">
        <f t="shared" si="27"/>
        <v>0</v>
      </c>
      <c r="V159" s="6">
        <f t="shared" si="29"/>
        <v>0</v>
      </c>
    </row>
    <row r="160" spans="1:22" x14ac:dyDescent="0.35">
      <c r="A160" s="6" t="s">
        <v>206</v>
      </c>
      <c r="B160" s="6" t="s">
        <v>193</v>
      </c>
      <c r="C160" s="6" t="s">
        <v>194</v>
      </c>
      <c r="D160" s="6">
        <f t="shared" si="28"/>
        <v>0.5</v>
      </c>
      <c r="E160" s="6" t="s">
        <v>19</v>
      </c>
      <c r="F160" s="6" t="str">
        <f>MID(A160,19,1)</f>
        <v>N</v>
      </c>
      <c r="G160" s="6">
        <v>-23.500777949256449</v>
      </c>
      <c r="H160" s="6">
        <v>-46.754173780215851</v>
      </c>
      <c r="I160" s="9">
        <v>145.16999999999999</v>
      </c>
      <c r="K160" s="6">
        <v>6.43</v>
      </c>
      <c r="L160" s="6">
        <v>10</v>
      </c>
      <c r="N160" s="1">
        <f t="shared" si="26"/>
        <v>0</v>
      </c>
      <c r="O160" s="6" t="s">
        <v>20</v>
      </c>
      <c r="Q160" s="6" t="s">
        <v>21</v>
      </c>
      <c r="R160" s="6" t="s">
        <v>21</v>
      </c>
      <c r="S160" s="6" t="s">
        <v>21</v>
      </c>
      <c r="T160" s="6" t="s">
        <v>21</v>
      </c>
      <c r="U160" s="6">
        <f t="shared" si="27"/>
        <v>14.516999999999999</v>
      </c>
      <c r="V160" s="6">
        <f t="shared" si="29"/>
        <v>14.516999999999999</v>
      </c>
    </row>
    <row r="161" spans="1:22" x14ac:dyDescent="0.35">
      <c r="A161" s="6" t="s">
        <v>207</v>
      </c>
      <c r="B161" s="6" t="s">
        <v>193</v>
      </c>
      <c r="C161" s="6" t="s">
        <v>194</v>
      </c>
      <c r="D161" s="6">
        <f t="shared" si="28"/>
        <v>0.5</v>
      </c>
      <c r="E161" s="6" t="s">
        <v>19</v>
      </c>
      <c r="F161" s="6" t="str">
        <f>MID(A161,19,1)</f>
        <v>N</v>
      </c>
      <c r="G161" s="6">
        <v>-23.502348608061691</v>
      </c>
      <c r="H161" s="6">
        <v>-46.753966684493413</v>
      </c>
      <c r="I161" s="9">
        <v>6680.97</v>
      </c>
      <c r="K161" s="6">
        <v>6.47</v>
      </c>
      <c r="L161" s="6">
        <v>90</v>
      </c>
      <c r="N161" s="1">
        <f t="shared" si="26"/>
        <v>0</v>
      </c>
      <c r="O161" s="6" t="s">
        <v>20</v>
      </c>
      <c r="Q161" s="6" t="s">
        <v>21</v>
      </c>
      <c r="R161" s="6" t="s">
        <v>21</v>
      </c>
      <c r="S161" s="6" t="s">
        <v>21</v>
      </c>
      <c r="T161" s="6" t="s">
        <v>21</v>
      </c>
      <c r="U161" s="6">
        <f t="shared" si="27"/>
        <v>6012.8730000000005</v>
      </c>
      <c r="V161" s="6">
        <f t="shared" si="29"/>
        <v>6012.8730000000005</v>
      </c>
    </row>
    <row r="162" spans="1:22" hidden="1" x14ac:dyDescent="0.35">
      <c r="A162" s="6" t="s">
        <v>208</v>
      </c>
      <c r="B162" s="6" t="s">
        <v>193</v>
      </c>
      <c r="C162" s="6" t="s">
        <v>194</v>
      </c>
      <c r="D162" s="6">
        <f t="shared" si="28"/>
        <v>0.5</v>
      </c>
      <c r="E162" s="6" t="s">
        <v>23</v>
      </c>
      <c r="F162" s="6" t="str">
        <f>MID(A162,19,1)</f>
        <v>C</v>
      </c>
      <c r="G162" s="6">
        <v>-23.50038424486101</v>
      </c>
      <c r="H162" s="6">
        <v>-46.754444854138868</v>
      </c>
      <c r="I162" s="9">
        <v>672.49</v>
      </c>
      <c r="J162" s="9">
        <f>I162/500</f>
        <v>1.3449800000000001</v>
      </c>
      <c r="K162" s="6">
        <v>9.5299999999999994</v>
      </c>
      <c r="L162" s="6">
        <v>0</v>
      </c>
      <c r="N162" s="1">
        <f t="shared" si="26"/>
        <v>0</v>
      </c>
      <c r="Q162" s="6" t="s">
        <v>21</v>
      </c>
      <c r="R162" s="6" t="s">
        <v>21</v>
      </c>
      <c r="S162" s="6" t="s">
        <v>21</v>
      </c>
      <c r="T162" s="6" t="s">
        <v>21</v>
      </c>
      <c r="U162" s="6">
        <f t="shared" si="27"/>
        <v>0</v>
      </c>
      <c r="V162" s="6">
        <f t="shared" si="29"/>
        <v>0</v>
      </c>
    </row>
    <row r="163" spans="1:22" x14ac:dyDescent="0.35">
      <c r="A163" s="6" t="s">
        <v>209</v>
      </c>
      <c r="B163" s="6" t="s">
        <v>193</v>
      </c>
      <c r="C163" s="6" t="s">
        <v>194</v>
      </c>
      <c r="D163" s="6">
        <f t="shared" si="28"/>
        <v>0.5</v>
      </c>
      <c r="E163" s="6" t="s">
        <v>19</v>
      </c>
      <c r="F163" s="6" t="str">
        <f>MID(A163,19,1)</f>
        <v>N</v>
      </c>
      <c r="G163" s="6">
        <v>-23.500286941616618</v>
      </c>
      <c r="H163" s="6">
        <v>-46.753572238899082</v>
      </c>
      <c r="I163" s="9">
        <v>645.39</v>
      </c>
      <c r="K163" s="6">
        <v>9.61</v>
      </c>
      <c r="L163" s="6">
        <v>10</v>
      </c>
      <c r="N163" s="1">
        <f t="shared" si="26"/>
        <v>0</v>
      </c>
      <c r="O163" s="6" t="s">
        <v>20</v>
      </c>
      <c r="Q163" s="6" t="s">
        <v>21</v>
      </c>
      <c r="R163" s="6" t="s">
        <v>21</v>
      </c>
      <c r="S163" s="6" t="s">
        <v>21</v>
      </c>
      <c r="T163" s="6" t="s">
        <v>21</v>
      </c>
      <c r="U163" s="6">
        <f t="shared" si="27"/>
        <v>64.539000000000001</v>
      </c>
      <c r="V163" s="6">
        <f t="shared" si="29"/>
        <v>64.539000000000001</v>
      </c>
    </row>
    <row r="164" spans="1:22" x14ac:dyDescent="0.35">
      <c r="A164" s="6" t="s">
        <v>210</v>
      </c>
      <c r="B164" s="6" t="s">
        <v>193</v>
      </c>
      <c r="C164" s="6" t="s">
        <v>194</v>
      </c>
      <c r="D164" s="6">
        <f t="shared" si="28"/>
        <v>0.5</v>
      </c>
      <c r="E164" s="6" t="s">
        <v>19</v>
      </c>
      <c r="F164" s="6" t="str">
        <f>MID(A164,19,1)</f>
        <v>N</v>
      </c>
      <c r="G164" s="6">
        <v>-23.499729886179541</v>
      </c>
      <c r="H164" s="6">
        <v>-46.754488526554368</v>
      </c>
      <c r="I164" s="9">
        <v>273.68</v>
      </c>
      <c r="K164" s="6">
        <v>13</v>
      </c>
      <c r="L164" s="6">
        <v>0</v>
      </c>
      <c r="N164" s="1">
        <f t="shared" si="26"/>
        <v>0</v>
      </c>
      <c r="Q164" s="6" t="s">
        <v>21</v>
      </c>
      <c r="R164" s="6" t="s">
        <v>21</v>
      </c>
      <c r="S164" s="6" t="s">
        <v>21</v>
      </c>
      <c r="T164" s="6" t="s">
        <v>21</v>
      </c>
      <c r="U164" s="6">
        <f t="shared" si="27"/>
        <v>0</v>
      </c>
      <c r="V164" s="6">
        <f t="shared" si="29"/>
        <v>0</v>
      </c>
    </row>
    <row r="165" spans="1:22" x14ac:dyDescent="0.35">
      <c r="A165" s="6" t="s">
        <v>211</v>
      </c>
      <c r="B165" s="6" t="s">
        <v>193</v>
      </c>
      <c r="C165" s="6" t="s">
        <v>194</v>
      </c>
      <c r="D165" s="6">
        <f t="shared" si="28"/>
        <v>0.5</v>
      </c>
      <c r="E165" s="6" t="s">
        <v>19</v>
      </c>
      <c r="F165" s="6" t="str">
        <f>MID(A165,19,1)</f>
        <v>N</v>
      </c>
      <c r="G165" s="6">
        <v>-23.505240568882101</v>
      </c>
      <c r="H165" s="6">
        <v>-46.722905057353273</v>
      </c>
      <c r="I165" s="9">
        <v>1264.71</v>
      </c>
      <c r="K165" s="6">
        <v>12.28</v>
      </c>
      <c r="L165" s="6">
        <v>70</v>
      </c>
      <c r="N165" s="1">
        <f t="shared" si="26"/>
        <v>0</v>
      </c>
      <c r="O165" s="6" t="s">
        <v>20</v>
      </c>
      <c r="Q165" s="6" t="s">
        <v>21</v>
      </c>
      <c r="R165" s="6" t="s">
        <v>21</v>
      </c>
      <c r="S165" s="6" t="s">
        <v>21</v>
      </c>
      <c r="T165" s="6" t="s">
        <v>21</v>
      </c>
      <c r="U165" s="6">
        <f t="shared" si="27"/>
        <v>885.29700000000003</v>
      </c>
      <c r="V165" s="6">
        <f t="shared" si="29"/>
        <v>885.29700000000003</v>
      </c>
    </row>
    <row r="166" spans="1:22" x14ac:dyDescent="0.35">
      <c r="A166" s="6" t="s">
        <v>212</v>
      </c>
      <c r="B166" s="6" t="s">
        <v>193</v>
      </c>
      <c r="C166" s="6" t="s">
        <v>194</v>
      </c>
      <c r="D166" s="6">
        <f t="shared" si="28"/>
        <v>0.5</v>
      </c>
      <c r="E166" s="6" t="s">
        <v>19</v>
      </c>
      <c r="F166" s="6" t="str">
        <f>MID(A166,19,1)</f>
        <v>N</v>
      </c>
      <c r="G166" s="6">
        <v>-23.50036575783766</v>
      </c>
      <c r="H166" s="6">
        <v>-46.754197776932223</v>
      </c>
      <c r="I166" s="9">
        <v>339.07</v>
      </c>
      <c r="K166" s="6">
        <v>7.5</v>
      </c>
      <c r="L166" s="6">
        <v>10</v>
      </c>
      <c r="N166" s="1">
        <f t="shared" si="26"/>
        <v>0</v>
      </c>
      <c r="O166" s="6" t="s">
        <v>20</v>
      </c>
      <c r="Q166" s="6" t="s">
        <v>21</v>
      </c>
      <c r="R166" s="6" t="s">
        <v>21</v>
      </c>
      <c r="S166" s="6" t="s">
        <v>21</v>
      </c>
      <c r="T166" s="6" t="s">
        <v>21</v>
      </c>
      <c r="U166" s="6">
        <f t="shared" si="27"/>
        <v>33.907000000000004</v>
      </c>
      <c r="V166" s="6">
        <f t="shared" si="29"/>
        <v>33.907000000000004</v>
      </c>
    </row>
    <row r="167" spans="1:22" hidden="1" x14ac:dyDescent="0.35">
      <c r="A167" s="6" t="s">
        <v>213</v>
      </c>
      <c r="B167" s="6" t="s">
        <v>193</v>
      </c>
      <c r="C167" s="6" t="s">
        <v>194</v>
      </c>
      <c r="D167" s="6">
        <f t="shared" si="28"/>
        <v>0.5</v>
      </c>
      <c r="E167" s="6" t="s">
        <v>19</v>
      </c>
      <c r="F167" s="6" t="str">
        <f>MID(A167,19,1)</f>
        <v>S</v>
      </c>
      <c r="G167" s="6">
        <v>-23.50082584444143</v>
      </c>
      <c r="H167" s="6">
        <v>-46.754747277343007</v>
      </c>
      <c r="I167" s="9">
        <v>39.090000000000003</v>
      </c>
      <c r="K167" s="6">
        <v>6.55</v>
      </c>
      <c r="L167" s="6">
        <v>0</v>
      </c>
      <c r="N167" s="1">
        <f t="shared" si="26"/>
        <v>0</v>
      </c>
      <c r="Q167" s="6" t="s">
        <v>21</v>
      </c>
      <c r="R167" s="6" t="s">
        <v>21</v>
      </c>
      <c r="S167" s="6" t="s">
        <v>21</v>
      </c>
      <c r="T167" s="6" t="s">
        <v>21</v>
      </c>
      <c r="U167" s="6">
        <f t="shared" si="27"/>
        <v>0</v>
      </c>
      <c r="V167" s="6">
        <f t="shared" si="29"/>
        <v>0</v>
      </c>
    </row>
    <row r="168" spans="1:22" x14ac:dyDescent="0.35">
      <c r="A168" s="6" t="s">
        <v>214</v>
      </c>
      <c r="B168" s="6" t="s">
        <v>193</v>
      </c>
      <c r="C168" s="6" t="s">
        <v>194</v>
      </c>
      <c r="D168" s="6">
        <f t="shared" si="28"/>
        <v>0.5</v>
      </c>
      <c r="E168" s="6" t="s">
        <v>19</v>
      </c>
      <c r="F168" s="6" t="str">
        <f>MID(A168,19,1)</f>
        <v>N</v>
      </c>
      <c r="G168" s="6">
        <v>-23.500601350753509</v>
      </c>
      <c r="H168" s="6">
        <v>-46.753728176599331</v>
      </c>
      <c r="I168" s="9">
        <v>460.34</v>
      </c>
      <c r="K168" s="6">
        <v>7.84</v>
      </c>
      <c r="L168" s="6">
        <v>0</v>
      </c>
      <c r="N168" s="1">
        <f t="shared" si="26"/>
        <v>0</v>
      </c>
      <c r="Q168" s="6" t="s">
        <v>21</v>
      </c>
      <c r="R168" s="6" t="s">
        <v>21</v>
      </c>
      <c r="S168" s="6" t="s">
        <v>21</v>
      </c>
      <c r="T168" s="6" t="s">
        <v>21</v>
      </c>
      <c r="U168" s="6">
        <f t="shared" si="27"/>
        <v>0</v>
      </c>
      <c r="V168" s="6">
        <f t="shared" si="29"/>
        <v>0</v>
      </c>
    </row>
    <row r="169" spans="1:22" x14ac:dyDescent="0.35">
      <c r="A169" s="6" t="s">
        <v>215</v>
      </c>
      <c r="B169" s="6" t="s">
        <v>193</v>
      </c>
      <c r="C169" s="6" t="s">
        <v>194</v>
      </c>
      <c r="D169" s="6">
        <f t="shared" si="28"/>
        <v>0.5</v>
      </c>
      <c r="E169" s="6" t="s">
        <v>19</v>
      </c>
      <c r="F169" s="6" t="str">
        <f>MID(A169,19,1)</f>
        <v>N</v>
      </c>
      <c r="G169" s="6">
        <v>-23.50045126112704</v>
      </c>
      <c r="H169" s="6">
        <v>-46.75372936556348</v>
      </c>
      <c r="I169" s="9">
        <v>791.98</v>
      </c>
      <c r="K169" s="6">
        <v>8.66</v>
      </c>
      <c r="L169" s="6">
        <v>0</v>
      </c>
      <c r="N169" s="1">
        <f t="shared" si="26"/>
        <v>0</v>
      </c>
      <c r="Q169" s="6" t="s">
        <v>21</v>
      </c>
      <c r="R169" s="6" t="s">
        <v>21</v>
      </c>
      <c r="S169" s="6" t="s">
        <v>21</v>
      </c>
      <c r="T169" s="6" t="s">
        <v>21</v>
      </c>
      <c r="U169" s="6">
        <f t="shared" si="27"/>
        <v>0</v>
      </c>
      <c r="V169" s="6">
        <f t="shared" si="29"/>
        <v>0</v>
      </c>
    </row>
    <row r="170" spans="1:22" x14ac:dyDescent="0.35">
      <c r="A170" s="6" t="s">
        <v>216</v>
      </c>
      <c r="B170" s="6" t="s">
        <v>193</v>
      </c>
      <c r="C170" s="6" t="s">
        <v>194</v>
      </c>
      <c r="D170" s="6">
        <f t="shared" si="28"/>
        <v>0.5</v>
      </c>
      <c r="E170" s="6" t="s">
        <v>19</v>
      </c>
      <c r="F170" s="6" t="str">
        <f>MID(A170,19,1)</f>
        <v>N</v>
      </c>
      <c r="G170" s="6">
        <v>-23.500424505572951</v>
      </c>
      <c r="H170" s="6">
        <v>-46.752682039481243</v>
      </c>
      <c r="I170" s="9">
        <v>31.14</v>
      </c>
      <c r="K170" s="6">
        <v>6.64</v>
      </c>
      <c r="L170" s="6">
        <v>0</v>
      </c>
      <c r="N170" s="1">
        <f t="shared" si="26"/>
        <v>0</v>
      </c>
      <c r="Q170" s="6" t="s">
        <v>21</v>
      </c>
      <c r="R170" s="6" t="s">
        <v>21</v>
      </c>
      <c r="S170" s="6" t="s">
        <v>21</v>
      </c>
      <c r="T170" s="6" t="s">
        <v>21</v>
      </c>
      <c r="U170" s="6">
        <f t="shared" si="27"/>
        <v>0</v>
      </c>
      <c r="V170" s="6">
        <f t="shared" si="29"/>
        <v>0</v>
      </c>
    </row>
    <row r="171" spans="1:22" hidden="1" x14ac:dyDescent="0.35">
      <c r="A171" s="6" t="s">
        <v>217</v>
      </c>
      <c r="B171" s="6" t="s">
        <v>193</v>
      </c>
      <c r="C171" s="6" t="s">
        <v>194</v>
      </c>
      <c r="D171" s="6">
        <f t="shared" si="28"/>
        <v>0.5</v>
      </c>
      <c r="E171" s="6" t="s">
        <v>19</v>
      </c>
      <c r="F171" s="6" t="str">
        <f>MID(A171,19,1)</f>
        <v>S</v>
      </c>
      <c r="G171" s="6">
        <v>-23.502521112271531</v>
      </c>
      <c r="H171" s="6">
        <v>-46.725944521095677</v>
      </c>
      <c r="I171" s="9">
        <v>2145.5700000000002</v>
      </c>
      <c r="K171" s="6">
        <v>6.71</v>
      </c>
      <c r="L171" s="6">
        <v>70</v>
      </c>
      <c r="N171" s="1">
        <f t="shared" si="26"/>
        <v>0</v>
      </c>
      <c r="O171" s="6" t="s">
        <v>20</v>
      </c>
      <c r="Q171" s="6" t="s">
        <v>21</v>
      </c>
      <c r="R171" s="6" t="s">
        <v>21</v>
      </c>
      <c r="S171" s="6" t="s">
        <v>21</v>
      </c>
      <c r="T171" s="6" t="s">
        <v>21</v>
      </c>
      <c r="U171" s="6">
        <f t="shared" si="27"/>
        <v>1501.8990000000001</v>
      </c>
      <c r="V171" s="6">
        <f t="shared" si="29"/>
        <v>1501.8990000000001</v>
      </c>
    </row>
    <row r="172" spans="1:22" hidden="1" x14ac:dyDescent="0.35">
      <c r="A172" s="6" t="s">
        <v>218</v>
      </c>
      <c r="B172" s="6" t="s">
        <v>193</v>
      </c>
      <c r="C172" s="6" t="s">
        <v>194</v>
      </c>
      <c r="D172" s="6">
        <f t="shared" si="28"/>
        <v>0.5</v>
      </c>
      <c r="E172" s="6" t="s">
        <v>19</v>
      </c>
      <c r="F172" s="6" t="str">
        <f>MID(A172,19,1)</f>
        <v>S</v>
      </c>
      <c r="G172" s="6">
        <v>-23.50171179456559</v>
      </c>
      <c r="H172" s="6">
        <v>-46.754653080457807</v>
      </c>
      <c r="I172" s="9">
        <v>86.66</v>
      </c>
      <c r="K172" s="6">
        <v>3.69</v>
      </c>
      <c r="L172" s="6">
        <v>0</v>
      </c>
      <c r="N172" s="1">
        <f t="shared" si="26"/>
        <v>0</v>
      </c>
      <c r="Q172" s="6" t="s">
        <v>21</v>
      </c>
      <c r="R172" s="6" t="s">
        <v>21</v>
      </c>
      <c r="S172" s="6" t="s">
        <v>21</v>
      </c>
      <c r="T172" s="6" t="s">
        <v>21</v>
      </c>
      <c r="U172" s="6">
        <f t="shared" si="27"/>
        <v>0</v>
      </c>
      <c r="V172" s="6">
        <f t="shared" si="29"/>
        <v>0</v>
      </c>
    </row>
    <row r="173" spans="1:22" hidden="1" x14ac:dyDescent="0.35">
      <c r="A173" s="6" t="s">
        <v>219</v>
      </c>
      <c r="B173" s="6" t="s">
        <v>193</v>
      </c>
      <c r="C173" s="6" t="s">
        <v>194</v>
      </c>
      <c r="D173" s="6">
        <f t="shared" si="28"/>
        <v>0.5</v>
      </c>
      <c r="E173" s="6" t="s">
        <v>19</v>
      </c>
      <c r="F173" s="6" t="str">
        <f>MID(A173,19,1)</f>
        <v>S</v>
      </c>
      <c r="G173" s="6">
        <v>-23.505516261534101</v>
      </c>
      <c r="H173" s="6">
        <v>-46.723339925133047</v>
      </c>
      <c r="I173" s="9">
        <v>1258.55</v>
      </c>
      <c r="K173" s="6">
        <v>7.74</v>
      </c>
      <c r="L173" s="6">
        <v>0</v>
      </c>
      <c r="N173" s="1">
        <f t="shared" si="26"/>
        <v>0</v>
      </c>
      <c r="Q173" s="6" t="s">
        <v>21</v>
      </c>
      <c r="R173" s="6" t="s">
        <v>21</v>
      </c>
      <c r="S173" s="6" t="s">
        <v>21</v>
      </c>
      <c r="T173" s="6" t="s">
        <v>21</v>
      </c>
      <c r="U173" s="6">
        <f t="shared" si="27"/>
        <v>0</v>
      </c>
      <c r="V173" s="6">
        <f t="shared" si="29"/>
        <v>0</v>
      </c>
    </row>
    <row r="174" spans="1:22" x14ac:dyDescent="0.35">
      <c r="A174" s="6" t="s">
        <v>220</v>
      </c>
      <c r="B174" s="6" t="s">
        <v>193</v>
      </c>
      <c r="C174" s="6" t="s">
        <v>194</v>
      </c>
      <c r="D174" s="6">
        <f t="shared" si="28"/>
        <v>0.5</v>
      </c>
      <c r="E174" s="6" t="s">
        <v>19</v>
      </c>
      <c r="F174" s="6" t="str">
        <f>MID(A174,19,1)</f>
        <v>N</v>
      </c>
      <c r="G174" s="6">
        <v>-23.50048467400805</v>
      </c>
      <c r="H174" s="6">
        <v>-46.752792302696697</v>
      </c>
      <c r="I174" s="9">
        <v>41.21</v>
      </c>
      <c r="K174" s="6">
        <v>6.35</v>
      </c>
      <c r="L174" s="6">
        <v>0</v>
      </c>
      <c r="N174" s="1">
        <f t="shared" si="26"/>
        <v>0</v>
      </c>
      <c r="Q174" s="6" t="s">
        <v>21</v>
      </c>
      <c r="R174" s="6" t="s">
        <v>21</v>
      </c>
      <c r="S174" s="6" t="s">
        <v>21</v>
      </c>
      <c r="T174" s="6" t="s">
        <v>21</v>
      </c>
      <c r="U174" s="6">
        <f t="shared" si="27"/>
        <v>0</v>
      </c>
      <c r="V174" s="6">
        <f t="shared" si="29"/>
        <v>0</v>
      </c>
    </row>
    <row r="175" spans="1:22" hidden="1" x14ac:dyDescent="0.35">
      <c r="A175" s="6" t="s">
        <v>221</v>
      </c>
      <c r="B175" s="6" t="s">
        <v>193</v>
      </c>
      <c r="C175" s="6" t="s">
        <v>194</v>
      </c>
      <c r="D175" s="6">
        <f t="shared" si="28"/>
        <v>0.5</v>
      </c>
      <c r="E175" s="6" t="s">
        <v>19</v>
      </c>
      <c r="F175" s="6" t="str">
        <f>MID(A175,19,1)</f>
        <v>S</v>
      </c>
      <c r="G175" s="6">
        <v>-23.502380412303651</v>
      </c>
      <c r="H175" s="6">
        <v>-46.755454410906111</v>
      </c>
      <c r="I175" s="9">
        <v>72.31</v>
      </c>
      <c r="K175" s="6">
        <v>9.1300000000000008</v>
      </c>
      <c r="L175" s="6">
        <v>0</v>
      </c>
      <c r="N175" s="1">
        <f t="shared" si="26"/>
        <v>0</v>
      </c>
      <c r="Q175" s="6" t="s">
        <v>21</v>
      </c>
      <c r="R175" s="6" t="s">
        <v>21</v>
      </c>
      <c r="S175" s="6" t="s">
        <v>21</v>
      </c>
      <c r="T175" s="6" t="s">
        <v>21</v>
      </c>
      <c r="U175" s="6">
        <f t="shared" si="27"/>
        <v>0</v>
      </c>
      <c r="V175" s="6">
        <f t="shared" si="29"/>
        <v>0</v>
      </c>
    </row>
    <row r="176" spans="1:22" hidden="1" x14ac:dyDescent="0.35">
      <c r="A176" s="6" t="s">
        <v>222</v>
      </c>
      <c r="B176" s="6" t="s">
        <v>193</v>
      </c>
      <c r="C176" s="6" t="s">
        <v>194</v>
      </c>
      <c r="D176" s="6">
        <f t="shared" si="28"/>
        <v>0.5</v>
      </c>
      <c r="E176" s="6" t="s">
        <v>19</v>
      </c>
      <c r="F176" s="6" t="str">
        <f>MID(A176,19,1)</f>
        <v>S</v>
      </c>
      <c r="G176" s="6">
        <v>-23.501093103115579</v>
      </c>
      <c r="H176" s="6">
        <v>-46.75500081733712</v>
      </c>
      <c r="I176" s="9">
        <v>471.63</v>
      </c>
      <c r="K176" s="6">
        <v>3.56</v>
      </c>
      <c r="L176" s="6">
        <v>0</v>
      </c>
      <c r="N176" s="1">
        <f t="shared" si="26"/>
        <v>0</v>
      </c>
      <c r="Q176" s="6" t="s">
        <v>21</v>
      </c>
      <c r="R176" s="6" t="s">
        <v>21</v>
      </c>
      <c r="S176" s="6" t="s">
        <v>21</v>
      </c>
      <c r="T176" s="6" t="s">
        <v>21</v>
      </c>
      <c r="U176" s="6">
        <f t="shared" si="27"/>
        <v>0</v>
      </c>
      <c r="V176" s="6">
        <f t="shared" si="29"/>
        <v>0</v>
      </c>
    </row>
    <row r="177" spans="1:22" hidden="1" x14ac:dyDescent="0.35">
      <c r="A177" s="6" t="s">
        <v>223</v>
      </c>
      <c r="B177" s="6" t="s">
        <v>193</v>
      </c>
      <c r="C177" s="6" t="s">
        <v>194</v>
      </c>
      <c r="D177" s="6">
        <f t="shared" si="28"/>
        <v>0.5</v>
      </c>
      <c r="E177" s="6" t="s">
        <v>19</v>
      </c>
      <c r="F177" s="6" t="str">
        <f>MID(A177,19,1)</f>
        <v>S</v>
      </c>
      <c r="G177" s="6">
        <v>-23.49812254908522</v>
      </c>
      <c r="H177" s="6">
        <v>-46.755040726921777</v>
      </c>
      <c r="I177" s="9">
        <v>9.6199999999999992</v>
      </c>
      <c r="K177" s="6">
        <v>3.28</v>
      </c>
      <c r="L177" s="6">
        <v>0</v>
      </c>
      <c r="N177" s="1">
        <f t="shared" si="26"/>
        <v>0</v>
      </c>
      <c r="Q177" s="6" t="s">
        <v>21</v>
      </c>
      <c r="R177" s="6" t="s">
        <v>21</v>
      </c>
      <c r="S177" s="6" t="s">
        <v>21</v>
      </c>
      <c r="T177" s="6" t="s">
        <v>21</v>
      </c>
      <c r="U177" s="6">
        <f t="shared" si="27"/>
        <v>0</v>
      </c>
      <c r="V177" s="6">
        <f t="shared" si="29"/>
        <v>0</v>
      </c>
    </row>
    <row r="178" spans="1:22" hidden="1" x14ac:dyDescent="0.35">
      <c r="A178" s="6" t="s">
        <v>224</v>
      </c>
      <c r="B178" s="6" t="s">
        <v>193</v>
      </c>
      <c r="C178" s="6" t="s">
        <v>194</v>
      </c>
      <c r="D178" s="6">
        <f t="shared" si="28"/>
        <v>0.5</v>
      </c>
      <c r="E178" s="6" t="s">
        <v>19</v>
      </c>
      <c r="F178" s="6" t="str">
        <f>MID(A178,19,1)</f>
        <v>S</v>
      </c>
      <c r="G178" s="6">
        <v>-23.502603259048119</v>
      </c>
      <c r="H178" s="6">
        <v>-46.755115169972832</v>
      </c>
      <c r="I178" s="9">
        <v>92.68</v>
      </c>
      <c r="K178" s="6">
        <v>9.07</v>
      </c>
      <c r="L178" s="6">
        <v>0</v>
      </c>
      <c r="N178" s="1">
        <f t="shared" si="26"/>
        <v>0</v>
      </c>
      <c r="Q178" s="6" t="s">
        <v>21</v>
      </c>
      <c r="R178" s="6" t="s">
        <v>21</v>
      </c>
      <c r="S178" s="6" t="s">
        <v>21</v>
      </c>
      <c r="T178" s="6" t="s">
        <v>21</v>
      </c>
      <c r="U178" s="6">
        <f t="shared" si="27"/>
        <v>0</v>
      </c>
      <c r="V178" s="6">
        <f t="shared" si="29"/>
        <v>0</v>
      </c>
    </row>
    <row r="179" spans="1:22" hidden="1" x14ac:dyDescent="0.35">
      <c r="A179" s="6" t="s">
        <v>225</v>
      </c>
      <c r="B179" s="6" t="s">
        <v>193</v>
      </c>
      <c r="C179" s="6" t="s">
        <v>194</v>
      </c>
      <c r="D179" s="6">
        <f t="shared" si="28"/>
        <v>0.5</v>
      </c>
      <c r="E179" s="6" t="s">
        <v>23</v>
      </c>
      <c r="F179" s="6" t="str">
        <f>MID(A179,19,1)</f>
        <v>C</v>
      </c>
      <c r="G179" s="6">
        <v>-23.502392405128582</v>
      </c>
      <c r="H179" s="6">
        <v>-46.725769412158371</v>
      </c>
      <c r="I179" s="9">
        <v>1702.68</v>
      </c>
      <c r="J179" s="9">
        <f t="shared" ref="J179:J181" si="30">I179/500</f>
        <v>3.4053599999999999</v>
      </c>
      <c r="K179" s="6">
        <v>7.34</v>
      </c>
      <c r="L179" s="6">
        <v>0</v>
      </c>
      <c r="N179" s="1">
        <f t="shared" si="26"/>
        <v>0</v>
      </c>
      <c r="Q179" s="6" t="s">
        <v>21</v>
      </c>
      <c r="R179" s="6" t="s">
        <v>21</v>
      </c>
      <c r="S179" s="6" t="s">
        <v>21</v>
      </c>
      <c r="T179" s="6" t="s">
        <v>21</v>
      </c>
      <c r="U179" s="6">
        <f t="shared" si="27"/>
        <v>0</v>
      </c>
      <c r="V179" s="6">
        <f t="shared" si="29"/>
        <v>0</v>
      </c>
    </row>
    <row r="180" spans="1:22" hidden="1" x14ac:dyDescent="0.35">
      <c r="A180" s="6" t="s">
        <v>226</v>
      </c>
      <c r="B180" s="6" t="s">
        <v>193</v>
      </c>
      <c r="C180" s="6" t="s">
        <v>194</v>
      </c>
      <c r="D180" s="6">
        <f t="shared" si="28"/>
        <v>0.5</v>
      </c>
      <c r="E180" s="6" t="s">
        <v>23</v>
      </c>
      <c r="F180" s="6" t="str">
        <f>MID(A180,19,1)</f>
        <v>C</v>
      </c>
      <c r="G180" s="6">
        <v>-23.505771493032761</v>
      </c>
      <c r="H180" s="6">
        <v>-46.722784984963774</v>
      </c>
      <c r="I180" s="9">
        <v>3358.07</v>
      </c>
      <c r="J180" s="9">
        <f t="shared" si="30"/>
        <v>6.7161400000000002</v>
      </c>
      <c r="K180" s="6">
        <v>10.119999999999999</v>
      </c>
      <c r="L180" s="6">
        <v>0</v>
      </c>
      <c r="N180" s="1">
        <f t="shared" si="26"/>
        <v>0</v>
      </c>
      <c r="Q180" s="6" t="s">
        <v>21</v>
      </c>
      <c r="R180" s="6" t="s">
        <v>21</v>
      </c>
      <c r="S180" s="6" t="s">
        <v>21</v>
      </c>
      <c r="T180" s="6" t="s">
        <v>21</v>
      </c>
      <c r="U180" s="6">
        <f t="shared" si="27"/>
        <v>0</v>
      </c>
      <c r="V180" s="6">
        <f t="shared" si="29"/>
        <v>0</v>
      </c>
    </row>
    <row r="181" spans="1:22" hidden="1" x14ac:dyDescent="0.35">
      <c r="A181" s="6" t="s">
        <v>227</v>
      </c>
      <c r="B181" s="6" t="s">
        <v>193</v>
      </c>
      <c r="C181" s="6" t="s">
        <v>194</v>
      </c>
      <c r="D181" s="6">
        <f t="shared" si="28"/>
        <v>0.5</v>
      </c>
      <c r="E181" s="6" t="s">
        <v>23</v>
      </c>
      <c r="F181" s="6" t="str">
        <f>MID(A181,19,1)</f>
        <v>C</v>
      </c>
      <c r="G181" s="6">
        <v>-23.502247427427829</v>
      </c>
      <c r="H181" s="6">
        <v>-46.725609124953507</v>
      </c>
      <c r="I181" s="9">
        <v>2187.7199999999998</v>
      </c>
      <c r="J181" s="9">
        <f t="shared" si="30"/>
        <v>4.3754399999999993</v>
      </c>
      <c r="K181" s="6">
        <v>7.98</v>
      </c>
      <c r="L181" s="6">
        <v>70</v>
      </c>
      <c r="N181" s="1">
        <f t="shared" si="26"/>
        <v>0</v>
      </c>
      <c r="O181" s="6" t="s">
        <v>20</v>
      </c>
      <c r="Q181" s="6" t="s">
        <v>21</v>
      </c>
      <c r="R181" s="6" t="s">
        <v>21</v>
      </c>
      <c r="S181" s="6" t="s">
        <v>21</v>
      </c>
      <c r="T181" s="6" t="s">
        <v>21</v>
      </c>
      <c r="U181" s="6">
        <f t="shared" si="27"/>
        <v>1531.4039999999998</v>
      </c>
      <c r="V181" s="6">
        <f t="shared" si="29"/>
        <v>1531.4039999999998</v>
      </c>
    </row>
    <row r="182" spans="1:22" hidden="1" x14ac:dyDescent="0.35">
      <c r="A182" s="6" t="s">
        <v>228</v>
      </c>
      <c r="B182" s="6" t="s">
        <v>229</v>
      </c>
      <c r="C182" s="6" t="s">
        <v>230</v>
      </c>
      <c r="D182" s="6">
        <f t="shared" si="28"/>
        <v>0.5</v>
      </c>
      <c r="E182" s="6" t="s">
        <v>19</v>
      </c>
      <c r="F182" s="6" t="str">
        <f>MID(A182,19,1)</f>
        <v>S</v>
      </c>
      <c r="G182" s="6">
        <v>-23.496950580332779</v>
      </c>
      <c r="H182" s="6">
        <v>-46.730335644814033</v>
      </c>
      <c r="I182" s="9">
        <v>548.73</v>
      </c>
      <c r="K182" s="6">
        <v>5.21</v>
      </c>
      <c r="L182" s="6">
        <v>0</v>
      </c>
      <c r="N182" s="1">
        <f t="shared" si="26"/>
        <v>0</v>
      </c>
      <c r="Q182" s="6" t="s">
        <v>21</v>
      </c>
      <c r="R182" s="6" t="s">
        <v>21</v>
      </c>
      <c r="S182" s="6" t="s">
        <v>21</v>
      </c>
      <c r="T182" s="6" t="s">
        <v>21</v>
      </c>
      <c r="U182" s="6">
        <f t="shared" si="27"/>
        <v>0</v>
      </c>
      <c r="V182" s="6">
        <f t="shared" si="29"/>
        <v>0</v>
      </c>
    </row>
    <row r="183" spans="1:22" x14ac:dyDescent="0.35">
      <c r="A183" s="6" t="s">
        <v>231</v>
      </c>
      <c r="B183" s="6" t="s">
        <v>229</v>
      </c>
      <c r="C183" s="6" t="s">
        <v>230</v>
      </c>
      <c r="D183" s="6">
        <f t="shared" si="28"/>
        <v>0.5</v>
      </c>
      <c r="E183" s="6" t="s">
        <v>19</v>
      </c>
      <c r="F183" s="6" t="str">
        <f>MID(A183,19,1)</f>
        <v>N</v>
      </c>
      <c r="G183" s="6">
        <v>-23.494026509595351</v>
      </c>
      <c r="H183" s="6">
        <v>-46.732145995116042</v>
      </c>
      <c r="I183" s="9">
        <v>6251</v>
      </c>
      <c r="K183" s="6">
        <v>4.8499999999999996</v>
      </c>
      <c r="L183" s="6">
        <v>80</v>
      </c>
      <c r="N183" s="1">
        <f t="shared" si="26"/>
        <v>0</v>
      </c>
      <c r="O183" s="6" t="s">
        <v>185</v>
      </c>
      <c r="Q183" s="6" t="s">
        <v>21</v>
      </c>
      <c r="R183" s="6" t="s">
        <v>21</v>
      </c>
      <c r="S183" s="6" t="s">
        <v>21</v>
      </c>
      <c r="T183" s="6" t="s">
        <v>21</v>
      </c>
      <c r="U183" s="6">
        <f t="shared" si="27"/>
        <v>5000.8</v>
      </c>
      <c r="V183" s="6">
        <f t="shared" si="29"/>
        <v>5000.8</v>
      </c>
    </row>
    <row r="184" spans="1:22" hidden="1" x14ac:dyDescent="0.35">
      <c r="A184" s="6" t="s">
        <v>232</v>
      </c>
      <c r="B184" s="6" t="s">
        <v>229</v>
      </c>
      <c r="C184" s="6" t="s">
        <v>230</v>
      </c>
      <c r="D184" s="6">
        <f t="shared" si="28"/>
        <v>0.5</v>
      </c>
      <c r="E184" s="6" t="s">
        <v>23</v>
      </c>
      <c r="F184" s="6" t="str">
        <f>MID(A184,19,1)</f>
        <v>C</v>
      </c>
      <c r="G184" s="6">
        <v>-23.496610022430371</v>
      </c>
      <c r="H184" s="6">
        <v>-46.730522284754301</v>
      </c>
      <c r="I184" s="7">
        <v>450.31</v>
      </c>
      <c r="J184" s="9">
        <f>I184/500</f>
        <v>0.90061999999999998</v>
      </c>
      <c r="K184" s="6">
        <v>4.37</v>
      </c>
      <c r="L184" s="6">
        <v>0</v>
      </c>
      <c r="N184" s="1">
        <f t="shared" si="26"/>
        <v>0</v>
      </c>
      <c r="Q184" s="6" t="s">
        <v>21</v>
      </c>
      <c r="R184" s="6" t="s">
        <v>21</v>
      </c>
      <c r="S184" s="6" t="s">
        <v>21</v>
      </c>
      <c r="T184" s="6" t="s">
        <v>21</v>
      </c>
      <c r="U184" s="6">
        <f t="shared" si="27"/>
        <v>0</v>
      </c>
      <c r="V184" s="6">
        <f t="shared" si="29"/>
        <v>0</v>
      </c>
    </row>
    <row r="185" spans="1:22" x14ac:dyDescent="0.35">
      <c r="A185" s="6" t="s">
        <v>233</v>
      </c>
      <c r="B185" s="6" t="s">
        <v>229</v>
      </c>
      <c r="C185" s="6" t="s">
        <v>230</v>
      </c>
      <c r="D185" s="6">
        <f t="shared" si="28"/>
        <v>0.5</v>
      </c>
      <c r="E185" s="6" t="s">
        <v>19</v>
      </c>
      <c r="F185" s="6" t="str">
        <f>MID(A185,19,1)</f>
        <v>N</v>
      </c>
      <c r="G185" s="6">
        <v>-23.493927850066211</v>
      </c>
      <c r="H185" s="6">
        <v>-46.757350782575692</v>
      </c>
      <c r="I185" s="9">
        <v>745.41</v>
      </c>
      <c r="K185" s="6">
        <v>9.64</v>
      </c>
      <c r="L185" s="6">
        <v>0</v>
      </c>
      <c r="N185" s="1">
        <f t="shared" si="26"/>
        <v>0</v>
      </c>
      <c r="Q185" s="6" t="s">
        <v>21</v>
      </c>
      <c r="R185" s="6" t="s">
        <v>21</v>
      </c>
      <c r="S185" s="6" t="s">
        <v>21</v>
      </c>
      <c r="T185" s="6" t="s">
        <v>21</v>
      </c>
      <c r="U185" s="6">
        <f t="shared" si="27"/>
        <v>0</v>
      </c>
      <c r="V185" s="6">
        <f t="shared" si="29"/>
        <v>0</v>
      </c>
    </row>
    <row r="186" spans="1:22" x14ac:dyDescent="0.35">
      <c r="A186" s="6" t="s">
        <v>234</v>
      </c>
      <c r="B186" s="6" t="s">
        <v>229</v>
      </c>
      <c r="C186" s="6" t="s">
        <v>230</v>
      </c>
      <c r="D186" s="6">
        <f t="shared" si="28"/>
        <v>0.5</v>
      </c>
      <c r="E186" s="6" t="s">
        <v>19</v>
      </c>
      <c r="F186" s="6" t="str">
        <f>MID(A186,19,1)</f>
        <v>N</v>
      </c>
      <c r="G186" s="6">
        <v>-23.496396887981309</v>
      </c>
      <c r="H186" s="6">
        <v>-46.730025136008138</v>
      </c>
      <c r="I186" s="9">
        <v>219.54</v>
      </c>
      <c r="K186" s="6">
        <v>8.2899999999999991</v>
      </c>
      <c r="L186" s="6">
        <v>0</v>
      </c>
      <c r="N186" s="1">
        <f t="shared" si="26"/>
        <v>0</v>
      </c>
      <c r="Q186" s="6" t="s">
        <v>21</v>
      </c>
      <c r="R186" s="6" t="s">
        <v>21</v>
      </c>
      <c r="S186" s="6" t="s">
        <v>21</v>
      </c>
      <c r="T186" s="6" t="s">
        <v>21</v>
      </c>
      <c r="U186" s="6">
        <f t="shared" si="27"/>
        <v>0</v>
      </c>
      <c r="V186" s="6">
        <f t="shared" si="29"/>
        <v>0</v>
      </c>
    </row>
    <row r="187" spans="1:22" hidden="1" x14ac:dyDescent="0.35">
      <c r="A187" s="6" t="s">
        <v>235</v>
      </c>
      <c r="B187" s="6" t="s">
        <v>229</v>
      </c>
      <c r="C187" s="6" t="s">
        <v>230</v>
      </c>
      <c r="D187" s="6">
        <f t="shared" si="28"/>
        <v>0.5</v>
      </c>
      <c r="E187" s="6" t="s">
        <v>19</v>
      </c>
      <c r="F187" s="6" t="str">
        <f>MID(A187,19,1)</f>
        <v>S</v>
      </c>
      <c r="G187" s="6">
        <v>-23.494535351025199</v>
      </c>
      <c r="H187" s="6">
        <v>-46.757309387803737</v>
      </c>
      <c r="I187" s="9">
        <v>442.68</v>
      </c>
      <c r="K187" s="6">
        <v>6.12</v>
      </c>
      <c r="L187" s="6">
        <v>0</v>
      </c>
      <c r="N187" s="1">
        <f t="shared" si="26"/>
        <v>0</v>
      </c>
      <c r="Q187" s="6" t="s">
        <v>21</v>
      </c>
      <c r="R187" s="6" t="s">
        <v>21</v>
      </c>
      <c r="S187" s="6" t="s">
        <v>21</v>
      </c>
      <c r="T187" s="6" t="s">
        <v>21</v>
      </c>
      <c r="U187" s="6">
        <f t="shared" si="27"/>
        <v>0</v>
      </c>
      <c r="V187" s="6">
        <f t="shared" si="29"/>
        <v>0</v>
      </c>
    </row>
    <row r="188" spans="1:22" x14ac:dyDescent="0.35">
      <c r="A188" s="6" t="s">
        <v>236</v>
      </c>
      <c r="B188" s="6" t="s">
        <v>229</v>
      </c>
      <c r="C188" s="6" t="s">
        <v>230</v>
      </c>
      <c r="D188" s="6">
        <f t="shared" si="28"/>
        <v>0.5</v>
      </c>
      <c r="E188" s="6" t="s">
        <v>19</v>
      </c>
      <c r="F188" s="6" t="str">
        <f>MID(A188,19,1)</f>
        <v>N</v>
      </c>
      <c r="G188" s="6">
        <v>-23.493991322505931</v>
      </c>
      <c r="H188" s="6">
        <v>-46.762568505360193</v>
      </c>
      <c r="I188" s="9">
        <v>758.71</v>
      </c>
      <c r="K188" s="6">
        <v>4.38</v>
      </c>
      <c r="L188" s="6">
        <v>0</v>
      </c>
      <c r="N188" s="1">
        <f t="shared" si="26"/>
        <v>0</v>
      </c>
      <c r="Q188" s="6" t="s">
        <v>21</v>
      </c>
      <c r="R188" s="6" t="s">
        <v>21</v>
      </c>
      <c r="S188" s="6" t="s">
        <v>21</v>
      </c>
      <c r="T188" s="6" t="s">
        <v>21</v>
      </c>
      <c r="U188" s="6">
        <f t="shared" si="27"/>
        <v>0</v>
      </c>
      <c r="V188" s="6">
        <f t="shared" si="29"/>
        <v>0</v>
      </c>
    </row>
    <row r="189" spans="1:22" hidden="1" x14ac:dyDescent="0.35">
      <c r="A189" s="6" t="s">
        <v>237</v>
      </c>
      <c r="B189" s="6" t="s">
        <v>229</v>
      </c>
      <c r="C189" s="6" t="s">
        <v>230</v>
      </c>
      <c r="D189" s="6">
        <f t="shared" si="28"/>
        <v>0.5</v>
      </c>
      <c r="E189" s="6" t="s">
        <v>19</v>
      </c>
      <c r="F189" s="6" t="str">
        <f>MID(A189,19,1)</f>
        <v>S</v>
      </c>
      <c r="G189" s="6">
        <v>-23.498739189779961</v>
      </c>
      <c r="H189" s="6">
        <v>-46.729182199422951</v>
      </c>
      <c r="I189" s="9">
        <v>2144.2800000000002</v>
      </c>
      <c r="K189" s="6">
        <v>8.11</v>
      </c>
      <c r="L189" s="6">
        <v>70</v>
      </c>
      <c r="N189" s="1">
        <f t="shared" si="26"/>
        <v>0</v>
      </c>
      <c r="O189" s="6" t="s">
        <v>20</v>
      </c>
      <c r="Q189" s="6" t="s">
        <v>21</v>
      </c>
      <c r="R189" s="6" t="s">
        <v>21</v>
      </c>
      <c r="S189" s="6" t="s">
        <v>21</v>
      </c>
      <c r="T189" s="6" t="s">
        <v>21</v>
      </c>
      <c r="U189" s="6">
        <f t="shared" si="27"/>
        <v>1500.9960000000001</v>
      </c>
      <c r="V189" s="6">
        <f t="shared" si="29"/>
        <v>1500.9960000000001</v>
      </c>
    </row>
    <row r="190" spans="1:22" x14ac:dyDescent="0.35">
      <c r="A190" s="6" t="s">
        <v>238</v>
      </c>
      <c r="B190" s="6" t="s">
        <v>229</v>
      </c>
      <c r="C190" s="6" t="s">
        <v>230</v>
      </c>
      <c r="D190" s="6">
        <f t="shared" si="28"/>
        <v>0.5</v>
      </c>
      <c r="E190" s="6" t="s">
        <v>19</v>
      </c>
      <c r="F190" s="6" t="str">
        <f>MID(A190,19,1)</f>
        <v>N</v>
      </c>
      <c r="G190" s="6">
        <v>-23.493850281766921</v>
      </c>
      <c r="H190" s="6">
        <v>-46.758758549511548</v>
      </c>
      <c r="I190" s="9">
        <v>182.56</v>
      </c>
      <c r="K190" s="6">
        <v>5.0199999999999996</v>
      </c>
      <c r="L190" s="6">
        <v>0</v>
      </c>
      <c r="N190" s="1">
        <f t="shared" si="26"/>
        <v>0</v>
      </c>
      <c r="Q190" s="6" t="s">
        <v>21</v>
      </c>
      <c r="R190" s="6" t="s">
        <v>21</v>
      </c>
      <c r="S190" s="6" t="s">
        <v>21</v>
      </c>
      <c r="T190" s="6" t="s">
        <v>21</v>
      </c>
      <c r="U190" s="6">
        <f t="shared" si="27"/>
        <v>0</v>
      </c>
      <c r="V190" s="6">
        <f t="shared" si="29"/>
        <v>0</v>
      </c>
    </row>
    <row r="191" spans="1:22" hidden="1" x14ac:dyDescent="0.35">
      <c r="A191" s="6" t="s">
        <v>239</v>
      </c>
      <c r="B191" s="6" t="s">
        <v>229</v>
      </c>
      <c r="C191" s="6" t="s">
        <v>230</v>
      </c>
      <c r="D191" s="6">
        <f t="shared" si="28"/>
        <v>0.5</v>
      </c>
      <c r="E191" s="6" t="s">
        <v>23</v>
      </c>
      <c r="F191" s="6" t="str">
        <f>MID(A191,19,1)</f>
        <v>C</v>
      </c>
      <c r="G191" s="6">
        <v>-23.498918450352729</v>
      </c>
      <c r="H191" s="6">
        <v>-46.728645612950402</v>
      </c>
      <c r="I191" s="7">
        <v>1183.02</v>
      </c>
      <c r="J191" s="9">
        <f>I191/500</f>
        <v>2.3660399999999999</v>
      </c>
      <c r="K191" s="6">
        <v>8.7799999999999994</v>
      </c>
      <c r="L191" s="6">
        <v>0</v>
      </c>
      <c r="N191" s="1">
        <f t="shared" si="26"/>
        <v>0</v>
      </c>
      <c r="Q191" s="6" t="s">
        <v>21</v>
      </c>
      <c r="R191" s="6" t="s">
        <v>21</v>
      </c>
      <c r="S191" s="6" t="s">
        <v>21</v>
      </c>
      <c r="T191" s="6" t="s">
        <v>21</v>
      </c>
      <c r="U191" s="6">
        <f t="shared" si="27"/>
        <v>0</v>
      </c>
      <c r="V191" s="6">
        <f t="shared" si="29"/>
        <v>0</v>
      </c>
    </row>
    <row r="192" spans="1:22" hidden="1" x14ac:dyDescent="0.35">
      <c r="A192" s="6" t="s">
        <v>240</v>
      </c>
      <c r="B192" s="6" t="s">
        <v>229</v>
      </c>
      <c r="C192" s="6" t="s">
        <v>230</v>
      </c>
      <c r="D192" s="6">
        <f t="shared" si="28"/>
        <v>0.5</v>
      </c>
      <c r="E192" s="6" t="s">
        <v>19</v>
      </c>
      <c r="F192" s="6" t="str">
        <f>MID(A192,19,1)</f>
        <v>S</v>
      </c>
      <c r="G192" s="6">
        <v>-23.497711971644751</v>
      </c>
      <c r="H192" s="6">
        <v>-46.729802196814198</v>
      </c>
      <c r="I192" s="9">
        <v>1528.88</v>
      </c>
      <c r="K192" s="6">
        <v>8.1300000000000008</v>
      </c>
      <c r="L192" s="6">
        <v>70</v>
      </c>
      <c r="N192" s="1">
        <f t="shared" si="26"/>
        <v>0</v>
      </c>
      <c r="O192" s="6" t="s">
        <v>20</v>
      </c>
      <c r="Q192" s="6" t="s">
        <v>21</v>
      </c>
      <c r="R192" s="6" t="s">
        <v>21</v>
      </c>
      <c r="S192" s="6" t="s">
        <v>21</v>
      </c>
      <c r="T192" s="6" t="s">
        <v>21</v>
      </c>
      <c r="U192" s="6">
        <f t="shared" si="27"/>
        <v>1070.2160000000001</v>
      </c>
      <c r="V192" s="6">
        <f t="shared" si="29"/>
        <v>1070.2160000000001</v>
      </c>
    </row>
    <row r="193" spans="1:22" x14ac:dyDescent="0.35">
      <c r="A193" s="6" t="s">
        <v>241</v>
      </c>
      <c r="B193" s="6" t="s">
        <v>229</v>
      </c>
      <c r="C193" s="6" t="s">
        <v>230</v>
      </c>
      <c r="D193" s="6">
        <f t="shared" si="28"/>
        <v>0.5</v>
      </c>
      <c r="E193" s="6" t="s">
        <v>19</v>
      </c>
      <c r="F193" s="6" t="str">
        <f>MID(A193,19,1)</f>
        <v>N</v>
      </c>
      <c r="G193" s="6">
        <v>-23.496636165486962</v>
      </c>
      <c r="H193" s="6">
        <v>-46.729700443877377</v>
      </c>
      <c r="I193" s="9">
        <v>120.92</v>
      </c>
      <c r="K193" s="6">
        <v>10.7</v>
      </c>
      <c r="L193" s="6">
        <v>70</v>
      </c>
      <c r="N193" s="1">
        <f t="shared" si="26"/>
        <v>0</v>
      </c>
      <c r="O193" s="6" t="s">
        <v>20</v>
      </c>
      <c r="Q193" s="6" t="s">
        <v>21</v>
      </c>
      <c r="R193" s="6" t="s">
        <v>21</v>
      </c>
      <c r="S193" s="6" t="s">
        <v>21</v>
      </c>
      <c r="T193" s="6" t="s">
        <v>21</v>
      </c>
      <c r="U193" s="6">
        <f t="shared" si="27"/>
        <v>84.643999999999991</v>
      </c>
      <c r="V193" s="6">
        <f t="shared" si="29"/>
        <v>84.643999999999991</v>
      </c>
    </row>
    <row r="194" spans="1:22" x14ac:dyDescent="0.35">
      <c r="A194" s="6" t="s">
        <v>242</v>
      </c>
      <c r="B194" s="6" t="s">
        <v>229</v>
      </c>
      <c r="C194" s="6" t="s">
        <v>230</v>
      </c>
      <c r="D194" s="6">
        <f t="shared" si="28"/>
        <v>0.5</v>
      </c>
      <c r="E194" s="6" t="s">
        <v>19</v>
      </c>
      <c r="F194" s="6" t="str">
        <f>MID(A194,19,1)</f>
        <v>N</v>
      </c>
      <c r="G194" s="6">
        <v>-23.496268051850731</v>
      </c>
      <c r="H194" s="6">
        <v>-46.730018456513427</v>
      </c>
      <c r="I194" s="9">
        <v>291.27999999999997</v>
      </c>
      <c r="K194" s="6">
        <v>8.7899999999999991</v>
      </c>
      <c r="L194" s="6">
        <v>90</v>
      </c>
      <c r="N194" s="1">
        <f t="shared" ref="N194:N257" si="31">IF(OR(R194="Sim",S194="Sim",T194="Sim"),(L194/100)*I194,0)</f>
        <v>0</v>
      </c>
      <c r="O194" s="6" t="s">
        <v>20</v>
      </c>
      <c r="Q194" s="6" t="s">
        <v>21</v>
      </c>
      <c r="R194" s="6" t="s">
        <v>21</v>
      </c>
      <c r="S194" s="6" t="s">
        <v>21</v>
      </c>
      <c r="T194" s="6" t="s">
        <v>21</v>
      </c>
      <c r="U194" s="6">
        <f t="shared" si="27"/>
        <v>262.15199999999999</v>
      </c>
      <c r="V194" s="6">
        <f t="shared" si="29"/>
        <v>262.15199999999999</v>
      </c>
    </row>
    <row r="195" spans="1:22" hidden="1" x14ac:dyDescent="0.35">
      <c r="A195" s="6" t="s">
        <v>243</v>
      </c>
      <c r="B195" s="6" t="s">
        <v>229</v>
      </c>
      <c r="C195" s="6" t="s">
        <v>230</v>
      </c>
      <c r="D195" s="6">
        <f t="shared" si="28"/>
        <v>0.5</v>
      </c>
      <c r="E195" s="6" t="s">
        <v>19</v>
      </c>
      <c r="F195" s="6" t="str">
        <f>MID(A195,19,1)</f>
        <v>S</v>
      </c>
      <c r="G195" s="6">
        <v>-23.494437702094359</v>
      </c>
      <c r="H195" s="6">
        <v>-46.758846855041043</v>
      </c>
      <c r="I195" s="9">
        <v>362.62</v>
      </c>
      <c r="K195" s="6">
        <v>1.65</v>
      </c>
      <c r="L195" s="6">
        <v>0</v>
      </c>
      <c r="N195" s="1">
        <f t="shared" si="31"/>
        <v>0</v>
      </c>
      <c r="Q195" s="6" t="s">
        <v>21</v>
      </c>
      <c r="R195" s="6" t="s">
        <v>21</v>
      </c>
      <c r="S195" s="6" t="s">
        <v>21</v>
      </c>
      <c r="T195" s="6" t="s">
        <v>21</v>
      </c>
      <c r="U195" s="6">
        <f t="shared" ref="U195:U258" si="32">IF(N195=0,(I195*(L195/100)),0)</f>
        <v>0</v>
      </c>
      <c r="V195" s="6">
        <f t="shared" si="29"/>
        <v>0</v>
      </c>
    </row>
    <row r="196" spans="1:22" x14ac:dyDescent="0.35">
      <c r="A196" s="6" t="s">
        <v>244</v>
      </c>
      <c r="B196" s="6" t="s">
        <v>229</v>
      </c>
      <c r="C196" s="6" t="s">
        <v>230</v>
      </c>
      <c r="D196" s="6">
        <f t="shared" si="28"/>
        <v>0.5</v>
      </c>
      <c r="E196" s="6" t="s">
        <v>19</v>
      </c>
      <c r="F196" s="6" t="str">
        <f>MID(A196,19,1)</f>
        <v>N</v>
      </c>
      <c r="G196" s="6">
        <v>-23.494039482520169</v>
      </c>
      <c r="H196" s="6">
        <v>-46.762626446146008</v>
      </c>
      <c r="I196" s="9">
        <v>82.04</v>
      </c>
      <c r="K196" s="6">
        <v>3.75</v>
      </c>
      <c r="L196" s="6">
        <v>0</v>
      </c>
      <c r="N196" s="1">
        <f t="shared" si="31"/>
        <v>0</v>
      </c>
      <c r="Q196" s="6" t="s">
        <v>21</v>
      </c>
      <c r="R196" s="6" t="s">
        <v>21</v>
      </c>
      <c r="S196" s="6" t="s">
        <v>21</v>
      </c>
      <c r="T196" s="6" t="s">
        <v>21</v>
      </c>
      <c r="U196" s="6">
        <f t="shared" si="32"/>
        <v>0</v>
      </c>
      <c r="V196" s="6">
        <f t="shared" si="29"/>
        <v>0</v>
      </c>
    </row>
    <row r="197" spans="1:22" hidden="1" x14ac:dyDescent="0.35">
      <c r="A197" s="6" t="s">
        <v>245</v>
      </c>
      <c r="B197" s="6" t="s">
        <v>229</v>
      </c>
      <c r="C197" s="6" t="s">
        <v>230</v>
      </c>
      <c r="D197" s="6">
        <f t="shared" si="28"/>
        <v>0.5</v>
      </c>
      <c r="E197" s="6" t="s">
        <v>19</v>
      </c>
      <c r="F197" s="6" t="str">
        <f>MID(A197,19,1)</f>
        <v>S</v>
      </c>
      <c r="G197" s="6">
        <v>-23.494626193313788</v>
      </c>
      <c r="H197" s="6">
        <v>-46.76105253391836</v>
      </c>
      <c r="I197" s="9">
        <v>790.08</v>
      </c>
      <c r="K197" s="6">
        <v>5.97</v>
      </c>
      <c r="L197" s="6">
        <v>0</v>
      </c>
      <c r="N197" s="1">
        <f t="shared" si="31"/>
        <v>0</v>
      </c>
      <c r="Q197" s="6" t="s">
        <v>21</v>
      </c>
      <c r="R197" s="6" t="s">
        <v>21</v>
      </c>
      <c r="S197" s="6" t="s">
        <v>21</v>
      </c>
      <c r="T197" s="6" t="s">
        <v>21</v>
      </c>
      <c r="U197" s="6">
        <f t="shared" si="32"/>
        <v>0</v>
      </c>
      <c r="V197" s="6">
        <f t="shared" si="29"/>
        <v>0</v>
      </c>
    </row>
    <row r="198" spans="1:22" hidden="1" x14ac:dyDescent="0.35">
      <c r="A198" s="6" t="s">
        <v>246</v>
      </c>
      <c r="B198" s="6" t="s">
        <v>229</v>
      </c>
      <c r="C198" s="6" t="s">
        <v>230</v>
      </c>
      <c r="D198" s="6">
        <f t="shared" si="28"/>
        <v>0.5</v>
      </c>
      <c r="E198" s="6" t="s">
        <v>23</v>
      </c>
      <c r="F198" s="6" t="str">
        <f>MID(A198,19,1)</f>
        <v>C</v>
      </c>
      <c r="G198" s="6">
        <v>-23.498663863593372</v>
      </c>
      <c r="H198" s="6">
        <v>-46.728457520522191</v>
      </c>
      <c r="I198" s="7">
        <v>1765.79</v>
      </c>
      <c r="J198" s="9">
        <f>I198/500</f>
        <v>3.5315799999999999</v>
      </c>
      <c r="K198" s="6">
        <v>9.57</v>
      </c>
      <c r="L198" s="6">
        <v>70</v>
      </c>
      <c r="N198" s="1">
        <f t="shared" si="31"/>
        <v>0</v>
      </c>
      <c r="O198" s="6" t="s">
        <v>20</v>
      </c>
      <c r="Q198" s="6" t="s">
        <v>21</v>
      </c>
      <c r="R198" s="6" t="s">
        <v>21</v>
      </c>
      <c r="S198" s="6" t="s">
        <v>21</v>
      </c>
      <c r="T198" s="6" t="s">
        <v>21</v>
      </c>
      <c r="U198" s="6">
        <f t="shared" si="32"/>
        <v>1236.0529999999999</v>
      </c>
      <c r="V198" s="6">
        <f t="shared" si="29"/>
        <v>1236.0529999999999</v>
      </c>
    </row>
    <row r="199" spans="1:22" x14ac:dyDescent="0.35">
      <c r="A199" s="6" t="s">
        <v>247</v>
      </c>
      <c r="B199" s="6" t="s">
        <v>229</v>
      </c>
      <c r="C199" s="6" t="s">
        <v>230</v>
      </c>
      <c r="D199" s="6">
        <f t="shared" si="28"/>
        <v>0.5</v>
      </c>
      <c r="E199" s="6" t="s">
        <v>19</v>
      </c>
      <c r="F199" s="6" t="str">
        <f>MID(A199,19,1)</f>
        <v>N</v>
      </c>
      <c r="G199" s="6">
        <v>-23.497401723745941</v>
      </c>
      <c r="H199" s="6">
        <v>-46.729345706760078</v>
      </c>
      <c r="I199" s="9">
        <v>1314.72</v>
      </c>
      <c r="K199" s="6">
        <v>11.98</v>
      </c>
      <c r="L199" s="6">
        <v>70</v>
      </c>
      <c r="N199" s="1">
        <f t="shared" si="31"/>
        <v>0</v>
      </c>
      <c r="O199" s="6" t="s">
        <v>20</v>
      </c>
      <c r="Q199" s="6" t="s">
        <v>21</v>
      </c>
      <c r="R199" s="6" t="s">
        <v>21</v>
      </c>
      <c r="S199" s="6" t="s">
        <v>21</v>
      </c>
      <c r="T199" s="6" t="s">
        <v>21</v>
      </c>
      <c r="U199" s="6">
        <f t="shared" si="32"/>
        <v>920.30399999999997</v>
      </c>
      <c r="V199" s="6">
        <f t="shared" si="29"/>
        <v>920.30399999999997</v>
      </c>
    </row>
    <row r="200" spans="1:22" hidden="1" x14ac:dyDescent="0.35">
      <c r="A200" s="6" t="s">
        <v>248</v>
      </c>
      <c r="B200" s="6" t="s">
        <v>229</v>
      </c>
      <c r="C200" s="6" t="s">
        <v>230</v>
      </c>
      <c r="D200" s="6">
        <f t="shared" si="28"/>
        <v>0.5</v>
      </c>
      <c r="E200" s="6" t="s">
        <v>19</v>
      </c>
      <c r="F200" s="6" t="str">
        <f>MID(A200,19,1)</f>
        <v>S</v>
      </c>
      <c r="G200" s="6">
        <v>-23.494697015970129</v>
      </c>
      <c r="H200" s="6">
        <v>-46.757487487589842</v>
      </c>
      <c r="I200" s="9">
        <v>6.81</v>
      </c>
      <c r="K200" s="6">
        <v>3.93</v>
      </c>
      <c r="L200" s="6">
        <v>0</v>
      </c>
      <c r="N200" s="1">
        <f t="shared" si="31"/>
        <v>0</v>
      </c>
      <c r="Q200" s="6" t="s">
        <v>21</v>
      </c>
      <c r="R200" s="6" t="s">
        <v>21</v>
      </c>
      <c r="S200" s="6" t="s">
        <v>21</v>
      </c>
      <c r="T200" s="6" t="s">
        <v>21</v>
      </c>
      <c r="U200" s="6">
        <f t="shared" si="32"/>
        <v>0</v>
      </c>
      <c r="V200" s="6">
        <f t="shared" si="29"/>
        <v>0</v>
      </c>
    </row>
    <row r="201" spans="1:22" x14ac:dyDescent="0.35">
      <c r="A201" s="6" t="s">
        <v>249</v>
      </c>
      <c r="B201" s="6" t="s">
        <v>229</v>
      </c>
      <c r="C201" s="6" t="s">
        <v>230</v>
      </c>
      <c r="D201" s="6">
        <f t="shared" si="28"/>
        <v>0.5</v>
      </c>
      <c r="E201" s="6" t="s">
        <v>19</v>
      </c>
      <c r="F201" s="6" t="str">
        <f>MID(A201,19,1)</f>
        <v>N</v>
      </c>
      <c r="G201" s="6">
        <v>-23.493765826672671</v>
      </c>
      <c r="H201" s="6">
        <v>-46.763533804833649</v>
      </c>
      <c r="I201" s="9">
        <v>65.55</v>
      </c>
      <c r="K201" s="6">
        <v>6.48</v>
      </c>
      <c r="L201" s="6">
        <v>0</v>
      </c>
      <c r="N201" s="1">
        <f t="shared" si="31"/>
        <v>0</v>
      </c>
      <c r="Q201" s="6" t="s">
        <v>21</v>
      </c>
      <c r="R201" s="6" t="s">
        <v>21</v>
      </c>
      <c r="S201" s="6" t="s">
        <v>21</v>
      </c>
      <c r="T201" s="6" t="s">
        <v>21</v>
      </c>
      <c r="U201" s="6">
        <f t="shared" si="32"/>
        <v>0</v>
      </c>
      <c r="V201" s="6">
        <f t="shared" si="29"/>
        <v>0</v>
      </c>
    </row>
    <row r="202" spans="1:22" hidden="1" x14ac:dyDescent="0.35">
      <c r="A202" s="6" t="s">
        <v>250</v>
      </c>
      <c r="B202" s="6" t="s">
        <v>229</v>
      </c>
      <c r="C202" s="6" t="s">
        <v>230</v>
      </c>
      <c r="D202" s="6">
        <f t="shared" si="28"/>
        <v>0.5</v>
      </c>
      <c r="E202" s="6" t="s">
        <v>19</v>
      </c>
      <c r="F202" s="6" t="str">
        <f>MID(A202,19,1)</f>
        <v>S</v>
      </c>
      <c r="G202" s="6">
        <v>-23.4946895832392</v>
      </c>
      <c r="H202" s="6">
        <v>-46.757808895362217</v>
      </c>
      <c r="I202" s="9">
        <v>181.55</v>
      </c>
      <c r="K202" s="6">
        <v>5.24</v>
      </c>
      <c r="L202" s="6">
        <v>0</v>
      </c>
      <c r="N202" s="1">
        <f t="shared" si="31"/>
        <v>0</v>
      </c>
      <c r="Q202" s="6" t="s">
        <v>21</v>
      </c>
      <c r="R202" s="6" t="s">
        <v>21</v>
      </c>
      <c r="S202" s="6" t="s">
        <v>21</v>
      </c>
      <c r="T202" s="6" t="s">
        <v>21</v>
      </c>
      <c r="U202" s="6">
        <f t="shared" si="32"/>
        <v>0</v>
      </c>
      <c r="V202" s="6">
        <f t="shared" si="29"/>
        <v>0</v>
      </c>
    </row>
    <row r="203" spans="1:22" hidden="1" x14ac:dyDescent="0.35">
      <c r="A203" s="6" t="s">
        <v>251</v>
      </c>
      <c r="B203" s="6" t="s">
        <v>229</v>
      </c>
      <c r="C203" s="6" t="s">
        <v>230</v>
      </c>
      <c r="D203" s="6">
        <f t="shared" si="28"/>
        <v>0.5</v>
      </c>
      <c r="E203" s="6" t="s">
        <v>23</v>
      </c>
      <c r="F203" s="6" t="str">
        <f>MID(A203,19,1)</f>
        <v>C</v>
      </c>
      <c r="G203" s="6">
        <v>-23.495007045704231</v>
      </c>
      <c r="H203" s="6">
        <v>-46.731794593253163</v>
      </c>
      <c r="I203" s="7">
        <v>1943.5</v>
      </c>
      <c r="J203" s="9">
        <f>I203/500</f>
        <v>3.887</v>
      </c>
      <c r="K203" s="6">
        <v>5.27</v>
      </c>
      <c r="L203" s="6">
        <v>0</v>
      </c>
      <c r="N203" s="1">
        <f t="shared" si="31"/>
        <v>0</v>
      </c>
      <c r="Q203" s="6" t="s">
        <v>21</v>
      </c>
      <c r="R203" s="6" t="s">
        <v>21</v>
      </c>
      <c r="S203" s="6" t="s">
        <v>21</v>
      </c>
      <c r="T203" s="6" t="s">
        <v>21</v>
      </c>
      <c r="U203" s="6">
        <f t="shared" si="32"/>
        <v>0</v>
      </c>
      <c r="V203" s="6">
        <f t="shared" si="29"/>
        <v>0</v>
      </c>
    </row>
    <row r="204" spans="1:22" x14ac:dyDescent="0.35">
      <c r="A204" s="6" t="s">
        <v>252</v>
      </c>
      <c r="B204" s="6" t="s">
        <v>229</v>
      </c>
      <c r="C204" s="6" t="s">
        <v>230</v>
      </c>
      <c r="D204" s="6">
        <f t="shared" si="28"/>
        <v>0.5</v>
      </c>
      <c r="E204" s="6" t="s">
        <v>19</v>
      </c>
      <c r="F204" s="6" t="str">
        <f>MID(A204,19,1)</f>
        <v>N</v>
      </c>
      <c r="G204" s="6">
        <v>-23.4967047800999</v>
      </c>
      <c r="H204" s="6">
        <v>-46.72979749069264</v>
      </c>
      <c r="I204" s="9">
        <v>261.57</v>
      </c>
      <c r="K204" s="6">
        <v>10.54</v>
      </c>
      <c r="L204" s="6">
        <v>0</v>
      </c>
      <c r="N204" s="1">
        <f t="shared" si="31"/>
        <v>0</v>
      </c>
      <c r="Q204" s="6" t="s">
        <v>21</v>
      </c>
      <c r="R204" s="6" t="s">
        <v>21</v>
      </c>
      <c r="S204" s="6" t="s">
        <v>21</v>
      </c>
      <c r="T204" s="6" t="s">
        <v>21</v>
      </c>
      <c r="U204" s="6">
        <f t="shared" si="32"/>
        <v>0</v>
      </c>
      <c r="V204" s="6">
        <f t="shared" si="29"/>
        <v>0</v>
      </c>
    </row>
    <row r="205" spans="1:22" x14ac:dyDescent="0.35">
      <c r="A205" s="6" t="s">
        <v>253</v>
      </c>
      <c r="B205" s="6" t="s">
        <v>229</v>
      </c>
      <c r="C205" s="6" t="s">
        <v>230</v>
      </c>
      <c r="D205" s="6">
        <f t="shared" si="28"/>
        <v>0.5</v>
      </c>
      <c r="E205" s="6" t="s">
        <v>19</v>
      </c>
      <c r="F205" s="6" t="str">
        <f>MID(A205,19,1)</f>
        <v>N</v>
      </c>
      <c r="G205" s="6">
        <v>-23.49466004942915</v>
      </c>
      <c r="H205" s="6">
        <v>-46.75599227211211</v>
      </c>
      <c r="I205" s="9">
        <v>282.52</v>
      </c>
      <c r="K205" s="6">
        <v>3</v>
      </c>
      <c r="L205" s="6">
        <v>0</v>
      </c>
      <c r="N205" s="1">
        <f t="shared" si="31"/>
        <v>0</v>
      </c>
      <c r="Q205" s="6" t="s">
        <v>21</v>
      </c>
      <c r="R205" s="6" t="s">
        <v>21</v>
      </c>
      <c r="S205" s="6" t="s">
        <v>21</v>
      </c>
      <c r="T205" s="6" t="s">
        <v>21</v>
      </c>
      <c r="U205" s="6">
        <f t="shared" si="32"/>
        <v>0</v>
      </c>
      <c r="V205" s="6">
        <f t="shared" si="29"/>
        <v>0</v>
      </c>
    </row>
    <row r="206" spans="1:22" hidden="1" x14ac:dyDescent="0.35">
      <c r="A206" s="6" t="s">
        <v>254</v>
      </c>
      <c r="B206" s="6" t="s">
        <v>229</v>
      </c>
      <c r="C206" s="6" t="s">
        <v>230</v>
      </c>
      <c r="D206" s="6">
        <f t="shared" ref="D206:D269" si="33">C206-B206</f>
        <v>0.5</v>
      </c>
      <c r="E206" s="6" t="s">
        <v>19</v>
      </c>
      <c r="F206" s="6" t="str">
        <f>MID(A206,19,1)</f>
        <v>S</v>
      </c>
      <c r="G206" s="6">
        <v>-23.494505474326392</v>
      </c>
      <c r="H206" s="6">
        <v>-46.762441514795377</v>
      </c>
      <c r="I206" s="9">
        <v>108.38</v>
      </c>
      <c r="K206" s="6">
        <v>7.83</v>
      </c>
      <c r="L206" s="6">
        <v>0</v>
      </c>
      <c r="N206" s="1">
        <f t="shared" si="31"/>
        <v>0</v>
      </c>
      <c r="Q206" s="6" t="s">
        <v>21</v>
      </c>
      <c r="R206" s="6" t="s">
        <v>21</v>
      </c>
      <c r="S206" s="6" t="s">
        <v>21</v>
      </c>
      <c r="T206" s="6" t="s">
        <v>21</v>
      </c>
      <c r="U206" s="6">
        <f t="shared" si="32"/>
        <v>0</v>
      </c>
      <c r="V206" s="6">
        <f t="shared" si="29"/>
        <v>0</v>
      </c>
    </row>
    <row r="207" spans="1:22" hidden="1" x14ac:dyDescent="0.35">
      <c r="A207" s="6" t="s">
        <v>255</v>
      </c>
      <c r="B207" s="6" t="s">
        <v>229</v>
      </c>
      <c r="C207" s="6" t="s">
        <v>230</v>
      </c>
      <c r="D207" s="6">
        <f t="shared" si="33"/>
        <v>0.5</v>
      </c>
      <c r="E207" s="6" t="s">
        <v>19</v>
      </c>
      <c r="F207" s="6" t="str">
        <f>MID(A207,19,1)</f>
        <v>S</v>
      </c>
      <c r="G207" s="6">
        <v>-23.494484674770799</v>
      </c>
      <c r="H207" s="6">
        <v>-46.758072886330972</v>
      </c>
      <c r="I207" s="9">
        <v>1809.2</v>
      </c>
      <c r="K207" s="6">
        <v>3.35</v>
      </c>
      <c r="L207" s="6">
        <v>0</v>
      </c>
      <c r="N207" s="1">
        <f t="shared" si="31"/>
        <v>0</v>
      </c>
      <c r="Q207" s="6" t="s">
        <v>21</v>
      </c>
      <c r="R207" s="6" t="s">
        <v>21</v>
      </c>
      <c r="S207" s="6" t="s">
        <v>21</v>
      </c>
      <c r="T207" s="6" t="s">
        <v>21</v>
      </c>
      <c r="U207" s="6">
        <f t="shared" si="32"/>
        <v>0</v>
      </c>
      <c r="V207" s="6">
        <f t="shared" ref="V207:V226" si="34">(I207*(L207/100))</f>
        <v>0</v>
      </c>
    </row>
    <row r="208" spans="1:22" hidden="1" x14ac:dyDescent="0.35">
      <c r="A208" s="6" t="s">
        <v>256</v>
      </c>
      <c r="B208" s="6" t="s">
        <v>229</v>
      </c>
      <c r="C208" s="6" t="s">
        <v>230</v>
      </c>
      <c r="D208" s="6">
        <f t="shared" si="33"/>
        <v>0.5</v>
      </c>
      <c r="E208" s="6" t="s">
        <v>19</v>
      </c>
      <c r="F208" s="6" t="str">
        <f>MID(A208,19,1)</f>
        <v>S</v>
      </c>
      <c r="G208" s="6">
        <v>-23.49454223087081</v>
      </c>
      <c r="H208" s="6">
        <v>-46.763566593511086</v>
      </c>
      <c r="I208" s="9">
        <v>153.16999999999999</v>
      </c>
      <c r="K208" s="6">
        <v>5.83</v>
      </c>
      <c r="L208" s="6">
        <v>0</v>
      </c>
      <c r="N208" s="1">
        <f t="shared" si="31"/>
        <v>0</v>
      </c>
      <c r="Q208" s="6" t="s">
        <v>21</v>
      </c>
      <c r="R208" s="6" t="s">
        <v>21</v>
      </c>
      <c r="S208" s="6" t="s">
        <v>21</v>
      </c>
      <c r="T208" s="6" t="s">
        <v>21</v>
      </c>
      <c r="U208" s="6">
        <f t="shared" si="32"/>
        <v>0</v>
      </c>
      <c r="V208" s="6">
        <f t="shared" si="34"/>
        <v>0</v>
      </c>
    </row>
    <row r="209" spans="1:22" hidden="1" x14ac:dyDescent="0.35">
      <c r="A209" s="6" t="s">
        <v>257</v>
      </c>
      <c r="B209" s="6" t="s">
        <v>229</v>
      </c>
      <c r="C209" s="6" t="s">
        <v>230</v>
      </c>
      <c r="D209" s="6">
        <f t="shared" si="33"/>
        <v>0.5</v>
      </c>
      <c r="E209" s="6" t="s">
        <v>19</v>
      </c>
      <c r="F209" s="6" t="str">
        <f>MID(A209,19,1)</f>
        <v>S</v>
      </c>
      <c r="G209" s="6">
        <v>-23.495424588215791</v>
      </c>
      <c r="H209" s="6">
        <v>-46.755939410809432</v>
      </c>
      <c r="I209" s="9">
        <v>404.14</v>
      </c>
      <c r="K209" s="6">
        <v>2.56</v>
      </c>
      <c r="L209" s="6">
        <v>0</v>
      </c>
      <c r="N209" s="1">
        <f t="shared" si="31"/>
        <v>0</v>
      </c>
      <c r="Q209" s="6" t="s">
        <v>21</v>
      </c>
      <c r="R209" s="6" t="s">
        <v>21</v>
      </c>
      <c r="S209" s="6" t="s">
        <v>21</v>
      </c>
      <c r="T209" s="6" t="s">
        <v>21</v>
      </c>
      <c r="U209" s="6">
        <f t="shared" si="32"/>
        <v>0</v>
      </c>
      <c r="V209" s="6">
        <f t="shared" si="34"/>
        <v>0</v>
      </c>
    </row>
    <row r="210" spans="1:22" hidden="1" x14ac:dyDescent="0.35">
      <c r="A210" s="6" t="s">
        <v>258</v>
      </c>
      <c r="B210" s="6" t="s">
        <v>229</v>
      </c>
      <c r="C210" s="6" t="s">
        <v>230</v>
      </c>
      <c r="D210" s="6">
        <f t="shared" si="33"/>
        <v>0.5</v>
      </c>
      <c r="E210" s="6" t="s">
        <v>19</v>
      </c>
      <c r="F210" s="6" t="str">
        <f>MID(A210,19,1)</f>
        <v>S</v>
      </c>
      <c r="G210" s="6">
        <v>-23.496135746257789</v>
      </c>
      <c r="H210" s="6">
        <v>-46.755407866861702</v>
      </c>
      <c r="I210" s="9">
        <v>364.57</v>
      </c>
      <c r="K210" s="6">
        <v>2.52</v>
      </c>
      <c r="L210" s="6">
        <v>0</v>
      </c>
      <c r="N210" s="1">
        <f t="shared" si="31"/>
        <v>0</v>
      </c>
      <c r="Q210" s="6" t="s">
        <v>21</v>
      </c>
      <c r="R210" s="6" t="s">
        <v>21</v>
      </c>
      <c r="S210" s="6" t="s">
        <v>21</v>
      </c>
      <c r="T210" s="6" t="s">
        <v>21</v>
      </c>
      <c r="U210" s="6">
        <f t="shared" si="32"/>
        <v>0</v>
      </c>
      <c r="V210" s="6">
        <f t="shared" si="34"/>
        <v>0</v>
      </c>
    </row>
    <row r="211" spans="1:22" hidden="1" x14ac:dyDescent="0.35">
      <c r="A211" s="6" t="s">
        <v>259</v>
      </c>
      <c r="B211" s="6" t="s">
        <v>229</v>
      </c>
      <c r="C211" s="6" t="s">
        <v>230</v>
      </c>
      <c r="D211" s="6">
        <f t="shared" si="33"/>
        <v>0.5</v>
      </c>
      <c r="E211" s="6" t="s">
        <v>19</v>
      </c>
      <c r="F211" s="6" t="str">
        <f>MID(A211,19,1)</f>
        <v>S</v>
      </c>
      <c r="G211" s="6">
        <v>-23.494839032114061</v>
      </c>
      <c r="H211" s="6">
        <v>-46.756611381619237</v>
      </c>
      <c r="I211" s="9">
        <v>1292.6199999999999</v>
      </c>
      <c r="K211" s="6">
        <v>2.74</v>
      </c>
      <c r="L211" s="6">
        <v>0</v>
      </c>
      <c r="N211" s="1">
        <f t="shared" si="31"/>
        <v>0</v>
      </c>
      <c r="Q211" s="6" t="s">
        <v>21</v>
      </c>
      <c r="R211" s="6" t="s">
        <v>21</v>
      </c>
      <c r="S211" s="6" t="s">
        <v>21</v>
      </c>
      <c r="T211" s="6" t="s">
        <v>21</v>
      </c>
      <c r="U211" s="6">
        <f t="shared" si="32"/>
        <v>0</v>
      </c>
      <c r="V211" s="6">
        <f t="shared" si="34"/>
        <v>0</v>
      </c>
    </row>
    <row r="212" spans="1:22" x14ac:dyDescent="0.35">
      <c r="A212" s="6" t="s">
        <v>260</v>
      </c>
      <c r="B212" s="6" t="s">
        <v>229</v>
      </c>
      <c r="C212" s="6" t="s">
        <v>230</v>
      </c>
      <c r="D212" s="6">
        <f t="shared" si="33"/>
        <v>0.5</v>
      </c>
      <c r="E212" s="6" t="s">
        <v>19</v>
      </c>
      <c r="F212" s="6" t="str">
        <f>MID(A212,19,1)</f>
        <v>N</v>
      </c>
      <c r="G212" s="6">
        <v>-23.495480397489949</v>
      </c>
      <c r="H212" s="6">
        <v>-46.755005205519097</v>
      </c>
      <c r="I212" s="9">
        <v>779.15</v>
      </c>
      <c r="K212" s="6">
        <v>7.46</v>
      </c>
      <c r="L212" s="6">
        <v>0</v>
      </c>
      <c r="N212" s="1">
        <f t="shared" si="31"/>
        <v>0</v>
      </c>
      <c r="Q212" s="6" t="s">
        <v>21</v>
      </c>
      <c r="R212" s="6" t="s">
        <v>21</v>
      </c>
      <c r="S212" s="6" t="s">
        <v>21</v>
      </c>
      <c r="T212" s="6" t="s">
        <v>21</v>
      </c>
      <c r="U212" s="6">
        <f t="shared" si="32"/>
        <v>0</v>
      </c>
      <c r="V212" s="6">
        <f t="shared" si="34"/>
        <v>0</v>
      </c>
    </row>
    <row r="213" spans="1:22" hidden="1" x14ac:dyDescent="0.35">
      <c r="A213" s="6" t="s">
        <v>261</v>
      </c>
      <c r="B213" s="6" t="s">
        <v>229</v>
      </c>
      <c r="C213" s="6" t="s">
        <v>230</v>
      </c>
      <c r="D213" s="6">
        <f t="shared" si="33"/>
        <v>0.5</v>
      </c>
      <c r="E213" s="6" t="s">
        <v>19</v>
      </c>
      <c r="F213" s="6" t="str">
        <f>MID(A213,19,1)</f>
        <v>S</v>
      </c>
      <c r="G213" s="6">
        <v>-23.494681169588389</v>
      </c>
      <c r="H213" s="6">
        <v>-46.758454268029674</v>
      </c>
      <c r="I213" s="9">
        <v>93.81</v>
      </c>
      <c r="K213" s="6">
        <v>6.36</v>
      </c>
      <c r="L213" s="6">
        <v>0</v>
      </c>
      <c r="N213" s="1">
        <f t="shared" si="31"/>
        <v>0</v>
      </c>
      <c r="Q213" s="6" t="s">
        <v>21</v>
      </c>
      <c r="R213" s="6" t="s">
        <v>21</v>
      </c>
      <c r="S213" s="6" t="s">
        <v>21</v>
      </c>
      <c r="T213" s="6" t="s">
        <v>21</v>
      </c>
      <c r="U213" s="6">
        <f t="shared" si="32"/>
        <v>0</v>
      </c>
      <c r="V213" s="6">
        <f t="shared" si="34"/>
        <v>0</v>
      </c>
    </row>
    <row r="214" spans="1:22" hidden="1" x14ac:dyDescent="0.35">
      <c r="A214" s="6" t="s">
        <v>262</v>
      </c>
      <c r="B214" s="6" t="s">
        <v>229</v>
      </c>
      <c r="C214" s="6" t="s">
        <v>230</v>
      </c>
      <c r="D214" s="6">
        <f t="shared" si="33"/>
        <v>0.5</v>
      </c>
      <c r="E214" s="6" t="s">
        <v>19</v>
      </c>
      <c r="F214" s="6" t="str">
        <f>MID(A214,19,1)</f>
        <v>S</v>
      </c>
      <c r="G214" s="6">
        <v>-23.49416077033985</v>
      </c>
      <c r="H214" s="6">
        <v>-46.763778069401113</v>
      </c>
      <c r="I214" s="9">
        <v>2679.93</v>
      </c>
      <c r="K214" s="6">
        <v>7.35</v>
      </c>
      <c r="L214" s="6">
        <v>0</v>
      </c>
      <c r="N214" s="1">
        <f t="shared" si="31"/>
        <v>0</v>
      </c>
      <c r="Q214" s="6" t="s">
        <v>21</v>
      </c>
      <c r="R214" s="6" t="s">
        <v>21</v>
      </c>
      <c r="S214" s="6" t="s">
        <v>21</v>
      </c>
      <c r="T214" s="6" t="s">
        <v>21</v>
      </c>
      <c r="U214" s="6">
        <f t="shared" si="32"/>
        <v>0</v>
      </c>
      <c r="V214" s="6">
        <f t="shared" si="34"/>
        <v>0</v>
      </c>
    </row>
    <row r="215" spans="1:22" x14ac:dyDescent="0.35">
      <c r="A215" s="6" t="s">
        <v>263</v>
      </c>
      <c r="B215" s="6" t="s">
        <v>229</v>
      </c>
      <c r="C215" s="6" t="s">
        <v>230</v>
      </c>
      <c r="D215" s="6">
        <f t="shared" si="33"/>
        <v>0.5</v>
      </c>
      <c r="E215" s="6" t="s">
        <v>19</v>
      </c>
      <c r="F215" s="6" t="str">
        <f>MID(A215,19,1)</f>
        <v>N</v>
      </c>
      <c r="G215" s="6">
        <v>-23.49372295380136</v>
      </c>
      <c r="H215" s="6">
        <v>-46.731962106377743</v>
      </c>
      <c r="I215" s="9">
        <v>956.67</v>
      </c>
      <c r="K215" s="6">
        <v>7.74</v>
      </c>
      <c r="L215" s="6">
        <v>90</v>
      </c>
      <c r="N215" s="1">
        <f t="shared" si="31"/>
        <v>0</v>
      </c>
      <c r="O215" s="6" t="s">
        <v>20</v>
      </c>
      <c r="Q215" s="6" t="s">
        <v>21</v>
      </c>
      <c r="R215" s="6" t="s">
        <v>21</v>
      </c>
      <c r="S215" s="6" t="s">
        <v>21</v>
      </c>
      <c r="T215" s="6" t="s">
        <v>21</v>
      </c>
      <c r="U215" s="6">
        <f t="shared" si="32"/>
        <v>861.00299999999993</v>
      </c>
      <c r="V215" s="6">
        <f t="shared" si="34"/>
        <v>861.00299999999993</v>
      </c>
    </row>
    <row r="216" spans="1:22" hidden="1" x14ac:dyDescent="0.35">
      <c r="A216" s="6" t="s">
        <v>264</v>
      </c>
      <c r="B216" s="6" t="s">
        <v>229</v>
      </c>
      <c r="C216" s="6" t="s">
        <v>230</v>
      </c>
      <c r="D216" s="6">
        <f t="shared" si="33"/>
        <v>0.5</v>
      </c>
      <c r="E216" s="6" t="s">
        <v>19</v>
      </c>
      <c r="F216" s="6" t="str">
        <f>MID(A216,19,1)</f>
        <v>S</v>
      </c>
      <c r="G216" s="6">
        <v>-23.494710948454209</v>
      </c>
      <c r="H216" s="6">
        <v>-46.762641057327919</v>
      </c>
      <c r="I216" s="9">
        <v>551.33000000000004</v>
      </c>
      <c r="K216" s="6">
        <v>8.1300000000000008</v>
      </c>
      <c r="L216" s="6">
        <v>0</v>
      </c>
      <c r="N216" s="1">
        <f t="shared" si="31"/>
        <v>0</v>
      </c>
      <c r="Q216" s="6" t="s">
        <v>21</v>
      </c>
      <c r="R216" s="6" t="s">
        <v>21</v>
      </c>
      <c r="S216" s="6" t="s">
        <v>21</v>
      </c>
      <c r="T216" s="6" t="s">
        <v>21</v>
      </c>
      <c r="U216" s="6">
        <f t="shared" si="32"/>
        <v>0</v>
      </c>
      <c r="V216" s="6">
        <f t="shared" si="34"/>
        <v>0</v>
      </c>
    </row>
    <row r="217" spans="1:22" x14ac:dyDescent="0.35">
      <c r="A217" s="6" t="s">
        <v>265</v>
      </c>
      <c r="B217" s="6" t="s">
        <v>229</v>
      </c>
      <c r="C217" s="6" t="s">
        <v>230</v>
      </c>
      <c r="D217" s="6">
        <f t="shared" si="33"/>
        <v>0.5</v>
      </c>
      <c r="E217" s="6" t="s">
        <v>19</v>
      </c>
      <c r="F217" s="6" t="str">
        <f>MID(A217,19,1)</f>
        <v>N</v>
      </c>
      <c r="G217" s="6">
        <v>-23.49408782895491</v>
      </c>
      <c r="H217" s="6">
        <v>-46.761235598790542</v>
      </c>
      <c r="I217" s="9">
        <v>40.43</v>
      </c>
      <c r="K217" s="6">
        <v>5.5</v>
      </c>
      <c r="L217" s="6">
        <v>0</v>
      </c>
      <c r="N217" s="1">
        <f t="shared" si="31"/>
        <v>0</v>
      </c>
      <c r="Q217" s="6" t="s">
        <v>21</v>
      </c>
      <c r="R217" s="6" t="s">
        <v>21</v>
      </c>
      <c r="S217" s="6" t="s">
        <v>21</v>
      </c>
      <c r="T217" s="6" t="s">
        <v>21</v>
      </c>
      <c r="U217" s="6">
        <f t="shared" si="32"/>
        <v>0</v>
      </c>
      <c r="V217" s="6">
        <f t="shared" si="34"/>
        <v>0</v>
      </c>
    </row>
    <row r="218" spans="1:22" x14ac:dyDescent="0.35">
      <c r="A218" s="6" t="s">
        <v>266</v>
      </c>
      <c r="B218" s="6" t="s">
        <v>229</v>
      </c>
      <c r="C218" s="6" t="s">
        <v>230</v>
      </c>
      <c r="D218" s="6">
        <f t="shared" si="33"/>
        <v>0.5</v>
      </c>
      <c r="E218" s="6" t="s">
        <v>19</v>
      </c>
      <c r="F218" s="6" t="str">
        <f>MID(A218,19,1)</f>
        <v>N</v>
      </c>
      <c r="G218" s="6">
        <v>-23.49424070205389</v>
      </c>
      <c r="H218" s="6">
        <v>-46.756270471388312</v>
      </c>
      <c r="I218" s="9">
        <v>115.91</v>
      </c>
      <c r="K218" s="6">
        <v>5.23</v>
      </c>
      <c r="L218" s="6">
        <v>0</v>
      </c>
      <c r="N218" s="1">
        <f t="shared" si="31"/>
        <v>0</v>
      </c>
      <c r="Q218" s="6" t="s">
        <v>21</v>
      </c>
      <c r="R218" s="6" t="s">
        <v>21</v>
      </c>
      <c r="S218" s="6" t="s">
        <v>21</v>
      </c>
      <c r="T218" s="6" t="s">
        <v>21</v>
      </c>
      <c r="U218" s="6">
        <f t="shared" si="32"/>
        <v>0</v>
      </c>
      <c r="V218" s="6">
        <f t="shared" si="34"/>
        <v>0</v>
      </c>
    </row>
    <row r="219" spans="1:22" x14ac:dyDescent="0.35">
      <c r="A219" s="6" t="s">
        <v>267</v>
      </c>
      <c r="B219" s="6" t="s">
        <v>268</v>
      </c>
      <c r="C219" s="6" t="s">
        <v>269</v>
      </c>
      <c r="D219" s="6">
        <f t="shared" si="33"/>
        <v>0.5</v>
      </c>
      <c r="E219" s="6" t="s">
        <v>19</v>
      </c>
      <c r="F219" s="6" t="str">
        <f>MID(A219,19,1)</f>
        <v>N</v>
      </c>
      <c r="G219" s="6">
        <v>-23.491120770584139</v>
      </c>
      <c r="H219" s="6">
        <v>-46.734152858494149</v>
      </c>
      <c r="I219" s="9">
        <v>1917.04</v>
      </c>
      <c r="K219" s="6">
        <v>6.16</v>
      </c>
      <c r="L219" s="6">
        <v>90</v>
      </c>
      <c r="N219" s="1">
        <f t="shared" si="31"/>
        <v>0</v>
      </c>
      <c r="O219" s="6" t="s">
        <v>20</v>
      </c>
      <c r="Q219" s="6" t="s">
        <v>21</v>
      </c>
      <c r="R219" s="6" t="s">
        <v>21</v>
      </c>
      <c r="S219" s="6" t="s">
        <v>21</v>
      </c>
      <c r="T219" s="6" t="s">
        <v>21</v>
      </c>
      <c r="U219" s="6">
        <f t="shared" si="32"/>
        <v>1725.336</v>
      </c>
      <c r="V219" s="6">
        <f t="shared" si="34"/>
        <v>1725.336</v>
      </c>
    </row>
    <row r="220" spans="1:22" x14ac:dyDescent="0.35">
      <c r="A220" s="6" t="s">
        <v>270</v>
      </c>
      <c r="B220" s="6" t="s">
        <v>268</v>
      </c>
      <c r="C220" s="6" t="s">
        <v>269</v>
      </c>
      <c r="D220" s="6">
        <f t="shared" si="33"/>
        <v>0.5</v>
      </c>
      <c r="E220" s="6" t="s">
        <v>19</v>
      </c>
      <c r="F220" s="6" t="str">
        <f>MID(A220,19,1)</f>
        <v>N</v>
      </c>
      <c r="G220" s="6">
        <v>-23.488037212076421</v>
      </c>
      <c r="H220" s="6">
        <v>-46.736468098246583</v>
      </c>
      <c r="I220" s="9">
        <v>1425.32</v>
      </c>
      <c r="K220" s="6">
        <v>5.44</v>
      </c>
      <c r="L220" s="6">
        <v>0</v>
      </c>
      <c r="N220" s="1">
        <f t="shared" si="31"/>
        <v>0</v>
      </c>
      <c r="Q220" s="6" t="s">
        <v>21</v>
      </c>
      <c r="R220" s="6" t="s">
        <v>21</v>
      </c>
      <c r="S220" s="6" t="s">
        <v>21</v>
      </c>
      <c r="T220" s="6" t="s">
        <v>21</v>
      </c>
      <c r="U220" s="6">
        <f t="shared" si="32"/>
        <v>0</v>
      </c>
      <c r="V220" s="6">
        <f t="shared" si="34"/>
        <v>0</v>
      </c>
    </row>
    <row r="221" spans="1:22" hidden="1" x14ac:dyDescent="0.35">
      <c r="A221" s="6" t="s">
        <v>271</v>
      </c>
      <c r="B221" s="6" t="s">
        <v>268</v>
      </c>
      <c r="C221" s="6" t="s">
        <v>269</v>
      </c>
      <c r="D221" s="6">
        <f t="shared" si="33"/>
        <v>0.5</v>
      </c>
      <c r="E221" s="6" t="s">
        <v>23</v>
      </c>
      <c r="F221" s="6" t="str">
        <f>MID(A221,19,1)</f>
        <v>C</v>
      </c>
      <c r="G221" s="6">
        <v>-23.49129216738433</v>
      </c>
      <c r="H221" s="6">
        <v>-46.734574584509403</v>
      </c>
      <c r="I221" s="7">
        <v>20985.91</v>
      </c>
      <c r="J221" s="9">
        <f>I221/500</f>
        <v>41.971820000000001</v>
      </c>
      <c r="K221" s="6">
        <v>6.6</v>
      </c>
      <c r="L221" s="6">
        <v>80</v>
      </c>
      <c r="N221" s="1">
        <f t="shared" si="31"/>
        <v>0</v>
      </c>
      <c r="O221" s="6" t="s">
        <v>185</v>
      </c>
      <c r="Q221" s="6" t="s">
        <v>21</v>
      </c>
      <c r="R221" s="6" t="s">
        <v>21</v>
      </c>
      <c r="S221" s="6" t="s">
        <v>21</v>
      </c>
      <c r="T221" s="6" t="s">
        <v>21</v>
      </c>
      <c r="U221" s="6">
        <f t="shared" si="32"/>
        <v>16788.727999999999</v>
      </c>
      <c r="V221" s="6">
        <f t="shared" si="34"/>
        <v>16788.727999999999</v>
      </c>
    </row>
    <row r="222" spans="1:22" x14ac:dyDescent="0.35">
      <c r="A222" s="6" t="s">
        <v>272</v>
      </c>
      <c r="B222" s="6" t="s">
        <v>268</v>
      </c>
      <c r="C222" s="6" t="s">
        <v>269</v>
      </c>
      <c r="D222" s="6">
        <f t="shared" si="33"/>
        <v>0.5</v>
      </c>
      <c r="E222" s="6" t="s">
        <v>19</v>
      </c>
      <c r="F222" s="6" t="str">
        <f>MID(A222,19,1)</f>
        <v>N</v>
      </c>
      <c r="G222" s="6">
        <v>-23.486112262374832</v>
      </c>
      <c r="H222" s="6">
        <v>-46.737140439662141</v>
      </c>
      <c r="I222" s="9">
        <v>1.57</v>
      </c>
      <c r="K222" s="6">
        <v>4.72</v>
      </c>
      <c r="L222" s="6">
        <v>0</v>
      </c>
      <c r="N222" s="1">
        <f t="shared" si="31"/>
        <v>0</v>
      </c>
      <c r="Q222" s="6" t="s">
        <v>21</v>
      </c>
      <c r="R222" s="6" t="s">
        <v>21</v>
      </c>
      <c r="S222" s="6" t="s">
        <v>21</v>
      </c>
      <c r="T222" s="6" t="s">
        <v>21</v>
      </c>
      <c r="U222" s="6">
        <f t="shared" si="32"/>
        <v>0</v>
      </c>
      <c r="V222" s="6">
        <f t="shared" si="34"/>
        <v>0</v>
      </c>
    </row>
    <row r="223" spans="1:22" hidden="1" x14ac:dyDescent="0.35">
      <c r="A223" s="6" t="s">
        <v>273</v>
      </c>
      <c r="B223" s="6" t="s">
        <v>268</v>
      </c>
      <c r="C223" s="6" t="s">
        <v>269</v>
      </c>
      <c r="D223" s="6">
        <f t="shared" si="33"/>
        <v>0.5</v>
      </c>
      <c r="E223" s="6" t="s">
        <v>23</v>
      </c>
      <c r="F223" s="6" t="str">
        <f>MID(A223,19,1)</f>
        <v>C</v>
      </c>
      <c r="G223" s="6">
        <v>-23.492035238852889</v>
      </c>
      <c r="H223" s="6">
        <v>-46.766190163380308</v>
      </c>
      <c r="I223" s="9">
        <v>7053.92</v>
      </c>
      <c r="J223" s="9">
        <f>I223/500</f>
        <v>14.107839999999999</v>
      </c>
      <c r="K223" s="6">
        <v>4.9000000000000004</v>
      </c>
      <c r="L223" s="6">
        <v>20</v>
      </c>
      <c r="N223" s="1">
        <f t="shared" si="31"/>
        <v>0</v>
      </c>
      <c r="O223" s="6" t="s">
        <v>20</v>
      </c>
      <c r="Q223" s="6" t="s">
        <v>21</v>
      </c>
      <c r="R223" s="6" t="s">
        <v>21</v>
      </c>
      <c r="S223" s="6" t="s">
        <v>21</v>
      </c>
      <c r="T223" s="6" t="s">
        <v>21</v>
      </c>
      <c r="U223" s="6">
        <f t="shared" si="32"/>
        <v>1410.7840000000001</v>
      </c>
      <c r="V223" s="6">
        <f t="shared" si="34"/>
        <v>1410.7840000000001</v>
      </c>
    </row>
    <row r="224" spans="1:22" hidden="1" x14ac:dyDescent="0.35">
      <c r="A224" s="6" t="s">
        <v>274</v>
      </c>
      <c r="B224" s="6" t="s">
        <v>268</v>
      </c>
      <c r="C224" s="6" t="s">
        <v>269</v>
      </c>
      <c r="D224" s="6">
        <f t="shared" si="33"/>
        <v>0.5</v>
      </c>
      <c r="E224" s="6" t="s">
        <v>19</v>
      </c>
      <c r="F224" s="6" t="str">
        <f>MID(A224,19,1)</f>
        <v>S</v>
      </c>
      <c r="G224" s="6">
        <v>-23.4894110721809</v>
      </c>
      <c r="H224" s="6">
        <v>-46.767386852383673</v>
      </c>
      <c r="I224" s="9">
        <v>1918.58</v>
      </c>
      <c r="K224" s="6">
        <v>4.96</v>
      </c>
      <c r="L224" s="6">
        <v>90</v>
      </c>
      <c r="N224" s="1">
        <f t="shared" si="31"/>
        <v>0</v>
      </c>
      <c r="O224" s="6" t="s">
        <v>20</v>
      </c>
      <c r="Q224" s="6" t="s">
        <v>21</v>
      </c>
      <c r="R224" s="6" t="s">
        <v>21</v>
      </c>
      <c r="S224" s="6" t="s">
        <v>21</v>
      </c>
      <c r="T224" s="6" t="s">
        <v>21</v>
      </c>
      <c r="U224" s="6">
        <f t="shared" si="32"/>
        <v>1726.722</v>
      </c>
      <c r="V224" s="6">
        <f t="shared" si="34"/>
        <v>1726.722</v>
      </c>
    </row>
    <row r="225" spans="1:22" hidden="1" x14ac:dyDescent="0.35">
      <c r="A225" s="6" t="s">
        <v>275</v>
      </c>
      <c r="B225" s="6" t="s">
        <v>268</v>
      </c>
      <c r="C225" s="6" t="s">
        <v>269</v>
      </c>
      <c r="D225" s="6">
        <f t="shared" si="33"/>
        <v>0.5</v>
      </c>
      <c r="E225" s="6" t="s">
        <v>19</v>
      </c>
      <c r="F225" s="6" t="str">
        <f>MID(A225,19,1)</f>
        <v>S</v>
      </c>
      <c r="G225" s="6">
        <v>-23.494106925791929</v>
      </c>
      <c r="H225" s="6">
        <v>-46.76451652999652</v>
      </c>
      <c r="I225" s="9">
        <v>260.68</v>
      </c>
      <c r="K225" s="6">
        <v>5.56</v>
      </c>
      <c r="L225" s="6">
        <v>0</v>
      </c>
      <c r="N225" s="1">
        <f t="shared" si="31"/>
        <v>0</v>
      </c>
      <c r="Q225" s="6" t="s">
        <v>21</v>
      </c>
      <c r="R225" s="6" t="s">
        <v>21</v>
      </c>
      <c r="S225" s="6" t="s">
        <v>21</v>
      </c>
      <c r="T225" s="6" t="s">
        <v>21</v>
      </c>
      <c r="U225" s="6">
        <f t="shared" si="32"/>
        <v>0</v>
      </c>
      <c r="V225" s="6">
        <f t="shared" si="34"/>
        <v>0</v>
      </c>
    </row>
    <row r="226" spans="1:22" x14ac:dyDescent="0.35">
      <c r="A226" s="6" t="s">
        <v>276</v>
      </c>
      <c r="B226" s="6" t="s">
        <v>268</v>
      </c>
      <c r="C226" s="6" t="s">
        <v>269</v>
      </c>
      <c r="D226" s="6">
        <f t="shared" si="33"/>
        <v>0.5</v>
      </c>
      <c r="E226" s="6" t="s">
        <v>19</v>
      </c>
      <c r="F226" s="6" t="str">
        <f>MID(A226,19,1)</f>
        <v>N</v>
      </c>
      <c r="G226" s="6">
        <v>-23.49069091576105</v>
      </c>
      <c r="H226" s="6">
        <v>-46.766490694652653</v>
      </c>
      <c r="I226" s="9">
        <v>5435.58</v>
      </c>
      <c r="K226" s="6">
        <v>5.34</v>
      </c>
      <c r="L226" s="6">
        <v>0</v>
      </c>
      <c r="N226" s="1">
        <f t="shared" si="31"/>
        <v>0</v>
      </c>
      <c r="Q226" s="6" t="s">
        <v>21</v>
      </c>
      <c r="R226" s="6" t="s">
        <v>21</v>
      </c>
      <c r="S226" s="6" t="s">
        <v>21</v>
      </c>
      <c r="T226" s="6" t="s">
        <v>21</v>
      </c>
      <c r="U226" s="6">
        <f t="shared" si="32"/>
        <v>0</v>
      </c>
      <c r="V226" s="6">
        <f t="shared" si="34"/>
        <v>0</v>
      </c>
    </row>
    <row r="227" spans="1:22" hidden="1" x14ac:dyDescent="0.35">
      <c r="A227" s="8" t="s">
        <v>277</v>
      </c>
      <c r="B227" s="8" t="s">
        <v>268</v>
      </c>
      <c r="C227" s="8" t="s">
        <v>269</v>
      </c>
      <c r="D227" s="6">
        <f t="shared" si="33"/>
        <v>0.5</v>
      </c>
      <c r="E227" s="8" t="s">
        <v>19</v>
      </c>
      <c r="F227" s="6" t="str">
        <f>MID(A227,19,1)</f>
        <v>S</v>
      </c>
      <c r="G227" s="8">
        <v>-23.486478351379791</v>
      </c>
      <c r="H227" s="8">
        <v>-46.768658186563151</v>
      </c>
      <c r="I227" s="7">
        <v>1879.72</v>
      </c>
      <c r="J227" s="7"/>
      <c r="K227" s="8">
        <v>6.56</v>
      </c>
      <c r="L227" s="8">
        <v>70</v>
      </c>
      <c r="M227" s="8"/>
      <c r="N227" s="11">
        <f t="shared" si="31"/>
        <v>1315.8039999999999</v>
      </c>
      <c r="O227" s="8" t="s">
        <v>71</v>
      </c>
      <c r="P227" s="8"/>
      <c r="Q227" s="8" t="s">
        <v>21</v>
      </c>
      <c r="R227" s="8" t="s">
        <v>26</v>
      </c>
      <c r="S227" s="8" t="s">
        <v>21</v>
      </c>
      <c r="T227" s="8" t="s">
        <v>21</v>
      </c>
      <c r="U227" s="6">
        <f t="shared" si="32"/>
        <v>0</v>
      </c>
    </row>
    <row r="228" spans="1:22" hidden="1" x14ac:dyDescent="0.35">
      <c r="A228" s="6" t="s">
        <v>278</v>
      </c>
      <c r="B228" s="6" t="s">
        <v>268</v>
      </c>
      <c r="C228" s="6" t="s">
        <v>269</v>
      </c>
      <c r="D228" s="6">
        <f t="shared" si="33"/>
        <v>0.5</v>
      </c>
      <c r="E228" s="6" t="s">
        <v>19</v>
      </c>
      <c r="F228" s="6" t="str">
        <f>MID(A228,19,1)</f>
        <v>S</v>
      </c>
      <c r="G228" s="6">
        <v>-23.491262368987151</v>
      </c>
      <c r="H228" s="6">
        <v>-46.766998554418059</v>
      </c>
      <c r="I228" s="9">
        <v>990.47</v>
      </c>
      <c r="K228" s="6">
        <v>4.8600000000000003</v>
      </c>
      <c r="L228" s="6">
        <v>0</v>
      </c>
      <c r="N228" s="1">
        <f t="shared" si="31"/>
        <v>0</v>
      </c>
      <c r="Q228" s="6" t="s">
        <v>21</v>
      </c>
      <c r="R228" s="6" t="s">
        <v>21</v>
      </c>
      <c r="S228" s="6" t="s">
        <v>21</v>
      </c>
      <c r="T228" s="6" t="s">
        <v>21</v>
      </c>
      <c r="U228" s="6">
        <f t="shared" si="32"/>
        <v>0</v>
      </c>
      <c r="V228" s="6">
        <f t="shared" ref="V228:V256" si="35">(I228*(L228/100))</f>
        <v>0</v>
      </c>
    </row>
    <row r="229" spans="1:22" hidden="1" x14ac:dyDescent="0.35">
      <c r="A229" s="6" t="s">
        <v>279</v>
      </c>
      <c r="B229" s="6" t="s">
        <v>268</v>
      </c>
      <c r="C229" s="6" t="s">
        <v>269</v>
      </c>
      <c r="D229" s="6">
        <f t="shared" si="33"/>
        <v>0.5</v>
      </c>
      <c r="E229" s="6" t="s">
        <v>19</v>
      </c>
      <c r="F229" s="6" t="str">
        <f>MID(A229,19,1)</f>
        <v>S</v>
      </c>
      <c r="G229" s="6">
        <v>-23.488723574940629</v>
      </c>
      <c r="H229" s="6">
        <v>-46.767889730979192</v>
      </c>
      <c r="I229" s="9">
        <v>665.89</v>
      </c>
      <c r="K229" s="6">
        <v>6.3</v>
      </c>
      <c r="L229" s="6">
        <v>20</v>
      </c>
      <c r="N229" s="1">
        <f t="shared" si="31"/>
        <v>0</v>
      </c>
      <c r="O229" s="6" t="s">
        <v>20</v>
      </c>
      <c r="Q229" s="6" t="s">
        <v>21</v>
      </c>
      <c r="R229" s="6" t="s">
        <v>21</v>
      </c>
      <c r="S229" s="6" t="s">
        <v>21</v>
      </c>
      <c r="T229" s="6" t="s">
        <v>21</v>
      </c>
      <c r="U229" s="6">
        <f t="shared" si="32"/>
        <v>133.178</v>
      </c>
      <c r="V229" s="6">
        <f t="shared" si="35"/>
        <v>133.178</v>
      </c>
    </row>
    <row r="230" spans="1:22" hidden="1" x14ac:dyDescent="0.35">
      <c r="A230" s="6" t="s">
        <v>280</v>
      </c>
      <c r="B230" s="6" t="s">
        <v>268</v>
      </c>
      <c r="C230" s="6" t="s">
        <v>269</v>
      </c>
      <c r="D230" s="6">
        <f t="shared" si="33"/>
        <v>0.5</v>
      </c>
      <c r="E230" s="6" t="s">
        <v>19</v>
      </c>
      <c r="F230" s="6" t="str">
        <f>MID(A230,19,1)</f>
        <v>S</v>
      </c>
      <c r="G230" s="6">
        <v>-23.4933483070614</v>
      </c>
      <c r="H230" s="6">
        <v>-46.76559215643902</v>
      </c>
      <c r="I230" s="9">
        <v>844.39</v>
      </c>
      <c r="K230" s="6">
        <v>8.61</v>
      </c>
      <c r="L230" s="6">
        <v>0</v>
      </c>
      <c r="N230" s="1">
        <f t="shared" si="31"/>
        <v>0</v>
      </c>
      <c r="Q230" s="6" t="s">
        <v>21</v>
      </c>
      <c r="R230" s="6" t="s">
        <v>21</v>
      </c>
      <c r="S230" s="6" t="s">
        <v>21</v>
      </c>
      <c r="T230" s="6" t="s">
        <v>21</v>
      </c>
      <c r="U230" s="6">
        <f t="shared" si="32"/>
        <v>0</v>
      </c>
      <c r="V230" s="6">
        <f t="shared" si="35"/>
        <v>0</v>
      </c>
    </row>
    <row r="231" spans="1:22" x14ac:dyDescent="0.35">
      <c r="A231" s="6" t="s">
        <v>281</v>
      </c>
      <c r="B231" s="6" t="s">
        <v>268</v>
      </c>
      <c r="C231" s="6" t="s">
        <v>269</v>
      </c>
      <c r="D231" s="6">
        <f t="shared" si="33"/>
        <v>0.5</v>
      </c>
      <c r="E231" s="6" t="s">
        <v>19</v>
      </c>
      <c r="F231" s="6" t="str">
        <f>MID(A231,19,1)</f>
        <v>N</v>
      </c>
      <c r="G231" s="6">
        <v>-23.493574640513849</v>
      </c>
      <c r="H231" s="6">
        <v>-46.763986813568202</v>
      </c>
      <c r="I231" s="9">
        <v>401.13</v>
      </c>
      <c r="K231" s="6">
        <v>4.3</v>
      </c>
      <c r="L231" s="6">
        <v>0</v>
      </c>
      <c r="N231" s="1">
        <f t="shared" si="31"/>
        <v>0</v>
      </c>
      <c r="Q231" s="6" t="s">
        <v>21</v>
      </c>
      <c r="R231" s="6" t="s">
        <v>21</v>
      </c>
      <c r="S231" s="6" t="s">
        <v>21</v>
      </c>
      <c r="T231" s="6" t="s">
        <v>21</v>
      </c>
      <c r="U231" s="6">
        <f t="shared" si="32"/>
        <v>0</v>
      </c>
      <c r="V231" s="6">
        <f t="shared" si="35"/>
        <v>0</v>
      </c>
    </row>
    <row r="232" spans="1:22" x14ac:dyDescent="0.35">
      <c r="A232" s="6" t="s">
        <v>282</v>
      </c>
      <c r="B232" s="6" t="s">
        <v>268</v>
      </c>
      <c r="C232" s="6" t="s">
        <v>269</v>
      </c>
      <c r="D232" s="6">
        <f t="shared" si="33"/>
        <v>0.5</v>
      </c>
      <c r="E232" s="6" t="s">
        <v>19</v>
      </c>
      <c r="F232" s="6" t="str">
        <f>MID(A232,19,1)</f>
        <v>N</v>
      </c>
      <c r="G232" s="6">
        <v>-23.491769934223001</v>
      </c>
      <c r="H232" s="6">
        <v>-46.765821554661628</v>
      </c>
      <c r="I232" s="9">
        <v>30.95</v>
      </c>
      <c r="K232" s="6">
        <v>6.49</v>
      </c>
      <c r="L232" s="6">
        <v>0</v>
      </c>
      <c r="N232" s="1">
        <f t="shared" si="31"/>
        <v>0</v>
      </c>
      <c r="Q232" s="6" t="s">
        <v>21</v>
      </c>
      <c r="R232" s="6" t="s">
        <v>21</v>
      </c>
      <c r="S232" s="6" t="s">
        <v>21</v>
      </c>
      <c r="T232" s="6" t="s">
        <v>21</v>
      </c>
      <c r="U232" s="6">
        <f t="shared" si="32"/>
        <v>0</v>
      </c>
      <c r="V232" s="6">
        <f t="shared" si="35"/>
        <v>0</v>
      </c>
    </row>
    <row r="233" spans="1:22" hidden="1" x14ac:dyDescent="0.35">
      <c r="A233" s="6" t="s">
        <v>283</v>
      </c>
      <c r="B233" s="6" t="s">
        <v>268</v>
      </c>
      <c r="C233" s="6" t="s">
        <v>269</v>
      </c>
      <c r="D233" s="6">
        <f t="shared" si="33"/>
        <v>0.5</v>
      </c>
      <c r="E233" s="6" t="s">
        <v>19</v>
      </c>
      <c r="F233" s="6" t="str">
        <f>MID(A233,19,1)</f>
        <v>S</v>
      </c>
      <c r="G233" s="6">
        <v>-23.48784789348473</v>
      </c>
      <c r="H233" s="6">
        <v>-46.767946956545337</v>
      </c>
      <c r="I233" s="9">
        <v>853.26</v>
      </c>
      <c r="K233" s="6">
        <v>8.92</v>
      </c>
      <c r="L233" s="6">
        <v>20</v>
      </c>
      <c r="N233" s="1">
        <f t="shared" si="31"/>
        <v>0</v>
      </c>
      <c r="O233" s="6" t="s">
        <v>20</v>
      </c>
      <c r="Q233" s="6" t="s">
        <v>21</v>
      </c>
      <c r="R233" s="6" t="s">
        <v>21</v>
      </c>
      <c r="S233" s="6" t="s">
        <v>21</v>
      </c>
      <c r="T233" s="6" t="s">
        <v>21</v>
      </c>
      <c r="U233" s="6">
        <f t="shared" si="32"/>
        <v>170.65200000000002</v>
      </c>
      <c r="V233" s="6">
        <f t="shared" si="35"/>
        <v>170.65200000000002</v>
      </c>
    </row>
    <row r="234" spans="1:22" x14ac:dyDescent="0.35">
      <c r="A234" s="6" t="s">
        <v>284</v>
      </c>
      <c r="B234" s="6" t="s">
        <v>268</v>
      </c>
      <c r="C234" s="6" t="s">
        <v>269</v>
      </c>
      <c r="D234" s="6">
        <f t="shared" si="33"/>
        <v>0.5</v>
      </c>
      <c r="E234" s="6" t="s">
        <v>19</v>
      </c>
      <c r="F234" s="6" t="str">
        <f>MID(A234,19,1)</f>
        <v>N</v>
      </c>
      <c r="G234" s="6">
        <v>-23.488400557298821</v>
      </c>
      <c r="H234" s="6">
        <v>-46.767260486751837</v>
      </c>
      <c r="I234" s="9">
        <v>6991.57</v>
      </c>
      <c r="K234" s="6">
        <v>3.48</v>
      </c>
      <c r="L234" s="6">
        <v>0</v>
      </c>
      <c r="N234" s="1">
        <f t="shared" si="31"/>
        <v>0</v>
      </c>
      <c r="Q234" s="6" t="s">
        <v>21</v>
      </c>
      <c r="R234" s="6" t="s">
        <v>21</v>
      </c>
      <c r="S234" s="6" t="s">
        <v>21</v>
      </c>
      <c r="T234" s="6" t="s">
        <v>21</v>
      </c>
      <c r="U234" s="6">
        <f t="shared" si="32"/>
        <v>0</v>
      </c>
      <c r="V234" s="6">
        <f t="shared" si="35"/>
        <v>0</v>
      </c>
    </row>
    <row r="235" spans="1:22" x14ac:dyDescent="0.35">
      <c r="A235" s="6" t="s">
        <v>285</v>
      </c>
      <c r="B235" s="6" t="s">
        <v>268</v>
      </c>
      <c r="C235" s="6" t="s">
        <v>269</v>
      </c>
      <c r="D235" s="6">
        <f t="shared" si="33"/>
        <v>0.5</v>
      </c>
      <c r="E235" s="6" t="s">
        <v>19</v>
      </c>
      <c r="F235" s="6" t="str">
        <f>MID(A235,19,1)</f>
        <v>N</v>
      </c>
      <c r="G235" s="6">
        <v>-23.491639001366242</v>
      </c>
      <c r="H235" s="6">
        <v>-46.765934088355422</v>
      </c>
      <c r="I235" s="9">
        <v>24.17</v>
      </c>
      <c r="K235" s="6">
        <v>7.85</v>
      </c>
      <c r="L235" s="6">
        <v>0</v>
      </c>
      <c r="N235" s="1">
        <f t="shared" si="31"/>
        <v>0</v>
      </c>
      <c r="Q235" s="6" t="s">
        <v>21</v>
      </c>
      <c r="R235" s="6" t="s">
        <v>21</v>
      </c>
      <c r="S235" s="6" t="s">
        <v>21</v>
      </c>
      <c r="T235" s="6" t="s">
        <v>21</v>
      </c>
      <c r="U235" s="6">
        <f t="shared" si="32"/>
        <v>0</v>
      </c>
      <c r="V235" s="6">
        <f t="shared" si="35"/>
        <v>0</v>
      </c>
    </row>
    <row r="236" spans="1:22" hidden="1" x14ac:dyDescent="0.35">
      <c r="A236" s="6" t="s">
        <v>286</v>
      </c>
      <c r="B236" s="6" t="s">
        <v>268</v>
      </c>
      <c r="C236" s="6" t="s">
        <v>269</v>
      </c>
      <c r="D236" s="6">
        <f t="shared" si="33"/>
        <v>0.5</v>
      </c>
      <c r="E236" s="6" t="s">
        <v>19</v>
      </c>
      <c r="F236" s="6" t="str">
        <f>MID(A236,19,1)</f>
        <v>S</v>
      </c>
      <c r="G236" s="6">
        <v>-23.487480445499891</v>
      </c>
      <c r="H236" s="6">
        <v>-46.737239009726864</v>
      </c>
      <c r="I236" s="9">
        <v>2154.37</v>
      </c>
      <c r="K236" s="6">
        <v>6.07</v>
      </c>
      <c r="L236" s="6">
        <v>0</v>
      </c>
      <c r="N236" s="1">
        <f t="shared" si="31"/>
        <v>0</v>
      </c>
      <c r="Q236" s="6" t="s">
        <v>21</v>
      </c>
      <c r="R236" s="6" t="s">
        <v>21</v>
      </c>
      <c r="S236" s="6" t="s">
        <v>21</v>
      </c>
      <c r="T236" s="6" t="s">
        <v>21</v>
      </c>
      <c r="U236" s="6">
        <f t="shared" si="32"/>
        <v>0</v>
      </c>
      <c r="V236" s="6">
        <f t="shared" si="35"/>
        <v>0</v>
      </c>
    </row>
    <row r="237" spans="1:22" x14ac:dyDescent="0.35">
      <c r="A237" s="6" t="s">
        <v>287</v>
      </c>
      <c r="B237" s="6" t="s">
        <v>268</v>
      </c>
      <c r="C237" s="6" t="s">
        <v>269</v>
      </c>
      <c r="D237" s="6">
        <f t="shared" si="33"/>
        <v>0.5</v>
      </c>
      <c r="E237" s="6" t="s">
        <v>19</v>
      </c>
      <c r="F237" s="6" t="str">
        <f>MID(A237,19,1)</f>
        <v>N</v>
      </c>
      <c r="G237" s="6">
        <v>-23.48516352270661</v>
      </c>
      <c r="H237" s="6">
        <v>-46.737257878565231</v>
      </c>
      <c r="I237" s="9">
        <v>88.09</v>
      </c>
      <c r="K237" s="6">
        <v>3.23</v>
      </c>
      <c r="L237" s="6">
        <v>0</v>
      </c>
      <c r="N237" s="1">
        <f t="shared" si="31"/>
        <v>0</v>
      </c>
      <c r="Q237" s="6" t="s">
        <v>21</v>
      </c>
      <c r="R237" s="6" t="s">
        <v>21</v>
      </c>
      <c r="S237" s="6" t="s">
        <v>21</v>
      </c>
      <c r="T237" s="6" t="s">
        <v>21</v>
      </c>
      <c r="U237" s="6">
        <f t="shared" si="32"/>
        <v>0</v>
      </c>
      <c r="V237" s="6">
        <f t="shared" si="35"/>
        <v>0</v>
      </c>
    </row>
    <row r="238" spans="1:22" hidden="1" x14ac:dyDescent="0.35">
      <c r="A238" s="6" t="s">
        <v>288</v>
      </c>
      <c r="B238" s="6" t="s">
        <v>268</v>
      </c>
      <c r="C238" s="6" t="s">
        <v>269</v>
      </c>
      <c r="D238" s="6">
        <f t="shared" si="33"/>
        <v>0.5</v>
      </c>
      <c r="E238" s="6" t="s">
        <v>19</v>
      </c>
      <c r="F238" s="6" t="str">
        <f>MID(A238,19,1)</f>
        <v>S</v>
      </c>
      <c r="G238" s="6">
        <v>-23.4915836451313</v>
      </c>
      <c r="H238" s="6">
        <v>-46.73489185728269</v>
      </c>
      <c r="I238" s="9">
        <v>2015.82</v>
      </c>
      <c r="K238" s="6">
        <v>13.05</v>
      </c>
      <c r="L238" s="6">
        <v>0</v>
      </c>
      <c r="N238" s="1">
        <f t="shared" si="31"/>
        <v>0</v>
      </c>
      <c r="Q238" s="6" t="s">
        <v>21</v>
      </c>
      <c r="R238" s="6" t="s">
        <v>21</v>
      </c>
      <c r="S238" s="6" t="s">
        <v>21</v>
      </c>
      <c r="T238" s="6" t="s">
        <v>21</v>
      </c>
      <c r="U238" s="6">
        <f t="shared" si="32"/>
        <v>0</v>
      </c>
      <c r="V238" s="6">
        <f t="shared" si="35"/>
        <v>0</v>
      </c>
    </row>
    <row r="239" spans="1:22" hidden="1" x14ac:dyDescent="0.35">
      <c r="A239" s="6" t="s">
        <v>289</v>
      </c>
      <c r="B239" s="6" t="s">
        <v>268</v>
      </c>
      <c r="C239" s="6" t="s">
        <v>269</v>
      </c>
      <c r="D239" s="6">
        <f t="shared" si="33"/>
        <v>0.5</v>
      </c>
      <c r="E239" s="6" t="s">
        <v>19</v>
      </c>
      <c r="F239" s="6" t="str">
        <f>MID(A239,19,1)</f>
        <v>S</v>
      </c>
      <c r="G239" s="6">
        <v>-23.487529631944511</v>
      </c>
      <c r="H239" s="6">
        <v>-46.768313535483543</v>
      </c>
      <c r="I239" s="9">
        <v>696.93</v>
      </c>
      <c r="K239" s="6">
        <v>9.33</v>
      </c>
      <c r="L239" s="6">
        <v>20</v>
      </c>
      <c r="N239" s="1">
        <f t="shared" si="31"/>
        <v>0</v>
      </c>
      <c r="O239" s="6" t="s">
        <v>20</v>
      </c>
      <c r="Q239" s="6" t="s">
        <v>21</v>
      </c>
      <c r="R239" s="6" t="s">
        <v>21</v>
      </c>
      <c r="S239" s="6" t="s">
        <v>21</v>
      </c>
      <c r="T239" s="6" t="s">
        <v>21</v>
      </c>
      <c r="U239" s="6">
        <f t="shared" si="32"/>
        <v>139.386</v>
      </c>
      <c r="V239" s="6">
        <f t="shared" si="35"/>
        <v>139.386</v>
      </c>
    </row>
    <row r="240" spans="1:22" x14ac:dyDescent="0.35">
      <c r="A240" s="6" t="s">
        <v>290</v>
      </c>
      <c r="B240" s="6" t="s">
        <v>268</v>
      </c>
      <c r="C240" s="6" t="s">
        <v>269</v>
      </c>
      <c r="D240" s="6">
        <f t="shared" si="33"/>
        <v>0.5</v>
      </c>
      <c r="E240" s="6" t="s">
        <v>19</v>
      </c>
      <c r="F240" s="6" t="str">
        <f>MID(A240,19,1)</f>
        <v>N</v>
      </c>
      <c r="G240" s="6">
        <v>-23.49319736579093</v>
      </c>
      <c r="H240" s="6">
        <v>-46.764655266922333</v>
      </c>
      <c r="I240" s="9">
        <v>249.92</v>
      </c>
      <c r="K240" s="6">
        <v>3.55</v>
      </c>
      <c r="L240" s="6">
        <v>0</v>
      </c>
      <c r="N240" s="1">
        <f t="shared" si="31"/>
        <v>0</v>
      </c>
      <c r="Q240" s="6" t="s">
        <v>21</v>
      </c>
      <c r="R240" s="6" t="s">
        <v>21</v>
      </c>
      <c r="S240" s="6" t="s">
        <v>21</v>
      </c>
      <c r="T240" s="6" t="s">
        <v>21</v>
      </c>
      <c r="U240" s="6">
        <f t="shared" si="32"/>
        <v>0</v>
      </c>
      <c r="V240" s="6">
        <f t="shared" si="35"/>
        <v>0</v>
      </c>
    </row>
    <row r="241" spans="1:22" hidden="1" x14ac:dyDescent="0.35">
      <c r="A241" s="6" t="s">
        <v>291</v>
      </c>
      <c r="B241" s="6" t="s">
        <v>268</v>
      </c>
      <c r="C241" s="6" t="s">
        <v>269</v>
      </c>
      <c r="D241" s="6">
        <f t="shared" si="33"/>
        <v>0.5</v>
      </c>
      <c r="E241" s="6" t="s">
        <v>19</v>
      </c>
      <c r="F241" s="6" t="str">
        <f>MID(A241,19,1)</f>
        <v>S</v>
      </c>
      <c r="G241" s="6">
        <v>-23.486375474834681</v>
      </c>
      <c r="H241" s="6">
        <v>-46.769001925695257</v>
      </c>
      <c r="I241" s="9">
        <v>472.75</v>
      </c>
      <c r="K241" s="6">
        <v>8.99</v>
      </c>
      <c r="L241" s="6">
        <v>20</v>
      </c>
      <c r="N241" s="1">
        <f t="shared" si="31"/>
        <v>0</v>
      </c>
      <c r="O241" s="6" t="s">
        <v>20</v>
      </c>
      <c r="Q241" s="6" t="s">
        <v>21</v>
      </c>
      <c r="R241" s="6" t="s">
        <v>21</v>
      </c>
      <c r="S241" s="6" t="s">
        <v>21</v>
      </c>
      <c r="T241" s="6" t="s">
        <v>21</v>
      </c>
      <c r="U241" s="6">
        <f t="shared" si="32"/>
        <v>94.550000000000011</v>
      </c>
      <c r="V241" s="6">
        <f t="shared" si="35"/>
        <v>94.550000000000011</v>
      </c>
    </row>
    <row r="242" spans="1:22" x14ac:dyDescent="0.35">
      <c r="A242" s="6" t="s">
        <v>292</v>
      </c>
      <c r="B242" s="6" t="s">
        <v>268</v>
      </c>
      <c r="C242" s="6" t="s">
        <v>269</v>
      </c>
      <c r="D242" s="6">
        <f t="shared" si="33"/>
        <v>0.5</v>
      </c>
      <c r="E242" s="6" t="s">
        <v>19</v>
      </c>
      <c r="F242" s="6" t="str">
        <f>MID(A242,19,1)</f>
        <v>N</v>
      </c>
      <c r="G242" s="6">
        <v>-23.486502443098399</v>
      </c>
      <c r="H242" s="6">
        <v>-46.768095743933308</v>
      </c>
      <c r="I242" s="9">
        <v>3643.03</v>
      </c>
      <c r="K242" s="6">
        <v>3.87</v>
      </c>
      <c r="L242" s="6">
        <v>0</v>
      </c>
      <c r="N242" s="1">
        <f t="shared" si="31"/>
        <v>0</v>
      </c>
      <c r="Q242" s="6" t="s">
        <v>21</v>
      </c>
      <c r="R242" s="6" t="s">
        <v>21</v>
      </c>
      <c r="S242" s="6" t="s">
        <v>21</v>
      </c>
      <c r="T242" s="6" t="s">
        <v>21</v>
      </c>
      <c r="U242" s="6">
        <f t="shared" si="32"/>
        <v>0</v>
      </c>
      <c r="V242" s="6">
        <f t="shared" si="35"/>
        <v>0</v>
      </c>
    </row>
    <row r="243" spans="1:22" hidden="1" x14ac:dyDescent="0.35">
      <c r="A243" s="6" t="s">
        <v>293</v>
      </c>
      <c r="B243" s="6" t="s">
        <v>268</v>
      </c>
      <c r="C243" s="6" t="s">
        <v>269</v>
      </c>
      <c r="D243" s="6">
        <f t="shared" si="33"/>
        <v>0.5</v>
      </c>
      <c r="E243" s="6" t="s">
        <v>19</v>
      </c>
      <c r="F243" s="6" t="str">
        <f>MID(A243,19,1)</f>
        <v>S</v>
      </c>
      <c r="G243" s="6">
        <v>-23.489845958255881</v>
      </c>
      <c r="H243" s="6">
        <v>-46.767534689580657</v>
      </c>
      <c r="I243" s="9">
        <v>340.8</v>
      </c>
      <c r="K243" s="6">
        <v>5.46</v>
      </c>
      <c r="L243" s="6">
        <v>0</v>
      </c>
      <c r="N243" s="1">
        <f t="shared" si="31"/>
        <v>0</v>
      </c>
      <c r="Q243" s="6" t="s">
        <v>21</v>
      </c>
      <c r="R243" s="6" t="s">
        <v>21</v>
      </c>
      <c r="S243" s="6" t="s">
        <v>21</v>
      </c>
      <c r="T243" s="6" t="s">
        <v>21</v>
      </c>
      <c r="U243" s="6">
        <f t="shared" si="32"/>
        <v>0</v>
      </c>
      <c r="V243" s="6">
        <f t="shared" si="35"/>
        <v>0</v>
      </c>
    </row>
    <row r="244" spans="1:22" hidden="1" x14ac:dyDescent="0.35">
      <c r="A244" s="6" t="s">
        <v>294</v>
      </c>
      <c r="B244" s="6" t="s">
        <v>268</v>
      </c>
      <c r="C244" s="6" t="s">
        <v>269</v>
      </c>
      <c r="D244" s="6">
        <f t="shared" si="33"/>
        <v>0.5</v>
      </c>
      <c r="E244" s="6" t="s">
        <v>23</v>
      </c>
      <c r="F244" s="6" t="str">
        <f>MID(A244,19,1)</f>
        <v>C</v>
      </c>
      <c r="G244" s="6">
        <v>-23.488956619487901</v>
      </c>
      <c r="H244" s="6">
        <v>-46.73636488258537</v>
      </c>
      <c r="I244" s="7">
        <v>3734.49</v>
      </c>
      <c r="J244" s="9">
        <f>I244/500</f>
        <v>7.4689799999999993</v>
      </c>
      <c r="K244" s="6">
        <v>3.59</v>
      </c>
      <c r="L244" s="6">
        <v>70</v>
      </c>
      <c r="N244" s="1">
        <f t="shared" si="31"/>
        <v>0</v>
      </c>
      <c r="O244" s="6" t="s">
        <v>185</v>
      </c>
      <c r="Q244" s="6" t="s">
        <v>21</v>
      </c>
      <c r="R244" s="6" t="s">
        <v>21</v>
      </c>
      <c r="S244" s="6" t="s">
        <v>21</v>
      </c>
      <c r="T244" s="6" t="s">
        <v>21</v>
      </c>
      <c r="U244" s="6">
        <f t="shared" si="32"/>
        <v>2614.1429999999996</v>
      </c>
      <c r="V244" s="6">
        <f t="shared" si="35"/>
        <v>2614.1429999999996</v>
      </c>
    </row>
    <row r="245" spans="1:22" hidden="1" x14ac:dyDescent="0.35">
      <c r="A245" s="6" t="s">
        <v>295</v>
      </c>
      <c r="B245" s="6" t="s">
        <v>296</v>
      </c>
      <c r="C245" s="6" t="s">
        <v>297</v>
      </c>
      <c r="D245" s="6">
        <f t="shared" si="33"/>
        <v>0.5</v>
      </c>
      <c r="E245" s="6" t="s">
        <v>19</v>
      </c>
      <c r="F245" s="6" t="str">
        <f>MID(A245,19,1)</f>
        <v>S</v>
      </c>
      <c r="G245" s="6">
        <v>-23.481901045467499</v>
      </c>
      <c r="H245" s="6">
        <v>-46.772223090775469</v>
      </c>
      <c r="I245" s="9">
        <v>1513.04</v>
      </c>
      <c r="K245" s="6">
        <v>2.39</v>
      </c>
      <c r="L245" s="6">
        <v>70</v>
      </c>
      <c r="N245" s="1">
        <f t="shared" si="31"/>
        <v>0</v>
      </c>
      <c r="O245" s="6" t="s">
        <v>20</v>
      </c>
      <c r="Q245" s="6" t="s">
        <v>21</v>
      </c>
      <c r="R245" s="6" t="s">
        <v>21</v>
      </c>
      <c r="S245" s="6" t="s">
        <v>21</v>
      </c>
      <c r="T245" s="6" t="s">
        <v>21</v>
      </c>
      <c r="U245" s="6">
        <f t="shared" si="32"/>
        <v>1059.1279999999999</v>
      </c>
      <c r="V245" s="6">
        <f t="shared" si="35"/>
        <v>1059.1279999999999</v>
      </c>
    </row>
    <row r="246" spans="1:22" hidden="1" x14ac:dyDescent="0.35">
      <c r="A246" s="6" t="s">
        <v>298</v>
      </c>
      <c r="B246" s="6" t="s">
        <v>296</v>
      </c>
      <c r="C246" s="6" t="s">
        <v>297</v>
      </c>
      <c r="D246" s="6">
        <f t="shared" si="33"/>
        <v>0.5</v>
      </c>
      <c r="E246" s="6" t="s">
        <v>19</v>
      </c>
      <c r="F246" s="6" t="str">
        <f>MID(A246,19,1)</f>
        <v>S</v>
      </c>
      <c r="G246" s="6">
        <v>-23.482545772599721</v>
      </c>
      <c r="H246" s="6">
        <v>-46.771524748926417</v>
      </c>
      <c r="I246" s="9">
        <v>5558.85</v>
      </c>
      <c r="K246" s="6">
        <v>7.22</v>
      </c>
      <c r="L246" s="6">
        <v>70</v>
      </c>
      <c r="N246" s="1">
        <f t="shared" si="31"/>
        <v>0</v>
      </c>
      <c r="O246" s="6" t="s">
        <v>20</v>
      </c>
      <c r="Q246" s="6" t="s">
        <v>21</v>
      </c>
      <c r="R246" s="6" t="s">
        <v>21</v>
      </c>
      <c r="S246" s="6" t="s">
        <v>21</v>
      </c>
      <c r="T246" s="6" t="s">
        <v>21</v>
      </c>
      <c r="U246" s="6">
        <f t="shared" si="32"/>
        <v>3891.1950000000002</v>
      </c>
      <c r="V246" s="6">
        <f t="shared" si="35"/>
        <v>3891.1950000000002</v>
      </c>
    </row>
    <row r="247" spans="1:22" x14ac:dyDescent="0.35">
      <c r="A247" s="6" t="s">
        <v>299</v>
      </c>
      <c r="B247" s="6" t="s">
        <v>296</v>
      </c>
      <c r="C247" s="6" t="s">
        <v>297</v>
      </c>
      <c r="D247" s="6">
        <f t="shared" si="33"/>
        <v>0.5</v>
      </c>
      <c r="E247" s="6" t="s">
        <v>19</v>
      </c>
      <c r="F247" s="6" t="str">
        <f>MID(A247,19,1)</f>
        <v>N</v>
      </c>
      <c r="G247" s="6">
        <v>-23.481383582725901</v>
      </c>
      <c r="H247" s="6">
        <v>-46.769950297443977</v>
      </c>
      <c r="I247" s="9">
        <v>1662.39</v>
      </c>
      <c r="K247" s="6">
        <v>7.9</v>
      </c>
      <c r="L247" s="6">
        <v>0</v>
      </c>
      <c r="N247" s="1">
        <f t="shared" si="31"/>
        <v>0</v>
      </c>
      <c r="Q247" s="6" t="s">
        <v>21</v>
      </c>
      <c r="R247" s="6" t="s">
        <v>21</v>
      </c>
      <c r="S247" s="6" t="s">
        <v>21</v>
      </c>
      <c r="T247" s="6" t="s">
        <v>21</v>
      </c>
      <c r="U247" s="6">
        <f t="shared" si="32"/>
        <v>0</v>
      </c>
      <c r="V247" s="6">
        <f t="shared" si="35"/>
        <v>0</v>
      </c>
    </row>
    <row r="248" spans="1:22" hidden="1" x14ac:dyDescent="0.35">
      <c r="A248" s="6" t="s">
        <v>300</v>
      </c>
      <c r="B248" s="6" t="s">
        <v>296</v>
      </c>
      <c r="C248" s="6" t="s">
        <v>297</v>
      </c>
      <c r="D248" s="6">
        <f t="shared" si="33"/>
        <v>0.5</v>
      </c>
      <c r="E248" s="6" t="s">
        <v>19</v>
      </c>
      <c r="F248" s="6" t="str">
        <f>MID(A248,19,1)</f>
        <v>S</v>
      </c>
      <c r="G248" s="6">
        <v>-23.480297900161919</v>
      </c>
      <c r="H248" s="6">
        <v>-46.77102650044084</v>
      </c>
      <c r="I248" s="9">
        <v>33.99</v>
      </c>
      <c r="K248" s="6">
        <v>0.93</v>
      </c>
      <c r="L248" s="6">
        <v>0</v>
      </c>
      <c r="N248" s="1">
        <f t="shared" si="31"/>
        <v>0</v>
      </c>
      <c r="Q248" s="6" t="s">
        <v>21</v>
      </c>
      <c r="R248" s="6" t="s">
        <v>21</v>
      </c>
      <c r="S248" s="6" t="s">
        <v>21</v>
      </c>
      <c r="T248" s="6" t="s">
        <v>21</v>
      </c>
      <c r="U248" s="6">
        <f t="shared" si="32"/>
        <v>0</v>
      </c>
      <c r="V248" s="6">
        <f t="shared" si="35"/>
        <v>0</v>
      </c>
    </row>
    <row r="249" spans="1:22" hidden="1" x14ac:dyDescent="0.35">
      <c r="A249" s="6" t="s">
        <v>301</v>
      </c>
      <c r="B249" s="6" t="s">
        <v>296</v>
      </c>
      <c r="C249" s="6" t="s">
        <v>297</v>
      </c>
      <c r="D249" s="6">
        <f t="shared" si="33"/>
        <v>0.5</v>
      </c>
      <c r="E249" s="6" t="s">
        <v>19</v>
      </c>
      <c r="F249" s="6" t="str">
        <f>MID(A249,19,1)</f>
        <v>S</v>
      </c>
      <c r="G249" s="6">
        <v>-23.48263266950827</v>
      </c>
      <c r="H249" s="6">
        <v>-46.771955325093373</v>
      </c>
      <c r="I249" s="9">
        <v>127.29</v>
      </c>
      <c r="K249" s="6">
        <v>9.35</v>
      </c>
      <c r="L249" s="6">
        <v>20</v>
      </c>
      <c r="N249" s="1">
        <f t="shared" si="31"/>
        <v>0</v>
      </c>
      <c r="O249" s="6" t="s">
        <v>20</v>
      </c>
      <c r="Q249" s="6" t="s">
        <v>21</v>
      </c>
      <c r="R249" s="6" t="s">
        <v>21</v>
      </c>
      <c r="S249" s="6" t="s">
        <v>21</v>
      </c>
      <c r="T249" s="6" t="s">
        <v>21</v>
      </c>
      <c r="U249" s="6">
        <f t="shared" si="32"/>
        <v>25.458000000000002</v>
      </c>
      <c r="V249" s="6">
        <f t="shared" si="35"/>
        <v>25.458000000000002</v>
      </c>
    </row>
    <row r="250" spans="1:22" x14ac:dyDescent="0.35">
      <c r="A250" s="6" t="s">
        <v>302</v>
      </c>
      <c r="B250" s="6" t="s">
        <v>296</v>
      </c>
      <c r="C250" s="6" t="s">
        <v>297</v>
      </c>
      <c r="D250" s="6">
        <f t="shared" si="33"/>
        <v>0.5</v>
      </c>
      <c r="E250" s="6" t="s">
        <v>19</v>
      </c>
      <c r="F250" s="6" t="str">
        <f>MID(A250,19,1)</f>
        <v>N</v>
      </c>
      <c r="G250" s="6">
        <v>-23.481066508226359</v>
      </c>
      <c r="H250" s="6">
        <v>-46.77003842217642</v>
      </c>
      <c r="I250" s="9">
        <v>4419.92</v>
      </c>
      <c r="K250" s="6">
        <v>6.62</v>
      </c>
      <c r="L250" s="6">
        <v>0</v>
      </c>
      <c r="N250" s="1">
        <f t="shared" si="31"/>
        <v>0</v>
      </c>
      <c r="Q250" s="6" t="s">
        <v>21</v>
      </c>
      <c r="R250" s="6" t="s">
        <v>21</v>
      </c>
      <c r="S250" s="6" t="s">
        <v>21</v>
      </c>
      <c r="T250" s="6" t="s">
        <v>21</v>
      </c>
      <c r="U250" s="6">
        <f t="shared" si="32"/>
        <v>0</v>
      </c>
      <c r="V250" s="6">
        <f t="shared" si="35"/>
        <v>0</v>
      </c>
    </row>
    <row r="251" spans="1:22" x14ac:dyDescent="0.35">
      <c r="A251" s="6" t="s">
        <v>303</v>
      </c>
      <c r="B251" s="6" t="s">
        <v>296</v>
      </c>
      <c r="C251" s="6" t="s">
        <v>297</v>
      </c>
      <c r="D251" s="6">
        <f t="shared" si="33"/>
        <v>0.5</v>
      </c>
      <c r="E251" s="6" t="s">
        <v>19</v>
      </c>
      <c r="F251" s="6" t="str">
        <f>MID(A251,19,1)</f>
        <v>N</v>
      </c>
      <c r="G251" s="6">
        <v>-23.481586755068552</v>
      </c>
      <c r="H251" s="6">
        <v>-46.76950179765555</v>
      </c>
      <c r="I251" s="9">
        <v>1399.23</v>
      </c>
      <c r="K251" s="6">
        <v>10.54</v>
      </c>
      <c r="L251" s="6">
        <v>0</v>
      </c>
      <c r="N251" s="1">
        <f t="shared" si="31"/>
        <v>0</v>
      </c>
      <c r="Q251" s="6" t="s">
        <v>21</v>
      </c>
      <c r="R251" s="6" t="s">
        <v>21</v>
      </c>
      <c r="S251" s="6" t="s">
        <v>21</v>
      </c>
      <c r="T251" s="6" t="s">
        <v>21</v>
      </c>
      <c r="U251" s="6">
        <f t="shared" si="32"/>
        <v>0</v>
      </c>
      <c r="V251" s="6">
        <f t="shared" si="35"/>
        <v>0</v>
      </c>
    </row>
    <row r="252" spans="1:22" hidden="1" x14ac:dyDescent="0.35">
      <c r="A252" s="6" t="s">
        <v>304</v>
      </c>
      <c r="B252" s="6" t="s">
        <v>296</v>
      </c>
      <c r="C252" s="6" t="s">
        <v>297</v>
      </c>
      <c r="D252" s="6">
        <f t="shared" si="33"/>
        <v>0.5</v>
      </c>
      <c r="E252" s="6" t="s">
        <v>19</v>
      </c>
      <c r="F252" s="6" t="str">
        <f>MID(A252,19,1)</f>
        <v>S</v>
      </c>
      <c r="G252" s="6">
        <v>-23.479089311310119</v>
      </c>
      <c r="H252" s="6">
        <v>-46.770916612435897</v>
      </c>
      <c r="I252" s="9">
        <v>2734.46</v>
      </c>
      <c r="K252" s="6">
        <v>8.57</v>
      </c>
      <c r="L252" s="6">
        <v>20</v>
      </c>
      <c r="N252" s="1">
        <f t="shared" si="31"/>
        <v>0</v>
      </c>
      <c r="O252" s="6" t="s">
        <v>20</v>
      </c>
      <c r="Q252" s="6" t="s">
        <v>21</v>
      </c>
      <c r="R252" s="6" t="s">
        <v>21</v>
      </c>
      <c r="S252" s="6" t="s">
        <v>21</v>
      </c>
      <c r="T252" s="6" t="s">
        <v>21</v>
      </c>
      <c r="U252" s="6">
        <f t="shared" si="32"/>
        <v>546.89200000000005</v>
      </c>
      <c r="V252" s="6">
        <f t="shared" si="35"/>
        <v>546.89200000000005</v>
      </c>
    </row>
    <row r="253" spans="1:22" hidden="1" x14ac:dyDescent="0.35">
      <c r="A253" s="6" t="s">
        <v>305</v>
      </c>
      <c r="B253" s="6" t="s">
        <v>296</v>
      </c>
      <c r="C253" s="6" t="s">
        <v>297</v>
      </c>
      <c r="D253" s="6">
        <f t="shared" si="33"/>
        <v>0.5</v>
      </c>
      <c r="E253" s="6" t="s">
        <v>19</v>
      </c>
      <c r="F253" s="6" t="str">
        <f>MID(A253,19,1)</f>
        <v>S</v>
      </c>
      <c r="G253" s="6">
        <v>-23.4801526334568</v>
      </c>
      <c r="H253" s="6">
        <v>-46.771464067605017</v>
      </c>
      <c r="I253" s="9">
        <v>160.71</v>
      </c>
      <c r="K253" s="6">
        <v>12.93</v>
      </c>
      <c r="L253" s="6">
        <v>20</v>
      </c>
      <c r="N253" s="1">
        <f t="shared" si="31"/>
        <v>0</v>
      </c>
      <c r="O253" s="6" t="s">
        <v>20</v>
      </c>
      <c r="Q253" s="6" t="s">
        <v>21</v>
      </c>
      <c r="R253" s="6" t="s">
        <v>21</v>
      </c>
      <c r="S253" s="6" t="s">
        <v>21</v>
      </c>
      <c r="T253" s="6" t="s">
        <v>21</v>
      </c>
      <c r="U253" s="6">
        <f t="shared" si="32"/>
        <v>32.142000000000003</v>
      </c>
      <c r="V253" s="6">
        <f t="shared" si="35"/>
        <v>32.142000000000003</v>
      </c>
    </row>
    <row r="254" spans="1:22" hidden="1" x14ac:dyDescent="0.35">
      <c r="A254" s="6" t="s">
        <v>306</v>
      </c>
      <c r="B254" s="6" t="s">
        <v>296</v>
      </c>
      <c r="C254" s="6" t="s">
        <v>297</v>
      </c>
      <c r="D254" s="6">
        <f t="shared" si="33"/>
        <v>0.5</v>
      </c>
      <c r="E254" s="6" t="s">
        <v>19</v>
      </c>
      <c r="F254" s="6" t="str">
        <f>MID(A254,19,1)</f>
        <v>S</v>
      </c>
      <c r="G254" s="6">
        <v>-23.482294260044419</v>
      </c>
      <c r="H254" s="6">
        <v>-46.772439103081616</v>
      </c>
      <c r="I254" s="9">
        <v>294.10000000000002</v>
      </c>
      <c r="K254" s="6">
        <v>5.53</v>
      </c>
      <c r="L254" s="6">
        <v>20</v>
      </c>
      <c r="N254" s="1">
        <f t="shared" si="31"/>
        <v>0</v>
      </c>
      <c r="O254" s="6" t="s">
        <v>20</v>
      </c>
      <c r="Q254" s="6" t="s">
        <v>21</v>
      </c>
      <c r="R254" s="6" t="s">
        <v>21</v>
      </c>
      <c r="S254" s="6" t="s">
        <v>21</v>
      </c>
      <c r="T254" s="6" t="s">
        <v>21</v>
      </c>
      <c r="U254" s="6">
        <f t="shared" si="32"/>
        <v>58.820000000000007</v>
      </c>
      <c r="V254" s="6">
        <f t="shared" si="35"/>
        <v>58.820000000000007</v>
      </c>
    </row>
    <row r="255" spans="1:22" hidden="1" x14ac:dyDescent="0.35">
      <c r="A255" s="6" t="s">
        <v>307</v>
      </c>
      <c r="B255" s="6" t="s">
        <v>296</v>
      </c>
      <c r="C255" s="6" t="s">
        <v>297</v>
      </c>
      <c r="D255" s="6">
        <f t="shared" si="33"/>
        <v>0.5</v>
      </c>
      <c r="E255" s="6" t="s">
        <v>19</v>
      </c>
      <c r="F255" s="6" t="str">
        <f>MID(A255,19,1)</f>
        <v>S</v>
      </c>
      <c r="G255" s="6">
        <v>-23.485372924372399</v>
      </c>
      <c r="H255" s="6">
        <v>-46.769779456032239</v>
      </c>
      <c r="I255" s="9">
        <v>570.37</v>
      </c>
      <c r="K255" s="6">
        <v>9.66</v>
      </c>
      <c r="L255" s="6">
        <v>20</v>
      </c>
      <c r="N255" s="1">
        <f t="shared" si="31"/>
        <v>0</v>
      </c>
      <c r="O255" s="6" t="s">
        <v>20</v>
      </c>
      <c r="Q255" s="6" t="s">
        <v>21</v>
      </c>
      <c r="R255" s="6" t="s">
        <v>21</v>
      </c>
      <c r="S255" s="6" t="s">
        <v>21</v>
      </c>
      <c r="T255" s="6" t="s">
        <v>21</v>
      </c>
      <c r="U255" s="6">
        <f t="shared" si="32"/>
        <v>114.07400000000001</v>
      </c>
      <c r="V255" s="6">
        <f t="shared" si="35"/>
        <v>114.07400000000001</v>
      </c>
    </row>
    <row r="256" spans="1:22" hidden="1" x14ac:dyDescent="0.35">
      <c r="A256" s="6" t="s">
        <v>308</v>
      </c>
      <c r="B256" s="6" t="s">
        <v>296</v>
      </c>
      <c r="C256" s="6" t="s">
        <v>297</v>
      </c>
      <c r="D256" s="6">
        <f t="shared" si="33"/>
        <v>0.5</v>
      </c>
      <c r="E256" s="6" t="s">
        <v>19</v>
      </c>
      <c r="F256" s="6" t="str">
        <f>MID(A256,19,1)</f>
        <v>S</v>
      </c>
      <c r="G256" s="6">
        <v>-23.48104950229996</v>
      </c>
      <c r="H256" s="6">
        <v>-46.771466808469903</v>
      </c>
      <c r="I256" s="9">
        <v>6383.85</v>
      </c>
      <c r="K256" s="6">
        <v>6.09</v>
      </c>
      <c r="L256" s="6">
        <v>0</v>
      </c>
      <c r="N256" s="1">
        <f t="shared" si="31"/>
        <v>0</v>
      </c>
      <c r="Q256" s="6" t="s">
        <v>21</v>
      </c>
      <c r="R256" s="6" t="s">
        <v>21</v>
      </c>
      <c r="S256" s="6" t="s">
        <v>21</v>
      </c>
      <c r="T256" s="6" t="s">
        <v>21</v>
      </c>
      <c r="U256" s="6">
        <f t="shared" si="32"/>
        <v>0</v>
      </c>
      <c r="V256" s="6">
        <f t="shared" si="35"/>
        <v>0</v>
      </c>
    </row>
    <row r="257" spans="1:22" x14ac:dyDescent="0.35">
      <c r="A257" s="8" t="s">
        <v>309</v>
      </c>
      <c r="B257" s="8" t="s">
        <v>296</v>
      </c>
      <c r="C257" s="8" t="s">
        <v>297</v>
      </c>
      <c r="D257" s="6">
        <f t="shared" si="33"/>
        <v>0.5</v>
      </c>
      <c r="E257" s="8" t="s">
        <v>19</v>
      </c>
      <c r="F257" s="6" t="str">
        <f>MID(A257,19,1)</f>
        <v>N</v>
      </c>
      <c r="G257" s="8">
        <v>-23.482713768349821</v>
      </c>
      <c r="H257" s="8">
        <v>-46.7697260582081</v>
      </c>
      <c r="I257" s="7">
        <v>4457.46</v>
      </c>
      <c r="J257" s="7"/>
      <c r="K257" s="8">
        <v>6.34</v>
      </c>
      <c r="L257" s="8">
        <v>60</v>
      </c>
      <c r="M257" s="8"/>
      <c r="N257" s="11">
        <f t="shared" si="31"/>
        <v>2674.4760000000001</v>
      </c>
      <c r="O257" s="8" t="s">
        <v>71</v>
      </c>
      <c r="P257" s="8"/>
      <c r="Q257" s="8" t="s">
        <v>21</v>
      </c>
      <c r="R257" s="8" t="s">
        <v>26</v>
      </c>
      <c r="S257" s="8" t="s">
        <v>21</v>
      </c>
      <c r="T257" s="8" t="s">
        <v>21</v>
      </c>
      <c r="U257" s="6">
        <f t="shared" si="32"/>
        <v>0</v>
      </c>
    </row>
    <row r="258" spans="1:22" hidden="1" x14ac:dyDescent="0.35">
      <c r="A258" s="6" t="s">
        <v>310</v>
      </c>
      <c r="B258" s="6" t="s">
        <v>296</v>
      </c>
      <c r="C258" s="6" t="s">
        <v>297</v>
      </c>
      <c r="D258" s="6">
        <f t="shared" si="33"/>
        <v>0.5</v>
      </c>
      <c r="E258" s="6" t="s">
        <v>19</v>
      </c>
      <c r="F258" s="6" t="str">
        <f>MID(A258,19,1)</f>
        <v>S</v>
      </c>
      <c r="G258" s="6">
        <v>-23.47916895364413</v>
      </c>
      <c r="H258" s="6">
        <v>-46.739274231934743</v>
      </c>
      <c r="I258" s="9">
        <v>1648.88</v>
      </c>
      <c r="K258" s="6">
        <v>12.33</v>
      </c>
      <c r="L258" s="6">
        <v>20</v>
      </c>
      <c r="N258" s="1">
        <f t="shared" ref="N258:N321" si="36">IF(OR(R258="Sim",S258="Sim",T258="Sim"),(L258/100)*I258,0)</f>
        <v>0</v>
      </c>
      <c r="O258" s="6" t="s">
        <v>20</v>
      </c>
      <c r="Q258" s="6" t="s">
        <v>21</v>
      </c>
      <c r="R258" s="6" t="s">
        <v>21</v>
      </c>
      <c r="S258" s="6" t="s">
        <v>21</v>
      </c>
      <c r="T258" s="6" t="s">
        <v>21</v>
      </c>
      <c r="U258" s="6">
        <f t="shared" si="32"/>
        <v>329.77600000000007</v>
      </c>
      <c r="V258" s="6">
        <f t="shared" ref="V258:V260" si="37">(I258*(L258/100))</f>
        <v>329.77600000000007</v>
      </c>
    </row>
    <row r="259" spans="1:22" x14ac:dyDescent="0.35">
      <c r="A259" s="6" t="s">
        <v>311</v>
      </c>
      <c r="B259" s="6" t="s">
        <v>296</v>
      </c>
      <c r="C259" s="6" t="s">
        <v>297</v>
      </c>
      <c r="D259" s="6">
        <f t="shared" si="33"/>
        <v>0.5</v>
      </c>
      <c r="E259" s="6" t="s">
        <v>19</v>
      </c>
      <c r="F259" s="6" t="str">
        <f>MID(A259,19,1)</f>
        <v>N</v>
      </c>
      <c r="G259" s="6">
        <v>-23.482233052475021</v>
      </c>
      <c r="H259" s="6">
        <v>-46.769933590172442</v>
      </c>
      <c r="I259" s="9">
        <v>7191.57</v>
      </c>
      <c r="K259" s="6">
        <v>7.01</v>
      </c>
      <c r="L259" s="6">
        <v>0</v>
      </c>
      <c r="N259" s="1">
        <f t="shared" si="36"/>
        <v>0</v>
      </c>
      <c r="Q259" s="6" t="s">
        <v>21</v>
      </c>
      <c r="R259" s="6" t="s">
        <v>21</v>
      </c>
      <c r="S259" s="6" t="s">
        <v>21</v>
      </c>
      <c r="T259" s="6" t="s">
        <v>21</v>
      </c>
      <c r="U259" s="6">
        <f t="shared" ref="U259:U322" si="38">IF(N259=0,(I259*(L259/100)),0)</f>
        <v>0</v>
      </c>
      <c r="V259" s="6">
        <f t="shared" si="37"/>
        <v>0</v>
      </c>
    </row>
    <row r="260" spans="1:22" hidden="1" x14ac:dyDescent="0.35">
      <c r="A260" s="6" t="s">
        <v>312</v>
      </c>
      <c r="B260" s="6" t="s">
        <v>296</v>
      </c>
      <c r="C260" s="6" t="s">
        <v>297</v>
      </c>
      <c r="D260" s="6">
        <f t="shared" si="33"/>
        <v>0.5</v>
      </c>
      <c r="E260" s="6" t="s">
        <v>19</v>
      </c>
      <c r="F260" s="6" t="str">
        <f>MID(A260,19,1)</f>
        <v>S</v>
      </c>
      <c r="G260" s="6">
        <v>-23.480112741917349</v>
      </c>
      <c r="H260" s="6">
        <v>-46.771021568408933</v>
      </c>
      <c r="I260" s="9">
        <v>35.380000000000003</v>
      </c>
      <c r="K260" s="6">
        <v>3.13</v>
      </c>
      <c r="L260" s="6">
        <v>0</v>
      </c>
      <c r="N260" s="1">
        <f t="shared" si="36"/>
        <v>0</v>
      </c>
      <c r="Q260" s="6" t="s">
        <v>21</v>
      </c>
      <c r="R260" s="6" t="s">
        <v>21</v>
      </c>
      <c r="S260" s="6" t="s">
        <v>21</v>
      </c>
      <c r="T260" s="6" t="s">
        <v>21</v>
      </c>
      <c r="U260" s="6">
        <f t="shared" si="38"/>
        <v>0</v>
      </c>
      <c r="V260" s="6">
        <f t="shared" si="37"/>
        <v>0</v>
      </c>
    </row>
    <row r="261" spans="1:22" hidden="1" x14ac:dyDescent="0.35">
      <c r="A261" s="8" t="s">
        <v>313</v>
      </c>
      <c r="B261" s="8" t="s">
        <v>296</v>
      </c>
      <c r="C261" s="8" t="s">
        <v>297</v>
      </c>
      <c r="D261" s="6">
        <f t="shared" si="33"/>
        <v>0.5</v>
      </c>
      <c r="E261" s="8" t="s">
        <v>19</v>
      </c>
      <c r="F261" s="6" t="str">
        <f>MID(A261,19,1)</f>
        <v>S</v>
      </c>
      <c r="G261" s="8">
        <v>-23.484420319372528</v>
      </c>
      <c r="H261" s="8">
        <v>-46.769993821987583</v>
      </c>
      <c r="I261" s="7">
        <v>4526.79</v>
      </c>
      <c r="J261" s="7"/>
      <c r="K261" s="8">
        <v>7.13</v>
      </c>
      <c r="L261" s="8">
        <v>60</v>
      </c>
      <c r="M261" s="8"/>
      <c r="N261" s="11">
        <f t="shared" si="36"/>
        <v>2716.0740000000001</v>
      </c>
      <c r="O261" s="8" t="s">
        <v>71</v>
      </c>
      <c r="P261" s="8"/>
      <c r="Q261" s="8" t="s">
        <v>21</v>
      </c>
      <c r="R261" s="8" t="s">
        <v>26</v>
      </c>
      <c r="S261" s="8" t="s">
        <v>21</v>
      </c>
      <c r="T261" s="8" t="s">
        <v>21</v>
      </c>
      <c r="U261" s="6">
        <f t="shared" si="38"/>
        <v>0</v>
      </c>
    </row>
    <row r="262" spans="1:22" x14ac:dyDescent="0.35">
      <c r="A262" s="8" t="s">
        <v>314</v>
      </c>
      <c r="B262" s="8" t="s">
        <v>296</v>
      </c>
      <c r="C262" s="8" t="s">
        <v>297</v>
      </c>
      <c r="D262" s="6">
        <f t="shared" si="33"/>
        <v>0.5</v>
      </c>
      <c r="E262" s="8" t="s">
        <v>19</v>
      </c>
      <c r="F262" s="6" t="str">
        <f>MID(A262,19,1)</f>
        <v>N</v>
      </c>
      <c r="G262" s="8">
        <v>-23.485100209538889</v>
      </c>
      <c r="H262" s="8">
        <v>-46.769064836781702</v>
      </c>
      <c r="I262" s="7">
        <v>4172.55</v>
      </c>
      <c r="J262" s="7"/>
      <c r="K262" s="8">
        <v>3.76</v>
      </c>
      <c r="L262" s="8">
        <v>80</v>
      </c>
      <c r="M262" s="8"/>
      <c r="N262" s="11">
        <f t="shared" si="36"/>
        <v>3338.0400000000004</v>
      </c>
      <c r="O262" s="8" t="s">
        <v>71</v>
      </c>
      <c r="P262" s="8"/>
      <c r="Q262" s="8" t="s">
        <v>21</v>
      </c>
      <c r="R262" s="8" t="s">
        <v>26</v>
      </c>
      <c r="S262" s="8" t="s">
        <v>21</v>
      </c>
      <c r="T262" s="8" t="s">
        <v>21</v>
      </c>
      <c r="U262" s="6">
        <f t="shared" si="38"/>
        <v>0</v>
      </c>
    </row>
    <row r="263" spans="1:22" x14ac:dyDescent="0.35">
      <c r="A263" s="6" t="s">
        <v>315</v>
      </c>
      <c r="B263" s="6" t="s">
        <v>296</v>
      </c>
      <c r="C263" s="6" t="s">
        <v>297</v>
      </c>
      <c r="D263" s="6">
        <f t="shared" si="33"/>
        <v>0.5</v>
      </c>
      <c r="E263" s="6" t="s">
        <v>19</v>
      </c>
      <c r="F263" s="6" t="str">
        <f>MID(A263,19,1)</f>
        <v>N</v>
      </c>
      <c r="G263" s="6">
        <v>-23.479470312781679</v>
      </c>
      <c r="H263" s="6">
        <v>-46.769986595062313</v>
      </c>
      <c r="I263" s="9">
        <v>1526.8</v>
      </c>
      <c r="K263" s="6">
        <v>3.19</v>
      </c>
      <c r="L263" s="6">
        <v>0</v>
      </c>
      <c r="N263" s="1">
        <f t="shared" si="36"/>
        <v>0</v>
      </c>
      <c r="Q263" s="6" t="s">
        <v>21</v>
      </c>
      <c r="R263" s="6" t="s">
        <v>21</v>
      </c>
      <c r="S263" s="6" t="s">
        <v>21</v>
      </c>
      <c r="T263" s="6" t="s">
        <v>21</v>
      </c>
      <c r="U263" s="6">
        <f t="shared" si="38"/>
        <v>0</v>
      </c>
      <c r="V263" s="6">
        <f t="shared" ref="V263:V272" si="39">(I263*(L263/100))</f>
        <v>0</v>
      </c>
    </row>
    <row r="264" spans="1:22" x14ac:dyDescent="0.35">
      <c r="A264" s="6" t="s">
        <v>316</v>
      </c>
      <c r="B264" s="6" t="s">
        <v>296</v>
      </c>
      <c r="C264" s="6" t="s">
        <v>297</v>
      </c>
      <c r="D264" s="6">
        <f t="shared" si="33"/>
        <v>0.5</v>
      </c>
      <c r="E264" s="6" t="s">
        <v>19</v>
      </c>
      <c r="F264" s="6" t="str">
        <f>MID(A264,19,1)</f>
        <v>N</v>
      </c>
      <c r="G264" s="6">
        <v>-23.47898779951058</v>
      </c>
      <c r="H264" s="6">
        <v>-46.738811010088</v>
      </c>
      <c r="I264" s="9">
        <v>1754.18</v>
      </c>
      <c r="K264" s="6">
        <v>5.71</v>
      </c>
      <c r="L264" s="6">
        <v>40</v>
      </c>
      <c r="N264" s="1">
        <f t="shared" si="36"/>
        <v>0</v>
      </c>
      <c r="O264" s="6" t="s">
        <v>20</v>
      </c>
      <c r="Q264" s="6" t="s">
        <v>21</v>
      </c>
      <c r="R264" s="6" t="s">
        <v>21</v>
      </c>
      <c r="S264" s="6" t="s">
        <v>21</v>
      </c>
      <c r="T264" s="6" t="s">
        <v>21</v>
      </c>
      <c r="U264" s="6">
        <f t="shared" si="38"/>
        <v>701.67200000000003</v>
      </c>
      <c r="V264" s="6">
        <f t="shared" si="39"/>
        <v>701.67200000000003</v>
      </c>
    </row>
    <row r="265" spans="1:22" hidden="1" x14ac:dyDescent="0.35">
      <c r="A265" s="6" t="s">
        <v>317</v>
      </c>
      <c r="B265" s="6" t="s">
        <v>296</v>
      </c>
      <c r="C265" s="6" t="s">
        <v>297</v>
      </c>
      <c r="D265" s="6">
        <f t="shared" si="33"/>
        <v>0.5</v>
      </c>
      <c r="E265" s="6" t="s">
        <v>19</v>
      </c>
      <c r="F265" s="6" t="str">
        <f>MID(A265,19,1)</f>
        <v>S</v>
      </c>
      <c r="G265" s="6">
        <v>-23.478187829057742</v>
      </c>
      <c r="H265" s="6">
        <v>-46.770502988829882</v>
      </c>
      <c r="I265" s="9">
        <v>1082.07</v>
      </c>
      <c r="K265" s="6">
        <v>7.21</v>
      </c>
      <c r="L265" s="6">
        <v>20</v>
      </c>
      <c r="N265" s="1">
        <f t="shared" si="36"/>
        <v>0</v>
      </c>
      <c r="O265" s="6" t="s">
        <v>20</v>
      </c>
      <c r="Q265" s="6" t="s">
        <v>21</v>
      </c>
      <c r="R265" s="6" t="s">
        <v>21</v>
      </c>
      <c r="S265" s="6" t="s">
        <v>21</v>
      </c>
      <c r="T265" s="6" t="s">
        <v>21</v>
      </c>
      <c r="U265" s="6">
        <f t="shared" si="38"/>
        <v>216.41399999999999</v>
      </c>
      <c r="V265" s="6">
        <f t="shared" si="39"/>
        <v>216.41399999999999</v>
      </c>
    </row>
    <row r="266" spans="1:22" hidden="1" x14ac:dyDescent="0.35">
      <c r="A266" s="6" t="s">
        <v>318</v>
      </c>
      <c r="B266" s="6" t="s">
        <v>296</v>
      </c>
      <c r="C266" s="6" t="s">
        <v>297</v>
      </c>
      <c r="D266" s="6">
        <f t="shared" si="33"/>
        <v>0.5</v>
      </c>
      <c r="E266" s="6" t="s">
        <v>19</v>
      </c>
      <c r="F266" s="6" t="str">
        <f>MID(A266,19,1)</f>
        <v>S</v>
      </c>
      <c r="G266" s="6">
        <v>-23.478010692209519</v>
      </c>
      <c r="H266" s="6">
        <v>-46.770894512988221</v>
      </c>
      <c r="I266" s="9">
        <v>430.32</v>
      </c>
      <c r="K266" s="6">
        <v>8.0399999999999991</v>
      </c>
      <c r="L266" s="6">
        <v>20</v>
      </c>
      <c r="N266" s="1">
        <f t="shared" si="36"/>
        <v>0</v>
      </c>
      <c r="O266" s="6" t="s">
        <v>20</v>
      </c>
      <c r="Q266" s="6" t="s">
        <v>21</v>
      </c>
      <c r="R266" s="6" t="s">
        <v>21</v>
      </c>
      <c r="S266" s="6" t="s">
        <v>21</v>
      </c>
      <c r="T266" s="6" t="s">
        <v>21</v>
      </c>
      <c r="U266" s="6">
        <f t="shared" si="38"/>
        <v>86.064000000000007</v>
      </c>
      <c r="V266" s="6">
        <f t="shared" si="39"/>
        <v>86.064000000000007</v>
      </c>
    </row>
    <row r="267" spans="1:22" hidden="1" x14ac:dyDescent="0.35">
      <c r="A267" s="6" t="s">
        <v>319</v>
      </c>
      <c r="B267" s="6" t="s">
        <v>296</v>
      </c>
      <c r="C267" s="6" t="s">
        <v>297</v>
      </c>
      <c r="D267" s="6">
        <f t="shared" si="33"/>
        <v>0.5</v>
      </c>
      <c r="E267" s="6" t="s">
        <v>19</v>
      </c>
      <c r="F267" s="6" t="str">
        <f>MID(A267,19,1)</f>
        <v>S</v>
      </c>
      <c r="G267" s="6">
        <v>-23.47973862225032</v>
      </c>
      <c r="H267" s="6">
        <v>-46.771274446029992</v>
      </c>
      <c r="I267" s="9">
        <v>86.91</v>
      </c>
      <c r="K267" s="6">
        <v>11.33</v>
      </c>
      <c r="L267" s="6">
        <v>20</v>
      </c>
      <c r="N267" s="1">
        <f t="shared" si="36"/>
        <v>0</v>
      </c>
      <c r="O267" s="6" t="s">
        <v>20</v>
      </c>
      <c r="Q267" s="6" t="s">
        <v>21</v>
      </c>
      <c r="R267" s="6" t="s">
        <v>21</v>
      </c>
      <c r="S267" s="6" t="s">
        <v>21</v>
      </c>
      <c r="T267" s="6" t="s">
        <v>21</v>
      </c>
      <c r="U267" s="6">
        <f t="shared" si="38"/>
        <v>17.382000000000001</v>
      </c>
      <c r="V267" s="6">
        <f t="shared" si="39"/>
        <v>17.382000000000001</v>
      </c>
    </row>
    <row r="268" spans="1:22" hidden="1" x14ac:dyDescent="0.35">
      <c r="A268" s="6" t="s">
        <v>320</v>
      </c>
      <c r="B268" s="6" t="s">
        <v>296</v>
      </c>
      <c r="C268" s="6" t="s">
        <v>297</v>
      </c>
      <c r="D268" s="6">
        <f t="shared" si="33"/>
        <v>0.5</v>
      </c>
      <c r="E268" s="6" t="s">
        <v>19</v>
      </c>
      <c r="F268" s="6" t="str">
        <f>MID(A268,19,1)</f>
        <v>S</v>
      </c>
      <c r="G268" s="6">
        <v>-23.481753597675741</v>
      </c>
      <c r="H268" s="6">
        <v>-46.771526700896558</v>
      </c>
      <c r="I268" s="9">
        <v>217.34</v>
      </c>
      <c r="K268" s="6">
        <v>4.2300000000000004</v>
      </c>
      <c r="L268" s="6">
        <v>0</v>
      </c>
      <c r="N268" s="1">
        <f t="shared" si="36"/>
        <v>0</v>
      </c>
      <c r="Q268" s="6" t="s">
        <v>21</v>
      </c>
      <c r="R268" s="6" t="s">
        <v>21</v>
      </c>
      <c r="S268" s="6" t="s">
        <v>21</v>
      </c>
      <c r="T268" s="6" t="s">
        <v>21</v>
      </c>
      <c r="U268" s="6">
        <f t="shared" si="38"/>
        <v>0</v>
      </c>
      <c r="V268" s="6">
        <f t="shared" si="39"/>
        <v>0</v>
      </c>
    </row>
    <row r="269" spans="1:22" hidden="1" x14ac:dyDescent="0.35">
      <c r="A269" s="6" t="s">
        <v>321</v>
      </c>
      <c r="B269" s="6" t="s">
        <v>296</v>
      </c>
      <c r="C269" s="6" t="s">
        <v>297</v>
      </c>
      <c r="D269" s="6">
        <f t="shared" si="33"/>
        <v>0.5</v>
      </c>
      <c r="E269" s="6" t="s">
        <v>19</v>
      </c>
      <c r="F269" s="6" t="str">
        <f>MID(A269,19,1)</f>
        <v>S</v>
      </c>
      <c r="G269" s="6">
        <v>-23.481359787658558</v>
      </c>
      <c r="H269" s="6">
        <v>-46.77210321020393</v>
      </c>
      <c r="I269" s="9">
        <v>1799.6</v>
      </c>
      <c r="K269" s="6">
        <v>7.8</v>
      </c>
      <c r="L269" s="6">
        <v>20</v>
      </c>
      <c r="N269" s="1">
        <f t="shared" si="36"/>
        <v>0</v>
      </c>
      <c r="O269" s="6" t="s">
        <v>20</v>
      </c>
      <c r="Q269" s="6" t="s">
        <v>21</v>
      </c>
      <c r="R269" s="6" t="s">
        <v>21</v>
      </c>
      <c r="S269" s="6" t="s">
        <v>21</v>
      </c>
      <c r="T269" s="6" t="s">
        <v>21</v>
      </c>
      <c r="U269" s="6">
        <f t="shared" si="38"/>
        <v>359.92</v>
      </c>
      <c r="V269" s="6">
        <f t="shared" si="39"/>
        <v>359.92</v>
      </c>
    </row>
    <row r="270" spans="1:22" hidden="1" x14ac:dyDescent="0.35">
      <c r="A270" s="6" t="s">
        <v>322</v>
      </c>
      <c r="B270" s="6" t="s">
        <v>296</v>
      </c>
      <c r="C270" s="6" t="s">
        <v>297</v>
      </c>
      <c r="D270" s="6">
        <f t="shared" ref="D270:D333" si="40">C270-B270</f>
        <v>0.5</v>
      </c>
      <c r="E270" s="6" t="s">
        <v>19</v>
      </c>
      <c r="F270" s="6" t="str">
        <f>MID(A270,19,1)</f>
        <v>S</v>
      </c>
      <c r="G270" s="6">
        <v>-23.484188693398789</v>
      </c>
      <c r="H270" s="6">
        <v>-46.770407153160477</v>
      </c>
      <c r="I270" s="9">
        <v>1829.68</v>
      </c>
      <c r="K270" s="6">
        <v>8.59</v>
      </c>
      <c r="L270" s="6">
        <v>20</v>
      </c>
      <c r="N270" s="1">
        <f t="shared" si="36"/>
        <v>0</v>
      </c>
      <c r="O270" s="6" t="s">
        <v>20</v>
      </c>
      <c r="Q270" s="6" t="s">
        <v>21</v>
      </c>
      <c r="R270" s="6" t="s">
        <v>21</v>
      </c>
      <c r="S270" s="6" t="s">
        <v>21</v>
      </c>
      <c r="T270" s="6" t="s">
        <v>21</v>
      </c>
      <c r="U270" s="6">
        <f t="shared" si="38"/>
        <v>365.93600000000004</v>
      </c>
      <c r="V270" s="6">
        <f t="shared" si="39"/>
        <v>365.93600000000004</v>
      </c>
    </row>
    <row r="271" spans="1:22" hidden="1" x14ac:dyDescent="0.35">
      <c r="A271" s="6" t="s">
        <v>323</v>
      </c>
      <c r="B271" s="6" t="s">
        <v>296</v>
      </c>
      <c r="C271" s="6" t="s">
        <v>297</v>
      </c>
      <c r="D271" s="6">
        <f t="shared" si="40"/>
        <v>0.5</v>
      </c>
      <c r="E271" s="6" t="s">
        <v>19</v>
      </c>
      <c r="F271" s="6" t="str">
        <f>MID(A271,19,1)</f>
        <v>S</v>
      </c>
      <c r="G271" s="6">
        <v>-23.482965622254522</v>
      </c>
      <c r="H271" s="6">
        <v>-46.738049672960827</v>
      </c>
      <c r="I271" s="9">
        <v>1917.61</v>
      </c>
      <c r="K271" s="6">
        <v>4.9800000000000004</v>
      </c>
      <c r="L271" s="6">
        <v>0</v>
      </c>
      <c r="N271" s="1">
        <f t="shared" si="36"/>
        <v>0</v>
      </c>
      <c r="Q271" s="6" t="s">
        <v>21</v>
      </c>
      <c r="R271" s="6" t="s">
        <v>21</v>
      </c>
      <c r="S271" s="6" t="s">
        <v>21</v>
      </c>
      <c r="T271" s="6" t="s">
        <v>21</v>
      </c>
      <c r="U271" s="6">
        <f t="shared" si="38"/>
        <v>0</v>
      </c>
      <c r="V271" s="6">
        <f t="shared" si="39"/>
        <v>0</v>
      </c>
    </row>
    <row r="272" spans="1:22" x14ac:dyDescent="0.35">
      <c r="A272" s="6" t="s">
        <v>324</v>
      </c>
      <c r="B272" s="6" t="s">
        <v>296</v>
      </c>
      <c r="C272" s="6" t="s">
        <v>297</v>
      </c>
      <c r="D272" s="6">
        <f t="shared" si="40"/>
        <v>0.5</v>
      </c>
      <c r="E272" s="6" t="s">
        <v>19</v>
      </c>
      <c r="F272" s="6" t="str">
        <f>MID(A272,19,1)</f>
        <v>N</v>
      </c>
      <c r="G272" s="6">
        <v>-23.47781156674618</v>
      </c>
      <c r="H272" s="6">
        <v>-46.769875503770187</v>
      </c>
      <c r="I272" s="9">
        <v>89.76</v>
      </c>
      <c r="K272" s="6">
        <v>3.78</v>
      </c>
      <c r="L272" s="6">
        <v>0</v>
      </c>
      <c r="N272" s="1">
        <f t="shared" si="36"/>
        <v>0</v>
      </c>
      <c r="Q272" s="6" t="s">
        <v>21</v>
      </c>
      <c r="R272" s="6" t="s">
        <v>21</v>
      </c>
      <c r="S272" s="6" t="s">
        <v>21</v>
      </c>
      <c r="T272" s="6" t="s">
        <v>21</v>
      </c>
      <c r="U272" s="6">
        <f t="shared" si="38"/>
        <v>0</v>
      </c>
      <c r="V272" s="6">
        <f t="shared" si="39"/>
        <v>0</v>
      </c>
    </row>
    <row r="273" spans="1:22" hidden="1" x14ac:dyDescent="0.35">
      <c r="A273" s="8" t="s">
        <v>325</v>
      </c>
      <c r="B273" s="8" t="s">
        <v>296</v>
      </c>
      <c r="C273" s="8" t="s">
        <v>297</v>
      </c>
      <c r="D273" s="6">
        <f t="shared" si="40"/>
        <v>0.5</v>
      </c>
      <c r="E273" s="8" t="s">
        <v>19</v>
      </c>
      <c r="F273" s="6" t="str">
        <f>MID(A273,19,1)</f>
        <v>S</v>
      </c>
      <c r="G273" s="8">
        <v>-23.480453739800559</v>
      </c>
      <c r="H273" s="8">
        <v>-46.771252248827587</v>
      </c>
      <c r="I273" s="7">
        <v>1386.43</v>
      </c>
      <c r="J273" s="7"/>
      <c r="K273" s="8">
        <v>5.8</v>
      </c>
      <c r="L273" s="8">
        <v>70</v>
      </c>
      <c r="M273" s="8"/>
      <c r="N273" s="11">
        <f t="shared" si="36"/>
        <v>970.50099999999998</v>
      </c>
      <c r="O273" s="8" t="s">
        <v>71</v>
      </c>
      <c r="P273" s="8"/>
      <c r="Q273" s="8" t="s">
        <v>21</v>
      </c>
      <c r="R273" s="8" t="s">
        <v>21</v>
      </c>
      <c r="S273" s="8" t="s">
        <v>21</v>
      </c>
      <c r="T273" s="8" t="s">
        <v>26</v>
      </c>
      <c r="U273" s="6">
        <f t="shared" si="38"/>
        <v>0</v>
      </c>
    </row>
    <row r="274" spans="1:22" hidden="1" x14ac:dyDescent="0.35">
      <c r="A274" s="6" t="s">
        <v>326</v>
      </c>
      <c r="B274" s="6" t="s">
        <v>296</v>
      </c>
      <c r="C274" s="6" t="s">
        <v>297</v>
      </c>
      <c r="D274" s="6">
        <f t="shared" si="40"/>
        <v>0.5</v>
      </c>
      <c r="E274" s="6" t="s">
        <v>19</v>
      </c>
      <c r="F274" s="6" t="str">
        <f>MID(A274,19,1)</f>
        <v>S</v>
      </c>
      <c r="G274" s="6">
        <v>-23.483436489046859</v>
      </c>
      <c r="H274" s="6">
        <v>-46.770989880292397</v>
      </c>
      <c r="I274" s="9">
        <v>773.77</v>
      </c>
      <c r="K274" s="6">
        <v>9.68</v>
      </c>
      <c r="L274" s="6">
        <v>20</v>
      </c>
      <c r="N274" s="1">
        <f t="shared" si="36"/>
        <v>0</v>
      </c>
      <c r="O274" s="6" t="s">
        <v>20</v>
      </c>
      <c r="Q274" s="6" t="s">
        <v>21</v>
      </c>
      <c r="R274" s="6" t="s">
        <v>21</v>
      </c>
      <c r="S274" s="6" t="s">
        <v>21</v>
      </c>
      <c r="T274" s="6" t="s">
        <v>21</v>
      </c>
      <c r="U274" s="6">
        <f t="shared" si="38"/>
        <v>154.75400000000002</v>
      </c>
      <c r="V274" s="6">
        <f t="shared" ref="V274:V281" si="41">(I274*(L274/100))</f>
        <v>154.75400000000002</v>
      </c>
    </row>
    <row r="275" spans="1:22" x14ac:dyDescent="0.35">
      <c r="A275" s="6" t="s">
        <v>327</v>
      </c>
      <c r="B275" s="6" t="s">
        <v>296</v>
      </c>
      <c r="C275" s="6" t="s">
        <v>297</v>
      </c>
      <c r="D275" s="6">
        <f t="shared" si="40"/>
        <v>0.5</v>
      </c>
      <c r="E275" s="6" t="s">
        <v>19</v>
      </c>
      <c r="F275" s="6" t="str">
        <f>MID(A275,19,1)</f>
        <v>N</v>
      </c>
      <c r="G275" s="6">
        <v>-23.477745789694549</v>
      </c>
      <c r="H275" s="6">
        <v>-46.769849479824927</v>
      </c>
      <c r="I275" s="9">
        <v>85.85</v>
      </c>
      <c r="K275" s="6">
        <v>3.78</v>
      </c>
      <c r="L275" s="6">
        <v>0</v>
      </c>
      <c r="N275" s="1">
        <f t="shared" si="36"/>
        <v>0</v>
      </c>
      <c r="Q275" s="6" t="s">
        <v>21</v>
      </c>
      <c r="R275" s="6" t="s">
        <v>21</v>
      </c>
      <c r="S275" s="6" t="s">
        <v>21</v>
      </c>
      <c r="T275" s="6" t="s">
        <v>21</v>
      </c>
      <c r="U275" s="6">
        <f t="shared" si="38"/>
        <v>0</v>
      </c>
      <c r="V275" s="6">
        <f t="shared" si="41"/>
        <v>0</v>
      </c>
    </row>
    <row r="276" spans="1:22" hidden="1" x14ac:dyDescent="0.35">
      <c r="A276" s="6" t="s">
        <v>328</v>
      </c>
      <c r="B276" s="6" t="s">
        <v>296</v>
      </c>
      <c r="C276" s="6" t="s">
        <v>297</v>
      </c>
      <c r="D276" s="6">
        <f t="shared" si="40"/>
        <v>0.5</v>
      </c>
      <c r="E276" s="6" t="s">
        <v>19</v>
      </c>
      <c r="F276" s="6" t="str">
        <f>MID(A276,19,1)</f>
        <v>S</v>
      </c>
      <c r="G276" s="6">
        <v>-23.482109678329881</v>
      </c>
      <c r="H276" s="6">
        <v>-46.771418351359983</v>
      </c>
      <c r="I276" s="9">
        <v>6914.99</v>
      </c>
      <c r="K276" s="6">
        <v>5.99</v>
      </c>
      <c r="L276" s="6">
        <v>0</v>
      </c>
      <c r="N276" s="1">
        <f t="shared" si="36"/>
        <v>0</v>
      </c>
      <c r="Q276" s="6" t="s">
        <v>21</v>
      </c>
      <c r="R276" s="6" t="s">
        <v>21</v>
      </c>
      <c r="S276" s="6" t="s">
        <v>21</v>
      </c>
      <c r="T276" s="6" t="s">
        <v>21</v>
      </c>
      <c r="U276" s="6">
        <f t="shared" si="38"/>
        <v>0</v>
      </c>
      <c r="V276" s="6">
        <f t="shared" si="41"/>
        <v>0</v>
      </c>
    </row>
    <row r="277" spans="1:22" hidden="1" x14ac:dyDescent="0.35">
      <c r="A277" s="6" t="s">
        <v>329</v>
      </c>
      <c r="B277" s="6" t="s">
        <v>296</v>
      </c>
      <c r="C277" s="6" t="s">
        <v>297</v>
      </c>
      <c r="D277" s="6">
        <f t="shared" si="40"/>
        <v>0.5</v>
      </c>
      <c r="E277" s="6" t="s">
        <v>19</v>
      </c>
      <c r="F277" s="6" t="str">
        <f>MID(A277,19,1)</f>
        <v>S</v>
      </c>
      <c r="G277" s="6">
        <v>-23.4789453057526</v>
      </c>
      <c r="H277" s="6">
        <v>-46.771029031755809</v>
      </c>
      <c r="I277" s="9">
        <v>119.39</v>
      </c>
      <c r="K277" s="6">
        <v>9.9600000000000009</v>
      </c>
      <c r="L277" s="6">
        <v>20</v>
      </c>
      <c r="N277" s="1">
        <f t="shared" si="36"/>
        <v>0</v>
      </c>
      <c r="O277" s="6" t="s">
        <v>20</v>
      </c>
      <c r="Q277" s="6" t="s">
        <v>21</v>
      </c>
      <c r="R277" s="6" t="s">
        <v>21</v>
      </c>
      <c r="S277" s="6" t="s">
        <v>21</v>
      </c>
      <c r="T277" s="6" t="s">
        <v>21</v>
      </c>
      <c r="U277" s="6">
        <f t="shared" si="38"/>
        <v>23.878</v>
      </c>
      <c r="V277" s="6">
        <f t="shared" si="41"/>
        <v>23.878</v>
      </c>
    </row>
    <row r="278" spans="1:22" hidden="1" x14ac:dyDescent="0.35">
      <c r="A278" s="6" t="s">
        <v>330</v>
      </c>
      <c r="B278" s="6" t="s">
        <v>296</v>
      </c>
      <c r="C278" s="6" t="s">
        <v>297</v>
      </c>
      <c r="D278" s="6">
        <f t="shared" si="40"/>
        <v>0.5</v>
      </c>
      <c r="E278" s="6" t="s">
        <v>19</v>
      </c>
      <c r="F278" s="6" t="str">
        <f>MID(A278,19,1)</f>
        <v>S</v>
      </c>
      <c r="G278" s="6">
        <v>-23.481299968882791</v>
      </c>
      <c r="H278" s="6">
        <v>-46.772424684632313</v>
      </c>
      <c r="I278" s="9">
        <v>824.81</v>
      </c>
      <c r="K278" s="6">
        <v>10.45</v>
      </c>
      <c r="L278" s="6">
        <v>20</v>
      </c>
      <c r="N278" s="1">
        <f t="shared" si="36"/>
        <v>0</v>
      </c>
      <c r="O278" s="6" t="s">
        <v>20</v>
      </c>
      <c r="Q278" s="6" t="s">
        <v>21</v>
      </c>
      <c r="R278" s="6" t="s">
        <v>21</v>
      </c>
      <c r="S278" s="6" t="s">
        <v>21</v>
      </c>
      <c r="T278" s="6" t="s">
        <v>21</v>
      </c>
      <c r="U278" s="6">
        <f t="shared" si="38"/>
        <v>164.96199999999999</v>
      </c>
      <c r="V278" s="6">
        <f t="shared" si="41"/>
        <v>164.96199999999999</v>
      </c>
    </row>
    <row r="279" spans="1:22" x14ac:dyDescent="0.35">
      <c r="A279" s="6" t="s">
        <v>331</v>
      </c>
      <c r="B279" s="6" t="s">
        <v>296</v>
      </c>
      <c r="C279" s="6" t="s">
        <v>297</v>
      </c>
      <c r="D279" s="6">
        <f t="shared" si="40"/>
        <v>0.5</v>
      </c>
      <c r="E279" s="6" t="s">
        <v>19</v>
      </c>
      <c r="F279" s="6" t="str">
        <f>MID(A279,19,1)</f>
        <v>N</v>
      </c>
      <c r="G279" s="6">
        <v>-23.482131509567431</v>
      </c>
      <c r="H279" s="6">
        <v>-46.737647571910912</v>
      </c>
      <c r="I279" s="9">
        <v>1147.49</v>
      </c>
      <c r="K279" s="6">
        <v>5.08</v>
      </c>
      <c r="L279" s="6">
        <v>0</v>
      </c>
      <c r="N279" s="1">
        <f t="shared" si="36"/>
        <v>0</v>
      </c>
      <c r="Q279" s="6" t="s">
        <v>21</v>
      </c>
      <c r="R279" s="6" t="s">
        <v>21</v>
      </c>
      <c r="S279" s="6" t="s">
        <v>21</v>
      </c>
      <c r="T279" s="6" t="s">
        <v>21</v>
      </c>
      <c r="U279" s="6">
        <f t="shared" si="38"/>
        <v>0</v>
      </c>
      <c r="V279" s="6">
        <f t="shared" si="41"/>
        <v>0</v>
      </c>
    </row>
    <row r="280" spans="1:22" hidden="1" x14ac:dyDescent="0.35">
      <c r="A280" s="6" t="s">
        <v>332</v>
      </c>
      <c r="B280" s="6" t="s">
        <v>296</v>
      </c>
      <c r="C280" s="6" t="s">
        <v>297</v>
      </c>
      <c r="D280" s="6">
        <f t="shared" si="40"/>
        <v>0.5</v>
      </c>
      <c r="E280" s="6" t="s">
        <v>19</v>
      </c>
      <c r="F280" s="6" t="str">
        <f>MID(A280,19,1)</f>
        <v>S</v>
      </c>
      <c r="G280" s="6">
        <v>-23.48016825822133</v>
      </c>
      <c r="H280" s="6">
        <v>-46.771340445693461</v>
      </c>
      <c r="I280" s="9">
        <v>42.25</v>
      </c>
      <c r="K280" s="6">
        <v>9.8800000000000008</v>
      </c>
      <c r="L280" s="6">
        <v>0</v>
      </c>
      <c r="N280" s="1">
        <f t="shared" si="36"/>
        <v>0</v>
      </c>
      <c r="Q280" s="6" t="s">
        <v>21</v>
      </c>
      <c r="R280" s="6" t="s">
        <v>21</v>
      </c>
      <c r="S280" s="6" t="s">
        <v>21</v>
      </c>
      <c r="T280" s="6" t="s">
        <v>21</v>
      </c>
      <c r="U280" s="6">
        <f t="shared" si="38"/>
        <v>0</v>
      </c>
      <c r="V280" s="6">
        <f t="shared" si="41"/>
        <v>0</v>
      </c>
    </row>
    <row r="281" spans="1:22" x14ac:dyDescent="0.35">
      <c r="A281" s="6" t="s">
        <v>333</v>
      </c>
      <c r="B281" s="6" t="s">
        <v>296</v>
      </c>
      <c r="C281" s="6" t="s">
        <v>297</v>
      </c>
      <c r="D281" s="6">
        <f t="shared" si="40"/>
        <v>0.5</v>
      </c>
      <c r="E281" s="6" t="s">
        <v>19</v>
      </c>
      <c r="F281" s="6" t="str">
        <f>MID(A281,19,1)</f>
        <v>N</v>
      </c>
      <c r="G281" s="6">
        <v>-23.48272287461338</v>
      </c>
      <c r="H281" s="6">
        <v>-46.768129660055649</v>
      </c>
      <c r="I281" s="9">
        <v>223.78</v>
      </c>
      <c r="K281" s="6">
        <v>8.75</v>
      </c>
      <c r="L281" s="6">
        <v>0</v>
      </c>
      <c r="N281" s="1">
        <f t="shared" si="36"/>
        <v>0</v>
      </c>
      <c r="Q281" s="6" t="s">
        <v>21</v>
      </c>
      <c r="R281" s="6" t="s">
        <v>21</v>
      </c>
      <c r="S281" s="6" t="s">
        <v>21</v>
      </c>
      <c r="T281" s="6" t="s">
        <v>21</v>
      </c>
      <c r="U281" s="6">
        <f t="shared" si="38"/>
        <v>0</v>
      </c>
      <c r="V281" s="6">
        <f t="shared" si="41"/>
        <v>0</v>
      </c>
    </row>
    <row r="282" spans="1:22" x14ac:dyDescent="0.35">
      <c r="A282" s="8" t="s">
        <v>334</v>
      </c>
      <c r="B282" s="8" t="s">
        <v>296</v>
      </c>
      <c r="C282" s="8" t="s">
        <v>297</v>
      </c>
      <c r="D282" s="6">
        <f t="shared" si="40"/>
        <v>0.5</v>
      </c>
      <c r="E282" s="8" t="s">
        <v>19</v>
      </c>
      <c r="F282" s="6" t="str">
        <f>MID(A282,19,1)</f>
        <v>N</v>
      </c>
      <c r="G282" s="8">
        <v>-23.480386583220209</v>
      </c>
      <c r="H282" s="8">
        <v>-46.770207709832711</v>
      </c>
      <c r="I282" s="7">
        <v>3149.89</v>
      </c>
      <c r="J282" s="7"/>
      <c r="K282" s="8">
        <v>4.46</v>
      </c>
      <c r="L282" s="8">
        <v>70</v>
      </c>
      <c r="M282" s="8"/>
      <c r="N282" s="11">
        <f t="shared" si="36"/>
        <v>2204.9229999999998</v>
      </c>
      <c r="O282" s="8" t="s">
        <v>71</v>
      </c>
      <c r="P282" s="8"/>
      <c r="Q282" s="8" t="s">
        <v>21</v>
      </c>
      <c r="R282" s="8" t="s">
        <v>26</v>
      </c>
      <c r="S282" s="8" t="s">
        <v>21</v>
      </c>
      <c r="T282" s="8" t="s">
        <v>26</v>
      </c>
      <c r="U282" s="6">
        <f t="shared" si="38"/>
        <v>0</v>
      </c>
    </row>
    <row r="283" spans="1:22" hidden="1" x14ac:dyDescent="0.35">
      <c r="A283" s="6" t="s">
        <v>335</v>
      </c>
      <c r="B283" s="6" t="s">
        <v>336</v>
      </c>
      <c r="C283" s="6" t="s">
        <v>337</v>
      </c>
      <c r="D283" s="6">
        <f t="shared" si="40"/>
        <v>0.5</v>
      </c>
      <c r="E283" s="6" t="s">
        <v>19</v>
      </c>
      <c r="F283" s="6" t="str">
        <f>MID(A283,19,1)</f>
        <v>S</v>
      </c>
      <c r="G283" s="6">
        <v>-23.47352758845701</v>
      </c>
      <c r="H283" s="6">
        <v>-46.774178144940777</v>
      </c>
      <c r="I283" s="9">
        <v>42.43</v>
      </c>
      <c r="K283" s="6">
        <v>5.79</v>
      </c>
      <c r="L283" s="6">
        <v>0</v>
      </c>
      <c r="N283" s="1">
        <f t="shared" si="36"/>
        <v>0</v>
      </c>
      <c r="Q283" s="6" t="s">
        <v>21</v>
      </c>
      <c r="R283" s="6" t="s">
        <v>21</v>
      </c>
      <c r="S283" s="6" t="s">
        <v>21</v>
      </c>
      <c r="T283" s="6" t="s">
        <v>21</v>
      </c>
      <c r="U283" s="6">
        <f t="shared" si="38"/>
        <v>0</v>
      </c>
      <c r="V283" s="6">
        <f t="shared" ref="V283:V287" si="42">(I283*(L283/100))</f>
        <v>0</v>
      </c>
    </row>
    <row r="284" spans="1:22" hidden="1" x14ac:dyDescent="0.35">
      <c r="A284" s="6" t="s">
        <v>338</v>
      </c>
      <c r="B284" s="6" t="s">
        <v>336</v>
      </c>
      <c r="C284" s="6" t="s">
        <v>337</v>
      </c>
      <c r="D284" s="6">
        <f t="shared" si="40"/>
        <v>0.5</v>
      </c>
      <c r="E284" s="6" t="s">
        <v>23</v>
      </c>
      <c r="F284" s="6" t="str">
        <f>MID(A284,19,1)</f>
        <v>C</v>
      </c>
      <c r="G284" s="6">
        <v>-23.4761170955192</v>
      </c>
      <c r="H284" s="6">
        <v>-46.770639964266017</v>
      </c>
      <c r="I284" s="9">
        <v>4771.33</v>
      </c>
      <c r="J284" s="9">
        <f>I284/500</f>
        <v>9.5426599999999997</v>
      </c>
      <c r="K284" s="6">
        <v>5.39</v>
      </c>
      <c r="L284" s="6">
        <v>20</v>
      </c>
      <c r="N284" s="1">
        <f t="shared" si="36"/>
        <v>0</v>
      </c>
      <c r="O284" s="6" t="s">
        <v>20</v>
      </c>
      <c r="Q284" s="6" t="s">
        <v>21</v>
      </c>
      <c r="R284" s="6" t="s">
        <v>21</v>
      </c>
      <c r="S284" s="6" t="s">
        <v>21</v>
      </c>
      <c r="T284" s="6" t="s">
        <v>21</v>
      </c>
      <c r="U284" s="6">
        <f t="shared" si="38"/>
        <v>954.26600000000008</v>
      </c>
      <c r="V284" s="6">
        <f t="shared" si="42"/>
        <v>954.26600000000008</v>
      </c>
    </row>
    <row r="285" spans="1:22" hidden="1" x14ac:dyDescent="0.35">
      <c r="A285" s="6" t="s">
        <v>339</v>
      </c>
      <c r="B285" s="6" t="s">
        <v>336</v>
      </c>
      <c r="C285" s="6" t="s">
        <v>337</v>
      </c>
      <c r="D285" s="6">
        <f t="shared" si="40"/>
        <v>0.5</v>
      </c>
      <c r="E285" s="6" t="s">
        <v>19</v>
      </c>
      <c r="F285" s="6" t="str">
        <f>MID(A285,19,1)</f>
        <v>S</v>
      </c>
      <c r="G285" s="6">
        <v>-23.47424039168617</v>
      </c>
      <c r="H285" s="6">
        <v>-46.772356871849503</v>
      </c>
      <c r="I285" s="9">
        <v>279.44</v>
      </c>
      <c r="K285" s="6">
        <v>3.87</v>
      </c>
      <c r="L285" s="6">
        <v>0</v>
      </c>
      <c r="N285" s="1">
        <f t="shared" si="36"/>
        <v>0</v>
      </c>
      <c r="Q285" s="6" t="s">
        <v>21</v>
      </c>
      <c r="R285" s="6" t="s">
        <v>21</v>
      </c>
      <c r="S285" s="6" t="s">
        <v>21</v>
      </c>
      <c r="T285" s="6" t="s">
        <v>21</v>
      </c>
      <c r="U285" s="6">
        <f t="shared" si="38"/>
        <v>0</v>
      </c>
      <c r="V285" s="6">
        <f t="shared" si="42"/>
        <v>0</v>
      </c>
    </row>
    <row r="286" spans="1:22" x14ac:dyDescent="0.35">
      <c r="A286" s="6" t="s">
        <v>340</v>
      </c>
      <c r="B286" s="6" t="s">
        <v>336</v>
      </c>
      <c r="C286" s="6" t="s">
        <v>337</v>
      </c>
      <c r="D286" s="6">
        <f t="shared" si="40"/>
        <v>0.5</v>
      </c>
      <c r="E286" s="6" t="s">
        <v>19</v>
      </c>
      <c r="F286" s="6" t="str">
        <f>MID(A286,19,1)</f>
        <v>N</v>
      </c>
      <c r="G286" s="6">
        <v>-23.476100228336868</v>
      </c>
      <c r="H286" s="6">
        <v>-46.742149523738263</v>
      </c>
      <c r="I286" s="9">
        <v>2067.54</v>
      </c>
      <c r="K286" s="6">
        <v>6.57</v>
      </c>
      <c r="L286" s="6">
        <v>40</v>
      </c>
      <c r="N286" s="1">
        <f t="shared" si="36"/>
        <v>0</v>
      </c>
      <c r="O286" s="6" t="s">
        <v>20</v>
      </c>
      <c r="Q286" s="6" t="s">
        <v>21</v>
      </c>
      <c r="R286" s="6" t="s">
        <v>21</v>
      </c>
      <c r="S286" s="6" t="s">
        <v>21</v>
      </c>
      <c r="T286" s="6" t="s">
        <v>21</v>
      </c>
      <c r="U286" s="6">
        <f t="shared" si="38"/>
        <v>827.01600000000008</v>
      </c>
      <c r="V286" s="6">
        <f t="shared" si="42"/>
        <v>827.01600000000008</v>
      </c>
    </row>
    <row r="287" spans="1:22" x14ac:dyDescent="0.35">
      <c r="A287" s="6" t="s">
        <v>341</v>
      </c>
      <c r="B287" s="6" t="s">
        <v>336</v>
      </c>
      <c r="C287" s="6" t="s">
        <v>337</v>
      </c>
      <c r="D287" s="6">
        <f t="shared" si="40"/>
        <v>0.5</v>
      </c>
      <c r="E287" s="6" t="s">
        <v>19</v>
      </c>
      <c r="F287" s="6" t="str">
        <f>MID(A287,19,1)</f>
        <v>N</v>
      </c>
      <c r="G287" s="6">
        <v>-23.474079358531881</v>
      </c>
      <c r="H287" s="6">
        <v>-46.771386290269511</v>
      </c>
      <c r="I287" s="9">
        <v>29.36</v>
      </c>
      <c r="K287" s="6">
        <v>3.99</v>
      </c>
      <c r="L287" s="6">
        <v>0</v>
      </c>
      <c r="N287" s="1">
        <f t="shared" si="36"/>
        <v>0</v>
      </c>
      <c r="Q287" s="6" t="s">
        <v>21</v>
      </c>
      <c r="R287" s="6" t="s">
        <v>21</v>
      </c>
      <c r="S287" s="6" t="s">
        <v>21</v>
      </c>
      <c r="T287" s="6" t="s">
        <v>21</v>
      </c>
      <c r="U287" s="6">
        <f t="shared" si="38"/>
        <v>0</v>
      </c>
      <c r="V287" s="6">
        <f t="shared" si="42"/>
        <v>0</v>
      </c>
    </row>
    <row r="288" spans="1:22" x14ac:dyDescent="0.35">
      <c r="A288" s="8" t="s">
        <v>342</v>
      </c>
      <c r="B288" s="8" t="s">
        <v>336</v>
      </c>
      <c r="C288" s="8" t="s">
        <v>337</v>
      </c>
      <c r="D288" s="6">
        <f t="shared" si="40"/>
        <v>0.5</v>
      </c>
      <c r="E288" s="8" t="s">
        <v>19</v>
      </c>
      <c r="F288" s="6" t="str">
        <f>MID(A288,19,1)</f>
        <v>N</v>
      </c>
      <c r="G288" s="8">
        <v>-23.472251859447692</v>
      </c>
      <c r="H288" s="8">
        <v>-46.775691072645259</v>
      </c>
      <c r="I288" s="7">
        <v>1718.54</v>
      </c>
      <c r="J288" s="7"/>
      <c r="K288" s="8">
        <v>6.62</v>
      </c>
      <c r="L288" s="8">
        <v>80</v>
      </c>
      <c r="M288" s="8"/>
      <c r="N288" s="11">
        <f t="shared" si="36"/>
        <v>1374.8320000000001</v>
      </c>
      <c r="O288" s="8" t="s">
        <v>71</v>
      </c>
      <c r="P288" s="8"/>
      <c r="Q288" s="8" t="s">
        <v>21</v>
      </c>
      <c r="R288" s="8" t="s">
        <v>26</v>
      </c>
      <c r="S288" s="8" t="s">
        <v>21</v>
      </c>
      <c r="T288" s="8" t="s">
        <v>21</v>
      </c>
      <c r="U288" s="6">
        <f t="shared" si="38"/>
        <v>0</v>
      </c>
    </row>
    <row r="289" spans="1:22" x14ac:dyDescent="0.35">
      <c r="A289" s="6" t="s">
        <v>343</v>
      </c>
      <c r="B289" s="6" t="s">
        <v>336</v>
      </c>
      <c r="C289" s="6" t="s">
        <v>337</v>
      </c>
      <c r="D289" s="6">
        <f t="shared" si="40"/>
        <v>0.5</v>
      </c>
      <c r="E289" s="6" t="s">
        <v>19</v>
      </c>
      <c r="F289" s="6" t="str">
        <f>MID(A289,19,1)</f>
        <v>N</v>
      </c>
      <c r="G289" s="6">
        <v>-23.474581407001729</v>
      </c>
      <c r="H289" s="6">
        <v>-46.770842701953683</v>
      </c>
      <c r="I289" s="9">
        <v>595.6</v>
      </c>
      <c r="K289" s="6">
        <v>4.7</v>
      </c>
      <c r="L289" s="6">
        <v>0</v>
      </c>
      <c r="N289" s="1">
        <f t="shared" si="36"/>
        <v>0</v>
      </c>
      <c r="Q289" s="6" t="s">
        <v>21</v>
      </c>
      <c r="R289" s="6" t="s">
        <v>21</v>
      </c>
      <c r="S289" s="6" t="s">
        <v>21</v>
      </c>
      <c r="T289" s="6" t="s">
        <v>21</v>
      </c>
      <c r="U289" s="6">
        <f t="shared" si="38"/>
        <v>0</v>
      </c>
      <c r="V289" s="6">
        <f t="shared" ref="V289:V352" si="43">(I289*(L289/100))</f>
        <v>0</v>
      </c>
    </row>
    <row r="290" spans="1:22" hidden="1" x14ac:dyDescent="0.35">
      <c r="A290" s="6" t="s">
        <v>344</v>
      </c>
      <c r="B290" s="6" t="s">
        <v>336</v>
      </c>
      <c r="C290" s="6" t="s">
        <v>337</v>
      </c>
      <c r="D290" s="6">
        <f t="shared" si="40"/>
        <v>0.5</v>
      </c>
      <c r="E290" s="6" t="s">
        <v>23</v>
      </c>
      <c r="F290" s="6" t="str">
        <f>MID(A290,19,1)</f>
        <v>C</v>
      </c>
      <c r="G290" s="6">
        <v>-23.472745941040731</v>
      </c>
      <c r="H290" s="6">
        <v>-46.747715829376808</v>
      </c>
      <c r="I290" s="7">
        <v>5155.68</v>
      </c>
      <c r="J290" s="9">
        <f>I290/500</f>
        <v>10.311360000000001</v>
      </c>
      <c r="K290" s="6">
        <v>4.8499999999999996</v>
      </c>
      <c r="L290" s="6">
        <v>60</v>
      </c>
      <c r="N290" s="1">
        <f t="shared" si="36"/>
        <v>0</v>
      </c>
      <c r="O290" s="6" t="s">
        <v>185</v>
      </c>
      <c r="Q290" s="6" t="s">
        <v>21</v>
      </c>
      <c r="R290" s="6" t="s">
        <v>21</v>
      </c>
      <c r="S290" s="6" t="s">
        <v>21</v>
      </c>
      <c r="T290" s="6" t="s">
        <v>21</v>
      </c>
      <c r="U290" s="6">
        <f t="shared" si="38"/>
        <v>3093.4079999999999</v>
      </c>
      <c r="V290" s="6">
        <f t="shared" si="43"/>
        <v>3093.4079999999999</v>
      </c>
    </row>
    <row r="291" spans="1:22" x14ac:dyDescent="0.35">
      <c r="A291" s="6" t="s">
        <v>345</v>
      </c>
      <c r="B291" s="6" t="s">
        <v>336</v>
      </c>
      <c r="C291" s="6" t="s">
        <v>337</v>
      </c>
      <c r="D291" s="6">
        <f t="shared" si="40"/>
        <v>0.5</v>
      </c>
      <c r="E291" s="6" t="s">
        <v>19</v>
      </c>
      <c r="F291" s="6" t="str">
        <f>MID(A291,19,1)</f>
        <v>N</v>
      </c>
      <c r="G291" s="6">
        <v>-23.47748914363223</v>
      </c>
      <c r="H291" s="6">
        <v>-46.769783471638583</v>
      </c>
      <c r="I291" s="9">
        <v>235.13</v>
      </c>
      <c r="K291" s="6">
        <v>2.1800000000000002</v>
      </c>
      <c r="L291" s="6">
        <v>0</v>
      </c>
      <c r="N291" s="1">
        <f t="shared" si="36"/>
        <v>0</v>
      </c>
      <c r="Q291" s="6" t="s">
        <v>21</v>
      </c>
      <c r="R291" s="6" t="s">
        <v>21</v>
      </c>
      <c r="S291" s="6" t="s">
        <v>21</v>
      </c>
      <c r="T291" s="6" t="s">
        <v>21</v>
      </c>
      <c r="U291" s="6">
        <f t="shared" si="38"/>
        <v>0</v>
      </c>
      <c r="V291" s="6">
        <f t="shared" si="43"/>
        <v>0</v>
      </c>
    </row>
    <row r="292" spans="1:22" hidden="1" x14ac:dyDescent="0.35">
      <c r="A292" s="6" t="s">
        <v>346</v>
      </c>
      <c r="B292" s="6" t="s">
        <v>336</v>
      </c>
      <c r="C292" s="6" t="s">
        <v>337</v>
      </c>
      <c r="D292" s="6">
        <f t="shared" si="40"/>
        <v>0.5</v>
      </c>
      <c r="E292" s="6" t="s">
        <v>19</v>
      </c>
      <c r="F292" s="6" t="str">
        <f>MID(A292,19,1)</f>
        <v>S</v>
      </c>
      <c r="G292" s="6">
        <v>-23.473762028722231</v>
      </c>
      <c r="H292" s="6">
        <v>-46.747067860074331</v>
      </c>
      <c r="I292" s="9">
        <v>2548.8200000000002</v>
      </c>
      <c r="K292" s="6">
        <v>5.87</v>
      </c>
      <c r="L292" s="6">
        <v>20</v>
      </c>
      <c r="N292" s="1">
        <f t="shared" si="36"/>
        <v>0</v>
      </c>
      <c r="O292" s="6" t="s">
        <v>20</v>
      </c>
      <c r="Q292" s="6" t="s">
        <v>21</v>
      </c>
      <c r="R292" s="6" t="s">
        <v>21</v>
      </c>
      <c r="S292" s="6" t="s">
        <v>21</v>
      </c>
      <c r="T292" s="6" t="s">
        <v>21</v>
      </c>
      <c r="U292" s="6">
        <f t="shared" si="38"/>
        <v>509.76400000000007</v>
      </c>
      <c r="V292" s="6">
        <f t="shared" si="43"/>
        <v>509.76400000000007</v>
      </c>
    </row>
    <row r="293" spans="1:22" hidden="1" x14ac:dyDescent="0.35">
      <c r="A293" s="6" t="s">
        <v>347</v>
      </c>
      <c r="B293" s="6" t="s">
        <v>336</v>
      </c>
      <c r="C293" s="6" t="s">
        <v>337</v>
      </c>
      <c r="D293" s="6">
        <f t="shared" si="40"/>
        <v>0.5</v>
      </c>
      <c r="E293" s="6" t="s">
        <v>19</v>
      </c>
      <c r="F293" s="6" t="str">
        <f>MID(A293,19,1)</f>
        <v>S</v>
      </c>
      <c r="G293" s="6">
        <v>-23.473568341810601</v>
      </c>
      <c r="H293" s="6">
        <v>-46.774027192161981</v>
      </c>
      <c r="I293" s="9">
        <v>18.2</v>
      </c>
      <c r="K293" s="6">
        <v>7.2</v>
      </c>
      <c r="L293" s="6">
        <v>0</v>
      </c>
      <c r="N293" s="1">
        <f t="shared" si="36"/>
        <v>0</v>
      </c>
      <c r="Q293" s="6" t="s">
        <v>21</v>
      </c>
      <c r="R293" s="6" t="s">
        <v>21</v>
      </c>
      <c r="S293" s="6" t="s">
        <v>21</v>
      </c>
      <c r="T293" s="6" t="s">
        <v>21</v>
      </c>
      <c r="U293" s="6">
        <f t="shared" si="38"/>
        <v>0</v>
      </c>
      <c r="V293" s="6">
        <f t="shared" si="43"/>
        <v>0</v>
      </c>
    </row>
    <row r="294" spans="1:22" hidden="1" x14ac:dyDescent="0.35">
      <c r="A294" s="6" t="s">
        <v>348</v>
      </c>
      <c r="B294" s="6" t="s">
        <v>336</v>
      </c>
      <c r="C294" s="6" t="s">
        <v>337</v>
      </c>
      <c r="D294" s="6">
        <f t="shared" si="40"/>
        <v>0.5</v>
      </c>
      <c r="E294" s="6" t="s">
        <v>19</v>
      </c>
      <c r="F294" s="6" t="str">
        <f>MID(A294,19,1)</f>
        <v>S</v>
      </c>
      <c r="G294" s="6">
        <v>-23.474270324961271</v>
      </c>
      <c r="H294" s="6">
        <v>-46.771923451054342</v>
      </c>
      <c r="I294" s="9">
        <v>41.79</v>
      </c>
      <c r="K294" s="6">
        <v>4.38</v>
      </c>
      <c r="L294" s="6">
        <v>20</v>
      </c>
      <c r="N294" s="1">
        <f t="shared" si="36"/>
        <v>0</v>
      </c>
      <c r="O294" s="6" t="s">
        <v>20</v>
      </c>
      <c r="Q294" s="6" t="s">
        <v>21</v>
      </c>
      <c r="R294" s="6" t="s">
        <v>21</v>
      </c>
      <c r="S294" s="6" t="s">
        <v>21</v>
      </c>
      <c r="T294" s="6" t="s">
        <v>21</v>
      </c>
      <c r="U294" s="6">
        <f t="shared" si="38"/>
        <v>8.3580000000000005</v>
      </c>
      <c r="V294" s="6">
        <f t="shared" si="43"/>
        <v>8.3580000000000005</v>
      </c>
    </row>
    <row r="295" spans="1:22" x14ac:dyDescent="0.35">
      <c r="A295" s="6" t="s">
        <v>349</v>
      </c>
      <c r="B295" s="6" t="s">
        <v>336</v>
      </c>
      <c r="C295" s="6" t="s">
        <v>337</v>
      </c>
      <c r="D295" s="6">
        <f t="shared" si="40"/>
        <v>0.5</v>
      </c>
      <c r="E295" s="6" t="s">
        <v>19</v>
      </c>
      <c r="F295" s="6" t="str">
        <f>MID(A295,19,1)</f>
        <v>N</v>
      </c>
      <c r="G295" s="6">
        <v>-23.47333546542038</v>
      </c>
      <c r="H295" s="6">
        <v>-46.746714044639262</v>
      </c>
      <c r="I295" s="9">
        <v>2398.73</v>
      </c>
      <c r="K295" s="6">
        <v>6.41</v>
      </c>
      <c r="L295" s="6">
        <v>30</v>
      </c>
      <c r="N295" s="1">
        <f t="shared" si="36"/>
        <v>0</v>
      </c>
      <c r="O295" s="6" t="s">
        <v>20</v>
      </c>
      <c r="Q295" s="6" t="s">
        <v>21</v>
      </c>
      <c r="R295" s="6" t="s">
        <v>21</v>
      </c>
      <c r="S295" s="6" t="s">
        <v>21</v>
      </c>
      <c r="T295" s="6" t="s">
        <v>21</v>
      </c>
      <c r="U295" s="6">
        <f t="shared" si="38"/>
        <v>719.61900000000003</v>
      </c>
      <c r="V295" s="6">
        <f t="shared" si="43"/>
        <v>719.61900000000003</v>
      </c>
    </row>
    <row r="296" spans="1:22" hidden="1" x14ac:dyDescent="0.35">
      <c r="A296" s="6" t="s">
        <v>350</v>
      </c>
      <c r="B296" s="6" t="s">
        <v>336</v>
      </c>
      <c r="C296" s="6" t="s">
        <v>337</v>
      </c>
      <c r="D296" s="6">
        <f t="shared" si="40"/>
        <v>0.5</v>
      </c>
      <c r="E296" s="6" t="s">
        <v>19</v>
      </c>
      <c r="F296" s="6" t="str">
        <f>MID(A296,19,1)</f>
        <v>S</v>
      </c>
      <c r="G296" s="6">
        <v>-23.476467915019271</v>
      </c>
      <c r="H296" s="6">
        <v>-46.742483001682523</v>
      </c>
      <c r="I296" s="9">
        <v>1985.52</v>
      </c>
      <c r="K296" s="6">
        <v>7.26</v>
      </c>
      <c r="L296" s="6">
        <v>20</v>
      </c>
      <c r="N296" s="1">
        <f t="shared" si="36"/>
        <v>0</v>
      </c>
      <c r="O296" s="6" t="s">
        <v>20</v>
      </c>
      <c r="Q296" s="6" t="s">
        <v>21</v>
      </c>
      <c r="R296" s="6" t="s">
        <v>21</v>
      </c>
      <c r="S296" s="6" t="s">
        <v>21</v>
      </c>
      <c r="T296" s="6" t="s">
        <v>21</v>
      </c>
      <c r="U296" s="6">
        <f t="shared" si="38"/>
        <v>397.10400000000004</v>
      </c>
      <c r="V296" s="6">
        <f t="shared" si="43"/>
        <v>397.10400000000004</v>
      </c>
    </row>
    <row r="297" spans="1:22" hidden="1" x14ac:dyDescent="0.35">
      <c r="A297" s="6" t="s">
        <v>351</v>
      </c>
      <c r="B297" s="6" t="s">
        <v>336</v>
      </c>
      <c r="C297" s="6" t="s">
        <v>337</v>
      </c>
      <c r="D297" s="6">
        <f t="shared" si="40"/>
        <v>0.5</v>
      </c>
      <c r="E297" s="6" t="s">
        <v>19</v>
      </c>
      <c r="F297" s="6" t="str">
        <f>MID(A297,19,1)</f>
        <v>S</v>
      </c>
      <c r="G297" s="6">
        <v>-23.476146637355921</v>
      </c>
      <c r="H297" s="6">
        <v>-46.770843411255292</v>
      </c>
      <c r="I297" s="9">
        <v>1356.94</v>
      </c>
      <c r="K297" s="6">
        <v>7.08</v>
      </c>
      <c r="L297" s="6">
        <v>20</v>
      </c>
      <c r="N297" s="1">
        <f t="shared" si="36"/>
        <v>0</v>
      </c>
      <c r="O297" s="6" t="s">
        <v>20</v>
      </c>
      <c r="Q297" s="6" t="s">
        <v>21</v>
      </c>
      <c r="R297" s="6" t="s">
        <v>21</v>
      </c>
      <c r="S297" s="6" t="s">
        <v>21</v>
      </c>
      <c r="T297" s="6" t="s">
        <v>21</v>
      </c>
      <c r="U297" s="6">
        <f t="shared" si="38"/>
        <v>271.38800000000003</v>
      </c>
      <c r="V297" s="6">
        <f t="shared" si="43"/>
        <v>271.38800000000003</v>
      </c>
    </row>
    <row r="298" spans="1:22" hidden="1" x14ac:dyDescent="0.35">
      <c r="A298" s="6" t="s">
        <v>352</v>
      </c>
      <c r="B298" s="6" t="s">
        <v>336</v>
      </c>
      <c r="C298" s="6" t="s">
        <v>337</v>
      </c>
      <c r="D298" s="6">
        <f t="shared" si="40"/>
        <v>0.5</v>
      </c>
      <c r="E298" s="6" t="s">
        <v>19</v>
      </c>
      <c r="F298" s="6" t="str">
        <f>MID(A298,19,1)</f>
        <v>S</v>
      </c>
      <c r="G298" s="6">
        <v>-23.474443839038109</v>
      </c>
      <c r="H298" s="6">
        <v>-46.771993498934251</v>
      </c>
      <c r="I298" s="9">
        <v>87.53</v>
      </c>
      <c r="K298" s="6">
        <v>3.25</v>
      </c>
      <c r="L298" s="6">
        <v>0</v>
      </c>
      <c r="N298" s="1">
        <f t="shared" si="36"/>
        <v>0</v>
      </c>
      <c r="Q298" s="6" t="s">
        <v>21</v>
      </c>
      <c r="R298" s="6" t="s">
        <v>21</v>
      </c>
      <c r="S298" s="6" t="s">
        <v>21</v>
      </c>
      <c r="T298" s="6" t="s">
        <v>21</v>
      </c>
      <c r="U298" s="6">
        <f t="shared" si="38"/>
        <v>0</v>
      </c>
      <c r="V298" s="6">
        <f t="shared" si="43"/>
        <v>0</v>
      </c>
    </row>
    <row r="299" spans="1:22" hidden="1" x14ac:dyDescent="0.35">
      <c r="A299" s="6" t="s">
        <v>353</v>
      </c>
      <c r="B299" s="6" t="s">
        <v>336</v>
      </c>
      <c r="C299" s="6" t="s">
        <v>337</v>
      </c>
      <c r="D299" s="6">
        <f t="shared" si="40"/>
        <v>0.5</v>
      </c>
      <c r="E299" s="6" t="s">
        <v>19</v>
      </c>
      <c r="F299" s="6" t="str">
        <f>MID(A299,19,1)</f>
        <v>S</v>
      </c>
      <c r="G299" s="6">
        <v>-23.473535183999768</v>
      </c>
      <c r="H299" s="6">
        <v>-46.774012208734938</v>
      </c>
      <c r="I299" s="9">
        <v>6.91</v>
      </c>
      <c r="K299" s="6">
        <v>7.2</v>
      </c>
      <c r="L299" s="6">
        <v>0</v>
      </c>
      <c r="N299" s="1">
        <f t="shared" si="36"/>
        <v>0</v>
      </c>
      <c r="Q299" s="6" t="s">
        <v>21</v>
      </c>
      <c r="R299" s="6" t="s">
        <v>21</v>
      </c>
      <c r="S299" s="6" t="s">
        <v>21</v>
      </c>
      <c r="T299" s="6" t="s">
        <v>21</v>
      </c>
      <c r="U299" s="6">
        <f t="shared" si="38"/>
        <v>0</v>
      </c>
      <c r="V299" s="6">
        <f t="shared" si="43"/>
        <v>0</v>
      </c>
    </row>
    <row r="300" spans="1:22" x14ac:dyDescent="0.35">
      <c r="A300" s="6" t="s">
        <v>354</v>
      </c>
      <c r="B300" s="6" t="s">
        <v>336</v>
      </c>
      <c r="C300" s="6" t="s">
        <v>337</v>
      </c>
      <c r="D300" s="6">
        <f t="shared" si="40"/>
        <v>0.5</v>
      </c>
      <c r="E300" s="6" t="s">
        <v>19</v>
      </c>
      <c r="F300" s="6" t="str">
        <f>MID(A300,19,1)</f>
        <v>N</v>
      </c>
      <c r="G300" s="6">
        <v>-23.472753918576529</v>
      </c>
      <c r="H300" s="6">
        <v>-46.77435858942949</v>
      </c>
      <c r="I300" s="9">
        <v>1024.4100000000001</v>
      </c>
      <c r="K300" s="6">
        <v>5.73</v>
      </c>
      <c r="L300" s="6">
        <v>0</v>
      </c>
      <c r="N300" s="1">
        <f t="shared" si="36"/>
        <v>0</v>
      </c>
      <c r="Q300" s="6" t="s">
        <v>21</v>
      </c>
      <c r="R300" s="6" t="s">
        <v>21</v>
      </c>
      <c r="S300" s="6" t="s">
        <v>21</v>
      </c>
      <c r="T300" s="6" t="s">
        <v>21</v>
      </c>
      <c r="U300" s="6">
        <f t="shared" si="38"/>
        <v>0</v>
      </c>
      <c r="V300" s="6">
        <f t="shared" si="43"/>
        <v>0</v>
      </c>
    </row>
    <row r="301" spans="1:22" hidden="1" x14ac:dyDescent="0.35">
      <c r="A301" s="6" t="s">
        <v>355</v>
      </c>
      <c r="B301" s="6" t="s">
        <v>336</v>
      </c>
      <c r="C301" s="6" t="s">
        <v>337</v>
      </c>
      <c r="D301" s="6">
        <f t="shared" si="40"/>
        <v>0.5</v>
      </c>
      <c r="E301" s="6" t="s">
        <v>19</v>
      </c>
      <c r="F301" s="6" t="str">
        <f>MID(A301,19,1)</f>
        <v>S</v>
      </c>
      <c r="G301" s="6">
        <v>-23.477738031229119</v>
      </c>
      <c r="H301" s="6">
        <v>-46.770657889558699</v>
      </c>
      <c r="I301" s="9">
        <v>101.58</v>
      </c>
      <c r="K301" s="6">
        <v>8.32</v>
      </c>
      <c r="L301" s="6">
        <v>20</v>
      </c>
      <c r="N301" s="1">
        <f t="shared" si="36"/>
        <v>0</v>
      </c>
      <c r="O301" s="6" t="s">
        <v>20</v>
      </c>
      <c r="Q301" s="6" t="s">
        <v>21</v>
      </c>
      <c r="R301" s="6" t="s">
        <v>21</v>
      </c>
      <c r="S301" s="6" t="s">
        <v>21</v>
      </c>
      <c r="T301" s="6" t="s">
        <v>21</v>
      </c>
      <c r="U301" s="6">
        <f t="shared" si="38"/>
        <v>20.316000000000003</v>
      </c>
      <c r="V301" s="6">
        <f t="shared" si="43"/>
        <v>20.316000000000003</v>
      </c>
    </row>
    <row r="302" spans="1:22" hidden="1" x14ac:dyDescent="0.35">
      <c r="A302" s="6" t="s">
        <v>356</v>
      </c>
      <c r="B302" s="6" t="s">
        <v>336</v>
      </c>
      <c r="C302" s="6" t="s">
        <v>337</v>
      </c>
      <c r="D302" s="6">
        <f t="shared" si="40"/>
        <v>0.5</v>
      </c>
      <c r="E302" s="6" t="s">
        <v>19</v>
      </c>
      <c r="F302" s="6" t="str">
        <f>MID(A302,19,1)</f>
        <v>S</v>
      </c>
      <c r="G302" s="6">
        <v>-23.473019321332881</v>
      </c>
      <c r="H302" s="6">
        <v>-46.775709567737593</v>
      </c>
      <c r="I302" s="9">
        <v>899.15</v>
      </c>
      <c r="K302" s="6">
        <v>9.41</v>
      </c>
      <c r="L302" s="6">
        <v>0</v>
      </c>
      <c r="N302" s="1">
        <f t="shared" si="36"/>
        <v>0</v>
      </c>
      <c r="Q302" s="6" t="s">
        <v>21</v>
      </c>
      <c r="R302" s="6" t="s">
        <v>21</v>
      </c>
      <c r="S302" s="6" t="s">
        <v>21</v>
      </c>
      <c r="T302" s="6" t="s">
        <v>21</v>
      </c>
      <c r="U302" s="6">
        <f t="shared" si="38"/>
        <v>0</v>
      </c>
      <c r="V302" s="6">
        <f t="shared" si="43"/>
        <v>0</v>
      </c>
    </row>
    <row r="303" spans="1:22" hidden="1" x14ac:dyDescent="0.35">
      <c r="A303" s="6" t="s">
        <v>357</v>
      </c>
      <c r="B303" s="6" t="s">
        <v>336</v>
      </c>
      <c r="C303" s="6" t="s">
        <v>337</v>
      </c>
      <c r="D303" s="6">
        <f t="shared" si="40"/>
        <v>0.5</v>
      </c>
      <c r="E303" s="6" t="s">
        <v>19</v>
      </c>
      <c r="F303" s="6" t="str">
        <f>MID(A303,19,1)</f>
        <v>S</v>
      </c>
      <c r="G303" s="6">
        <v>-23.472799179262239</v>
      </c>
      <c r="H303" s="6">
        <v>-46.775990432742447</v>
      </c>
      <c r="I303" s="9">
        <v>1870.28</v>
      </c>
      <c r="K303" s="6">
        <v>9.74</v>
      </c>
      <c r="L303" s="6">
        <v>0</v>
      </c>
      <c r="N303" s="1">
        <f t="shared" si="36"/>
        <v>0</v>
      </c>
      <c r="Q303" s="6" t="s">
        <v>21</v>
      </c>
      <c r="R303" s="6" t="s">
        <v>21</v>
      </c>
      <c r="S303" s="6" t="s">
        <v>21</v>
      </c>
      <c r="T303" s="6" t="s">
        <v>21</v>
      </c>
      <c r="U303" s="6">
        <f t="shared" si="38"/>
        <v>0</v>
      </c>
      <c r="V303" s="6">
        <f t="shared" si="43"/>
        <v>0</v>
      </c>
    </row>
    <row r="304" spans="1:22" hidden="1" x14ac:dyDescent="0.35">
      <c r="A304" s="6" t="s">
        <v>358</v>
      </c>
      <c r="B304" s="6" t="s">
        <v>336</v>
      </c>
      <c r="C304" s="6" t="s">
        <v>337</v>
      </c>
      <c r="D304" s="6">
        <f t="shared" si="40"/>
        <v>0.5</v>
      </c>
      <c r="E304" s="6" t="s">
        <v>19</v>
      </c>
      <c r="F304" s="6" t="str">
        <f>MID(A304,19,1)</f>
        <v>S</v>
      </c>
      <c r="G304" s="6">
        <v>-23.473841093085799</v>
      </c>
      <c r="H304" s="6">
        <v>-46.773321253851172</v>
      </c>
      <c r="I304" s="9">
        <v>182.69</v>
      </c>
      <c r="K304" s="6">
        <v>5.03</v>
      </c>
      <c r="L304" s="6">
        <v>0</v>
      </c>
      <c r="N304" s="1">
        <f t="shared" si="36"/>
        <v>0</v>
      </c>
      <c r="Q304" s="6" t="s">
        <v>21</v>
      </c>
      <c r="R304" s="6" t="s">
        <v>21</v>
      </c>
      <c r="S304" s="6" t="s">
        <v>21</v>
      </c>
      <c r="T304" s="6" t="s">
        <v>21</v>
      </c>
      <c r="U304" s="6">
        <f t="shared" si="38"/>
        <v>0</v>
      </c>
      <c r="V304" s="6">
        <f t="shared" si="43"/>
        <v>0</v>
      </c>
    </row>
    <row r="305" spans="1:22" x14ac:dyDescent="0.35">
      <c r="A305" s="6" t="s">
        <v>359</v>
      </c>
      <c r="B305" s="6" t="s">
        <v>360</v>
      </c>
      <c r="C305" s="6" t="s">
        <v>361</v>
      </c>
      <c r="D305" s="6">
        <f t="shared" si="40"/>
        <v>0.5</v>
      </c>
      <c r="E305" s="6" t="s">
        <v>19</v>
      </c>
      <c r="F305" s="6" t="str">
        <f>MID(A305,19,1)</f>
        <v>N</v>
      </c>
      <c r="G305" s="6">
        <v>-23.46552613586373</v>
      </c>
      <c r="H305" s="6">
        <v>-46.750673299750368</v>
      </c>
      <c r="I305" s="9">
        <v>575.75</v>
      </c>
      <c r="K305" s="6">
        <v>13.41</v>
      </c>
      <c r="L305" s="6">
        <v>70</v>
      </c>
      <c r="N305" s="1">
        <f t="shared" si="36"/>
        <v>0</v>
      </c>
      <c r="O305" s="6" t="s">
        <v>20</v>
      </c>
      <c r="Q305" s="6" t="s">
        <v>21</v>
      </c>
      <c r="R305" s="6" t="s">
        <v>21</v>
      </c>
      <c r="S305" s="6" t="s">
        <v>21</v>
      </c>
      <c r="T305" s="6" t="s">
        <v>21</v>
      </c>
      <c r="U305" s="6">
        <f t="shared" si="38"/>
        <v>403.02499999999998</v>
      </c>
      <c r="V305" s="6">
        <f t="shared" si="43"/>
        <v>403.02499999999998</v>
      </c>
    </row>
    <row r="306" spans="1:22" hidden="1" x14ac:dyDescent="0.35">
      <c r="A306" s="6" t="s">
        <v>362</v>
      </c>
      <c r="B306" s="6" t="s">
        <v>360</v>
      </c>
      <c r="C306" s="6" t="s">
        <v>361</v>
      </c>
      <c r="D306" s="6">
        <f t="shared" si="40"/>
        <v>0.5</v>
      </c>
      <c r="E306" s="6" t="s">
        <v>23</v>
      </c>
      <c r="F306" s="6" t="str">
        <f>MID(A306,19,1)</f>
        <v>C</v>
      </c>
      <c r="G306" s="6">
        <v>-23.46458590974612</v>
      </c>
      <c r="H306" s="6">
        <v>-46.751426991856029</v>
      </c>
      <c r="I306" s="7">
        <v>7920.78</v>
      </c>
      <c r="J306" s="9">
        <f>I306/500</f>
        <v>15.841559999999999</v>
      </c>
      <c r="K306" s="6">
        <v>11.31</v>
      </c>
      <c r="L306" s="6">
        <v>30</v>
      </c>
      <c r="N306" s="1">
        <f t="shared" si="36"/>
        <v>0</v>
      </c>
      <c r="O306" s="6" t="s">
        <v>20</v>
      </c>
      <c r="Q306" s="6" t="s">
        <v>21</v>
      </c>
      <c r="R306" s="6" t="s">
        <v>21</v>
      </c>
      <c r="S306" s="6" t="s">
        <v>21</v>
      </c>
      <c r="T306" s="6" t="s">
        <v>21</v>
      </c>
      <c r="U306" s="6">
        <f t="shared" si="38"/>
        <v>2376.2339999999999</v>
      </c>
      <c r="V306" s="6">
        <f t="shared" si="43"/>
        <v>2376.2339999999999</v>
      </c>
    </row>
    <row r="307" spans="1:22" hidden="1" x14ac:dyDescent="0.35">
      <c r="A307" s="6" t="s">
        <v>363</v>
      </c>
      <c r="B307" s="6" t="s">
        <v>360</v>
      </c>
      <c r="C307" s="6" t="s">
        <v>361</v>
      </c>
      <c r="D307" s="6">
        <f t="shared" si="40"/>
        <v>0.5</v>
      </c>
      <c r="E307" s="6" t="s">
        <v>19</v>
      </c>
      <c r="F307" s="6" t="str">
        <f>MID(A307,19,1)</f>
        <v>S</v>
      </c>
      <c r="G307" s="6">
        <v>-23.46622099066802</v>
      </c>
      <c r="H307" s="6">
        <v>-46.778410958558297</v>
      </c>
      <c r="I307" s="9">
        <v>1973.59</v>
      </c>
      <c r="K307" s="6">
        <v>12.51</v>
      </c>
      <c r="L307" s="6">
        <v>0</v>
      </c>
      <c r="N307" s="1">
        <f t="shared" si="36"/>
        <v>0</v>
      </c>
      <c r="Q307" s="6" t="s">
        <v>21</v>
      </c>
      <c r="R307" s="6" t="s">
        <v>21</v>
      </c>
      <c r="S307" s="6" t="s">
        <v>21</v>
      </c>
      <c r="T307" s="6" t="s">
        <v>21</v>
      </c>
      <c r="U307" s="6">
        <f t="shared" si="38"/>
        <v>0</v>
      </c>
      <c r="V307" s="6">
        <f t="shared" si="43"/>
        <v>0</v>
      </c>
    </row>
    <row r="308" spans="1:22" hidden="1" x14ac:dyDescent="0.35">
      <c r="A308" s="6" t="s">
        <v>364</v>
      </c>
      <c r="B308" s="6" t="s">
        <v>360</v>
      </c>
      <c r="C308" s="6" t="s">
        <v>361</v>
      </c>
      <c r="D308" s="6">
        <f t="shared" si="40"/>
        <v>0.5</v>
      </c>
      <c r="E308" s="6" t="s">
        <v>23</v>
      </c>
      <c r="F308" s="6" t="str">
        <f>MID(A308,19,1)</f>
        <v>C</v>
      </c>
      <c r="G308" s="6">
        <v>-23.469532566975111</v>
      </c>
      <c r="H308" s="6">
        <v>-46.74930203714684</v>
      </c>
      <c r="I308" s="7">
        <v>6537.39</v>
      </c>
      <c r="J308" s="9">
        <f>I308/500</f>
        <v>13.074780000000001</v>
      </c>
      <c r="K308" s="6">
        <v>5.58</v>
      </c>
      <c r="L308" s="6">
        <v>60</v>
      </c>
      <c r="N308" s="1">
        <f t="shared" si="36"/>
        <v>0</v>
      </c>
      <c r="O308" s="6" t="s">
        <v>185</v>
      </c>
      <c r="Q308" s="6" t="s">
        <v>21</v>
      </c>
      <c r="R308" s="6" t="s">
        <v>21</v>
      </c>
      <c r="S308" s="6" t="s">
        <v>21</v>
      </c>
      <c r="T308" s="6" t="s">
        <v>21</v>
      </c>
      <c r="U308" s="6">
        <f t="shared" si="38"/>
        <v>3922.4340000000002</v>
      </c>
      <c r="V308" s="6">
        <f t="shared" si="43"/>
        <v>3922.4340000000002</v>
      </c>
    </row>
    <row r="309" spans="1:22" x14ac:dyDescent="0.35">
      <c r="A309" s="6" t="s">
        <v>365</v>
      </c>
      <c r="B309" s="6" t="s">
        <v>360</v>
      </c>
      <c r="C309" s="6" t="s">
        <v>361</v>
      </c>
      <c r="D309" s="6">
        <f t="shared" si="40"/>
        <v>0.5</v>
      </c>
      <c r="E309" s="6" t="s">
        <v>19</v>
      </c>
      <c r="F309" s="6" t="str">
        <f>MID(A309,19,1)</f>
        <v>N</v>
      </c>
      <c r="G309" s="6">
        <v>-23.463136118756982</v>
      </c>
      <c r="H309" s="6">
        <v>-46.751595882710809</v>
      </c>
      <c r="I309" s="9">
        <v>940.63</v>
      </c>
      <c r="K309" s="6">
        <v>31.18</v>
      </c>
      <c r="L309" s="6">
        <v>70</v>
      </c>
      <c r="N309" s="1">
        <f t="shared" si="36"/>
        <v>0</v>
      </c>
      <c r="O309" s="6" t="s">
        <v>20</v>
      </c>
      <c r="Q309" s="6" t="s">
        <v>21</v>
      </c>
      <c r="R309" s="6" t="s">
        <v>21</v>
      </c>
      <c r="S309" s="6" t="s">
        <v>21</v>
      </c>
      <c r="T309" s="6" t="s">
        <v>21</v>
      </c>
      <c r="U309" s="6">
        <f t="shared" si="38"/>
        <v>658.44099999999992</v>
      </c>
      <c r="V309" s="6">
        <f t="shared" si="43"/>
        <v>658.44099999999992</v>
      </c>
    </row>
    <row r="310" spans="1:22" hidden="1" x14ac:dyDescent="0.35">
      <c r="A310" s="6" t="s">
        <v>366</v>
      </c>
      <c r="B310" s="6" t="s">
        <v>360</v>
      </c>
      <c r="C310" s="6" t="s">
        <v>361</v>
      </c>
      <c r="D310" s="6">
        <f t="shared" si="40"/>
        <v>0.5</v>
      </c>
      <c r="E310" s="6" t="s">
        <v>19</v>
      </c>
      <c r="F310" s="6" t="str">
        <f>MID(A310,19,1)</f>
        <v>S</v>
      </c>
      <c r="G310" s="6">
        <v>-23.464767295573498</v>
      </c>
      <c r="H310" s="6">
        <v>-46.751661235250587</v>
      </c>
      <c r="I310" s="9">
        <v>2137.06</v>
      </c>
      <c r="K310" s="6">
        <v>6.72</v>
      </c>
      <c r="L310" s="6">
        <v>80</v>
      </c>
      <c r="N310" s="1">
        <f t="shared" si="36"/>
        <v>0</v>
      </c>
      <c r="O310" s="6" t="s">
        <v>20</v>
      </c>
      <c r="Q310" s="6" t="s">
        <v>21</v>
      </c>
      <c r="R310" s="6" t="s">
        <v>21</v>
      </c>
      <c r="S310" s="6" t="s">
        <v>21</v>
      </c>
      <c r="T310" s="6" t="s">
        <v>21</v>
      </c>
      <c r="U310" s="6">
        <f t="shared" si="38"/>
        <v>1709.6480000000001</v>
      </c>
      <c r="V310" s="6">
        <f t="shared" si="43"/>
        <v>1709.6480000000001</v>
      </c>
    </row>
    <row r="311" spans="1:22" x14ac:dyDescent="0.35">
      <c r="A311" s="6" t="s">
        <v>367</v>
      </c>
      <c r="B311" s="6" t="s">
        <v>360</v>
      </c>
      <c r="C311" s="6" t="s">
        <v>361</v>
      </c>
      <c r="D311" s="6">
        <f t="shared" si="40"/>
        <v>0.5</v>
      </c>
      <c r="E311" s="6" t="s">
        <v>19</v>
      </c>
      <c r="F311" s="6" t="str">
        <f>MID(A311,19,1)</f>
        <v>N</v>
      </c>
      <c r="G311" s="6">
        <v>-23.466997434490558</v>
      </c>
      <c r="H311" s="6">
        <v>-46.750054541725341</v>
      </c>
      <c r="I311" s="9">
        <v>100.09</v>
      </c>
      <c r="K311" s="6">
        <v>3.16</v>
      </c>
      <c r="L311" s="6">
        <v>30</v>
      </c>
      <c r="N311" s="1">
        <f t="shared" si="36"/>
        <v>0</v>
      </c>
      <c r="O311" s="6" t="s">
        <v>20</v>
      </c>
      <c r="Q311" s="6" t="s">
        <v>21</v>
      </c>
      <c r="R311" s="6" t="s">
        <v>21</v>
      </c>
      <c r="S311" s="6" t="s">
        <v>21</v>
      </c>
      <c r="T311" s="6" t="s">
        <v>21</v>
      </c>
      <c r="U311" s="6">
        <f t="shared" si="38"/>
        <v>30.027000000000001</v>
      </c>
      <c r="V311" s="6">
        <f t="shared" si="43"/>
        <v>30.027000000000001</v>
      </c>
    </row>
    <row r="312" spans="1:22" hidden="1" x14ac:dyDescent="0.35">
      <c r="A312" s="6" t="s">
        <v>368</v>
      </c>
      <c r="B312" s="6" t="s">
        <v>360</v>
      </c>
      <c r="C312" s="6" t="s">
        <v>361</v>
      </c>
      <c r="D312" s="6">
        <f t="shared" si="40"/>
        <v>0.5</v>
      </c>
      <c r="E312" s="6" t="s">
        <v>23</v>
      </c>
      <c r="F312" s="6" t="str">
        <f>MID(A312,19,1)</f>
        <v>C</v>
      </c>
      <c r="G312" s="6">
        <v>-23.467031809396008</v>
      </c>
      <c r="H312" s="6">
        <v>-46.750381289916817</v>
      </c>
      <c r="I312" s="7">
        <v>221.92</v>
      </c>
      <c r="J312" s="9">
        <f>I312/500</f>
        <v>0.44383999999999996</v>
      </c>
      <c r="K312" s="6">
        <v>6.95</v>
      </c>
      <c r="L312" s="6">
        <v>30</v>
      </c>
      <c r="N312" s="1">
        <f t="shared" si="36"/>
        <v>0</v>
      </c>
      <c r="O312" s="6" t="s">
        <v>20</v>
      </c>
      <c r="Q312" s="6" t="s">
        <v>21</v>
      </c>
      <c r="R312" s="6" t="s">
        <v>21</v>
      </c>
      <c r="S312" s="6" t="s">
        <v>21</v>
      </c>
      <c r="T312" s="6" t="s">
        <v>21</v>
      </c>
      <c r="U312" s="6">
        <f t="shared" si="38"/>
        <v>66.575999999999993</v>
      </c>
      <c r="V312" s="6">
        <f t="shared" si="43"/>
        <v>66.575999999999993</v>
      </c>
    </row>
    <row r="313" spans="1:22" hidden="1" x14ac:dyDescent="0.35">
      <c r="A313" s="6" t="s">
        <v>369</v>
      </c>
      <c r="B313" s="6" t="s">
        <v>360</v>
      </c>
      <c r="C313" s="6" t="s">
        <v>361</v>
      </c>
      <c r="D313" s="6">
        <f t="shared" si="40"/>
        <v>0.5</v>
      </c>
      <c r="E313" s="6" t="s">
        <v>19</v>
      </c>
      <c r="F313" s="6" t="str">
        <f>MID(A313,19,1)</f>
        <v>S</v>
      </c>
      <c r="G313" s="6">
        <v>-23.467059943666399</v>
      </c>
      <c r="H313" s="6">
        <v>-46.750686249485263</v>
      </c>
      <c r="I313" s="9">
        <v>45.65</v>
      </c>
      <c r="K313" s="6">
        <v>6.54</v>
      </c>
      <c r="L313" s="6">
        <v>80</v>
      </c>
      <c r="N313" s="1">
        <f t="shared" si="36"/>
        <v>0</v>
      </c>
      <c r="O313" s="6" t="s">
        <v>20</v>
      </c>
      <c r="Q313" s="6" t="s">
        <v>21</v>
      </c>
      <c r="R313" s="6" t="s">
        <v>21</v>
      </c>
      <c r="S313" s="6" t="s">
        <v>21</v>
      </c>
      <c r="T313" s="6" t="s">
        <v>21</v>
      </c>
      <c r="U313" s="6">
        <f t="shared" si="38"/>
        <v>36.520000000000003</v>
      </c>
      <c r="V313" s="6">
        <f t="shared" si="43"/>
        <v>36.520000000000003</v>
      </c>
    </row>
    <row r="314" spans="1:22" x14ac:dyDescent="0.35">
      <c r="A314" s="6" t="s">
        <v>370</v>
      </c>
      <c r="B314" s="6" t="s">
        <v>360</v>
      </c>
      <c r="C314" s="6" t="s">
        <v>361</v>
      </c>
      <c r="D314" s="6">
        <f t="shared" si="40"/>
        <v>0.5</v>
      </c>
      <c r="E314" s="6" t="s">
        <v>19</v>
      </c>
      <c r="F314" s="6" t="str">
        <f>MID(A314,19,1)</f>
        <v>N</v>
      </c>
      <c r="G314" s="6">
        <v>-23.469372175951701</v>
      </c>
      <c r="H314" s="6">
        <v>-46.749037274263387</v>
      </c>
      <c r="I314" s="9">
        <v>231.07</v>
      </c>
      <c r="K314" s="6">
        <v>4.5999999999999996</v>
      </c>
      <c r="L314" s="6">
        <v>30</v>
      </c>
      <c r="N314" s="1">
        <f t="shared" si="36"/>
        <v>0</v>
      </c>
      <c r="O314" s="6" t="s">
        <v>20</v>
      </c>
      <c r="Q314" s="6" t="s">
        <v>21</v>
      </c>
      <c r="R314" s="6" t="s">
        <v>21</v>
      </c>
      <c r="S314" s="6" t="s">
        <v>21</v>
      </c>
      <c r="T314" s="6" t="s">
        <v>21</v>
      </c>
      <c r="U314" s="6">
        <f t="shared" si="38"/>
        <v>69.320999999999998</v>
      </c>
      <c r="V314" s="6">
        <f t="shared" si="43"/>
        <v>69.320999999999998</v>
      </c>
    </row>
    <row r="315" spans="1:22" x14ac:dyDescent="0.35">
      <c r="A315" s="6" t="s">
        <v>371</v>
      </c>
      <c r="B315" s="6" t="s">
        <v>360</v>
      </c>
      <c r="C315" s="6" t="s">
        <v>361</v>
      </c>
      <c r="D315" s="6">
        <f t="shared" si="40"/>
        <v>0.5</v>
      </c>
      <c r="E315" s="6" t="s">
        <v>19</v>
      </c>
      <c r="F315" s="6" t="str">
        <f>MID(A315,19,1)</f>
        <v>N</v>
      </c>
      <c r="G315" s="6">
        <v>-23.471941433258099</v>
      </c>
      <c r="H315" s="6">
        <v>-46.77622630462529</v>
      </c>
      <c r="I315" s="9">
        <v>69.3</v>
      </c>
      <c r="K315" s="6">
        <v>14.09</v>
      </c>
      <c r="L315" s="6">
        <v>0</v>
      </c>
      <c r="N315" s="1">
        <f t="shared" si="36"/>
        <v>0</v>
      </c>
      <c r="Q315" s="6" t="s">
        <v>21</v>
      </c>
      <c r="R315" s="6" t="s">
        <v>21</v>
      </c>
      <c r="S315" s="6" t="s">
        <v>21</v>
      </c>
      <c r="T315" s="6" t="s">
        <v>21</v>
      </c>
      <c r="U315" s="6">
        <f t="shared" si="38"/>
        <v>0</v>
      </c>
      <c r="V315" s="6">
        <f t="shared" si="43"/>
        <v>0</v>
      </c>
    </row>
    <row r="316" spans="1:22" hidden="1" x14ac:dyDescent="0.35">
      <c r="A316" s="6" t="s">
        <v>372</v>
      </c>
      <c r="B316" s="6" t="s">
        <v>360</v>
      </c>
      <c r="C316" s="6" t="s">
        <v>361</v>
      </c>
      <c r="D316" s="6">
        <f t="shared" si="40"/>
        <v>0.5</v>
      </c>
      <c r="E316" s="6" t="s">
        <v>19</v>
      </c>
      <c r="F316" s="6" t="str">
        <f>MID(A316,19,1)</f>
        <v>S</v>
      </c>
      <c r="G316" s="6">
        <v>-23.470726192507829</v>
      </c>
      <c r="H316" s="6">
        <v>-46.778454497565868</v>
      </c>
      <c r="I316" s="9">
        <v>2426.9699999999998</v>
      </c>
      <c r="K316" s="6">
        <v>12.96</v>
      </c>
      <c r="L316" s="6">
        <v>0</v>
      </c>
      <c r="N316" s="1">
        <f t="shared" si="36"/>
        <v>0</v>
      </c>
      <c r="Q316" s="6" t="s">
        <v>21</v>
      </c>
      <c r="R316" s="6" t="s">
        <v>21</v>
      </c>
      <c r="S316" s="6" t="s">
        <v>21</v>
      </c>
      <c r="T316" s="6" t="s">
        <v>21</v>
      </c>
      <c r="U316" s="6">
        <f t="shared" si="38"/>
        <v>0</v>
      </c>
      <c r="V316" s="6">
        <f t="shared" si="43"/>
        <v>0</v>
      </c>
    </row>
    <row r="317" spans="1:22" x14ac:dyDescent="0.35">
      <c r="A317" s="6" t="s">
        <v>373</v>
      </c>
      <c r="B317" s="6" t="s">
        <v>360</v>
      </c>
      <c r="C317" s="6" t="s">
        <v>361</v>
      </c>
      <c r="D317" s="6">
        <f t="shared" si="40"/>
        <v>0.5</v>
      </c>
      <c r="E317" s="6" t="s">
        <v>19</v>
      </c>
      <c r="F317" s="6" t="str">
        <f>MID(A317,19,1)</f>
        <v>N</v>
      </c>
      <c r="G317" s="6">
        <v>-23.470461564760139</v>
      </c>
      <c r="H317" s="6">
        <v>-46.778164805608398</v>
      </c>
      <c r="I317" s="9">
        <v>2293.2399999999998</v>
      </c>
      <c r="K317" s="6">
        <v>23.16</v>
      </c>
      <c r="L317" s="6">
        <v>0</v>
      </c>
      <c r="N317" s="1">
        <f t="shared" si="36"/>
        <v>0</v>
      </c>
      <c r="Q317" s="6" t="s">
        <v>21</v>
      </c>
      <c r="R317" s="6" t="s">
        <v>21</v>
      </c>
      <c r="S317" s="6" t="s">
        <v>21</v>
      </c>
      <c r="T317" s="6" t="s">
        <v>21</v>
      </c>
      <c r="U317" s="6">
        <f t="shared" si="38"/>
        <v>0</v>
      </c>
      <c r="V317" s="6">
        <f t="shared" si="43"/>
        <v>0</v>
      </c>
    </row>
    <row r="318" spans="1:22" hidden="1" x14ac:dyDescent="0.35">
      <c r="A318" s="6" t="s">
        <v>374</v>
      </c>
      <c r="B318" s="6" t="s">
        <v>360</v>
      </c>
      <c r="C318" s="6" t="s">
        <v>361</v>
      </c>
      <c r="D318" s="6">
        <f t="shared" si="40"/>
        <v>0.5</v>
      </c>
      <c r="E318" s="6" t="s">
        <v>19</v>
      </c>
      <c r="F318" s="6" t="str">
        <f>MID(A318,19,1)</f>
        <v>S</v>
      </c>
      <c r="G318" s="6">
        <v>-23.464312250472549</v>
      </c>
      <c r="H318" s="6">
        <v>-46.779016157852332</v>
      </c>
      <c r="I318" s="9">
        <v>166.92</v>
      </c>
      <c r="K318" s="6">
        <v>12.34</v>
      </c>
      <c r="L318" s="6">
        <v>0</v>
      </c>
      <c r="N318" s="1">
        <f t="shared" si="36"/>
        <v>0</v>
      </c>
      <c r="Q318" s="6" t="s">
        <v>21</v>
      </c>
      <c r="R318" s="6" t="s">
        <v>21</v>
      </c>
      <c r="S318" s="6" t="s">
        <v>21</v>
      </c>
      <c r="T318" s="6" t="s">
        <v>21</v>
      </c>
      <c r="U318" s="6">
        <f t="shared" si="38"/>
        <v>0</v>
      </c>
      <c r="V318" s="6">
        <f t="shared" si="43"/>
        <v>0</v>
      </c>
    </row>
    <row r="319" spans="1:22" x14ac:dyDescent="0.35">
      <c r="A319" s="6" t="s">
        <v>375</v>
      </c>
      <c r="B319" s="6" t="s">
        <v>360</v>
      </c>
      <c r="C319" s="6" t="s">
        <v>361</v>
      </c>
      <c r="D319" s="6">
        <f t="shared" si="40"/>
        <v>0.5</v>
      </c>
      <c r="E319" s="6" t="s">
        <v>19</v>
      </c>
      <c r="F319" s="6" t="str">
        <f>MID(A319,19,1)</f>
        <v>N</v>
      </c>
      <c r="G319" s="6">
        <v>-23.466395003978619</v>
      </c>
      <c r="H319" s="6">
        <v>-46.750290154532877</v>
      </c>
      <c r="I319" s="9">
        <v>469.73</v>
      </c>
      <c r="K319" s="6">
        <v>6.23</v>
      </c>
      <c r="L319" s="6">
        <v>70</v>
      </c>
      <c r="N319" s="1">
        <f t="shared" si="36"/>
        <v>0</v>
      </c>
      <c r="O319" s="6" t="s">
        <v>20</v>
      </c>
      <c r="Q319" s="6" t="s">
        <v>21</v>
      </c>
      <c r="R319" s="6" t="s">
        <v>21</v>
      </c>
      <c r="S319" s="6" t="s">
        <v>21</v>
      </c>
      <c r="T319" s="6" t="s">
        <v>21</v>
      </c>
      <c r="U319" s="6">
        <f t="shared" si="38"/>
        <v>328.81099999999998</v>
      </c>
      <c r="V319" s="6">
        <f t="shared" si="43"/>
        <v>328.81099999999998</v>
      </c>
    </row>
    <row r="320" spans="1:22" x14ac:dyDescent="0.35">
      <c r="A320" s="6" t="s">
        <v>376</v>
      </c>
      <c r="B320" s="6" t="s">
        <v>360</v>
      </c>
      <c r="C320" s="6" t="s">
        <v>361</v>
      </c>
      <c r="D320" s="6">
        <f t="shared" si="40"/>
        <v>0.5</v>
      </c>
      <c r="E320" s="6" t="s">
        <v>19</v>
      </c>
      <c r="F320" s="6" t="str">
        <f>MID(A320,19,1)</f>
        <v>N</v>
      </c>
      <c r="G320" s="6">
        <v>-23.468088195105519</v>
      </c>
      <c r="H320" s="6">
        <v>-46.749587456582837</v>
      </c>
      <c r="I320" s="9">
        <v>582.66999999999996</v>
      </c>
      <c r="K320" s="6">
        <v>6.12</v>
      </c>
      <c r="L320" s="6">
        <v>30</v>
      </c>
      <c r="N320" s="1">
        <f t="shared" si="36"/>
        <v>0</v>
      </c>
      <c r="O320" s="6" t="s">
        <v>20</v>
      </c>
      <c r="Q320" s="6" t="s">
        <v>21</v>
      </c>
      <c r="R320" s="6" t="s">
        <v>21</v>
      </c>
      <c r="S320" s="6" t="s">
        <v>21</v>
      </c>
      <c r="T320" s="6" t="s">
        <v>21</v>
      </c>
      <c r="U320" s="6">
        <f t="shared" si="38"/>
        <v>174.80099999999999</v>
      </c>
      <c r="V320" s="6">
        <f t="shared" si="43"/>
        <v>174.80099999999999</v>
      </c>
    </row>
    <row r="321" spans="1:22" x14ac:dyDescent="0.35">
      <c r="A321" s="6" t="s">
        <v>377</v>
      </c>
      <c r="B321" s="6" t="s">
        <v>360</v>
      </c>
      <c r="C321" s="6" t="s">
        <v>361</v>
      </c>
      <c r="D321" s="6">
        <f t="shared" si="40"/>
        <v>0.5</v>
      </c>
      <c r="E321" s="6" t="s">
        <v>19</v>
      </c>
      <c r="F321" s="6" t="str">
        <f>MID(A321,19,1)</f>
        <v>N</v>
      </c>
      <c r="G321" s="6">
        <v>-23.470637009777221</v>
      </c>
      <c r="H321" s="6">
        <v>-46.748488442224733</v>
      </c>
      <c r="I321" s="9">
        <v>456.05</v>
      </c>
      <c r="K321" s="6">
        <v>6.11</v>
      </c>
      <c r="L321" s="6">
        <v>30</v>
      </c>
      <c r="N321" s="1">
        <f t="shared" si="36"/>
        <v>0</v>
      </c>
      <c r="O321" s="6" t="s">
        <v>20</v>
      </c>
      <c r="Q321" s="6" t="s">
        <v>21</v>
      </c>
      <c r="R321" s="6" t="s">
        <v>21</v>
      </c>
      <c r="S321" s="6" t="s">
        <v>21</v>
      </c>
      <c r="T321" s="6" t="s">
        <v>21</v>
      </c>
      <c r="U321" s="6">
        <f t="shared" si="38"/>
        <v>136.815</v>
      </c>
      <c r="V321" s="6">
        <f t="shared" si="43"/>
        <v>136.815</v>
      </c>
    </row>
    <row r="322" spans="1:22" x14ac:dyDescent="0.35">
      <c r="A322" s="6" t="s">
        <v>378</v>
      </c>
      <c r="B322" s="6" t="s">
        <v>360</v>
      </c>
      <c r="C322" s="6" t="s">
        <v>361</v>
      </c>
      <c r="D322" s="6">
        <f t="shared" si="40"/>
        <v>0.5</v>
      </c>
      <c r="E322" s="6" t="s">
        <v>19</v>
      </c>
      <c r="F322" s="6" t="str">
        <f>MID(A322,19,1)</f>
        <v>N</v>
      </c>
      <c r="G322" s="6">
        <v>-23.466048881983109</v>
      </c>
      <c r="H322" s="6">
        <v>-46.778023321571517</v>
      </c>
      <c r="I322" s="9">
        <v>2034.45</v>
      </c>
      <c r="K322" s="6">
        <v>20.329999999999998</v>
      </c>
      <c r="L322" s="6">
        <v>0</v>
      </c>
      <c r="N322" s="1">
        <f t="shared" ref="N322:N385" si="44">IF(OR(R322="Sim",S322="Sim",T322="Sim"),(L322/100)*I322,0)</f>
        <v>0</v>
      </c>
      <c r="Q322" s="6" t="s">
        <v>21</v>
      </c>
      <c r="R322" s="6" t="s">
        <v>21</v>
      </c>
      <c r="S322" s="6" t="s">
        <v>21</v>
      </c>
      <c r="T322" s="6" t="s">
        <v>21</v>
      </c>
      <c r="U322" s="6">
        <f t="shared" si="38"/>
        <v>0</v>
      </c>
      <c r="V322" s="6">
        <f t="shared" si="43"/>
        <v>0</v>
      </c>
    </row>
    <row r="323" spans="1:22" hidden="1" x14ac:dyDescent="0.35">
      <c r="A323" s="6" t="s">
        <v>379</v>
      </c>
      <c r="B323" s="6" t="s">
        <v>360</v>
      </c>
      <c r="C323" s="6" t="s">
        <v>361</v>
      </c>
      <c r="D323" s="6">
        <f t="shared" si="40"/>
        <v>0.5</v>
      </c>
      <c r="E323" s="6" t="s">
        <v>19</v>
      </c>
      <c r="F323" s="6" t="str">
        <f>MID(A323,19,1)</f>
        <v>S</v>
      </c>
      <c r="G323" s="6">
        <v>-23.469557171964361</v>
      </c>
      <c r="H323" s="6">
        <v>-46.749634814510713</v>
      </c>
      <c r="I323" s="9">
        <v>1812.56</v>
      </c>
      <c r="K323" s="6">
        <v>5.0999999999999996</v>
      </c>
      <c r="L323" s="6">
        <v>20</v>
      </c>
      <c r="N323" s="1">
        <f t="shared" si="44"/>
        <v>0</v>
      </c>
      <c r="O323" s="6" t="s">
        <v>20</v>
      </c>
      <c r="Q323" s="6" t="s">
        <v>21</v>
      </c>
      <c r="R323" s="6" t="s">
        <v>21</v>
      </c>
      <c r="S323" s="6" t="s">
        <v>21</v>
      </c>
      <c r="T323" s="6" t="s">
        <v>21</v>
      </c>
      <c r="U323" s="6">
        <f t="shared" ref="U323:U386" si="45">IF(N323=0,(I323*(L323/100)),0)</f>
        <v>362.512</v>
      </c>
      <c r="V323" s="6">
        <f t="shared" si="43"/>
        <v>362.512</v>
      </c>
    </row>
    <row r="324" spans="1:22" hidden="1" x14ac:dyDescent="0.35">
      <c r="A324" s="6" t="s">
        <v>380</v>
      </c>
      <c r="B324" s="6" t="s">
        <v>381</v>
      </c>
      <c r="C324" s="6" t="s">
        <v>382</v>
      </c>
      <c r="D324" s="6">
        <f t="shared" si="40"/>
        <v>0.5</v>
      </c>
      <c r="E324" s="6" t="s">
        <v>19</v>
      </c>
      <c r="F324" s="6" t="str">
        <f>MID(A324,19,1)</f>
        <v>S</v>
      </c>
      <c r="G324" s="6">
        <v>-23.460511732341882</v>
      </c>
      <c r="H324" s="6">
        <v>-46.781964951661372</v>
      </c>
      <c r="I324" s="9">
        <v>579.75</v>
      </c>
      <c r="K324" s="6">
        <v>11.53</v>
      </c>
      <c r="L324" s="6">
        <v>0</v>
      </c>
      <c r="N324" s="1">
        <f t="shared" si="44"/>
        <v>0</v>
      </c>
      <c r="Q324" s="6" t="s">
        <v>21</v>
      </c>
      <c r="R324" s="6" t="s">
        <v>21</v>
      </c>
      <c r="S324" s="6" t="s">
        <v>21</v>
      </c>
      <c r="T324" s="6" t="s">
        <v>21</v>
      </c>
      <c r="U324" s="6">
        <f t="shared" si="45"/>
        <v>0</v>
      </c>
      <c r="V324" s="6">
        <f t="shared" si="43"/>
        <v>0</v>
      </c>
    </row>
    <row r="325" spans="1:22" hidden="1" x14ac:dyDescent="0.35">
      <c r="A325" s="6" t="s">
        <v>383</v>
      </c>
      <c r="B325" s="6" t="s">
        <v>381</v>
      </c>
      <c r="C325" s="6" t="s">
        <v>382</v>
      </c>
      <c r="D325" s="6">
        <f t="shared" si="40"/>
        <v>0.5</v>
      </c>
      <c r="E325" s="6" t="s">
        <v>19</v>
      </c>
      <c r="F325" s="6" t="str">
        <f>MID(A325,19,1)</f>
        <v>S</v>
      </c>
      <c r="G325" s="6">
        <v>-23.46377095545564</v>
      </c>
      <c r="H325" s="6">
        <v>-46.779225704054177</v>
      </c>
      <c r="I325" s="9">
        <v>488.67</v>
      </c>
      <c r="K325" s="6">
        <v>9.3000000000000007</v>
      </c>
      <c r="L325" s="6">
        <v>0</v>
      </c>
      <c r="N325" s="1">
        <f t="shared" si="44"/>
        <v>0</v>
      </c>
      <c r="Q325" s="6" t="s">
        <v>21</v>
      </c>
      <c r="R325" s="6" t="s">
        <v>21</v>
      </c>
      <c r="S325" s="6" t="s">
        <v>21</v>
      </c>
      <c r="T325" s="6" t="s">
        <v>21</v>
      </c>
      <c r="U325" s="6">
        <f t="shared" si="45"/>
        <v>0</v>
      </c>
      <c r="V325" s="6">
        <f t="shared" si="43"/>
        <v>0</v>
      </c>
    </row>
    <row r="326" spans="1:22" x14ac:dyDescent="0.35">
      <c r="A326" s="6" t="s">
        <v>384</v>
      </c>
      <c r="B326" s="6" t="s">
        <v>381</v>
      </c>
      <c r="C326" s="6" t="s">
        <v>382</v>
      </c>
      <c r="D326" s="6">
        <f t="shared" si="40"/>
        <v>0.5</v>
      </c>
      <c r="E326" s="6" t="s">
        <v>19</v>
      </c>
      <c r="F326" s="6" t="str">
        <f>MID(A326,19,1)</f>
        <v>N</v>
      </c>
      <c r="G326" s="6">
        <v>-23.462405868491711</v>
      </c>
      <c r="H326" s="6">
        <v>-46.779963275491141</v>
      </c>
      <c r="I326" s="9">
        <v>1785.42</v>
      </c>
      <c r="K326" s="6">
        <v>9.1199999999999992</v>
      </c>
      <c r="L326" s="6">
        <v>0</v>
      </c>
      <c r="N326" s="1">
        <f t="shared" si="44"/>
        <v>0</v>
      </c>
      <c r="Q326" s="6" t="s">
        <v>21</v>
      </c>
      <c r="R326" s="6" t="s">
        <v>21</v>
      </c>
      <c r="S326" s="6" t="s">
        <v>21</v>
      </c>
      <c r="T326" s="6" t="s">
        <v>21</v>
      </c>
      <c r="U326" s="6">
        <f t="shared" si="45"/>
        <v>0</v>
      </c>
      <c r="V326" s="6">
        <f t="shared" si="43"/>
        <v>0</v>
      </c>
    </row>
    <row r="327" spans="1:22" hidden="1" x14ac:dyDescent="0.35">
      <c r="A327" s="6" t="s">
        <v>385</v>
      </c>
      <c r="B327" s="6" t="s">
        <v>381</v>
      </c>
      <c r="C327" s="6" t="s">
        <v>382</v>
      </c>
      <c r="D327" s="6">
        <f t="shared" si="40"/>
        <v>0.5</v>
      </c>
      <c r="E327" s="6" t="s">
        <v>23</v>
      </c>
      <c r="F327" s="6" t="str">
        <f>MID(A327,19,1)</f>
        <v>C</v>
      </c>
      <c r="G327" s="6">
        <v>-23.45554811984444</v>
      </c>
      <c r="H327" s="6">
        <v>-46.753319047217083</v>
      </c>
      <c r="I327" s="7">
        <v>2188.7199999999998</v>
      </c>
      <c r="J327" s="9">
        <f>I327/500</f>
        <v>4.37744</v>
      </c>
      <c r="K327" s="6">
        <v>12.65</v>
      </c>
      <c r="L327" s="6">
        <v>70</v>
      </c>
      <c r="N327" s="1">
        <f t="shared" si="44"/>
        <v>0</v>
      </c>
      <c r="O327" s="6" t="s">
        <v>20</v>
      </c>
      <c r="Q327" s="6" t="s">
        <v>21</v>
      </c>
      <c r="R327" s="6" t="s">
        <v>21</v>
      </c>
      <c r="S327" s="6" t="s">
        <v>21</v>
      </c>
      <c r="T327" s="6" t="s">
        <v>21</v>
      </c>
      <c r="U327" s="6">
        <f t="shared" si="45"/>
        <v>1532.1039999999998</v>
      </c>
      <c r="V327" s="6">
        <f t="shared" si="43"/>
        <v>1532.1039999999998</v>
      </c>
    </row>
    <row r="328" spans="1:22" hidden="1" x14ac:dyDescent="0.35">
      <c r="A328" s="6" t="s">
        <v>386</v>
      </c>
      <c r="B328" s="6" t="s">
        <v>381</v>
      </c>
      <c r="C328" s="6" t="s">
        <v>382</v>
      </c>
      <c r="D328" s="6">
        <f t="shared" si="40"/>
        <v>0.5</v>
      </c>
      <c r="E328" s="6" t="s">
        <v>19</v>
      </c>
      <c r="F328" s="6" t="str">
        <f>MID(A328,19,1)</f>
        <v>S</v>
      </c>
      <c r="G328" s="6">
        <v>-23.464155767091611</v>
      </c>
      <c r="H328" s="6">
        <v>-46.778879165092761</v>
      </c>
      <c r="I328" s="9">
        <v>234.13</v>
      </c>
      <c r="K328" s="6">
        <v>7.36</v>
      </c>
      <c r="L328" s="6">
        <v>0</v>
      </c>
      <c r="N328" s="1">
        <f t="shared" si="44"/>
        <v>0</v>
      </c>
      <c r="Q328" s="6" t="s">
        <v>21</v>
      </c>
      <c r="R328" s="6" t="s">
        <v>21</v>
      </c>
      <c r="S328" s="6" t="s">
        <v>21</v>
      </c>
      <c r="T328" s="6" t="s">
        <v>21</v>
      </c>
      <c r="U328" s="6">
        <f t="shared" si="45"/>
        <v>0</v>
      </c>
      <c r="V328" s="6">
        <f t="shared" si="43"/>
        <v>0</v>
      </c>
    </row>
    <row r="329" spans="1:22" x14ac:dyDescent="0.35">
      <c r="A329" s="6" t="s">
        <v>387</v>
      </c>
      <c r="B329" s="6" t="s">
        <v>381</v>
      </c>
      <c r="C329" s="6" t="s">
        <v>382</v>
      </c>
      <c r="D329" s="6">
        <f t="shared" si="40"/>
        <v>0.5</v>
      </c>
      <c r="E329" s="6" t="s">
        <v>19</v>
      </c>
      <c r="F329" s="6" t="str">
        <f>MID(A329,19,1)</f>
        <v>N</v>
      </c>
      <c r="G329" s="6">
        <v>-23.457115710440959</v>
      </c>
      <c r="H329" s="6">
        <v>-46.784062790008761</v>
      </c>
      <c r="I329" s="9">
        <v>395.76</v>
      </c>
      <c r="K329" s="6">
        <v>7.25</v>
      </c>
      <c r="L329" s="6">
        <v>0</v>
      </c>
      <c r="N329" s="1">
        <f t="shared" si="44"/>
        <v>0</v>
      </c>
      <c r="Q329" s="6" t="s">
        <v>21</v>
      </c>
      <c r="R329" s="6" t="s">
        <v>21</v>
      </c>
      <c r="S329" s="6" t="s">
        <v>21</v>
      </c>
      <c r="T329" s="6" t="s">
        <v>21</v>
      </c>
      <c r="U329" s="6">
        <f t="shared" si="45"/>
        <v>0</v>
      </c>
      <c r="V329" s="6">
        <f t="shared" si="43"/>
        <v>0</v>
      </c>
    </row>
    <row r="330" spans="1:22" hidden="1" x14ac:dyDescent="0.35">
      <c r="A330" s="6" t="s">
        <v>388</v>
      </c>
      <c r="B330" s="6" t="s">
        <v>381</v>
      </c>
      <c r="C330" s="6" t="s">
        <v>382</v>
      </c>
      <c r="D330" s="6">
        <f t="shared" si="40"/>
        <v>0.5</v>
      </c>
      <c r="E330" s="6" t="s">
        <v>19</v>
      </c>
      <c r="F330" s="6" t="str">
        <f>MID(A330,19,1)</f>
        <v>S</v>
      </c>
      <c r="G330" s="6">
        <v>-23.462574355902351</v>
      </c>
      <c r="H330" s="6">
        <v>-46.780308022605553</v>
      </c>
      <c r="I330" s="9">
        <v>1722.88</v>
      </c>
      <c r="K330" s="6">
        <v>14.79</v>
      </c>
      <c r="L330" s="6">
        <v>0</v>
      </c>
      <c r="N330" s="1">
        <f t="shared" si="44"/>
        <v>0</v>
      </c>
      <c r="Q330" s="6" t="s">
        <v>21</v>
      </c>
      <c r="R330" s="6" t="s">
        <v>21</v>
      </c>
      <c r="S330" s="6" t="s">
        <v>21</v>
      </c>
      <c r="T330" s="6" t="s">
        <v>21</v>
      </c>
      <c r="U330" s="6">
        <f t="shared" si="45"/>
        <v>0</v>
      </c>
      <c r="V330" s="6">
        <f t="shared" si="43"/>
        <v>0</v>
      </c>
    </row>
    <row r="331" spans="1:22" hidden="1" x14ac:dyDescent="0.35">
      <c r="A331" s="6" t="s">
        <v>389</v>
      </c>
      <c r="B331" s="6" t="s">
        <v>381</v>
      </c>
      <c r="C331" s="6" t="s">
        <v>382</v>
      </c>
      <c r="D331" s="6">
        <f t="shared" si="40"/>
        <v>0.5</v>
      </c>
      <c r="E331" s="6" t="s">
        <v>23</v>
      </c>
      <c r="F331" s="6" t="str">
        <f>MID(A331,19,1)</f>
        <v>C</v>
      </c>
      <c r="G331" s="6">
        <v>-23.45866094708391</v>
      </c>
      <c r="H331" s="6">
        <v>-46.783517123378488</v>
      </c>
      <c r="I331" s="9">
        <v>12788.07</v>
      </c>
      <c r="J331" s="9">
        <f>I331/500</f>
        <v>25.576139999999999</v>
      </c>
      <c r="K331" s="6">
        <v>16.559999999999999</v>
      </c>
      <c r="L331" s="6">
        <v>0</v>
      </c>
      <c r="N331" s="1">
        <f t="shared" si="44"/>
        <v>0</v>
      </c>
      <c r="Q331" s="6" t="s">
        <v>21</v>
      </c>
      <c r="R331" s="6" t="s">
        <v>21</v>
      </c>
      <c r="S331" s="6" t="s">
        <v>21</v>
      </c>
      <c r="T331" s="6" t="s">
        <v>21</v>
      </c>
      <c r="U331" s="6">
        <f t="shared" si="45"/>
        <v>0</v>
      </c>
      <c r="V331" s="6">
        <f t="shared" si="43"/>
        <v>0</v>
      </c>
    </row>
    <row r="332" spans="1:22" x14ac:dyDescent="0.35">
      <c r="A332" s="6" t="s">
        <v>390</v>
      </c>
      <c r="B332" s="6" t="s">
        <v>381</v>
      </c>
      <c r="C332" s="6" t="s">
        <v>382</v>
      </c>
      <c r="D332" s="6">
        <f t="shared" si="40"/>
        <v>0.5</v>
      </c>
      <c r="E332" s="6" t="s">
        <v>19</v>
      </c>
      <c r="F332" s="6" t="str">
        <f>MID(A332,19,1)</f>
        <v>N</v>
      </c>
      <c r="G332" s="6">
        <v>-23.46004297447714</v>
      </c>
      <c r="H332" s="6">
        <v>-46.752350343343963</v>
      </c>
      <c r="I332" s="9">
        <v>1871.69</v>
      </c>
      <c r="K332" s="6">
        <v>17.82</v>
      </c>
      <c r="L332" s="6">
        <v>70</v>
      </c>
      <c r="N332" s="1">
        <f t="shared" si="44"/>
        <v>0</v>
      </c>
      <c r="O332" s="6" t="s">
        <v>20</v>
      </c>
      <c r="Q332" s="6" t="s">
        <v>21</v>
      </c>
      <c r="R332" s="6" t="s">
        <v>21</v>
      </c>
      <c r="S332" s="6" t="s">
        <v>21</v>
      </c>
      <c r="T332" s="6" t="s">
        <v>21</v>
      </c>
      <c r="U332" s="6">
        <f t="shared" si="45"/>
        <v>1310.183</v>
      </c>
      <c r="V332" s="6">
        <f t="shared" si="43"/>
        <v>1310.183</v>
      </c>
    </row>
    <row r="333" spans="1:22" hidden="1" x14ac:dyDescent="0.35">
      <c r="A333" s="6" t="s">
        <v>391</v>
      </c>
      <c r="B333" s="6" t="s">
        <v>381</v>
      </c>
      <c r="C333" s="6" t="s">
        <v>382</v>
      </c>
      <c r="D333" s="6">
        <f t="shared" si="40"/>
        <v>0.5</v>
      </c>
      <c r="E333" s="6" t="s">
        <v>19</v>
      </c>
      <c r="F333" s="6" t="str">
        <f>MID(A333,19,1)</f>
        <v>S</v>
      </c>
      <c r="G333" s="6">
        <v>-23.460270885341082</v>
      </c>
      <c r="H333" s="6">
        <v>-46.752986170632688</v>
      </c>
      <c r="I333" s="9">
        <v>2003.46</v>
      </c>
      <c r="K333" s="6">
        <v>5.94</v>
      </c>
      <c r="L333" s="6">
        <v>80</v>
      </c>
      <c r="N333" s="1">
        <f t="shared" si="44"/>
        <v>0</v>
      </c>
      <c r="O333" s="6" t="s">
        <v>20</v>
      </c>
      <c r="Q333" s="6" t="s">
        <v>21</v>
      </c>
      <c r="R333" s="6" t="s">
        <v>21</v>
      </c>
      <c r="S333" s="6" t="s">
        <v>21</v>
      </c>
      <c r="T333" s="6" t="s">
        <v>21</v>
      </c>
      <c r="U333" s="6">
        <f t="shared" si="45"/>
        <v>1602.768</v>
      </c>
      <c r="V333" s="6">
        <f t="shared" si="43"/>
        <v>1602.768</v>
      </c>
    </row>
    <row r="334" spans="1:22" hidden="1" x14ac:dyDescent="0.35">
      <c r="A334" s="6" t="s">
        <v>392</v>
      </c>
      <c r="B334" s="6" t="s">
        <v>381</v>
      </c>
      <c r="C334" s="6" t="s">
        <v>382</v>
      </c>
      <c r="D334" s="6">
        <f t="shared" ref="D334:D397" si="46">C334-B334</f>
        <v>0.5</v>
      </c>
      <c r="E334" s="6" t="s">
        <v>19</v>
      </c>
      <c r="F334" s="6" t="str">
        <f>MID(A334,19,1)</f>
        <v>S</v>
      </c>
      <c r="G334" s="6">
        <v>-23.46007806183415</v>
      </c>
      <c r="H334" s="6">
        <v>-46.782268004125648</v>
      </c>
      <c r="I334" s="9">
        <v>133.38999999999999</v>
      </c>
      <c r="K334" s="6">
        <v>4.2699999999999996</v>
      </c>
      <c r="L334" s="6">
        <v>0</v>
      </c>
      <c r="N334" s="1">
        <f t="shared" si="44"/>
        <v>0</v>
      </c>
      <c r="Q334" s="6" t="s">
        <v>21</v>
      </c>
      <c r="R334" s="6" t="s">
        <v>21</v>
      </c>
      <c r="S334" s="6" t="s">
        <v>21</v>
      </c>
      <c r="T334" s="6" t="s">
        <v>21</v>
      </c>
      <c r="U334" s="6">
        <f t="shared" si="45"/>
        <v>0</v>
      </c>
      <c r="V334" s="6">
        <f t="shared" si="43"/>
        <v>0</v>
      </c>
    </row>
    <row r="335" spans="1:22" hidden="1" x14ac:dyDescent="0.35">
      <c r="A335" s="6" t="s">
        <v>393</v>
      </c>
      <c r="B335" s="6" t="s">
        <v>381</v>
      </c>
      <c r="C335" s="6" t="s">
        <v>382</v>
      </c>
      <c r="D335" s="6">
        <f t="shared" si="46"/>
        <v>0.5</v>
      </c>
      <c r="E335" s="6" t="s">
        <v>19</v>
      </c>
      <c r="F335" s="6" t="str">
        <f>MID(A335,19,1)</f>
        <v>S</v>
      </c>
      <c r="G335" s="6">
        <v>-23.455631053162151</v>
      </c>
      <c r="H335" s="6">
        <v>-46.753987346197697</v>
      </c>
      <c r="I335" s="9">
        <v>2188.2199999999998</v>
      </c>
      <c r="K335" s="6">
        <v>7.42</v>
      </c>
      <c r="L335" s="6">
        <v>0</v>
      </c>
      <c r="N335" s="1">
        <f t="shared" si="44"/>
        <v>0</v>
      </c>
      <c r="Q335" s="6" t="s">
        <v>21</v>
      </c>
      <c r="R335" s="6" t="s">
        <v>21</v>
      </c>
      <c r="S335" s="6" t="s">
        <v>21</v>
      </c>
      <c r="T335" s="6" t="s">
        <v>21</v>
      </c>
      <c r="U335" s="6">
        <f t="shared" si="45"/>
        <v>0</v>
      </c>
      <c r="V335" s="6">
        <f t="shared" si="43"/>
        <v>0</v>
      </c>
    </row>
    <row r="336" spans="1:22" hidden="1" x14ac:dyDescent="0.35">
      <c r="A336" s="6" t="s">
        <v>394</v>
      </c>
      <c r="B336" s="6" t="s">
        <v>381</v>
      </c>
      <c r="C336" s="6" t="s">
        <v>382</v>
      </c>
      <c r="D336" s="6">
        <f t="shared" si="46"/>
        <v>0.5</v>
      </c>
      <c r="E336" s="6" t="s">
        <v>19</v>
      </c>
      <c r="F336" s="6" t="str">
        <f>MID(A336,19,1)</f>
        <v>S</v>
      </c>
      <c r="G336" s="6">
        <v>-23.46407450112396</v>
      </c>
      <c r="H336" s="6">
        <v>-46.778964784673747</v>
      </c>
      <c r="I336" s="9">
        <v>81.650000000000006</v>
      </c>
      <c r="K336" s="6">
        <v>9.1999999999999993</v>
      </c>
      <c r="L336" s="6">
        <v>0</v>
      </c>
      <c r="N336" s="1">
        <f t="shared" si="44"/>
        <v>0</v>
      </c>
      <c r="Q336" s="6" t="s">
        <v>21</v>
      </c>
      <c r="R336" s="6" t="s">
        <v>21</v>
      </c>
      <c r="S336" s="6" t="s">
        <v>21</v>
      </c>
      <c r="T336" s="6" t="s">
        <v>21</v>
      </c>
      <c r="U336" s="6">
        <f t="shared" si="45"/>
        <v>0</v>
      </c>
      <c r="V336" s="6">
        <f t="shared" si="43"/>
        <v>0</v>
      </c>
    </row>
    <row r="337" spans="1:22" x14ac:dyDescent="0.35">
      <c r="A337" s="6" t="s">
        <v>395</v>
      </c>
      <c r="B337" s="6" t="s">
        <v>381</v>
      </c>
      <c r="C337" s="6" t="s">
        <v>382</v>
      </c>
      <c r="D337" s="6">
        <f t="shared" si="46"/>
        <v>0.5</v>
      </c>
      <c r="E337" s="6" t="s">
        <v>19</v>
      </c>
      <c r="F337" s="6" t="str">
        <f>MID(A337,19,1)</f>
        <v>N</v>
      </c>
      <c r="G337" s="6">
        <v>-23.458821552693511</v>
      </c>
      <c r="H337" s="6">
        <v>-46.782701897242319</v>
      </c>
      <c r="I337" s="9">
        <v>2103.64</v>
      </c>
      <c r="K337" s="6">
        <v>9.2799999999999994</v>
      </c>
      <c r="L337" s="6">
        <v>0</v>
      </c>
      <c r="N337" s="1">
        <f t="shared" si="44"/>
        <v>0</v>
      </c>
      <c r="Q337" s="6" t="s">
        <v>21</v>
      </c>
      <c r="R337" s="6" t="s">
        <v>21</v>
      </c>
      <c r="S337" s="6" t="s">
        <v>21</v>
      </c>
      <c r="T337" s="6" t="s">
        <v>21</v>
      </c>
      <c r="U337" s="6">
        <f t="shared" si="45"/>
        <v>0</v>
      </c>
      <c r="V337" s="6">
        <f t="shared" si="43"/>
        <v>0</v>
      </c>
    </row>
    <row r="338" spans="1:22" hidden="1" x14ac:dyDescent="0.35">
      <c r="A338" s="6" t="s">
        <v>396</v>
      </c>
      <c r="B338" s="6" t="s">
        <v>381</v>
      </c>
      <c r="C338" s="6" t="s">
        <v>382</v>
      </c>
      <c r="D338" s="6">
        <f t="shared" si="46"/>
        <v>0.5</v>
      </c>
      <c r="E338" s="6" t="s">
        <v>23</v>
      </c>
      <c r="F338" s="6" t="str">
        <f>MID(A338,19,1)</f>
        <v>C</v>
      </c>
      <c r="G338" s="6">
        <v>-23.460206783135501</v>
      </c>
      <c r="H338" s="6">
        <v>-46.75269393989057</v>
      </c>
      <c r="I338" s="7">
        <v>6961.62</v>
      </c>
      <c r="J338" s="9">
        <f t="shared" ref="J338:J340" si="47">I338/500</f>
        <v>13.92324</v>
      </c>
      <c r="K338" s="6">
        <v>10.33</v>
      </c>
      <c r="L338" s="6">
        <v>30</v>
      </c>
      <c r="N338" s="1">
        <f t="shared" si="44"/>
        <v>0</v>
      </c>
      <c r="O338" s="6" t="s">
        <v>185</v>
      </c>
      <c r="Q338" s="6" t="s">
        <v>21</v>
      </c>
      <c r="R338" s="6" t="s">
        <v>21</v>
      </c>
      <c r="S338" s="6" t="s">
        <v>21</v>
      </c>
      <c r="T338" s="6" t="s">
        <v>21</v>
      </c>
      <c r="U338" s="6">
        <f t="shared" si="45"/>
        <v>2088.4859999999999</v>
      </c>
      <c r="V338" s="6">
        <f t="shared" si="43"/>
        <v>2088.4859999999999</v>
      </c>
    </row>
    <row r="339" spans="1:22" hidden="1" x14ac:dyDescent="0.35">
      <c r="A339" s="6" t="s">
        <v>397</v>
      </c>
      <c r="B339" s="6" t="s">
        <v>381</v>
      </c>
      <c r="C339" s="6" t="s">
        <v>382</v>
      </c>
      <c r="D339" s="6">
        <f t="shared" si="46"/>
        <v>0.5</v>
      </c>
      <c r="E339" s="6" t="s">
        <v>23</v>
      </c>
      <c r="F339" s="6" t="str">
        <f>MID(A339,19,1)</f>
        <v>C</v>
      </c>
      <c r="G339" s="6">
        <v>-23.4555652164237</v>
      </c>
      <c r="H339" s="6">
        <v>-46.753660070155973</v>
      </c>
      <c r="I339" s="7">
        <v>7935.94</v>
      </c>
      <c r="J339" s="9">
        <f t="shared" si="47"/>
        <v>15.871879999999999</v>
      </c>
      <c r="K339" s="6">
        <v>7.28</v>
      </c>
      <c r="L339" s="6">
        <v>30</v>
      </c>
      <c r="N339" s="1">
        <f t="shared" si="44"/>
        <v>0</v>
      </c>
      <c r="O339" s="6" t="s">
        <v>185</v>
      </c>
      <c r="Q339" s="6" t="s">
        <v>21</v>
      </c>
      <c r="R339" s="6" t="s">
        <v>21</v>
      </c>
      <c r="S339" s="6" t="s">
        <v>21</v>
      </c>
      <c r="T339" s="6" t="s">
        <v>21</v>
      </c>
      <c r="U339" s="6">
        <f t="shared" si="45"/>
        <v>2380.7819999999997</v>
      </c>
      <c r="V339" s="6">
        <f t="shared" si="43"/>
        <v>2380.7819999999997</v>
      </c>
    </row>
    <row r="340" spans="1:22" hidden="1" x14ac:dyDescent="0.35">
      <c r="A340" s="6" t="s">
        <v>398</v>
      </c>
      <c r="B340" s="6" t="s">
        <v>399</v>
      </c>
      <c r="C340" s="6" t="s">
        <v>400</v>
      </c>
      <c r="D340" s="6">
        <f t="shared" si="46"/>
        <v>0.5</v>
      </c>
      <c r="E340" s="6" t="s">
        <v>23</v>
      </c>
      <c r="F340" s="6" t="str">
        <f>MID(A340,19,1)</f>
        <v>C</v>
      </c>
      <c r="G340" s="6">
        <v>-23.453593835767709</v>
      </c>
      <c r="H340" s="6">
        <v>-46.787637880279647</v>
      </c>
      <c r="I340" s="9">
        <v>12279.87</v>
      </c>
      <c r="J340" s="9">
        <f t="shared" si="47"/>
        <v>24.559740000000001</v>
      </c>
      <c r="K340" s="6">
        <v>11.89</v>
      </c>
      <c r="L340" s="6">
        <v>0</v>
      </c>
      <c r="N340" s="1">
        <f t="shared" si="44"/>
        <v>0</v>
      </c>
      <c r="Q340" s="6" t="s">
        <v>21</v>
      </c>
      <c r="R340" s="6" t="s">
        <v>21</v>
      </c>
      <c r="S340" s="6" t="s">
        <v>21</v>
      </c>
      <c r="T340" s="6" t="s">
        <v>21</v>
      </c>
      <c r="U340" s="6">
        <f t="shared" si="45"/>
        <v>0</v>
      </c>
      <c r="V340" s="6">
        <f t="shared" si="43"/>
        <v>0</v>
      </c>
    </row>
    <row r="341" spans="1:22" x14ac:dyDescent="0.35">
      <c r="A341" s="6" t="s">
        <v>401</v>
      </c>
      <c r="B341" s="6" t="s">
        <v>399</v>
      </c>
      <c r="C341" s="6" t="s">
        <v>400</v>
      </c>
      <c r="D341" s="6">
        <f t="shared" si="46"/>
        <v>0.5</v>
      </c>
      <c r="E341" s="6" t="s">
        <v>19</v>
      </c>
      <c r="F341" s="6" t="str">
        <f>MID(A341,19,1)</f>
        <v>N</v>
      </c>
      <c r="G341" s="6">
        <v>-23.455098586567601</v>
      </c>
      <c r="H341" s="6">
        <v>-46.785376000185522</v>
      </c>
      <c r="I341" s="9">
        <v>8609.9500000000007</v>
      </c>
      <c r="K341" s="6">
        <v>5.97</v>
      </c>
      <c r="L341" s="6">
        <v>0</v>
      </c>
      <c r="N341" s="1">
        <f t="shared" si="44"/>
        <v>0</v>
      </c>
      <c r="Q341" s="6" t="s">
        <v>21</v>
      </c>
      <c r="R341" s="6" t="s">
        <v>21</v>
      </c>
      <c r="S341" s="6" t="s">
        <v>21</v>
      </c>
      <c r="T341" s="6" t="s">
        <v>21</v>
      </c>
      <c r="U341" s="6">
        <f t="shared" si="45"/>
        <v>0</v>
      </c>
      <c r="V341" s="6">
        <f t="shared" si="43"/>
        <v>0</v>
      </c>
    </row>
    <row r="342" spans="1:22" x14ac:dyDescent="0.35">
      <c r="A342" s="6" t="s">
        <v>402</v>
      </c>
      <c r="B342" s="6" t="s">
        <v>399</v>
      </c>
      <c r="C342" s="6" t="s">
        <v>400</v>
      </c>
      <c r="D342" s="6">
        <f t="shared" si="46"/>
        <v>0.5</v>
      </c>
      <c r="E342" s="6" t="s">
        <v>19</v>
      </c>
      <c r="F342" s="6" t="str">
        <f>MID(A342,19,1)</f>
        <v>N</v>
      </c>
      <c r="G342" s="6">
        <v>-23.454997881316391</v>
      </c>
      <c r="H342" s="6">
        <v>-46.785026493112291</v>
      </c>
      <c r="I342" s="9">
        <v>1803.46</v>
      </c>
      <c r="K342" s="6">
        <v>12.54</v>
      </c>
      <c r="L342" s="6">
        <v>0</v>
      </c>
      <c r="N342" s="1">
        <f t="shared" si="44"/>
        <v>0</v>
      </c>
      <c r="Q342" s="6" t="s">
        <v>21</v>
      </c>
      <c r="R342" s="6" t="s">
        <v>21</v>
      </c>
      <c r="S342" s="6" t="s">
        <v>21</v>
      </c>
      <c r="T342" s="6" t="s">
        <v>21</v>
      </c>
      <c r="U342" s="6">
        <f t="shared" si="45"/>
        <v>0</v>
      </c>
      <c r="V342" s="6">
        <f t="shared" si="43"/>
        <v>0</v>
      </c>
    </row>
    <row r="343" spans="1:22" hidden="1" x14ac:dyDescent="0.35">
      <c r="A343" s="6" t="s">
        <v>403</v>
      </c>
      <c r="B343" s="6" t="s">
        <v>399</v>
      </c>
      <c r="C343" s="6" t="s">
        <v>400</v>
      </c>
      <c r="D343" s="6">
        <f t="shared" si="46"/>
        <v>0.5</v>
      </c>
      <c r="E343" s="6" t="s">
        <v>19</v>
      </c>
      <c r="F343" s="6" t="str">
        <f>MID(A343,19,1)</f>
        <v>S</v>
      </c>
      <c r="G343" s="6">
        <v>-23.448822326401309</v>
      </c>
      <c r="H343" s="6">
        <v>-46.787658053973402</v>
      </c>
      <c r="I343" s="9">
        <v>5672.36</v>
      </c>
      <c r="K343" s="6">
        <v>5.94</v>
      </c>
      <c r="L343" s="6">
        <v>0</v>
      </c>
      <c r="N343" s="1">
        <f t="shared" si="44"/>
        <v>0</v>
      </c>
      <c r="Q343" s="6" t="s">
        <v>21</v>
      </c>
      <c r="R343" s="6" t="s">
        <v>21</v>
      </c>
      <c r="S343" s="6" t="s">
        <v>21</v>
      </c>
      <c r="T343" s="6" t="s">
        <v>21</v>
      </c>
      <c r="U343" s="6">
        <f t="shared" si="45"/>
        <v>0</v>
      </c>
      <c r="V343" s="6">
        <f t="shared" si="43"/>
        <v>0</v>
      </c>
    </row>
    <row r="344" spans="1:22" hidden="1" x14ac:dyDescent="0.35">
      <c r="A344" s="6" t="s">
        <v>404</v>
      </c>
      <c r="B344" s="6" t="s">
        <v>399</v>
      </c>
      <c r="C344" s="6" t="s">
        <v>400</v>
      </c>
      <c r="D344" s="6">
        <f t="shared" si="46"/>
        <v>0.5</v>
      </c>
      <c r="E344" s="6" t="s">
        <v>19</v>
      </c>
      <c r="F344" s="6" t="str">
        <f>MID(A344,19,1)</f>
        <v>S</v>
      </c>
      <c r="G344" s="6">
        <v>-23.451398316752229</v>
      </c>
      <c r="H344" s="6">
        <v>-46.786698688358896</v>
      </c>
      <c r="I344" s="9">
        <v>113.32</v>
      </c>
      <c r="K344" s="6">
        <v>1.04</v>
      </c>
      <c r="L344" s="6">
        <v>0</v>
      </c>
      <c r="N344" s="1">
        <f t="shared" si="44"/>
        <v>0</v>
      </c>
      <c r="Q344" s="6" t="s">
        <v>21</v>
      </c>
      <c r="R344" s="6" t="s">
        <v>21</v>
      </c>
      <c r="S344" s="6" t="s">
        <v>21</v>
      </c>
      <c r="T344" s="6" t="s">
        <v>21</v>
      </c>
      <c r="U344" s="6">
        <f t="shared" si="45"/>
        <v>0</v>
      </c>
      <c r="V344" s="6">
        <f t="shared" si="43"/>
        <v>0</v>
      </c>
    </row>
    <row r="345" spans="1:22" x14ac:dyDescent="0.35">
      <c r="A345" s="6" t="s">
        <v>405</v>
      </c>
      <c r="B345" s="6" t="s">
        <v>399</v>
      </c>
      <c r="C345" s="6" t="s">
        <v>400</v>
      </c>
      <c r="D345" s="6">
        <f t="shared" si="46"/>
        <v>0.5</v>
      </c>
      <c r="E345" s="6" t="s">
        <v>19</v>
      </c>
      <c r="F345" s="6" t="str">
        <f>MID(A345,19,1)</f>
        <v>N</v>
      </c>
      <c r="G345" s="6">
        <v>-23.45035197567541</v>
      </c>
      <c r="H345" s="6">
        <v>-46.783974564308608</v>
      </c>
      <c r="I345" s="9">
        <v>2798.21</v>
      </c>
      <c r="K345" s="6">
        <v>11.4</v>
      </c>
      <c r="L345" s="6">
        <v>0</v>
      </c>
      <c r="N345" s="1">
        <f t="shared" si="44"/>
        <v>0</v>
      </c>
      <c r="Q345" s="6" t="s">
        <v>21</v>
      </c>
      <c r="R345" s="6" t="s">
        <v>21</v>
      </c>
      <c r="S345" s="6" t="s">
        <v>21</v>
      </c>
      <c r="T345" s="6" t="s">
        <v>21</v>
      </c>
      <c r="U345" s="6">
        <f t="shared" si="45"/>
        <v>0</v>
      </c>
      <c r="V345" s="6">
        <f t="shared" si="43"/>
        <v>0</v>
      </c>
    </row>
    <row r="346" spans="1:22" hidden="1" x14ac:dyDescent="0.35">
      <c r="A346" s="6" t="s">
        <v>406</v>
      </c>
      <c r="B346" s="6" t="s">
        <v>399</v>
      </c>
      <c r="C346" s="6" t="s">
        <v>400</v>
      </c>
      <c r="D346" s="6">
        <f t="shared" si="46"/>
        <v>0.5</v>
      </c>
      <c r="E346" s="6" t="s">
        <v>19</v>
      </c>
      <c r="F346" s="6" t="str">
        <f>MID(A346,19,1)</f>
        <v>S</v>
      </c>
      <c r="G346" s="6">
        <v>-23.451453863686851</v>
      </c>
      <c r="H346" s="6">
        <v>-46.788209866288327</v>
      </c>
      <c r="I346" s="9">
        <v>1600.83</v>
      </c>
      <c r="K346" s="6">
        <v>5.36</v>
      </c>
      <c r="L346" s="6">
        <v>0</v>
      </c>
      <c r="N346" s="1">
        <f t="shared" si="44"/>
        <v>0</v>
      </c>
      <c r="Q346" s="6" t="s">
        <v>21</v>
      </c>
      <c r="R346" s="6" t="s">
        <v>21</v>
      </c>
      <c r="S346" s="6" t="s">
        <v>21</v>
      </c>
      <c r="T346" s="6" t="s">
        <v>21</v>
      </c>
      <c r="U346" s="6">
        <f t="shared" si="45"/>
        <v>0</v>
      </c>
      <c r="V346" s="6">
        <f t="shared" si="43"/>
        <v>0</v>
      </c>
    </row>
    <row r="347" spans="1:22" hidden="1" x14ac:dyDescent="0.35">
      <c r="A347" s="6" t="s">
        <v>407</v>
      </c>
      <c r="B347" s="6" t="s">
        <v>399</v>
      </c>
      <c r="C347" s="6" t="s">
        <v>400</v>
      </c>
      <c r="D347" s="6">
        <f t="shared" si="46"/>
        <v>0.5</v>
      </c>
      <c r="E347" s="6" t="s">
        <v>19</v>
      </c>
      <c r="F347" s="6" t="str">
        <f>MID(A347,19,1)</f>
        <v>S</v>
      </c>
      <c r="G347" s="6">
        <v>-23.45266068268209</v>
      </c>
      <c r="H347" s="6">
        <v>-46.787798296700792</v>
      </c>
      <c r="I347" s="9">
        <v>3407.51</v>
      </c>
      <c r="K347" s="6">
        <v>8.1999999999999993</v>
      </c>
      <c r="L347" s="6">
        <v>0</v>
      </c>
      <c r="N347" s="1">
        <f t="shared" si="44"/>
        <v>0</v>
      </c>
      <c r="Q347" s="6" t="s">
        <v>21</v>
      </c>
      <c r="R347" s="6" t="s">
        <v>21</v>
      </c>
      <c r="S347" s="6" t="s">
        <v>21</v>
      </c>
      <c r="T347" s="6" t="s">
        <v>21</v>
      </c>
      <c r="U347" s="6">
        <f t="shared" si="45"/>
        <v>0</v>
      </c>
      <c r="V347" s="6">
        <f t="shared" si="43"/>
        <v>0</v>
      </c>
    </row>
    <row r="348" spans="1:22" hidden="1" x14ac:dyDescent="0.35">
      <c r="A348" s="6" t="s">
        <v>408</v>
      </c>
      <c r="B348" s="6" t="s">
        <v>399</v>
      </c>
      <c r="C348" s="6" t="s">
        <v>400</v>
      </c>
      <c r="D348" s="6">
        <f t="shared" si="46"/>
        <v>0.5</v>
      </c>
      <c r="E348" s="6" t="s">
        <v>23</v>
      </c>
      <c r="F348" s="6" t="str">
        <f>MID(A348,19,1)</f>
        <v>C</v>
      </c>
      <c r="G348" s="6">
        <v>-23.448464892554259</v>
      </c>
      <c r="H348" s="6">
        <v>-46.786733898503662</v>
      </c>
      <c r="I348" s="9">
        <v>12551.54</v>
      </c>
      <c r="J348" s="9">
        <f t="shared" ref="J348:J350" si="48">I348/500</f>
        <v>25.103080000000002</v>
      </c>
      <c r="K348" s="6">
        <v>14.91</v>
      </c>
      <c r="L348" s="6">
        <v>0</v>
      </c>
      <c r="N348" s="1">
        <f t="shared" si="44"/>
        <v>0</v>
      </c>
      <c r="Q348" s="6" t="s">
        <v>21</v>
      </c>
      <c r="R348" s="6" t="s">
        <v>21</v>
      </c>
      <c r="S348" s="6" t="s">
        <v>21</v>
      </c>
      <c r="T348" s="6" t="s">
        <v>21</v>
      </c>
      <c r="U348" s="6">
        <f t="shared" si="45"/>
        <v>0</v>
      </c>
      <c r="V348" s="6">
        <f t="shared" si="43"/>
        <v>0</v>
      </c>
    </row>
    <row r="349" spans="1:22" hidden="1" x14ac:dyDescent="0.35">
      <c r="A349" s="6" t="s">
        <v>409</v>
      </c>
      <c r="B349" s="6" t="s">
        <v>399</v>
      </c>
      <c r="C349" s="6" t="s">
        <v>400</v>
      </c>
      <c r="D349" s="6">
        <f t="shared" si="46"/>
        <v>0.5</v>
      </c>
      <c r="E349" s="6" t="s">
        <v>23</v>
      </c>
      <c r="F349" s="6" t="str">
        <f>MID(A349,19,1)</f>
        <v>C</v>
      </c>
      <c r="G349" s="6">
        <v>-23.45278333942079</v>
      </c>
      <c r="H349" s="6">
        <v>-46.78700255879366</v>
      </c>
      <c r="I349" s="9">
        <v>1529.08</v>
      </c>
      <c r="J349" s="9">
        <f t="shared" si="48"/>
        <v>3.05816</v>
      </c>
      <c r="K349" s="6">
        <v>10.08</v>
      </c>
      <c r="L349" s="6">
        <v>0</v>
      </c>
      <c r="N349" s="1">
        <f t="shared" si="44"/>
        <v>0</v>
      </c>
      <c r="Q349" s="6" t="s">
        <v>21</v>
      </c>
      <c r="R349" s="6" t="s">
        <v>21</v>
      </c>
      <c r="S349" s="6" t="s">
        <v>21</v>
      </c>
      <c r="T349" s="6" t="s">
        <v>21</v>
      </c>
      <c r="U349" s="6">
        <f t="shared" si="45"/>
        <v>0</v>
      </c>
      <c r="V349" s="6">
        <f t="shared" si="43"/>
        <v>0</v>
      </c>
    </row>
    <row r="350" spans="1:22" hidden="1" x14ac:dyDescent="0.35">
      <c r="A350" s="6" t="s">
        <v>410</v>
      </c>
      <c r="B350" s="6" t="s">
        <v>399</v>
      </c>
      <c r="C350" s="6" t="s">
        <v>400</v>
      </c>
      <c r="D350" s="6">
        <f t="shared" si="46"/>
        <v>0.5</v>
      </c>
      <c r="E350" s="6" t="s">
        <v>23</v>
      </c>
      <c r="F350" s="6" t="str">
        <f>MID(A350,19,1)</f>
        <v>C</v>
      </c>
      <c r="G350" s="6">
        <v>-23.45176718912472</v>
      </c>
      <c r="H350" s="6">
        <v>-46.786625153233061</v>
      </c>
      <c r="I350" s="9">
        <v>361.86</v>
      </c>
      <c r="J350" s="9">
        <f t="shared" si="48"/>
        <v>0.72372000000000003</v>
      </c>
      <c r="K350" s="6">
        <v>1.36</v>
      </c>
      <c r="L350" s="6">
        <v>0</v>
      </c>
      <c r="N350" s="1">
        <f t="shared" si="44"/>
        <v>0</v>
      </c>
      <c r="Q350" s="6" t="s">
        <v>21</v>
      </c>
      <c r="R350" s="6" t="s">
        <v>21</v>
      </c>
      <c r="S350" s="6" t="s">
        <v>21</v>
      </c>
      <c r="T350" s="6" t="s">
        <v>21</v>
      </c>
      <c r="U350" s="6">
        <f t="shared" si="45"/>
        <v>0</v>
      </c>
      <c r="V350" s="6">
        <f t="shared" si="43"/>
        <v>0</v>
      </c>
    </row>
    <row r="351" spans="1:22" x14ac:dyDescent="0.35">
      <c r="A351" s="6" t="s">
        <v>411</v>
      </c>
      <c r="B351" s="6" t="s">
        <v>399</v>
      </c>
      <c r="C351" s="6" t="s">
        <v>400</v>
      </c>
      <c r="D351" s="6">
        <f t="shared" si="46"/>
        <v>0.5</v>
      </c>
      <c r="E351" s="6" t="s">
        <v>19</v>
      </c>
      <c r="F351" s="6" t="str">
        <f>MID(A351,19,1)</f>
        <v>N</v>
      </c>
      <c r="G351" s="6">
        <v>-23.45167086677359</v>
      </c>
      <c r="H351" s="6">
        <v>-46.785454922183312</v>
      </c>
      <c r="I351" s="9">
        <v>14577.99</v>
      </c>
      <c r="K351" s="6">
        <v>13.11</v>
      </c>
      <c r="L351" s="6">
        <v>0</v>
      </c>
      <c r="N351" s="1">
        <f t="shared" si="44"/>
        <v>0</v>
      </c>
      <c r="Q351" s="6" t="s">
        <v>21</v>
      </c>
      <c r="R351" s="6" t="s">
        <v>21</v>
      </c>
      <c r="S351" s="6" t="s">
        <v>21</v>
      </c>
      <c r="T351" s="6" t="s">
        <v>21</v>
      </c>
      <c r="U351" s="6">
        <f t="shared" si="45"/>
        <v>0</v>
      </c>
      <c r="V351" s="6">
        <f t="shared" si="43"/>
        <v>0</v>
      </c>
    </row>
    <row r="352" spans="1:22" hidden="1" x14ac:dyDescent="0.35">
      <c r="A352" s="6" t="s">
        <v>412</v>
      </c>
      <c r="B352" s="6" t="s">
        <v>399</v>
      </c>
      <c r="C352" s="6" t="s">
        <v>400</v>
      </c>
      <c r="D352" s="6">
        <f t="shared" si="46"/>
        <v>0.5</v>
      </c>
      <c r="E352" s="6" t="s">
        <v>23</v>
      </c>
      <c r="F352" s="6" t="str">
        <f>MID(A352,19,1)</f>
        <v>C</v>
      </c>
      <c r="G352" s="6">
        <v>-23.453962889865942</v>
      </c>
      <c r="H352" s="6">
        <v>-46.787806427730068</v>
      </c>
      <c r="I352" s="9">
        <v>13913.48</v>
      </c>
      <c r="J352" s="9">
        <f>I352/500</f>
        <v>27.82696</v>
      </c>
      <c r="K352" s="6">
        <v>11.52</v>
      </c>
      <c r="L352" s="6">
        <v>0</v>
      </c>
      <c r="N352" s="1">
        <f t="shared" si="44"/>
        <v>0</v>
      </c>
      <c r="Q352" s="6" t="s">
        <v>21</v>
      </c>
      <c r="R352" s="6" t="s">
        <v>21</v>
      </c>
      <c r="S352" s="6" t="s">
        <v>21</v>
      </c>
      <c r="T352" s="6" t="s">
        <v>21</v>
      </c>
      <c r="U352" s="6">
        <f t="shared" si="45"/>
        <v>0</v>
      </c>
      <c r="V352" s="6">
        <f t="shared" si="43"/>
        <v>0</v>
      </c>
    </row>
    <row r="353" spans="1:22" hidden="1" x14ac:dyDescent="0.35">
      <c r="A353" s="6" t="s">
        <v>413</v>
      </c>
      <c r="B353" s="6" t="s">
        <v>399</v>
      </c>
      <c r="C353" s="6" t="s">
        <v>400</v>
      </c>
      <c r="D353" s="6">
        <f t="shared" si="46"/>
        <v>0.5</v>
      </c>
      <c r="E353" s="6" t="s">
        <v>19</v>
      </c>
      <c r="F353" s="6" t="str">
        <f>MID(A353,19,1)</f>
        <v>S</v>
      </c>
      <c r="G353" s="6">
        <v>-23.448850963765089</v>
      </c>
      <c r="H353" s="6">
        <v>-46.787935649044528</v>
      </c>
      <c r="I353" s="9">
        <v>930.72</v>
      </c>
      <c r="K353" s="6">
        <v>7.42</v>
      </c>
      <c r="L353" s="6">
        <v>0</v>
      </c>
      <c r="N353" s="1">
        <f t="shared" si="44"/>
        <v>0</v>
      </c>
      <c r="Q353" s="6" t="s">
        <v>21</v>
      </c>
      <c r="R353" s="6" t="s">
        <v>21</v>
      </c>
      <c r="S353" s="6" t="s">
        <v>21</v>
      </c>
      <c r="T353" s="6" t="s">
        <v>21</v>
      </c>
      <c r="U353" s="6">
        <f t="shared" si="45"/>
        <v>0</v>
      </c>
      <c r="V353" s="6">
        <f t="shared" ref="V353:V369" si="49">(I353*(L353/100))</f>
        <v>0</v>
      </c>
    </row>
    <row r="354" spans="1:22" x14ac:dyDescent="0.35">
      <c r="A354" s="6" t="s">
        <v>414</v>
      </c>
      <c r="B354" s="6" t="s">
        <v>399</v>
      </c>
      <c r="C354" s="6" t="s">
        <v>400</v>
      </c>
      <c r="D354" s="6">
        <f t="shared" si="46"/>
        <v>0.5</v>
      </c>
      <c r="E354" s="6" t="s">
        <v>19</v>
      </c>
      <c r="F354" s="6" t="str">
        <f>MID(A354,19,1)</f>
        <v>N</v>
      </c>
      <c r="G354" s="6">
        <v>-23.452708004203949</v>
      </c>
      <c r="H354" s="6">
        <v>-46.785993021148059</v>
      </c>
      <c r="I354" s="9">
        <v>1008.18</v>
      </c>
      <c r="K354" s="6">
        <v>21.58</v>
      </c>
      <c r="L354" s="6">
        <v>0</v>
      </c>
      <c r="N354" s="1">
        <f t="shared" si="44"/>
        <v>0</v>
      </c>
      <c r="Q354" s="6" t="s">
        <v>21</v>
      </c>
      <c r="R354" s="6" t="s">
        <v>21</v>
      </c>
      <c r="S354" s="6" t="s">
        <v>21</v>
      </c>
      <c r="T354" s="6" t="s">
        <v>21</v>
      </c>
      <c r="U354" s="6">
        <f t="shared" si="45"/>
        <v>0</v>
      </c>
      <c r="V354" s="6">
        <f t="shared" si="49"/>
        <v>0</v>
      </c>
    </row>
    <row r="355" spans="1:22" x14ac:dyDescent="0.35">
      <c r="A355" s="6" t="s">
        <v>415</v>
      </c>
      <c r="B355" s="6" t="s">
        <v>399</v>
      </c>
      <c r="C355" s="6" t="s">
        <v>400</v>
      </c>
      <c r="D355" s="6">
        <f t="shared" si="46"/>
        <v>0.5</v>
      </c>
      <c r="E355" s="6" t="s">
        <v>19</v>
      </c>
      <c r="F355" s="6" t="str">
        <f>MID(A355,19,1)</f>
        <v>N</v>
      </c>
      <c r="G355" s="6">
        <v>-23.450887137538128</v>
      </c>
      <c r="H355" s="6">
        <v>-46.754294309371943</v>
      </c>
      <c r="I355" s="9">
        <v>2017.18</v>
      </c>
      <c r="K355" s="6">
        <v>10.83</v>
      </c>
      <c r="L355" s="6">
        <v>70</v>
      </c>
      <c r="N355" s="1">
        <f t="shared" si="44"/>
        <v>0</v>
      </c>
      <c r="O355" s="6" t="s">
        <v>20</v>
      </c>
      <c r="Q355" s="6" t="s">
        <v>21</v>
      </c>
      <c r="R355" s="6" t="s">
        <v>21</v>
      </c>
      <c r="S355" s="6" t="s">
        <v>21</v>
      </c>
      <c r="T355" s="6" t="s">
        <v>21</v>
      </c>
      <c r="U355" s="6">
        <f t="shared" si="45"/>
        <v>1412.0260000000001</v>
      </c>
      <c r="V355" s="6">
        <f t="shared" si="49"/>
        <v>1412.0260000000001</v>
      </c>
    </row>
    <row r="356" spans="1:22" x14ac:dyDescent="0.35">
      <c r="A356" s="6" t="s">
        <v>416</v>
      </c>
      <c r="B356" s="6" t="s">
        <v>399</v>
      </c>
      <c r="C356" s="6" t="s">
        <v>400</v>
      </c>
      <c r="D356" s="6">
        <f t="shared" si="46"/>
        <v>0.5</v>
      </c>
      <c r="E356" s="6" t="s">
        <v>19</v>
      </c>
      <c r="F356" s="6" t="str">
        <f>MID(A356,19,1)</f>
        <v>N</v>
      </c>
      <c r="G356" s="6">
        <v>-23.454113437722111</v>
      </c>
      <c r="H356" s="6">
        <v>-46.786113059182448</v>
      </c>
      <c r="I356" s="9">
        <v>134.38999999999999</v>
      </c>
      <c r="K356" s="6">
        <v>3.11</v>
      </c>
      <c r="L356" s="6">
        <v>0</v>
      </c>
      <c r="N356" s="1">
        <f t="shared" si="44"/>
        <v>0</v>
      </c>
      <c r="Q356" s="6" t="s">
        <v>21</v>
      </c>
      <c r="R356" s="6" t="s">
        <v>21</v>
      </c>
      <c r="S356" s="6" t="s">
        <v>21</v>
      </c>
      <c r="T356" s="6" t="s">
        <v>21</v>
      </c>
      <c r="U356" s="6">
        <f t="shared" si="45"/>
        <v>0</v>
      </c>
      <c r="V356" s="6">
        <f t="shared" si="49"/>
        <v>0</v>
      </c>
    </row>
    <row r="357" spans="1:22" hidden="1" x14ac:dyDescent="0.35">
      <c r="A357" s="6" t="s">
        <v>417</v>
      </c>
      <c r="B357" s="6" t="s">
        <v>399</v>
      </c>
      <c r="C357" s="6" t="s">
        <v>400</v>
      </c>
      <c r="D357" s="6">
        <f t="shared" si="46"/>
        <v>0.5</v>
      </c>
      <c r="E357" s="6" t="s">
        <v>23</v>
      </c>
      <c r="F357" s="6" t="str">
        <f>MID(A357,19,1)</f>
        <v>C</v>
      </c>
      <c r="G357" s="6">
        <v>-23.452596374864822</v>
      </c>
      <c r="H357" s="6">
        <v>-46.786853099609473</v>
      </c>
      <c r="I357" s="9">
        <v>304.7</v>
      </c>
      <c r="J357" s="9">
        <f>I357/500</f>
        <v>0.60939999999999994</v>
      </c>
      <c r="K357" s="6">
        <v>6.42</v>
      </c>
      <c r="L357" s="6">
        <v>0</v>
      </c>
      <c r="N357" s="1">
        <f t="shared" si="44"/>
        <v>0</v>
      </c>
      <c r="Q357" s="6" t="s">
        <v>21</v>
      </c>
      <c r="R357" s="6" t="s">
        <v>21</v>
      </c>
      <c r="S357" s="6" t="s">
        <v>21</v>
      </c>
      <c r="T357" s="6" t="s">
        <v>21</v>
      </c>
      <c r="U357" s="6">
        <f t="shared" si="45"/>
        <v>0</v>
      </c>
      <c r="V357" s="6">
        <f t="shared" si="49"/>
        <v>0</v>
      </c>
    </row>
    <row r="358" spans="1:22" hidden="1" x14ac:dyDescent="0.35">
      <c r="A358" s="6" t="s">
        <v>418</v>
      </c>
      <c r="B358" s="6" t="s">
        <v>399</v>
      </c>
      <c r="C358" s="6" t="s">
        <v>400</v>
      </c>
      <c r="D358" s="6">
        <f t="shared" si="46"/>
        <v>0.5</v>
      </c>
      <c r="E358" s="6" t="s">
        <v>19</v>
      </c>
      <c r="F358" s="6" t="str">
        <f>MID(A358,19,1)</f>
        <v>S</v>
      </c>
      <c r="G358" s="6">
        <v>-23.453219718719591</v>
      </c>
      <c r="H358" s="6">
        <v>-46.78892781947259</v>
      </c>
      <c r="I358" s="9">
        <v>394.14</v>
      </c>
      <c r="K358" s="6">
        <v>7.9</v>
      </c>
      <c r="L358" s="6">
        <v>0</v>
      </c>
      <c r="N358" s="1">
        <f t="shared" si="44"/>
        <v>0</v>
      </c>
      <c r="Q358" s="6" t="s">
        <v>21</v>
      </c>
      <c r="R358" s="6" t="s">
        <v>21</v>
      </c>
      <c r="S358" s="6" t="s">
        <v>21</v>
      </c>
      <c r="T358" s="6" t="s">
        <v>21</v>
      </c>
      <c r="U358" s="6">
        <f t="shared" si="45"/>
        <v>0</v>
      </c>
      <c r="V358" s="6">
        <f t="shared" si="49"/>
        <v>0</v>
      </c>
    </row>
    <row r="359" spans="1:22" hidden="1" x14ac:dyDescent="0.35">
      <c r="A359" s="6" t="s">
        <v>419</v>
      </c>
      <c r="B359" s="6" t="s">
        <v>399</v>
      </c>
      <c r="C359" s="6" t="s">
        <v>400</v>
      </c>
      <c r="D359" s="6">
        <f t="shared" si="46"/>
        <v>0.5</v>
      </c>
      <c r="E359" s="6" t="s">
        <v>19</v>
      </c>
      <c r="F359" s="6" t="str">
        <f>MID(A359,19,1)</f>
        <v>S</v>
      </c>
      <c r="G359" s="6">
        <v>-23.451010218923461</v>
      </c>
      <c r="H359" s="6">
        <v>-46.754941866915303</v>
      </c>
      <c r="I359" s="9">
        <v>1979.53</v>
      </c>
      <c r="K359" s="6">
        <v>14.39</v>
      </c>
      <c r="L359" s="6">
        <v>0</v>
      </c>
      <c r="N359" s="1">
        <f t="shared" si="44"/>
        <v>0</v>
      </c>
      <c r="Q359" s="6" t="s">
        <v>21</v>
      </c>
      <c r="R359" s="6" t="s">
        <v>21</v>
      </c>
      <c r="S359" s="6" t="s">
        <v>21</v>
      </c>
      <c r="T359" s="6" t="s">
        <v>21</v>
      </c>
      <c r="U359" s="6">
        <f t="shared" si="45"/>
        <v>0</v>
      </c>
      <c r="V359" s="6">
        <f t="shared" si="49"/>
        <v>0</v>
      </c>
    </row>
    <row r="360" spans="1:22" hidden="1" x14ac:dyDescent="0.35">
      <c r="A360" s="6" t="s">
        <v>420</v>
      </c>
      <c r="B360" s="6" t="s">
        <v>399</v>
      </c>
      <c r="C360" s="6" t="s">
        <v>400</v>
      </c>
      <c r="D360" s="6">
        <f t="shared" si="46"/>
        <v>0.5</v>
      </c>
      <c r="E360" s="6" t="s">
        <v>19</v>
      </c>
      <c r="F360" s="6" t="str">
        <f>MID(A360,19,1)</f>
        <v>S</v>
      </c>
      <c r="G360" s="6">
        <v>-23.452041826861809</v>
      </c>
      <c r="H360" s="6">
        <v>-46.786974698918733</v>
      </c>
      <c r="I360" s="9">
        <v>302.72000000000003</v>
      </c>
      <c r="K360" s="6">
        <v>5.14</v>
      </c>
      <c r="L360" s="6">
        <v>0</v>
      </c>
      <c r="N360" s="1">
        <f t="shared" si="44"/>
        <v>0</v>
      </c>
      <c r="Q360" s="6" t="s">
        <v>21</v>
      </c>
      <c r="R360" s="6" t="s">
        <v>21</v>
      </c>
      <c r="S360" s="6" t="s">
        <v>21</v>
      </c>
      <c r="T360" s="6" t="s">
        <v>21</v>
      </c>
      <c r="U360" s="6">
        <f t="shared" si="45"/>
        <v>0</v>
      </c>
      <c r="V360" s="6">
        <f t="shared" si="49"/>
        <v>0</v>
      </c>
    </row>
    <row r="361" spans="1:22" hidden="1" x14ac:dyDescent="0.35">
      <c r="A361" s="6" t="s">
        <v>421</v>
      </c>
      <c r="B361" s="6" t="s">
        <v>399</v>
      </c>
      <c r="C361" s="6" t="s">
        <v>400</v>
      </c>
      <c r="D361" s="6">
        <f t="shared" si="46"/>
        <v>0.5</v>
      </c>
      <c r="E361" s="6" t="s">
        <v>23</v>
      </c>
      <c r="F361" s="6" t="str">
        <f>MID(A361,19,1)</f>
        <v>C</v>
      </c>
      <c r="G361" s="6">
        <v>-23.449252810091881</v>
      </c>
      <c r="H361" s="6">
        <v>-46.785106915429267</v>
      </c>
      <c r="I361" s="9">
        <v>27767.91</v>
      </c>
      <c r="J361" s="9">
        <f>I361/500</f>
        <v>55.535820000000001</v>
      </c>
      <c r="K361" s="6">
        <v>10.199999999999999</v>
      </c>
      <c r="L361" s="6">
        <v>0</v>
      </c>
      <c r="N361" s="1">
        <f t="shared" si="44"/>
        <v>0</v>
      </c>
      <c r="Q361" s="6" t="s">
        <v>21</v>
      </c>
      <c r="R361" s="6" t="s">
        <v>21</v>
      </c>
      <c r="S361" s="6" t="s">
        <v>21</v>
      </c>
      <c r="T361" s="6" t="s">
        <v>21</v>
      </c>
      <c r="U361" s="6">
        <f t="shared" si="45"/>
        <v>0</v>
      </c>
      <c r="V361" s="6">
        <f t="shared" si="49"/>
        <v>0</v>
      </c>
    </row>
    <row r="362" spans="1:22" hidden="1" x14ac:dyDescent="0.35">
      <c r="A362" s="6" t="s">
        <v>422</v>
      </c>
      <c r="B362" s="6" t="s">
        <v>399</v>
      </c>
      <c r="C362" s="6" t="s">
        <v>400</v>
      </c>
      <c r="D362" s="6">
        <f t="shared" si="46"/>
        <v>0.5</v>
      </c>
      <c r="E362" s="6" t="s">
        <v>19</v>
      </c>
      <c r="F362" s="6" t="str">
        <f>MID(A362,19,1)</f>
        <v>S</v>
      </c>
      <c r="G362" s="6">
        <v>-23.452179636910842</v>
      </c>
      <c r="H362" s="6">
        <v>-46.787147123739949</v>
      </c>
      <c r="I362" s="9">
        <v>476.57</v>
      </c>
      <c r="K362" s="6">
        <v>5.39</v>
      </c>
      <c r="L362" s="6">
        <v>0</v>
      </c>
      <c r="N362" s="1">
        <f t="shared" si="44"/>
        <v>0</v>
      </c>
      <c r="Q362" s="6" t="s">
        <v>21</v>
      </c>
      <c r="R362" s="6" t="s">
        <v>21</v>
      </c>
      <c r="S362" s="6" t="s">
        <v>21</v>
      </c>
      <c r="T362" s="6" t="s">
        <v>21</v>
      </c>
      <c r="U362" s="6">
        <f t="shared" si="45"/>
        <v>0</v>
      </c>
      <c r="V362" s="6">
        <f t="shared" si="49"/>
        <v>0</v>
      </c>
    </row>
    <row r="363" spans="1:22" hidden="1" x14ac:dyDescent="0.35">
      <c r="A363" s="6" t="s">
        <v>423</v>
      </c>
      <c r="B363" s="6" t="s">
        <v>399</v>
      </c>
      <c r="C363" s="6" t="s">
        <v>400</v>
      </c>
      <c r="D363" s="6">
        <f t="shared" si="46"/>
        <v>0.5</v>
      </c>
      <c r="E363" s="6" t="s">
        <v>23</v>
      </c>
      <c r="F363" s="6" t="str">
        <f>MID(A363,19,1)</f>
        <v>C</v>
      </c>
      <c r="G363" s="6">
        <v>-23.450995230266692</v>
      </c>
      <c r="H363" s="6">
        <v>-46.754604041960079</v>
      </c>
      <c r="I363" s="7">
        <v>7181.46</v>
      </c>
      <c r="J363" s="9">
        <f>I363/500</f>
        <v>14.362920000000001</v>
      </c>
      <c r="K363" s="6">
        <v>6.77</v>
      </c>
      <c r="L363" s="6">
        <v>30</v>
      </c>
      <c r="N363" s="1">
        <f t="shared" si="44"/>
        <v>0</v>
      </c>
      <c r="O363" s="6" t="s">
        <v>185</v>
      </c>
      <c r="Q363" s="6" t="s">
        <v>21</v>
      </c>
      <c r="R363" s="6" t="s">
        <v>21</v>
      </c>
      <c r="S363" s="6" t="s">
        <v>21</v>
      </c>
      <c r="T363" s="6" t="s">
        <v>21</v>
      </c>
      <c r="U363" s="6">
        <f t="shared" si="45"/>
        <v>2154.4380000000001</v>
      </c>
      <c r="V363" s="6">
        <f t="shared" si="49"/>
        <v>2154.4380000000001</v>
      </c>
    </row>
    <row r="364" spans="1:22" hidden="1" x14ac:dyDescent="0.35">
      <c r="A364" s="6" t="s">
        <v>424</v>
      </c>
      <c r="B364" s="6" t="s">
        <v>399</v>
      </c>
      <c r="C364" s="6" t="s">
        <v>400</v>
      </c>
      <c r="D364" s="6">
        <f t="shared" si="46"/>
        <v>0.5</v>
      </c>
      <c r="E364" s="6" t="s">
        <v>19</v>
      </c>
      <c r="F364" s="6" t="str">
        <f>MID(A364,19,1)</f>
        <v>S</v>
      </c>
      <c r="G364" s="6">
        <v>-23.45290518047528</v>
      </c>
      <c r="H364" s="6">
        <v>-46.787406884839847</v>
      </c>
      <c r="I364" s="9">
        <v>1893.92</v>
      </c>
      <c r="K364" s="6">
        <v>8.52</v>
      </c>
      <c r="L364" s="6">
        <v>0</v>
      </c>
      <c r="N364" s="1">
        <f t="shared" si="44"/>
        <v>0</v>
      </c>
      <c r="Q364" s="6" t="s">
        <v>21</v>
      </c>
      <c r="R364" s="6" t="s">
        <v>21</v>
      </c>
      <c r="S364" s="6" t="s">
        <v>21</v>
      </c>
      <c r="T364" s="6" t="s">
        <v>21</v>
      </c>
      <c r="U364" s="6">
        <f t="shared" si="45"/>
        <v>0</v>
      </c>
      <c r="V364" s="6">
        <f t="shared" si="49"/>
        <v>0</v>
      </c>
    </row>
    <row r="365" spans="1:22" hidden="1" x14ac:dyDescent="0.35">
      <c r="A365" s="6" t="s">
        <v>425</v>
      </c>
      <c r="B365" s="6" t="s">
        <v>399</v>
      </c>
      <c r="C365" s="6" t="s">
        <v>400</v>
      </c>
      <c r="D365" s="6">
        <f t="shared" si="46"/>
        <v>0.5</v>
      </c>
      <c r="E365" s="6" t="s">
        <v>23</v>
      </c>
      <c r="F365" s="6" t="str">
        <f>MID(A365,19,1)</f>
        <v>C</v>
      </c>
      <c r="G365" s="6">
        <v>-23.446369980058989</v>
      </c>
      <c r="H365" s="6">
        <v>-46.755562001664927</v>
      </c>
      <c r="I365" s="7">
        <v>7663.06</v>
      </c>
      <c r="J365" s="9">
        <f>I365/500</f>
        <v>15.326120000000001</v>
      </c>
      <c r="K365" s="6">
        <v>3.26</v>
      </c>
      <c r="L365" s="6">
        <v>50</v>
      </c>
      <c r="N365" s="1">
        <f t="shared" si="44"/>
        <v>0</v>
      </c>
      <c r="O365" s="6" t="s">
        <v>185</v>
      </c>
      <c r="Q365" s="6" t="s">
        <v>21</v>
      </c>
      <c r="R365" s="6" t="s">
        <v>21</v>
      </c>
      <c r="S365" s="6" t="s">
        <v>21</v>
      </c>
      <c r="T365" s="6" t="s">
        <v>21</v>
      </c>
      <c r="U365" s="6">
        <f t="shared" si="45"/>
        <v>3831.53</v>
      </c>
      <c r="V365" s="6">
        <f t="shared" si="49"/>
        <v>3831.53</v>
      </c>
    </row>
    <row r="366" spans="1:22" hidden="1" x14ac:dyDescent="0.35">
      <c r="A366" s="6" t="s">
        <v>426</v>
      </c>
      <c r="B366" s="6" t="s">
        <v>399</v>
      </c>
      <c r="C366" s="6" t="s">
        <v>400</v>
      </c>
      <c r="D366" s="6">
        <f t="shared" si="46"/>
        <v>0.5</v>
      </c>
      <c r="E366" s="6" t="s">
        <v>19</v>
      </c>
      <c r="F366" s="6" t="str">
        <f>MID(A366,19,1)</f>
        <v>S</v>
      </c>
      <c r="G366" s="6">
        <v>-23.450823092429349</v>
      </c>
      <c r="H366" s="6">
        <v>-46.787405568741413</v>
      </c>
      <c r="I366" s="9">
        <v>3200.78</v>
      </c>
      <c r="K366" s="6">
        <v>3.33</v>
      </c>
      <c r="L366" s="6">
        <v>0</v>
      </c>
      <c r="N366" s="1">
        <f t="shared" si="44"/>
        <v>0</v>
      </c>
      <c r="Q366" s="6" t="s">
        <v>21</v>
      </c>
      <c r="R366" s="6" t="s">
        <v>21</v>
      </c>
      <c r="S366" s="6" t="s">
        <v>21</v>
      </c>
      <c r="T366" s="6" t="s">
        <v>21</v>
      </c>
      <c r="U366" s="6">
        <f t="shared" si="45"/>
        <v>0</v>
      </c>
      <c r="V366" s="6">
        <f t="shared" si="49"/>
        <v>0</v>
      </c>
    </row>
    <row r="367" spans="1:22" x14ac:dyDescent="0.35">
      <c r="A367" s="6" t="s">
        <v>427</v>
      </c>
      <c r="B367" s="6" t="s">
        <v>399</v>
      </c>
      <c r="C367" s="6" t="s">
        <v>400</v>
      </c>
      <c r="D367" s="6">
        <f t="shared" si="46"/>
        <v>0.5</v>
      </c>
      <c r="E367" s="6" t="s">
        <v>19</v>
      </c>
      <c r="F367" s="6" t="str">
        <f>MID(A367,19,1)</f>
        <v>N</v>
      </c>
      <c r="G367" s="6">
        <v>-23.451533553074349</v>
      </c>
      <c r="H367" s="6">
        <v>-46.786355807717037</v>
      </c>
      <c r="I367" s="9">
        <v>330.62</v>
      </c>
      <c r="K367" s="6">
        <v>5.29</v>
      </c>
      <c r="L367" s="6">
        <v>0</v>
      </c>
      <c r="N367" s="1">
        <f t="shared" si="44"/>
        <v>0</v>
      </c>
      <c r="Q367" s="6" t="s">
        <v>21</v>
      </c>
      <c r="R367" s="6" t="s">
        <v>21</v>
      </c>
      <c r="S367" s="6" t="s">
        <v>21</v>
      </c>
      <c r="T367" s="6" t="s">
        <v>21</v>
      </c>
      <c r="U367" s="6">
        <f t="shared" si="45"/>
        <v>0</v>
      </c>
      <c r="V367" s="6">
        <f t="shared" si="49"/>
        <v>0</v>
      </c>
    </row>
    <row r="368" spans="1:22" hidden="1" x14ac:dyDescent="0.35">
      <c r="A368" s="6" t="s">
        <v>428</v>
      </c>
      <c r="B368" s="6" t="s">
        <v>399</v>
      </c>
      <c r="C368" s="6" t="s">
        <v>400</v>
      </c>
      <c r="D368" s="6">
        <f t="shared" si="46"/>
        <v>0.5</v>
      </c>
      <c r="E368" s="6" t="s">
        <v>19</v>
      </c>
      <c r="F368" s="6" t="str">
        <f>MID(A368,19,1)</f>
        <v>S</v>
      </c>
      <c r="G368" s="6">
        <v>-23.451003335052889</v>
      </c>
      <c r="H368" s="6">
        <v>-46.78720414702142</v>
      </c>
      <c r="I368" s="9">
        <v>1735.39</v>
      </c>
      <c r="K368" s="6">
        <v>2.38</v>
      </c>
      <c r="L368" s="6">
        <v>0</v>
      </c>
      <c r="N368" s="1">
        <f t="shared" si="44"/>
        <v>0</v>
      </c>
      <c r="Q368" s="6" t="s">
        <v>21</v>
      </c>
      <c r="R368" s="6" t="s">
        <v>21</v>
      </c>
      <c r="S368" s="6" t="s">
        <v>21</v>
      </c>
      <c r="T368" s="6" t="s">
        <v>21</v>
      </c>
      <c r="U368" s="6">
        <f t="shared" si="45"/>
        <v>0</v>
      </c>
      <c r="V368" s="6">
        <f t="shared" si="49"/>
        <v>0</v>
      </c>
    </row>
    <row r="369" spans="1:22" x14ac:dyDescent="0.35">
      <c r="A369" s="6" t="s">
        <v>429</v>
      </c>
      <c r="B369" s="6" t="s">
        <v>399</v>
      </c>
      <c r="C369" s="6" t="s">
        <v>400</v>
      </c>
      <c r="D369" s="6">
        <f t="shared" si="46"/>
        <v>0.5</v>
      </c>
      <c r="E369" s="6" t="s">
        <v>19</v>
      </c>
      <c r="F369" s="6" t="str">
        <f>MID(A369,19,1)</f>
        <v>N</v>
      </c>
      <c r="G369" s="6">
        <v>-23.453338900004042</v>
      </c>
      <c r="H369" s="6">
        <v>-46.786277489662297</v>
      </c>
      <c r="I369" s="9">
        <v>2022.41</v>
      </c>
      <c r="K369" s="6">
        <v>8.4499999999999993</v>
      </c>
      <c r="L369" s="6">
        <v>70</v>
      </c>
      <c r="N369" s="1">
        <f t="shared" si="44"/>
        <v>0</v>
      </c>
      <c r="O369" s="6" t="s">
        <v>25</v>
      </c>
      <c r="Q369" s="6" t="s">
        <v>21</v>
      </c>
      <c r="R369" s="6" t="s">
        <v>21</v>
      </c>
      <c r="S369" s="6" t="s">
        <v>21</v>
      </c>
      <c r="T369" s="6" t="s">
        <v>21</v>
      </c>
      <c r="U369" s="6">
        <f t="shared" si="45"/>
        <v>1415.6869999999999</v>
      </c>
      <c r="V369" s="6">
        <f t="shared" si="49"/>
        <v>1415.6869999999999</v>
      </c>
    </row>
    <row r="370" spans="1:22" x14ac:dyDescent="0.35">
      <c r="A370" s="8" t="s">
        <v>430</v>
      </c>
      <c r="B370" s="8" t="s">
        <v>399</v>
      </c>
      <c r="C370" s="8" t="s">
        <v>400</v>
      </c>
      <c r="D370" s="6">
        <f t="shared" si="46"/>
        <v>0.5</v>
      </c>
      <c r="E370" s="8" t="s">
        <v>19</v>
      </c>
      <c r="F370" s="6" t="str">
        <f>MID(A370,19,1)</f>
        <v>N</v>
      </c>
      <c r="G370" s="8">
        <v>-23.452602799582479</v>
      </c>
      <c r="H370" s="8">
        <v>-46.786420472115772</v>
      </c>
      <c r="I370" s="7">
        <v>3216.82</v>
      </c>
      <c r="J370" s="7"/>
      <c r="K370" s="8">
        <v>9.44</v>
      </c>
      <c r="L370" s="8">
        <v>70</v>
      </c>
      <c r="M370" s="8"/>
      <c r="N370" s="11">
        <f t="shared" si="44"/>
        <v>2251.7739999999999</v>
      </c>
      <c r="O370" s="8" t="s">
        <v>25</v>
      </c>
      <c r="P370" s="8"/>
      <c r="Q370" s="8" t="s">
        <v>21</v>
      </c>
      <c r="R370" s="8" t="s">
        <v>21</v>
      </c>
      <c r="S370" s="8" t="s">
        <v>21</v>
      </c>
      <c r="T370" s="8" t="s">
        <v>26</v>
      </c>
      <c r="U370" s="6">
        <f t="shared" si="45"/>
        <v>0</v>
      </c>
    </row>
    <row r="371" spans="1:22" x14ac:dyDescent="0.35">
      <c r="A371" s="6" t="s">
        <v>431</v>
      </c>
      <c r="B371" s="6" t="s">
        <v>399</v>
      </c>
      <c r="C371" s="6" t="s">
        <v>400</v>
      </c>
      <c r="D371" s="6">
        <f t="shared" si="46"/>
        <v>0.5</v>
      </c>
      <c r="E371" s="6" t="s">
        <v>19</v>
      </c>
      <c r="F371" s="6" t="str">
        <f>MID(A371,19,1)</f>
        <v>N</v>
      </c>
      <c r="G371" s="6">
        <v>-23.449609828376541</v>
      </c>
      <c r="H371" s="6">
        <v>-46.784033101891012</v>
      </c>
      <c r="I371" s="9">
        <v>15230.88</v>
      </c>
      <c r="K371" s="6">
        <v>7.62</v>
      </c>
      <c r="L371" s="6">
        <v>0</v>
      </c>
      <c r="N371" s="1">
        <f t="shared" si="44"/>
        <v>0</v>
      </c>
      <c r="Q371" s="6" t="s">
        <v>21</v>
      </c>
      <c r="R371" s="6" t="s">
        <v>21</v>
      </c>
      <c r="S371" s="6" t="s">
        <v>21</v>
      </c>
      <c r="T371" s="6" t="s">
        <v>21</v>
      </c>
      <c r="U371" s="6">
        <f t="shared" si="45"/>
        <v>0</v>
      </c>
      <c r="V371" s="6">
        <f t="shared" ref="V371:V389" si="50">(I371*(L371/100))</f>
        <v>0</v>
      </c>
    </row>
    <row r="372" spans="1:22" hidden="1" x14ac:dyDescent="0.35">
      <c r="A372" s="6" t="s">
        <v>432</v>
      </c>
      <c r="B372" s="6" t="s">
        <v>399</v>
      </c>
      <c r="C372" s="6" t="s">
        <v>400</v>
      </c>
      <c r="D372" s="6">
        <f t="shared" si="46"/>
        <v>0.5</v>
      </c>
      <c r="E372" s="6" t="s">
        <v>19</v>
      </c>
      <c r="F372" s="6" t="str">
        <f>MID(A372,19,1)</f>
        <v>S</v>
      </c>
      <c r="G372" s="6">
        <v>-23.447693378447049</v>
      </c>
      <c r="H372" s="6">
        <v>-46.755654055297427</v>
      </c>
      <c r="I372" s="9">
        <v>1020.37</v>
      </c>
      <c r="K372" s="6">
        <v>4.16</v>
      </c>
      <c r="L372" s="6">
        <v>10</v>
      </c>
      <c r="N372" s="1">
        <f t="shared" si="44"/>
        <v>0</v>
      </c>
      <c r="O372" s="6" t="s">
        <v>20</v>
      </c>
      <c r="Q372" s="6" t="s">
        <v>21</v>
      </c>
      <c r="R372" s="6" t="s">
        <v>21</v>
      </c>
      <c r="S372" s="6" t="s">
        <v>21</v>
      </c>
      <c r="T372" s="6" t="s">
        <v>21</v>
      </c>
      <c r="U372" s="6">
        <f t="shared" si="45"/>
        <v>102.03700000000001</v>
      </c>
      <c r="V372" s="6">
        <f t="shared" si="50"/>
        <v>102.03700000000001</v>
      </c>
    </row>
    <row r="373" spans="1:22" hidden="1" x14ac:dyDescent="0.35">
      <c r="A373" s="6" t="s">
        <v>433</v>
      </c>
      <c r="B373" s="6" t="s">
        <v>399</v>
      </c>
      <c r="C373" s="6" t="s">
        <v>400</v>
      </c>
      <c r="D373" s="6">
        <f t="shared" si="46"/>
        <v>0.5</v>
      </c>
      <c r="E373" s="6" t="s">
        <v>19</v>
      </c>
      <c r="F373" s="6" t="str">
        <f>MID(A373,19,1)</f>
        <v>S</v>
      </c>
      <c r="G373" s="6">
        <v>-23.45175527391379</v>
      </c>
      <c r="H373" s="6">
        <v>-46.787869755818647</v>
      </c>
      <c r="I373" s="9">
        <v>13118.94</v>
      </c>
      <c r="K373" s="6">
        <v>6.13</v>
      </c>
      <c r="L373" s="6">
        <v>0</v>
      </c>
      <c r="N373" s="1">
        <f t="shared" si="44"/>
        <v>0</v>
      </c>
      <c r="Q373" s="6" t="s">
        <v>21</v>
      </c>
      <c r="R373" s="6" t="s">
        <v>21</v>
      </c>
      <c r="S373" s="6" t="s">
        <v>21</v>
      </c>
      <c r="T373" s="6" t="s">
        <v>21</v>
      </c>
      <c r="U373" s="6">
        <f t="shared" si="45"/>
        <v>0</v>
      </c>
      <c r="V373" s="6">
        <f t="shared" si="50"/>
        <v>0</v>
      </c>
    </row>
    <row r="374" spans="1:22" hidden="1" x14ac:dyDescent="0.35">
      <c r="A374" s="6" t="s">
        <v>434</v>
      </c>
      <c r="B374" s="6" t="s">
        <v>399</v>
      </c>
      <c r="C374" s="6" t="s">
        <v>400</v>
      </c>
      <c r="D374" s="6">
        <f t="shared" si="46"/>
        <v>0.5</v>
      </c>
      <c r="E374" s="6" t="s">
        <v>19</v>
      </c>
      <c r="F374" s="6" t="str">
        <f>MID(A374,19,1)</f>
        <v>S</v>
      </c>
      <c r="G374" s="6">
        <v>-23.445125347222941</v>
      </c>
      <c r="H374" s="6">
        <v>-46.756209944538703</v>
      </c>
      <c r="I374" s="9">
        <v>752.75</v>
      </c>
      <c r="K374" s="6">
        <v>5.17</v>
      </c>
      <c r="L374" s="6">
        <v>10</v>
      </c>
      <c r="N374" s="1">
        <f t="shared" si="44"/>
        <v>0</v>
      </c>
      <c r="O374" s="6" t="s">
        <v>20</v>
      </c>
      <c r="Q374" s="6" t="s">
        <v>21</v>
      </c>
      <c r="R374" s="6" t="s">
        <v>21</v>
      </c>
      <c r="S374" s="6" t="s">
        <v>21</v>
      </c>
      <c r="T374" s="6" t="s">
        <v>21</v>
      </c>
      <c r="U374" s="6">
        <f t="shared" si="45"/>
        <v>75.275000000000006</v>
      </c>
      <c r="V374" s="6">
        <f t="shared" si="50"/>
        <v>75.275000000000006</v>
      </c>
    </row>
    <row r="375" spans="1:22" hidden="1" x14ac:dyDescent="0.35">
      <c r="A375" s="6" t="s">
        <v>435</v>
      </c>
      <c r="B375" s="6" t="s">
        <v>399</v>
      </c>
      <c r="C375" s="6" t="s">
        <v>400</v>
      </c>
      <c r="D375" s="6">
        <f t="shared" si="46"/>
        <v>0.5</v>
      </c>
      <c r="E375" s="6" t="s">
        <v>23</v>
      </c>
      <c r="F375" s="6" t="str">
        <f>MID(A375,19,1)</f>
        <v>C</v>
      </c>
      <c r="G375" s="6">
        <v>-23.45486015741141</v>
      </c>
      <c r="H375" s="6">
        <v>-46.786412700284203</v>
      </c>
      <c r="I375" s="9">
        <v>8839.14</v>
      </c>
      <c r="J375" s="9">
        <f>I375/500</f>
        <v>17.678279999999997</v>
      </c>
      <c r="K375" s="6">
        <v>8.75</v>
      </c>
      <c r="L375" s="6">
        <v>0</v>
      </c>
      <c r="N375" s="1">
        <f t="shared" si="44"/>
        <v>0</v>
      </c>
      <c r="Q375" s="6" t="s">
        <v>21</v>
      </c>
      <c r="R375" s="6" t="s">
        <v>21</v>
      </c>
      <c r="S375" s="6" t="s">
        <v>21</v>
      </c>
      <c r="T375" s="6" t="s">
        <v>21</v>
      </c>
      <c r="U375" s="6">
        <f t="shared" si="45"/>
        <v>0</v>
      </c>
      <c r="V375" s="6">
        <f t="shared" si="50"/>
        <v>0</v>
      </c>
    </row>
    <row r="376" spans="1:22" x14ac:dyDescent="0.35">
      <c r="A376" s="6" t="s">
        <v>436</v>
      </c>
      <c r="B376" s="6" t="s">
        <v>399</v>
      </c>
      <c r="C376" s="6" t="s">
        <v>400</v>
      </c>
      <c r="D376" s="6">
        <f t="shared" si="46"/>
        <v>0.5</v>
      </c>
      <c r="E376" s="6" t="s">
        <v>19</v>
      </c>
      <c r="F376" s="6" t="str">
        <f>MID(A376,19,1)</f>
        <v>N</v>
      </c>
      <c r="G376" s="6">
        <v>-23.451915347550688</v>
      </c>
      <c r="H376" s="6">
        <v>-46.786244379827913</v>
      </c>
      <c r="I376" s="9">
        <v>167.73</v>
      </c>
      <c r="K376" s="6">
        <v>13.13</v>
      </c>
      <c r="L376" s="6">
        <v>0</v>
      </c>
      <c r="N376" s="1">
        <f t="shared" si="44"/>
        <v>0</v>
      </c>
      <c r="Q376" s="6" t="s">
        <v>21</v>
      </c>
      <c r="R376" s="6" t="s">
        <v>21</v>
      </c>
      <c r="S376" s="6" t="s">
        <v>21</v>
      </c>
      <c r="T376" s="6" t="s">
        <v>21</v>
      </c>
      <c r="U376" s="6">
        <f t="shared" si="45"/>
        <v>0</v>
      </c>
      <c r="V376" s="6">
        <f t="shared" si="50"/>
        <v>0</v>
      </c>
    </row>
    <row r="377" spans="1:22" hidden="1" x14ac:dyDescent="0.35">
      <c r="A377" s="6" t="s">
        <v>437</v>
      </c>
      <c r="B377" s="6" t="s">
        <v>399</v>
      </c>
      <c r="C377" s="6" t="s">
        <v>400</v>
      </c>
      <c r="D377" s="6">
        <f t="shared" si="46"/>
        <v>0.5</v>
      </c>
      <c r="E377" s="6" t="s">
        <v>19</v>
      </c>
      <c r="F377" s="6" t="str">
        <f>MID(A377,19,1)</f>
        <v>S</v>
      </c>
      <c r="G377" s="6">
        <v>-23.453616450734941</v>
      </c>
      <c r="H377" s="6">
        <v>-46.788965298757503</v>
      </c>
      <c r="I377" s="9">
        <v>4723.2700000000004</v>
      </c>
      <c r="K377" s="6">
        <v>12.31</v>
      </c>
      <c r="L377" s="6">
        <v>0</v>
      </c>
      <c r="N377" s="1">
        <f t="shared" si="44"/>
        <v>0</v>
      </c>
      <c r="Q377" s="6" t="s">
        <v>21</v>
      </c>
      <c r="R377" s="6" t="s">
        <v>21</v>
      </c>
      <c r="S377" s="6" t="s">
        <v>21</v>
      </c>
      <c r="T377" s="6" t="s">
        <v>21</v>
      </c>
      <c r="U377" s="6">
        <f t="shared" si="45"/>
        <v>0</v>
      </c>
      <c r="V377" s="6">
        <f t="shared" si="50"/>
        <v>0</v>
      </c>
    </row>
    <row r="378" spans="1:22" hidden="1" x14ac:dyDescent="0.35">
      <c r="A378" s="6" t="s">
        <v>438</v>
      </c>
      <c r="B378" s="6" t="s">
        <v>399</v>
      </c>
      <c r="C378" s="6" t="s">
        <v>400</v>
      </c>
      <c r="D378" s="6">
        <f t="shared" si="46"/>
        <v>0.5</v>
      </c>
      <c r="E378" s="6" t="s">
        <v>23</v>
      </c>
      <c r="F378" s="6" t="str">
        <f>MID(A378,19,1)</f>
        <v>C</v>
      </c>
      <c r="G378" s="6">
        <v>-23.450064304739431</v>
      </c>
      <c r="H378" s="6">
        <v>-46.786003021857738</v>
      </c>
      <c r="I378" s="9">
        <v>19750.490000000002</v>
      </c>
      <c r="J378" s="9">
        <f>I378/500</f>
        <v>39.500980000000006</v>
      </c>
      <c r="K378" s="6">
        <v>6.84</v>
      </c>
      <c r="L378" s="6">
        <v>0</v>
      </c>
      <c r="N378" s="1">
        <f t="shared" si="44"/>
        <v>0</v>
      </c>
      <c r="Q378" s="6" t="s">
        <v>21</v>
      </c>
      <c r="R378" s="6" t="s">
        <v>21</v>
      </c>
      <c r="S378" s="6" t="s">
        <v>21</v>
      </c>
      <c r="T378" s="6" t="s">
        <v>21</v>
      </c>
      <c r="U378" s="6">
        <f t="shared" si="45"/>
        <v>0</v>
      </c>
      <c r="V378" s="6">
        <f t="shared" si="50"/>
        <v>0</v>
      </c>
    </row>
    <row r="379" spans="1:22" hidden="1" x14ac:dyDescent="0.35">
      <c r="A379" s="6" t="s">
        <v>439</v>
      </c>
      <c r="B379" s="6" t="s">
        <v>399</v>
      </c>
      <c r="C379" s="6" t="s">
        <v>400</v>
      </c>
      <c r="D379" s="6">
        <f t="shared" si="46"/>
        <v>0.5</v>
      </c>
      <c r="E379" s="6" t="s">
        <v>19</v>
      </c>
      <c r="F379" s="6" t="str">
        <f>MID(A379,19,1)</f>
        <v>S</v>
      </c>
      <c r="G379" s="6">
        <v>-23.446424626053439</v>
      </c>
      <c r="H379" s="6">
        <v>-46.755957107692851</v>
      </c>
      <c r="I379" s="9">
        <v>1255.26</v>
      </c>
      <c r="K379" s="6">
        <v>7.52</v>
      </c>
      <c r="L379" s="6">
        <v>10</v>
      </c>
      <c r="N379" s="1">
        <f t="shared" si="44"/>
        <v>0</v>
      </c>
      <c r="O379" s="6" t="s">
        <v>20</v>
      </c>
      <c r="Q379" s="6" t="s">
        <v>21</v>
      </c>
      <c r="R379" s="6" t="s">
        <v>21</v>
      </c>
      <c r="S379" s="6" t="s">
        <v>21</v>
      </c>
      <c r="T379" s="6" t="s">
        <v>21</v>
      </c>
      <c r="U379" s="6">
        <f t="shared" si="45"/>
        <v>125.52600000000001</v>
      </c>
      <c r="V379" s="6">
        <f t="shared" si="50"/>
        <v>125.52600000000001</v>
      </c>
    </row>
    <row r="380" spans="1:22" x14ac:dyDescent="0.35">
      <c r="A380" s="6" t="s">
        <v>440</v>
      </c>
      <c r="B380" s="6" t="s">
        <v>399</v>
      </c>
      <c r="C380" s="6" t="s">
        <v>400</v>
      </c>
      <c r="D380" s="6">
        <f t="shared" si="46"/>
        <v>0.5</v>
      </c>
      <c r="E380" s="6" t="s">
        <v>19</v>
      </c>
      <c r="F380" s="6" t="str">
        <f>MID(A380,19,1)</f>
        <v>N</v>
      </c>
      <c r="G380" s="6">
        <v>-23.4463216769479</v>
      </c>
      <c r="H380" s="6">
        <v>-46.755238684193401</v>
      </c>
      <c r="I380" s="9">
        <v>2100.86</v>
      </c>
      <c r="K380" s="6">
        <v>6.08</v>
      </c>
      <c r="L380" s="6">
        <v>70</v>
      </c>
      <c r="N380" s="1">
        <f t="shared" si="44"/>
        <v>0</v>
      </c>
      <c r="O380" s="6" t="s">
        <v>20</v>
      </c>
      <c r="Q380" s="6" t="s">
        <v>21</v>
      </c>
      <c r="R380" s="6" t="s">
        <v>21</v>
      </c>
      <c r="S380" s="6" t="s">
        <v>21</v>
      </c>
      <c r="T380" s="6" t="s">
        <v>21</v>
      </c>
      <c r="U380" s="6">
        <f t="shared" si="45"/>
        <v>1470.6020000000001</v>
      </c>
      <c r="V380" s="6">
        <f t="shared" si="50"/>
        <v>1470.6020000000001</v>
      </c>
    </row>
    <row r="381" spans="1:22" hidden="1" x14ac:dyDescent="0.35">
      <c r="A381" s="6" t="s">
        <v>441</v>
      </c>
      <c r="B381" s="6" t="s">
        <v>399</v>
      </c>
      <c r="C381" s="6" t="s">
        <v>400</v>
      </c>
      <c r="D381" s="6">
        <f t="shared" si="46"/>
        <v>0.5</v>
      </c>
      <c r="E381" s="6" t="s">
        <v>19</v>
      </c>
      <c r="F381" s="6" t="str">
        <f>MID(A381,19,1)</f>
        <v>S</v>
      </c>
      <c r="G381" s="6">
        <v>-23.455237764715559</v>
      </c>
      <c r="H381" s="6">
        <v>-46.788000666953593</v>
      </c>
      <c r="I381" s="9">
        <v>6628.36</v>
      </c>
      <c r="K381" s="6">
        <v>10.43</v>
      </c>
      <c r="L381" s="6">
        <v>0</v>
      </c>
      <c r="N381" s="1">
        <f t="shared" si="44"/>
        <v>0</v>
      </c>
      <c r="Q381" s="6" t="s">
        <v>21</v>
      </c>
      <c r="R381" s="6" t="s">
        <v>21</v>
      </c>
      <c r="S381" s="6" t="s">
        <v>21</v>
      </c>
      <c r="T381" s="6" t="s">
        <v>21</v>
      </c>
      <c r="U381" s="6">
        <f t="shared" si="45"/>
        <v>0</v>
      </c>
      <c r="V381" s="6">
        <f t="shared" si="50"/>
        <v>0</v>
      </c>
    </row>
    <row r="382" spans="1:22" x14ac:dyDescent="0.35">
      <c r="A382" s="6" t="s">
        <v>442</v>
      </c>
      <c r="B382" s="6" t="s">
        <v>399</v>
      </c>
      <c r="C382" s="6" t="s">
        <v>400</v>
      </c>
      <c r="D382" s="6">
        <f t="shared" si="46"/>
        <v>0.5</v>
      </c>
      <c r="E382" s="6" t="s">
        <v>19</v>
      </c>
      <c r="F382" s="6" t="str">
        <f>MID(A382,19,1)</f>
        <v>N</v>
      </c>
      <c r="G382" s="6">
        <v>-23.453221698911928</v>
      </c>
      <c r="H382" s="6">
        <v>-46.785674001304542</v>
      </c>
      <c r="I382" s="9">
        <v>486.37</v>
      </c>
      <c r="K382" s="6">
        <v>22.19</v>
      </c>
      <c r="L382" s="6">
        <v>0</v>
      </c>
      <c r="N382" s="1">
        <f t="shared" si="44"/>
        <v>0</v>
      </c>
      <c r="Q382" s="6" t="s">
        <v>21</v>
      </c>
      <c r="R382" s="6" t="s">
        <v>21</v>
      </c>
      <c r="S382" s="6" t="s">
        <v>21</v>
      </c>
      <c r="T382" s="6" t="s">
        <v>21</v>
      </c>
      <c r="U382" s="6">
        <f t="shared" si="45"/>
        <v>0</v>
      </c>
      <c r="V382" s="6">
        <f t="shared" si="50"/>
        <v>0</v>
      </c>
    </row>
    <row r="383" spans="1:22" x14ac:dyDescent="0.35">
      <c r="A383" s="6" t="s">
        <v>443</v>
      </c>
      <c r="B383" s="6" t="s">
        <v>399</v>
      </c>
      <c r="C383" s="6" t="s">
        <v>400</v>
      </c>
      <c r="D383" s="6">
        <f t="shared" si="46"/>
        <v>0.5</v>
      </c>
      <c r="E383" s="6" t="s">
        <v>19</v>
      </c>
      <c r="F383" s="6" t="str">
        <f>MID(A383,19,1)</f>
        <v>N</v>
      </c>
      <c r="G383" s="6">
        <v>-23.453649300024271</v>
      </c>
      <c r="H383" s="6">
        <v>-46.785890735615538</v>
      </c>
      <c r="I383" s="9">
        <v>3761.81</v>
      </c>
      <c r="K383" s="6">
        <v>13.68</v>
      </c>
      <c r="L383" s="6">
        <v>0</v>
      </c>
      <c r="N383" s="1">
        <f t="shared" si="44"/>
        <v>0</v>
      </c>
      <c r="Q383" s="6" t="s">
        <v>21</v>
      </c>
      <c r="R383" s="6" t="s">
        <v>21</v>
      </c>
      <c r="S383" s="6" t="s">
        <v>21</v>
      </c>
      <c r="T383" s="6" t="s">
        <v>21</v>
      </c>
      <c r="U383" s="6">
        <f t="shared" si="45"/>
        <v>0</v>
      </c>
      <c r="V383" s="6">
        <f t="shared" si="50"/>
        <v>0</v>
      </c>
    </row>
    <row r="384" spans="1:22" hidden="1" x14ac:dyDescent="0.35">
      <c r="A384" s="6" t="s">
        <v>444</v>
      </c>
      <c r="B384" s="6" t="s">
        <v>445</v>
      </c>
      <c r="C384" s="6" t="s">
        <v>446</v>
      </c>
      <c r="D384" s="6">
        <f t="shared" si="46"/>
        <v>0.5</v>
      </c>
      <c r="E384" s="6" t="s">
        <v>19</v>
      </c>
      <c r="F384" s="6" t="str">
        <f>MID(A384,19,1)</f>
        <v>S</v>
      </c>
      <c r="G384" s="6">
        <v>-23.4376369284277</v>
      </c>
      <c r="H384" s="6">
        <v>-46.759089641044071</v>
      </c>
      <c r="I384" s="9">
        <v>7202.13</v>
      </c>
      <c r="K384" s="6">
        <v>4.54</v>
      </c>
      <c r="L384" s="6">
        <v>50</v>
      </c>
      <c r="N384" s="1">
        <f t="shared" si="44"/>
        <v>0</v>
      </c>
      <c r="O384" s="6" t="s">
        <v>20</v>
      </c>
      <c r="Q384" s="6" t="s">
        <v>21</v>
      </c>
      <c r="R384" s="6" t="s">
        <v>21</v>
      </c>
      <c r="S384" s="6" t="s">
        <v>21</v>
      </c>
      <c r="T384" s="6" t="s">
        <v>21</v>
      </c>
      <c r="U384" s="6">
        <f t="shared" si="45"/>
        <v>3601.0650000000001</v>
      </c>
      <c r="V384" s="6">
        <f t="shared" si="50"/>
        <v>3601.0650000000001</v>
      </c>
    </row>
    <row r="385" spans="1:22" hidden="1" x14ac:dyDescent="0.35">
      <c r="A385" s="6" t="s">
        <v>447</v>
      </c>
      <c r="B385" s="6" t="s">
        <v>445</v>
      </c>
      <c r="C385" s="6" t="s">
        <v>446</v>
      </c>
      <c r="D385" s="6">
        <f t="shared" si="46"/>
        <v>0.5</v>
      </c>
      <c r="E385" s="6" t="s">
        <v>19</v>
      </c>
      <c r="F385" s="6" t="str">
        <f>MID(A385,19,1)</f>
        <v>S</v>
      </c>
      <c r="G385" s="6">
        <v>-23.443074771766391</v>
      </c>
      <c r="H385" s="6">
        <v>-46.756661545954778</v>
      </c>
      <c r="I385" s="9">
        <v>1102.97</v>
      </c>
      <c r="K385" s="6">
        <v>5.56</v>
      </c>
      <c r="L385" s="6">
        <v>10</v>
      </c>
      <c r="N385" s="1">
        <f t="shared" si="44"/>
        <v>0</v>
      </c>
      <c r="O385" s="6" t="s">
        <v>20</v>
      </c>
      <c r="Q385" s="6" t="s">
        <v>21</v>
      </c>
      <c r="R385" s="6" t="s">
        <v>21</v>
      </c>
      <c r="S385" s="6" t="s">
        <v>21</v>
      </c>
      <c r="T385" s="6" t="s">
        <v>21</v>
      </c>
      <c r="U385" s="6">
        <f t="shared" si="45"/>
        <v>110.29700000000001</v>
      </c>
      <c r="V385" s="6">
        <f t="shared" si="50"/>
        <v>110.29700000000001</v>
      </c>
    </row>
    <row r="386" spans="1:22" hidden="1" x14ac:dyDescent="0.35">
      <c r="A386" s="6" t="s">
        <v>448</v>
      </c>
      <c r="B386" s="6" t="s">
        <v>445</v>
      </c>
      <c r="C386" s="6" t="s">
        <v>446</v>
      </c>
      <c r="D386" s="6">
        <f t="shared" si="46"/>
        <v>0.5</v>
      </c>
      <c r="E386" s="6" t="s">
        <v>23</v>
      </c>
      <c r="F386" s="6" t="str">
        <f>MID(A386,19,1)</f>
        <v>C</v>
      </c>
      <c r="G386" s="6">
        <v>-23.441937418542231</v>
      </c>
      <c r="H386" s="6">
        <v>-46.756661888488637</v>
      </c>
      <c r="I386" s="7">
        <v>7793.3</v>
      </c>
      <c r="J386" s="9">
        <f>I386/500</f>
        <v>15.586600000000001</v>
      </c>
      <c r="K386" s="6">
        <v>4.7</v>
      </c>
      <c r="L386" s="6">
        <v>50</v>
      </c>
      <c r="N386" s="1">
        <f t="shared" ref="N386:N449" si="51">IF(OR(R386="Sim",S386="Sim",T386="Sim"),(L386/100)*I386,0)</f>
        <v>0</v>
      </c>
      <c r="O386" s="6" t="s">
        <v>185</v>
      </c>
      <c r="Q386" s="6" t="s">
        <v>21</v>
      </c>
      <c r="R386" s="6" t="s">
        <v>21</v>
      </c>
      <c r="S386" s="6" t="s">
        <v>21</v>
      </c>
      <c r="T386" s="6" t="s">
        <v>21</v>
      </c>
      <c r="U386" s="6">
        <f t="shared" si="45"/>
        <v>3896.65</v>
      </c>
      <c r="V386" s="6">
        <f t="shared" si="50"/>
        <v>3896.65</v>
      </c>
    </row>
    <row r="387" spans="1:22" x14ac:dyDescent="0.35">
      <c r="A387" s="6" t="s">
        <v>449</v>
      </c>
      <c r="B387" s="6" t="s">
        <v>445</v>
      </c>
      <c r="C387" s="6" t="s">
        <v>446</v>
      </c>
      <c r="D387" s="6">
        <f t="shared" si="46"/>
        <v>0.5</v>
      </c>
      <c r="E387" s="6" t="s">
        <v>19</v>
      </c>
      <c r="F387" s="6" t="str">
        <f>MID(A387,19,1)</f>
        <v>N</v>
      </c>
      <c r="G387" s="6">
        <v>-23.437196446016529</v>
      </c>
      <c r="H387" s="6">
        <v>-46.758327844271633</v>
      </c>
      <c r="I387" s="9">
        <v>7522.85</v>
      </c>
      <c r="K387" s="6">
        <v>3.64</v>
      </c>
      <c r="L387" s="6">
        <v>70</v>
      </c>
      <c r="N387" s="1">
        <f t="shared" si="51"/>
        <v>0</v>
      </c>
      <c r="O387" s="6" t="s">
        <v>20</v>
      </c>
      <c r="Q387" s="6" t="s">
        <v>21</v>
      </c>
      <c r="R387" s="6" t="s">
        <v>21</v>
      </c>
      <c r="S387" s="6" t="s">
        <v>21</v>
      </c>
      <c r="T387" s="6" t="s">
        <v>21</v>
      </c>
      <c r="U387" s="6">
        <f t="shared" ref="U387:U450" si="52">IF(N387=0,(I387*(L387/100)),0)</f>
        <v>5265.9949999999999</v>
      </c>
      <c r="V387" s="6">
        <f t="shared" si="50"/>
        <v>5265.9949999999999</v>
      </c>
    </row>
    <row r="388" spans="1:22" x14ac:dyDescent="0.35">
      <c r="A388" s="6" t="s">
        <v>450</v>
      </c>
      <c r="B388" s="6" t="s">
        <v>445</v>
      </c>
      <c r="C388" s="6" t="s">
        <v>446</v>
      </c>
      <c r="D388" s="6">
        <f t="shared" si="46"/>
        <v>0.5</v>
      </c>
      <c r="E388" s="6" t="s">
        <v>19</v>
      </c>
      <c r="F388" s="6" t="str">
        <f>MID(A388,19,1)</f>
        <v>N</v>
      </c>
      <c r="G388" s="6">
        <v>-23.44204367130699</v>
      </c>
      <c r="H388" s="6">
        <v>-46.786322536952731</v>
      </c>
      <c r="I388" s="9">
        <v>5863.54</v>
      </c>
      <c r="K388" s="6">
        <v>4.71</v>
      </c>
      <c r="L388" s="6">
        <v>60</v>
      </c>
      <c r="N388" s="1">
        <f t="shared" si="51"/>
        <v>0</v>
      </c>
      <c r="O388" s="6" t="s">
        <v>20</v>
      </c>
      <c r="Q388" s="6" t="s">
        <v>21</v>
      </c>
      <c r="R388" s="6" t="s">
        <v>21</v>
      </c>
      <c r="S388" s="6" t="s">
        <v>21</v>
      </c>
      <c r="T388" s="6" t="s">
        <v>21</v>
      </c>
      <c r="U388" s="6">
        <f t="shared" si="52"/>
        <v>3518.1239999999998</v>
      </c>
      <c r="V388" s="6">
        <f t="shared" si="50"/>
        <v>3518.1239999999998</v>
      </c>
    </row>
    <row r="389" spans="1:22" x14ac:dyDescent="0.35">
      <c r="A389" s="6" t="s">
        <v>451</v>
      </c>
      <c r="B389" s="6" t="s">
        <v>445</v>
      </c>
      <c r="C389" s="6" t="s">
        <v>446</v>
      </c>
      <c r="D389" s="6">
        <f t="shared" si="46"/>
        <v>0.5</v>
      </c>
      <c r="E389" s="6" t="s">
        <v>19</v>
      </c>
      <c r="F389" s="6" t="str">
        <f>MID(A389,19,1)</f>
        <v>N</v>
      </c>
      <c r="G389" s="6">
        <v>-23.448285222174981</v>
      </c>
      <c r="H389" s="6">
        <v>-46.784514708940797</v>
      </c>
      <c r="I389" s="9">
        <v>2319.89</v>
      </c>
      <c r="K389" s="6">
        <v>12.14</v>
      </c>
      <c r="L389" s="6">
        <v>0</v>
      </c>
      <c r="N389" s="1">
        <f t="shared" si="51"/>
        <v>0</v>
      </c>
      <c r="Q389" s="6" t="s">
        <v>21</v>
      </c>
      <c r="R389" s="6" t="s">
        <v>21</v>
      </c>
      <c r="S389" s="6" t="s">
        <v>21</v>
      </c>
      <c r="T389" s="6" t="s">
        <v>21</v>
      </c>
      <c r="U389" s="6">
        <f t="shared" si="52"/>
        <v>0</v>
      </c>
      <c r="V389" s="6">
        <f t="shared" si="50"/>
        <v>0</v>
      </c>
    </row>
    <row r="390" spans="1:22" x14ac:dyDescent="0.35">
      <c r="A390" s="8" t="s">
        <v>452</v>
      </c>
      <c r="B390" s="8" t="s">
        <v>445</v>
      </c>
      <c r="C390" s="8" t="s">
        <v>446</v>
      </c>
      <c r="D390" s="6">
        <f t="shared" si="46"/>
        <v>0.5</v>
      </c>
      <c r="E390" s="8" t="s">
        <v>19</v>
      </c>
      <c r="F390" s="6" t="str">
        <f>MID(A390,19,1)</f>
        <v>N</v>
      </c>
      <c r="G390" s="8">
        <v>-23.439347022249319</v>
      </c>
      <c r="H390" s="8">
        <v>-46.785811496187563</v>
      </c>
      <c r="I390" s="7">
        <v>2063.9</v>
      </c>
      <c r="J390" s="7"/>
      <c r="K390" s="8">
        <v>7.83</v>
      </c>
      <c r="L390" s="8">
        <v>70</v>
      </c>
      <c r="M390" s="8"/>
      <c r="N390" s="11">
        <f t="shared" si="51"/>
        <v>1444.73</v>
      </c>
      <c r="O390" s="8" t="s">
        <v>71</v>
      </c>
      <c r="P390" s="8"/>
      <c r="Q390" s="8" t="s">
        <v>21</v>
      </c>
      <c r="R390" s="8" t="s">
        <v>21</v>
      </c>
      <c r="S390" s="8" t="s">
        <v>21</v>
      </c>
      <c r="T390" s="8" t="s">
        <v>26</v>
      </c>
      <c r="U390" s="6">
        <f t="shared" si="52"/>
        <v>0</v>
      </c>
    </row>
    <row r="391" spans="1:22" x14ac:dyDescent="0.35">
      <c r="A391" s="6" t="s">
        <v>453</v>
      </c>
      <c r="B391" s="6" t="s">
        <v>445</v>
      </c>
      <c r="C391" s="6" t="s">
        <v>446</v>
      </c>
      <c r="D391" s="6">
        <f t="shared" si="46"/>
        <v>0.5</v>
      </c>
      <c r="E391" s="6" t="s">
        <v>19</v>
      </c>
      <c r="F391" s="6" t="str">
        <f>MID(A391,19,1)</f>
        <v>N</v>
      </c>
      <c r="G391" s="6">
        <v>-23.436339828260099</v>
      </c>
      <c r="H391" s="6">
        <v>-46.758914985941892</v>
      </c>
      <c r="I391" s="9">
        <v>234.04</v>
      </c>
      <c r="K391" s="6">
        <v>2.71</v>
      </c>
      <c r="L391" s="6">
        <v>70</v>
      </c>
      <c r="N391" s="1">
        <f t="shared" si="51"/>
        <v>0</v>
      </c>
      <c r="O391" s="6" t="s">
        <v>20</v>
      </c>
      <c r="Q391" s="6" t="s">
        <v>21</v>
      </c>
      <c r="R391" s="6" t="s">
        <v>21</v>
      </c>
      <c r="S391" s="6" t="s">
        <v>21</v>
      </c>
      <c r="T391" s="6" t="s">
        <v>21</v>
      </c>
      <c r="U391" s="6">
        <f t="shared" si="52"/>
        <v>163.82799999999997</v>
      </c>
      <c r="V391" s="6">
        <f t="shared" ref="V391:V454" si="53">(I391*(L391/100))</f>
        <v>163.82799999999997</v>
      </c>
    </row>
    <row r="392" spans="1:22" x14ac:dyDescent="0.35">
      <c r="A392" s="6" t="s">
        <v>454</v>
      </c>
      <c r="B392" s="6" t="s">
        <v>445</v>
      </c>
      <c r="C392" s="6" t="s">
        <v>446</v>
      </c>
      <c r="D392" s="6">
        <f t="shared" si="46"/>
        <v>0.5</v>
      </c>
      <c r="E392" s="6" t="s">
        <v>19</v>
      </c>
      <c r="F392" s="6" t="str">
        <f>MID(A392,19,1)</f>
        <v>N</v>
      </c>
      <c r="G392" s="6">
        <v>-23.443261312805021</v>
      </c>
      <c r="H392" s="6">
        <v>-46.755874725857083</v>
      </c>
      <c r="I392" s="9">
        <v>653.53</v>
      </c>
      <c r="K392" s="6">
        <v>3.1</v>
      </c>
      <c r="L392" s="6">
        <v>70</v>
      </c>
      <c r="N392" s="1">
        <f t="shared" si="51"/>
        <v>0</v>
      </c>
      <c r="O392" s="6" t="s">
        <v>20</v>
      </c>
      <c r="Q392" s="6" t="s">
        <v>21</v>
      </c>
      <c r="R392" s="6" t="s">
        <v>21</v>
      </c>
      <c r="S392" s="6" t="s">
        <v>21</v>
      </c>
      <c r="T392" s="6" t="s">
        <v>21</v>
      </c>
      <c r="U392" s="6">
        <f t="shared" si="52"/>
        <v>457.47099999999995</v>
      </c>
      <c r="V392" s="6">
        <f t="shared" si="53"/>
        <v>457.47099999999995</v>
      </c>
    </row>
    <row r="393" spans="1:22" x14ac:dyDescent="0.35">
      <c r="A393" s="6" t="s">
        <v>455</v>
      </c>
      <c r="B393" s="6" t="s">
        <v>445</v>
      </c>
      <c r="C393" s="6" t="s">
        <v>446</v>
      </c>
      <c r="D393" s="6">
        <f t="shared" si="46"/>
        <v>0.5</v>
      </c>
      <c r="E393" s="6" t="s">
        <v>19</v>
      </c>
      <c r="F393" s="6" t="str">
        <f>MID(A393,19,1)</f>
        <v>N</v>
      </c>
      <c r="G393" s="6">
        <v>-23.439864240500089</v>
      </c>
      <c r="H393" s="6">
        <v>-46.757121021135539</v>
      </c>
      <c r="I393" s="9">
        <v>174.89</v>
      </c>
      <c r="K393" s="6">
        <v>2.97</v>
      </c>
      <c r="L393" s="6">
        <v>70</v>
      </c>
      <c r="N393" s="1">
        <f t="shared" si="51"/>
        <v>0</v>
      </c>
      <c r="O393" s="6" t="s">
        <v>20</v>
      </c>
      <c r="Q393" s="6" t="s">
        <v>21</v>
      </c>
      <c r="R393" s="6" t="s">
        <v>21</v>
      </c>
      <c r="S393" s="6" t="s">
        <v>21</v>
      </c>
      <c r="T393" s="6" t="s">
        <v>21</v>
      </c>
      <c r="U393" s="6">
        <f t="shared" si="52"/>
        <v>122.42299999999999</v>
      </c>
      <c r="V393" s="6">
        <f t="shared" si="53"/>
        <v>122.42299999999999</v>
      </c>
    </row>
    <row r="394" spans="1:22" hidden="1" x14ac:dyDescent="0.35">
      <c r="A394" s="6" t="s">
        <v>456</v>
      </c>
      <c r="B394" s="6" t="s">
        <v>445</v>
      </c>
      <c r="C394" s="6" t="s">
        <v>446</v>
      </c>
      <c r="D394" s="6">
        <f t="shared" si="46"/>
        <v>0.5</v>
      </c>
      <c r="E394" s="6" t="s">
        <v>19</v>
      </c>
      <c r="F394" s="6" t="str">
        <f>MID(A394,19,1)</f>
        <v>S</v>
      </c>
      <c r="G394" s="6">
        <v>-23.442048117391678</v>
      </c>
      <c r="H394" s="6">
        <v>-46.786753408745682</v>
      </c>
      <c r="I394" s="9">
        <v>1426.57</v>
      </c>
      <c r="K394" s="6">
        <v>2.82</v>
      </c>
      <c r="L394" s="6">
        <v>0</v>
      </c>
      <c r="N394" s="1">
        <f t="shared" si="51"/>
        <v>0</v>
      </c>
      <c r="Q394" s="6" t="s">
        <v>21</v>
      </c>
      <c r="R394" s="6" t="s">
        <v>21</v>
      </c>
      <c r="S394" s="6" t="s">
        <v>21</v>
      </c>
      <c r="T394" s="6" t="s">
        <v>21</v>
      </c>
      <c r="U394" s="6">
        <f t="shared" si="52"/>
        <v>0</v>
      </c>
      <c r="V394" s="6">
        <f t="shared" si="53"/>
        <v>0</v>
      </c>
    </row>
    <row r="395" spans="1:22" x14ac:dyDescent="0.35">
      <c r="A395" s="6" t="s">
        <v>457</v>
      </c>
      <c r="B395" s="6" t="s">
        <v>445</v>
      </c>
      <c r="C395" s="6" t="s">
        <v>446</v>
      </c>
      <c r="D395" s="6">
        <f t="shared" si="46"/>
        <v>0.5</v>
      </c>
      <c r="E395" s="6" t="s">
        <v>19</v>
      </c>
      <c r="F395" s="6" t="str">
        <f>MID(A395,19,1)</f>
        <v>N</v>
      </c>
      <c r="G395" s="6">
        <v>-23.441791311489229</v>
      </c>
      <c r="H395" s="6">
        <v>-46.786063213290547</v>
      </c>
      <c r="I395" s="9">
        <v>888.46</v>
      </c>
      <c r="K395" s="6">
        <v>3.55</v>
      </c>
      <c r="L395" s="6">
        <v>0</v>
      </c>
      <c r="N395" s="1">
        <f t="shared" si="51"/>
        <v>0</v>
      </c>
      <c r="Q395" s="6" t="s">
        <v>21</v>
      </c>
      <c r="R395" s="6" t="s">
        <v>21</v>
      </c>
      <c r="S395" s="6" t="s">
        <v>21</v>
      </c>
      <c r="T395" s="6" t="s">
        <v>21</v>
      </c>
      <c r="U395" s="6">
        <f t="shared" si="52"/>
        <v>0</v>
      </c>
      <c r="V395" s="6">
        <f t="shared" si="53"/>
        <v>0</v>
      </c>
    </row>
    <row r="396" spans="1:22" hidden="1" x14ac:dyDescent="0.35">
      <c r="A396" s="6" t="s">
        <v>458</v>
      </c>
      <c r="B396" s="6" t="s">
        <v>445</v>
      </c>
      <c r="C396" s="6" t="s">
        <v>446</v>
      </c>
      <c r="D396" s="6">
        <f t="shared" si="46"/>
        <v>0.5</v>
      </c>
      <c r="E396" s="6" t="s">
        <v>19</v>
      </c>
      <c r="F396" s="6" t="str">
        <f>MID(A396,19,1)</f>
        <v>S</v>
      </c>
      <c r="G396" s="6">
        <v>-23.43637474661945</v>
      </c>
      <c r="H396" s="6">
        <v>-46.75959096713656</v>
      </c>
      <c r="I396" s="9">
        <v>15.18</v>
      </c>
      <c r="K396" s="6">
        <v>5.91</v>
      </c>
      <c r="L396" s="6">
        <v>0</v>
      </c>
      <c r="N396" s="1">
        <f t="shared" si="51"/>
        <v>0</v>
      </c>
      <c r="Q396" s="6" t="s">
        <v>21</v>
      </c>
      <c r="R396" s="6" t="s">
        <v>21</v>
      </c>
      <c r="S396" s="6" t="s">
        <v>21</v>
      </c>
      <c r="T396" s="6" t="s">
        <v>21</v>
      </c>
      <c r="U396" s="6">
        <f t="shared" si="52"/>
        <v>0</v>
      </c>
      <c r="V396" s="6">
        <f t="shared" si="53"/>
        <v>0</v>
      </c>
    </row>
    <row r="397" spans="1:22" x14ac:dyDescent="0.35">
      <c r="A397" s="6" t="s">
        <v>459</v>
      </c>
      <c r="B397" s="6" t="s">
        <v>445</v>
      </c>
      <c r="C397" s="6" t="s">
        <v>446</v>
      </c>
      <c r="D397" s="6">
        <f t="shared" si="46"/>
        <v>0.5</v>
      </c>
      <c r="E397" s="6" t="s">
        <v>19</v>
      </c>
      <c r="F397" s="6" t="str">
        <f>MID(A397,19,1)</f>
        <v>N</v>
      </c>
      <c r="G397" s="6">
        <v>-23.446997066013321</v>
      </c>
      <c r="H397" s="6">
        <v>-46.787031529213372</v>
      </c>
      <c r="I397" s="9">
        <v>627.29999999999995</v>
      </c>
      <c r="K397" s="6">
        <v>12.66</v>
      </c>
      <c r="L397" s="6">
        <v>0</v>
      </c>
      <c r="N397" s="1">
        <f t="shared" si="51"/>
        <v>0</v>
      </c>
      <c r="Q397" s="6" t="s">
        <v>21</v>
      </c>
      <c r="R397" s="6" t="s">
        <v>21</v>
      </c>
      <c r="S397" s="6" t="s">
        <v>21</v>
      </c>
      <c r="T397" s="6" t="s">
        <v>21</v>
      </c>
      <c r="U397" s="6">
        <f t="shared" si="52"/>
        <v>0</v>
      </c>
      <c r="V397" s="6">
        <f t="shared" si="53"/>
        <v>0</v>
      </c>
    </row>
    <row r="398" spans="1:22" hidden="1" x14ac:dyDescent="0.35">
      <c r="A398" s="6" t="s">
        <v>460</v>
      </c>
      <c r="B398" s="6" t="s">
        <v>445</v>
      </c>
      <c r="C398" s="6" t="s">
        <v>446</v>
      </c>
      <c r="D398" s="6">
        <f t="shared" ref="D398:D461" si="54">C398-B398</f>
        <v>0.5</v>
      </c>
      <c r="E398" s="6" t="s">
        <v>19</v>
      </c>
      <c r="F398" s="6" t="str">
        <f>MID(A398,19,1)</f>
        <v>S</v>
      </c>
      <c r="G398" s="6">
        <v>-23.44697092122513</v>
      </c>
      <c r="H398" s="6">
        <v>-46.787702063385467</v>
      </c>
      <c r="I398" s="9">
        <v>2423.5100000000002</v>
      </c>
      <c r="K398" s="6">
        <v>9.68</v>
      </c>
      <c r="L398" s="6">
        <v>0</v>
      </c>
      <c r="N398" s="1">
        <f t="shared" si="51"/>
        <v>0</v>
      </c>
      <c r="Q398" s="6" t="s">
        <v>21</v>
      </c>
      <c r="R398" s="6" t="s">
        <v>21</v>
      </c>
      <c r="S398" s="6" t="s">
        <v>21</v>
      </c>
      <c r="T398" s="6" t="s">
        <v>21</v>
      </c>
      <c r="U398" s="6">
        <f t="shared" si="52"/>
        <v>0</v>
      </c>
      <c r="V398" s="6">
        <f t="shared" si="53"/>
        <v>0</v>
      </c>
    </row>
    <row r="399" spans="1:22" hidden="1" x14ac:dyDescent="0.35">
      <c r="A399" s="6" t="s">
        <v>461</v>
      </c>
      <c r="B399" s="6" t="s">
        <v>445</v>
      </c>
      <c r="C399" s="6" t="s">
        <v>446</v>
      </c>
      <c r="D399" s="6">
        <f t="shared" si="54"/>
        <v>0.5</v>
      </c>
      <c r="E399" s="6" t="s">
        <v>23</v>
      </c>
      <c r="F399" s="6" t="str">
        <f>MID(A399,19,1)</f>
        <v>C</v>
      </c>
      <c r="G399" s="6">
        <v>-23.447112095815221</v>
      </c>
      <c r="H399" s="6">
        <v>-46.787246609314778</v>
      </c>
      <c r="I399" s="9">
        <v>3398.86</v>
      </c>
      <c r="J399" s="9">
        <f>I399/500</f>
        <v>6.79772</v>
      </c>
      <c r="K399" s="6">
        <v>13.5</v>
      </c>
      <c r="L399" s="6">
        <v>0</v>
      </c>
      <c r="N399" s="1">
        <f t="shared" si="51"/>
        <v>0</v>
      </c>
      <c r="Q399" s="6" t="s">
        <v>21</v>
      </c>
      <c r="R399" s="6" t="s">
        <v>21</v>
      </c>
      <c r="S399" s="6" t="s">
        <v>21</v>
      </c>
      <c r="T399" s="6" t="s">
        <v>21</v>
      </c>
      <c r="U399" s="6">
        <f t="shared" si="52"/>
        <v>0</v>
      </c>
      <c r="V399" s="6">
        <f t="shared" si="53"/>
        <v>0</v>
      </c>
    </row>
    <row r="400" spans="1:22" x14ac:dyDescent="0.35">
      <c r="A400" s="6" t="s">
        <v>462</v>
      </c>
      <c r="B400" s="6" t="s">
        <v>445</v>
      </c>
      <c r="C400" s="6" t="s">
        <v>446</v>
      </c>
      <c r="D400" s="6">
        <f t="shared" si="54"/>
        <v>0.5</v>
      </c>
      <c r="E400" s="6" t="s">
        <v>19</v>
      </c>
      <c r="F400" s="6" t="str">
        <f>MID(A400,19,1)</f>
        <v>N</v>
      </c>
      <c r="G400" s="6">
        <v>-23.444475649404261</v>
      </c>
      <c r="H400" s="6">
        <v>-46.786635457654533</v>
      </c>
      <c r="I400" s="9">
        <v>730.99</v>
      </c>
      <c r="K400" s="6">
        <v>14.32</v>
      </c>
      <c r="L400" s="6">
        <v>0</v>
      </c>
      <c r="N400" s="1">
        <f t="shared" si="51"/>
        <v>0</v>
      </c>
      <c r="Q400" s="6" t="s">
        <v>21</v>
      </c>
      <c r="R400" s="6" t="s">
        <v>21</v>
      </c>
      <c r="S400" s="6" t="s">
        <v>21</v>
      </c>
      <c r="T400" s="6" t="s">
        <v>21</v>
      </c>
      <c r="U400" s="6">
        <f t="shared" si="52"/>
        <v>0</v>
      </c>
      <c r="V400" s="6">
        <f t="shared" si="53"/>
        <v>0</v>
      </c>
    </row>
    <row r="401" spans="1:22" hidden="1" x14ac:dyDescent="0.35">
      <c r="A401" s="6" t="s">
        <v>463</v>
      </c>
      <c r="B401" s="6" t="s">
        <v>445</v>
      </c>
      <c r="C401" s="6" t="s">
        <v>446</v>
      </c>
      <c r="D401" s="6">
        <f t="shared" si="54"/>
        <v>0.5</v>
      </c>
      <c r="E401" s="6" t="s">
        <v>23</v>
      </c>
      <c r="F401" s="6" t="str">
        <f>MID(A401,19,1)</f>
        <v>C</v>
      </c>
      <c r="G401" s="6">
        <v>-23.438044720927252</v>
      </c>
      <c r="H401" s="6">
        <v>-46.758424572821198</v>
      </c>
      <c r="I401" s="7">
        <v>6602.03</v>
      </c>
      <c r="J401" s="9">
        <f>I401/500</f>
        <v>13.20406</v>
      </c>
      <c r="K401" s="6">
        <v>4.59</v>
      </c>
      <c r="L401" s="6">
        <v>30</v>
      </c>
      <c r="N401" s="1">
        <f t="shared" si="51"/>
        <v>0</v>
      </c>
      <c r="O401" s="6" t="s">
        <v>185</v>
      </c>
      <c r="Q401" s="6" t="s">
        <v>21</v>
      </c>
      <c r="R401" s="6" t="s">
        <v>21</v>
      </c>
      <c r="S401" s="6" t="s">
        <v>21</v>
      </c>
      <c r="T401" s="6" t="s">
        <v>21</v>
      </c>
      <c r="U401" s="6">
        <f t="shared" si="52"/>
        <v>1980.6089999999999</v>
      </c>
      <c r="V401" s="6">
        <f t="shared" si="53"/>
        <v>1980.6089999999999</v>
      </c>
    </row>
    <row r="402" spans="1:22" x14ac:dyDescent="0.35">
      <c r="A402" s="6" t="s">
        <v>464</v>
      </c>
      <c r="B402" s="6" t="s">
        <v>445</v>
      </c>
      <c r="C402" s="6" t="s">
        <v>446</v>
      </c>
      <c r="D402" s="6">
        <f t="shared" si="54"/>
        <v>0.5</v>
      </c>
      <c r="E402" s="6" t="s">
        <v>19</v>
      </c>
      <c r="F402" s="6" t="str">
        <f>MID(A402,19,1)</f>
        <v>N</v>
      </c>
      <c r="G402" s="6">
        <v>-23.443560090853708</v>
      </c>
      <c r="H402" s="6">
        <v>-46.786456159013127</v>
      </c>
      <c r="I402" s="9">
        <v>65.31</v>
      </c>
      <c r="K402" s="6">
        <v>12.69</v>
      </c>
      <c r="L402" s="6">
        <v>0</v>
      </c>
      <c r="N402" s="1">
        <f t="shared" si="51"/>
        <v>0</v>
      </c>
      <c r="Q402" s="6" t="s">
        <v>21</v>
      </c>
      <c r="R402" s="6" t="s">
        <v>21</v>
      </c>
      <c r="S402" s="6" t="s">
        <v>21</v>
      </c>
      <c r="T402" s="6" t="s">
        <v>21</v>
      </c>
      <c r="U402" s="6">
        <f t="shared" si="52"/>
        <v>0</v>
      </c>
      <c r="V402" s="6">
        <f t="shared" si="53"/>
        <v>0</v>
      </c>
    </row>
    <row r="403" spans="1:22" x14ac:dyDescent="0.35">
      <c r="A403" s="6" t="s">
        <v>465</v>
      </c>
      <c r="B403" s="6" t="s">
        <v>445</v>
      </c>
      <c r="C403" s="6" t="s">
        <v>446</v>
      </c>
      <c r="D403" s="6">
        <f t="shared" si="54"/>
        <v>0.5</v>
      </c>
      <c r="E403" s="6" t="s">
        <v>19</v>
      </c>
      <c r="F403" s="6" t="str">
        <f>MID(A403,19,1)</f>
        <v>N</v>
      </c>
      <c r="G403" s="6">
        <v>-23.44312191130242</v>
      </c>
      <c r="H403" s="6">
        <v>-46.786345223962698</v>
      </c>
      <c r="I403" s="9">
        <v>275.42</v>
      </c>
      <c r="K403" s="6">
        <v>5.08</v>
      </c>
      <c r="L403" s="6">
        <v>0</v>
      </c>
      <c r="N403" s="1">
        <f t="shared" si="51"/>
        <v>0</v>
      </c>
      <c r="Q403" s="6" t="s">
        <v>21</v>
      </c>
      <c r="R403" s="6" t="s">
        <v>21</v>
      </c>
      <c r="S403" s="6" t="s">
        <v>21</v>
      </c>
      <c r="T403" s="6" t="s">
        <v>21</v>
      </c>
      <c r="U403" s="6">
        <f t="shared" si="52"/>
        <v>0</v>
      </c>
      <c r="V403" s="6">
        <f t="shared" si="53"/>
        <v>0</v>
      </c>
    </row>
    <row r="404" spans="1:22" hidden="1" x14ac:dyDescent="0.35">
      <c r="A404" s="6" t="s">
        <v>466</v>
      </c>
      <c r="B404" s="6" t="s">
        <v>445</v>
      </c>
      <c r="C404" s="6" t="s">
        <v>446</v>
      </c>
      <c r="D404" s="6">
        <f t="shared" si="54"/>
        <v>0.5</v>
      </c>
      <c r="E404" s="6" t="s">
        <v>19</v>
      </c>
      <c r="F404" s="6" t="str">
        <f>MID(A404,19,1)</f>
        <v>S</v>
      </c>
      <c r="G404" s="6">
        <v>-23.445706459426901</v>
      </c>
      <c r="H404" s="6">
        <v>-46.787605053694122</v>
      </c>
      <c r="I404" s="9">
        <v>1890.46</v>
      </c>
      <c r="K404" s="6">
        <v>7.46</v>
      </c>
      <c r="L404" s="6">
        <v>0</v>
      </c>
      <c r="N404" s="1">
        <f t="shared" si="51"/>
        <v>0</v>
      </c>
      <c r="Q404" s="6" t="s">
        <v>21</v>
      </c>
      <c r="R404" s="6" t="s">
        <v>21</v>
      </c>
      <c r="S404" s="6" t="s">
        <v>21</v>
      </c>
      <c r="T404" s="6" t="s">
        <v>21</v>
      </c>
      <c r="U404" s="6">
        <f t="shared" si="52"/>
        <v>0</v>
      </c>
      <c r="V404" s="6">
        <f t="shared" si="53"/>
        <v>0</v>
      </c>
    </row>
    <row r="405" spans="1:22" x14ac:dyDescent="0.35">
      <c r="A405" s="6" t="s">
        <v>467</v>
      </c>
      <c r="B405" s="6" t="s">
        <v>445</v>
      </c>
      <c r="C405" s="6" t="s">
        <v>446</v>
      </c>
      <c r="D405" s="6">
        <f t="shared" si="54"/>
        <v>0.5</v>
      </c>
      <c r="E405" s="6" t="s">
        <v>19</v>
      </c>
      <c r="F405" s="6" t="str">
        <f>MID(A405,19,1)</f>
        <v>N</v>
      </c>
      <c r="G405" s="6">
        <v>-23.441061884933589</v>
      </c>
      <c r="H405" s="6">
        <v>-46.756561136216632</v>
      </c>
      <c r="I405" s="9">
        <v>211.28</v>
      </c>
      <c r="K405" s="6">
        <v>1.67</v>
      </c>
      <c r="L405" s="6">
        <v>70</v>
      </c>
      <c r="N405" s="1">
        <f t="shared" si="51"/>
        <v>0</v>
      </c>
      <c r="O405" s="6" t="s">
        <v>20</v>
      </c>
      <c r="Q405" s="6" t="s">
        <v>21</v>
      </c>
      <c r="R405" s="6" t="s">
        <v>21</v>
      </c>
      <c r="S405" s="6" t="s">
        <v>21</v>
      </c>
      <c r="T405" s="6" t="s">
        <v>21</v>
      </c>
      <c r="U405" s="6">
        <f t="shared" si="52"/>
        <v>147.89599999999999</v>
      </c>
      <c r="V405" s="6">
        <f t="shared" si="53"/>
        <v>147.89599999999999</v>
      </c>
    </row>
    <row r="406" spans="1:22" x14ac:dyDescent="0.35">
      <c r="A406" s="6" t="s">
        <v>468</v>
      </c>
      <c r="B406" s="6" t="s">
        <v>445</v>
      </c>
      <c r="C406" s="6" t="s">
        <v>446</v>
      </c>
      <c r="D406" s="6">
        <f t="shared" si="54"/>
        <v>0.5</v>
      </c>
      <c r="E406" s="6" t="s">
        <v>19</v>
      </c>
      <c r="F406" s="6" t="str">
        <f>MID(A406,19,1)</f>
        <v>N</v>
      </c>
      <c r="G406" s="6">
        <v>-23.438356432828972</v>
      </c>
      <c r="H406" s="6">
        <v>-46.757746860254812</v>
      </c>
      <c r="I406" s="9">
        <v>1255.71</v>
      </c>
      <c r="K406" s="6">
        <v>4.51</v>
      </c>
      <c r="L406" s="6">
        <v>70</v>
      </c>
      <c r="N406" s="1">
        <f t="shared" si="51"/>
        <v>0</v>
      </c>
      <c r="O406" s="6" t="s">
        <v>20</v>
      </c>
      <c r="Q406" s="6" t="s">
        <v>21</v>
      </c>
      <c r="R406" s="6" t="s">
        <v>21</v>
      </c>
      <c r="S406" s="6" t="s">
        <v>21</v>
      </c>
      <c r="T406" s="6" t="s">
        <v>21</v>
      </c>
      <c r="U406" s="6">
        <f t="shared" si="52"/>
        <v>878.99699999999996</v>
      </c>
      <c r="V406" s="6">
        <f t="shared" si="53"/>
        <v>878.99699999999996</v>
      </c>
    </row>
    <row r="407" spans="1:22" x14ac:dyDescent="0.35">
      <c r="A407" s="6" t="s">
        <v>469</v>
      </c>
      <c r="B407" s="6" t="s">
        <v>445</v>
      </c>
      <c r="C407" s="6" t="s">
        <v>446</v>
      </c>
      <c r="D407" s="6">
        <f t="shared" si="54"/>
        <v>0.5</v>
      </c>
      <c r="E407" s="6" t="s">
        <v>19</v>
      </c>
      <c r="F407" s="6" t="str">
        <f>MID(A407,19,1)</f>
        <v>N</v>
      </c>
      <c r="G407" s="6">
        <v>-23.44057552748761</v>
      </c>
      <c r="H407" s="6">
        <v>-46.785808576575917</v>
      </c>
      <c r="I407" s="9">
        <v>66.91</v>
      </c>
      <c r="K407" s="6">
        <v>5.7</v>
      </c>
      <c r="L407" s="6">
        <v>0</v>
      </c>
      <c r="N407" s="1">
        <f t="shared" si="51"/>
        <v>0</v>
      </c>
      <c r="Q407" s="6" t="s">
        <v>21</v>
      </c>
      <c r="R407" s="6" t="s">
        <v>21</v>
      </c>
      <c r="S407" s="6" t="s">
        <v>21</v>
      </c>
      <c r="T407" s="6" t="s">
        <v>21</v>
      </c>
      <c r="U407" s="6">
        <f t="shared" si="52"/>
        <v>0</v>
      </c>
      <c r="V407" s="6">
        <f t="shared" si="53"/>
        <v>0</v>
      </c>
    </row>
    <row r="408" spans="1:22" x14ac:dyDescent="0.35">
      <c r="A408" s="6" t="s">
        <v>470</v>
      </c>
      <c r="B408" s="6" t="s">
        <v>445</v>
      </c>
      <c r="C408" s="6" t="s">
        <v>446</v>
      </c>
      <c r="D408" s="6">
        <f t="shared" si="54"/>
        <v>0.5</v>
      </c>
      <c r="E408" s="6" t="s">
        <v>19</v>
      </c>
      <c r="F408" s="6" t="str">
        <f>MID(A408,19,1)</f>
        <v>N</v>
      </c>
      <c r="G408" s="6">
        <v>-23.444923770046518</v>
      </c>
      <c r="H408" s="6">
        <v>-46.786864992332049</v>
      </c>
      <c r="I408" s="9">
        <v>4227.7299999999996</v>
      </c>
      <c r="K408" s="6">
        <v>11.85</v>
      </c>
      <c r="L408" s="6">
        <v>0</v>
      </c>
      <c r="N408" s="1">
        <f t="shared" si="51"/>
        <v>0</v>
      </c>
      <c r="Q408" s="6" t="s">
        <v>21</v>
      </c>
      <c r="R408" s="6" t="s">
        <v>21</v>
      </c>
      <c r="S408" s="6" t="s">
        <v>21</v>
      </c>
      <c r="T408" s="6" t="s">
        <v>21</v>
      </c>
      <c r="U408" s="6">
        <f t="shared" si="52"/>
        <v>0</v>
      </c>
      <c r="V408" s="6">
        <f t="shared" si="53"/>
        <v>0</v>
      </c>
    </row>
    <row r="409" spans="1:22" hidden="1" x14ac:dyDescent="0.35">
      <c r="A409" s="6" t="s">
        <v>471</v>
      </c>
      <c r="B409" s="6" t="s">
        <v>472</v>
      </c>
      <c r="C409" s="6" t="s">
        <v>473</v>
      </c>
      <c r="D409" s="6">
        <f t="shared" si="54"/>
        <v>0.5</v>
      </c>
      <c r="E409" s="6" t="s">
        <v>19</v>
      </c>
      <c r="F409" s="6" t="str">
        <f>MID(A409,19,1)</f>
        <v>S</v>
      </c>
      <c r="G409" s="6">
        <v>-23.43227948186783</v>
      </c>
      <c r="H409" s="6">
        <v>-46.786938872255263</v>
      </c>
      <c r="I409" s="9">
        <v>1871.05</v>
      </c>
      <c r="K409" s="6">
        <v>7.04</v>
      </c>
      <c r="L409" s="6">
        <v>30</v>
      </c>
      <c r="N409" s="1">
        <f t="shared" si="51"/>
        <v>0</v>
      </c>
      <c r="O409" s="6" t="s">
        <v>185</v>
      </c>
      <c r="Q409" s="6" t="s">
        <v>21</v>
      </c>
      <c r="R409" s="6" t="s">
        <v>21</v>
      </c>
      <c r="S409" s="6" t="s">
        <v>21</v>
      </c>
      <c r="T409" s="6" t="s">
        <v>21</v>
      </c>
      <c r="U409" s="6">
        <f t="shared" si="52"/>
        <v>561.31499999999994</v>
      </c>
      <c r="V409" s="6">
        <f t="shared" si="53"/>
        <v>561.31499999999994</v>
      </c>
    </row>
    <row r="410" spans="1:22" x14ac:dyDescent="0.35">
      <c r="A410" s="6" t="s">
        <v>474</v>
      </c>
      <c r="B410" s="6" t="s">
        <v>472</v>
      </c>
      <c r="C410" s="6" t="s">
        <v>473</v>
      </c>
      <c r="D410" s="6">
        <f t="shared" si="54"/>
        <v>0.5</v>
      </c>
      <c r="E410" s="6" t="s">
        <v>19</v>
      </c>
      <c r="F410" s="6" t="str">
        <f>MID(A410,19,1)</f>
        <v>N</v>
      </c>
      <c r="G410" s="6">
        <v>-23.432002797184211</v>
      </c>
      <c r="H410" s="6">
        <v>-46.786427842044617</v>
      </c>
      <c r="I410" s="9">
        <v>1845.94</v>
      </c>
      <c r="K410" s="6">
        <v>4.09</v>
      </c>
      <c r="L410" s="6">
        <v>20</v>
      </c>
      <c r="N410" s="1">
        <f t="shared" si="51"/>
        <v>0</v>
      </c>
      <c r="O410" s="6" t="s">
        <v>185</v>
      </c>
      <c r="Q410" s="6" t="s">
        <v>21</v>
      </c>
      <c r="R410" s="6" t="s">
        <v>21</v>
      </c>
      <c r="S410" s="6" t="s">
        <v>21</v>
      </c>
      <c r="T410" s="6" t="s">
        <v>21</v>
      </c>
      <c r="U410" s="6">
        <f t="shared" si="52"/>
        <v>369.18800000000005</v>
      </c>
      <c r="V410" s="6">
        <f t="shared" si="53"/>
        <v>369.18800000000005</v>
      </c>
    </row>
    <row r="411" spans="1:22" hidden="1" x14ac:dyDescent="0.35">
      <c r="A411" s="6" t="s">
        <v>475</v>
      </c>
      <c r="B411" s="6" t="s">
        <v>472</v>
      </c>
      <c r="C411" s="6" t="s">
        <v>473</v>
      </c>
      <c r="D411" s="6">
        <f t="shared" si="54"/>
        <v>0.5</v>
      </c>
      <c r="E411" s="6" t="s">
        <v>19</v>
      </c>
      <c r="F411" s="6" t="str">
        <f>MID(A411,19,1)</f>
        <v>S</v>
      </c>
      <c r="G411" s="6">
        <v>-23.43593474065143</v>
      </c>
      <c r="H411" s="6">
        <v>-46.786396431334467</v>
      </c>
      <c r="I411" s="9">
        <v>76.5</v>
      </c>
      <c r="K411" s="6">
        <v>3.74</v>
      </c>
      <c r="L411" s="6">
        <v>0</v>
      </c>
      <c r="N411" s="1">
        <f t="shared" si="51"/>
        <v>0</v>
      </c>
      <c r="Q411" s="6" t="s">
        <v>21</v>
      </c>
      <c r="R411" s="6" t="s">
        <v>21</v>
      </c>
      <c r="S411" s="6" t="s">
        <v>21</v>
      </c>
      <c r="T411" s="6" t="s">
        <v>21</v>
      </c>
      <c r="U411" s="6">
        <f t="shared" si="52"/>
        <v>0</v>
      </c>
      <c r="V411" s="6">
        <f t="shared" si="53"/>
        <v>0</v>
      </c>
    </row>
    <row r="412" spans="1:22" hidden="1" x14ac:dyDescent="0.35">
      <c r="A412" s="6" t="s">
        <v>476</v>
      </c>
      <c r="B412" s="6" t="s">
        <v>472</v>
      </c>
      <c r="C412" s="6" t="s">
        <v>473</v>
      </c>
      <c r="D412" s="6">
        <f t="shared" si="54"/>
        <v>0.5</v>
      </c>
      <c r="E412" s="6" t="s">
        <v>19</v>
      </c>
      <c r="F412" s="6" t="str">
        <f>MID(A412,19,1)</f>
        <v>S</v>
      </c>
      <c r="G412" s="6">
        <v>-23.433038066078069</v>
      </c>
      <c r="H412" s="6">
        <v>-46.760685152404569</v>
      </c>
      <c r="I412" s="9">
        <v>1597.45</v>
      </c>
      <c r="K412" s="6">
        <v>4.3</v>
      </c>
      <c r="L412" s="6">
        <v>50</v>
      </c>
      <c r="N412" s="1">
        <f t="shared" si="51"/>
        <v>0</v>
      </c>
      <c r="O412" s="6" t="s">
        <v>20</v>
      </c>
      <c r="Q412" s="6" t="s">
        <v>21</v>
      </c>
      <c r="R412" s="6" t="s">
        <v>21</v>
      </c>
      <c r="S412" s="6" t="s">
        <v>21</v>
      </c>
      <c r="T412" s="6" t="s">
        <v>21</v>
      </c>
      <c r="U412" s="6">
        <f t="shared" si="52"/>
        <v>798.72500000000002</v>
      </c>
      <c r="V412" s="6">
        <f t="shared" si="53"/>
        <v>798.72500000000002</v>
      </c>
    </row>
    <row r="413" spans="1:22" hidden="1" x14ac:dyDescent="0.35">
      <c r="A413" s="6" t="s">
        <v>477</v>
      </c>
      <c r="B413" s="6" t="s">
        <v>472</v>
      </c>
      <c r="C413" s="6" t="s">
        <v>473</v>
      </c>
      <c r="D413" s="6">
        <f t="shared" si="54"/>
        <v>0.5</v>
      </c>
      <c r="E413" s="6" t="s">
        <v>19</v>
      </c>
      <c r="F413" s="6" t="str">
        <f>MID(A413,19,1)</f>
        <v>S</v>
      </c>
      <c r="G413" s="6">
        <v>-23.432348579842511</v>
      </c>
      <c r="H413" s="6">
        <v>-46.759969318754308</v>
      </c>
      <c r="I413" s="9">
        <v>3611.56</v>
      </c>
      <c r="K413" s="6">
        <v>3.89</v>
      </c>
      <c r="L413" s="6">
        <v>70</v>
      </c>
      <c r="N413" s="1">
        <f t="shared" si="51"/>
        <v>0</v>
      </c>
      <c r="O413" s="6" t="s">
        <v>20</v>
      </c>
      <c r="Q413" s="6" t="s">
        <v>21</v>
      </c>
      <c r="R413" s="6" t="s">
        <v>21</v>
      </c>
      <c r="S413" s="6" t="s">
        <v>21</v>
      </c>
      <c r="T413" s="6" t="s">
        <v>21</v>
      </c>
      <c r="U413" s="6">
        <f t="shared" si="52"/>
        <v>2528.0919999999996</v>
      </c>
      <c r="V413" s="6">
        <f t="shared" si="53"/>
        <v>2528.0919999999996</v>
      </c>
    </row>
    <row r="414" spans="1:22" hidden="1" x14ac:dyDescent="0.35">
      <c r="A414" s="6" t="s">
        <v>478</v>
      </c>
      <c r="B414" s="6" t="s">
        <v>472</v>
      </c>
      <c r="C414" s="6" t="s">
        <v>473</v>
      </c>
      <c r="D414" s="6">
        <f t="shared" si="54"/>
        <v>0.5</v>
      </c>
      <c r="E414" s="6" t="s">
        <v>19</v>
      </c>
      <c r="F414" s="6" t="str">
        <f>MID(A414,19,1)</f>
        <v>S</v>
      </c>
      <c r="G414" s="6">
        <v>-23.42965874685882</v>
      </c>
      <c r="H414" s="6">
        <v>-46.761028863005713</v>
      </c>
      <c r="I414" s="9">
        <v>1808.81</v>
      </c>
      <c r="K414" s="6">
        <v>3.03</v>
      </c>
      <c r="L414" s="6">
        <v>80</v>
      </c>
      <c r="N414" s="1">
        <f t="shared" si="51"/>
        <v>0</v>
      </c>
      <c r="O414" s="6" t="s">
        <v>20</v>
      </c>
      <c r="Q414" s="6" t="s">
        <v>21</v>
      </c>
      <c r="R414" s="6" t="s">
        <v>21</v>
      </c>
      <c r="S414" s="6" t="s">
        <v>21</v>
      </c>
      <c r="T414" s="6" t="s">
        <v>21</v>
      </c>
      <c r="U414" s="6">
        <f t="shared" si="52"/>
        <v>1447.048</v>
      </c>
      <c r="V414" s="6">
        <f t="shared" si="53"/>
        <v>1447.048</v>
      </c>
    </row>
    <row r="415" spans="1:22" x14ac:dyDescent="0.35">
      <c r="A415" s="6" t="s">
        <v>479</v>
      </c>
      <c r="B415" s="6" t="s">
        <v>472</v>
      </c>
      <c r="C415" s="6" t="s">
        <v>473</v>
      </c>
      <c r="D415" s="6">
        <f t="shared" si="54"/>
        <v>0.5</v>
      </c>
      <c r="E415" s="6" t="s">
        <v>19</v>
      </c>
      <c r="F415" s="6" t="str">
        <f>MID(A415,19,1)</f>
        <v>N</v>
      </c>
      <c r="G415" s="6">
        <v>-23.435693898813849</v>
      </c>
      <c r="H415" s="6">
        <v>-46.75877025238831</v>
      </c>
      <c r="I415" s="9">
        <v>3797.12</v>
      </c>
      <c r="K415" s="6">
        <v>3.25</v>
      </c>
      <c r="L415" s="6">
        <v>70</v>
      </c>
      <c r="N415" s="1">
        <f t="shared" si="51"/>
        <v>0</v>
      </c>
      <c r="O415" s="6" t="s">
        <v>20</v>
      </c>
      <c r="Q415" s="6" t="s">
        <v>21</v>
      </c>
      <c r="R415" s="6" t="s">
        <v>21</v>
      </c>
      <c r="S415" s="6" t="s">
        <v>21</v>
      </c>
      <c r="T415" s="6" t="s">
        <v>21</v>
      </c>
      <c r="U415" s="6">
        <f t="shared" si="52"/>
        <v>2657.9839999999999</v>
      </c>
      <c r="V415" s="6">
        <f t="shared" si="53"/>
        <v>2657.9839999999999</v>
      </c>
    </row>
    <row r="416" spans="1:22" hidden="1" x14ac:dyDescent="0.35">
      <c r="A416" s="6" t="s">
        <v>480</v>
      </c>
      <c r="B416" s="6" t="s">
        <v>472</v>
      </c>
      <c r="C416" s="6" t="s">
        <v>473</v>
      </c>
      <c r="D416" s="6">
        <f t="shared" si="54"/>
        <v>0.5</v>
      </c>
      <c r="E416" s="6" t="s">
        <v>19</v>
      </c>
      <c r="F416" s="6" t="str">
        <f>MID(A416,19,1)</f>
        <v>S</v>
      </c>
      <c r="G416" s="6">
        <v>-23.435217323544791</v>
      </c>
      <c r="H416" s="6">
        <v>-46.786556987120292</v>
      </c>
      <c r="I416" s="9">
        <v>847.3</v>
      </c>
      <c r="K416" s="6">
        <v>9.7799999999999994</v>
      </c>
      <c r="L416" s="6">
        <v>0</v>
      </c>
      <c r="N416" s="1">
        <f t="shared" si="51"/>
        <v>0</v>
      </c>
      <c r="Q416" s="6" t="s">
        <v>21</v>
      </c>
      <c r="R416" s="6" t="s">
        <v>21</v>
      </c>
      <c r="S416" s="6" t="s">
        <v>21</v>
      </c>
      <c r="T416" s="6" t="s">
        <v>21</v>
      </c>
      <c r="U416" s="6">
        <f t="shared" si="52"/>
        <v>0</v>
      </c>
      <c r="V416" s="6">
        <f t="shared" si="53"/>
        <v>0</v>
      </c>
    </row>
    <row r="417" spans="1:22" x14ac:dyDescent="0.35">
      <c r="A417" s="6" t="s">
        <v>481</v>
      </c>
      <c r="B417" s="6" t="s">
        <v>472</v>
      </c>
      <c r="C417" s="6" t="s">
        <v>473</v>
      </c>
      <c r="D417" s="6">
        <f t="shared" si="54"/>
        <v>0.5</v>
      </c>
      <c r="E417" s="6" t="s">
        <v>19</v>
      </c>
      <c r="F417" s="6" t="str">
        <f>MID(A417,19,1)</f>
        <v>N</v>
      </c>
      <c r="G417" s="6">
        <v>-23.434872921469189</v>
      </c>
      <c r="H417" s="6">
        <v>-46.786040879149787</v>
      </c>
      <c r="I417" s="9">
        <v>311.76</v>
      </c>
      <c r="K417" s="6">
        <v>4.42</v>
      </c>
      <c r="L417" s="6">
        <v>0</v>
      </c>
      <c r="N417" s="1">
        <f t="shared" si="51"/>
        <v>0</v>
      </c>
      <c r="Q417" s="6" t="s">
        <v>21</v>
      </c>
      <c r="R417" s="6" t="s">
        <v>21</v>
      </c>
      <c r="S417" s="6" t="s">
        <v>21</v>
      </c>
      <c r="T417" s="6" t="s">
        <v>21</v>
      </c>
      <c r="U417" s="6">
        <f t="shared" si="52"/>
        <v>0</v>
      </c>
      <c r="V417" s="6">
        <f t="shared" si="53"/>
        <v>0</v>
      </c>
    </row>
    <row r="418" spans="1:22" hidden="1" x14ac:dyDescent="0.35">
      <c r="A418" s="6" t="s">
        <v>482</v>
      </c>
      <c r="B418" s="6" t="s">
        <v>472</v>
      </c>
      <c r="C418" s="6" t="s">
        <v>473</v>
      </c>
      <c r="D418" s="6">
        <f t="shared" si="54"/>
        <v>0.5</v>
      </c>
      <c r="E418" s="6" t="s">
        <v>23</v>
      </c>
      <c r="F418" s="6" t="str">
        <f>MID(A418,19,1)</f>
        <v>C</v>
      </c>
      <c r="G418" s="6">
        <v>-23.429590972692189</v>
      </c>
      <c r="H418" s="6">
        <v>-46.760561904571468</v>
      </c>
      <c r="I418" s="7">
        <v>6663.72</v>
      </c>
      <c r="J418" s="9">
        <f t="shared" ref="J418:J420" si="55">I418/500</f>
        <v>13.327440000000001</v>
      </c>
      <c r="K418" s="6">
        <v>6.09</v>
      </c>
      <c r="L418" s="6">
        <v>30</v>
      </c>
      <c r="N418" s="1">
        <f t="shared" si="51"/>
        <v>0</v>
      </c>
      <c r="O418" s="6" t="s">
        <v>185</v>
      </c>
      <c r="Q418" s="6" t="s">
        <v>21</v>
      </c>
      <c r="R418" s="6" t="s">
        <v>21</v>
      </c>
      <c r="S418" s="6" t="s">
        <v>21</v>
      </c>
      <c r="T418" s="6" t="s">
        <v>21</v>
      </c>
      <c r="U418" s="6">
        <f t="shared" si="52"/>
        <v>1999.116</v>
      </c>
      <c r="V418" s="6">
        <f t="shared" si="53"/>
        <v>1999.116</v>
      </c>
    </row>
    <row r="419" spans="1:22" hidden="1" x14ac:dyDescent="0.35">
      <c r="A419" s="6" t="s">
        <v>483</v>
      </c>
      <c r="B419" s="6" t="s">
        <v>472</v>
      </c>
      <c r="C419" s="6" t="s">
        <v>473</v>
      </c>
      <c r="D419" s="6">
        <f t="shared" si="54"/>
        <v>0.5</v>
      </c>
      <c r="E419" s="6" t="s">
        <v>23</v>
      </c>
      <c r="F419" s="6" t="str">
        <f>MID(A419,19,1)</f>
        <v>C</v>
      </c>
      <c r="G419" s="6">
        <v>-23.43010681540531</v>
      </c>
      <c r="H419" s="6">
        <v>-46.760058811589403</v>
      </c>
      <c r="I419" s="7">
        <v>10653.4</v>
      </c>
      <c r="J419" s="9">
        <f t="shared" si="55"/>
        <v>21.306799999999999</v>
      </c>
      <c r="K419" s="6">
        <v>12.24</v>
      </c>
      <c r="L419" s="6">
        <v>60</v>
      </c>
      <c r="N419" s="1">
        <f t="shared" si="51"/>
        <v>0</v>
      </c>
      <c r="O419" s="6" t="s">
        <v>20</v>
      </c>
      <c r="Q419" s="6" t="s">
        <v>21</v>
      </c>
      <c r="R419" s="6" t="s">
        <v>21</v>
      </c>
      <c r="S419" s="6" t="s">
        <v>21</v>
      </c>
      <c r="T419" s="6" t="s">
        <v>21</v>
      </c>
      <c r="U419" s="6">
        <f t="shared" si="52"/>
        <v>6392.04</v>
      </c>
      <c r="V419" s="6">
        <f t="shared" si="53"/>
        <v>6392.04</v>
      </c>
    </row>
    <row r="420" spans="1:22" hidden="1" x14ac:dyDescent="0.35">
      <c r="A420" s="6" t="s">
        <v>484</v>
      </c>
      <c r="B420" s="6" t="s">
        <v>472</v>
      </c>
      <c r="C420" s="6" t="s">
        <v>473</v>
      </c>
      <c r="D420" s="6">
        <f t="shared" si="54"/>
        <v>0.5</v>
      </c>
      <c r="E420" s="6" t="s">
        <v>23</v>
      </c>
      <c r="F420" s="6" t="str">
        <f>MID(A420,19,1)</f>
        <v>C</v>
      </c>
      <c r="G420" s="6">
        <v>-23.435222019303541</v>
      </c>
      <c r="H420" s="6">
        <v>-46.759786668179679</v>
      </c>
      <c r="I420" s="7">
        <v>3862.86</v>
      </c>
      <c r="J420" s="9">
        <f t="shared" si="55"/>
        <v>7.7257199999999999</v>
      </c>
      <c r="K420" s="6">
        <v>6.25</v>
      </c>
      <c r="L420" s="6">
        <v>30</v>
      </c>
      <c r="N420" s="1">
        <f t="shared" si="51"/>
        <v>0</v>
      </c>
      <c r="O420" s="6" t="s">
        <v>185</v>
      </c>
      <c r="Q420" s="6" t="s">
        <v>21</v>
      </c>
      <c r="R420" s="6" t="s">
        <v>21</v>
      </c>
      <c r="S420" s="6" t="s">
        <v>21</v>
      </c>
      <c r="T420" s="6" t="s">
        <v>21</v>
      </c>
      <c r="U420" s="6">
        <f t="shared" si="52"/>
        <v>1158.8579999999999</v>
      </c>
      <c r="V420" s="6">
        <f t="shared" si="53"/>
        <v>1158.8579999999999</v>
      </c>
    </row>
    <row r="421" spans="1:22" x14ac:dyDescent="0.35">
      <c r="A421" s="6" t="s">
        <v>485</v>
      </c>
      <c r="B421" s="6" t="s">
        <v>472</v>
      </c>
      <c r="C421" s="6" t="s">
        <v>473</v>
      </c>
      <c r="D421" s="6">
        <f t="shared" si="54"/>
        <v>0.5</v>
      </c>
      <c r="E421" s="6" t="s">
        <v>19</v>
      </c>
      <c r="F421" s="6" t="str">
        <f>MID(A421,19,1)</f>
        <v>N</v>
      </c>
      <c r="G421" s="6">
        <v>-23.437262922859102</v>
      </c>
      <c r="H421" s="6">
        <v>-46.785787053665601</v>
      </c>
      <c r="I421" s="9">
        <v>511.26</v>
      </c>
      <c r="K421" s="6">
        <v>8.6</v>
      </c>
      <c r="L421" s="6">
        <v>0</v>
      </c>
      <c r="N421" s="1">
        <f t="shared" si="51"/>
        <v>0</v>
      </c>
      <c r="Q421" s="6" t="s">
        <v>21</v>
      </c>
      <c r="R421" s="6" t="s">
        <v>21</v>
      </c>
      <c r="S421" s="6" t="s">
        <v>21</v>
      </c>
      <c r="T421" s="6" t="s">
        <v>21</v>
      </c>
      <c r="U421" s="6">
        <f t="shared" si="52"/>
        <v>0</v>
      </c>
      <c r="V421" s="6">
        <f t="shared" si="53"/>
        <v>0</v>
      </c>
    </row>
    <row r="422" spans="1:22" hidden="1" x14ac:dyDescent="0.35">
      <c r="A422" s="6" t="s">
        <v>486</v>
      </c>
      <c r="B422" s="6" t="s">
        <v>472</v>
      </c>
      <c r="C422" s="6" t="s">
        <v>473</v>
      </c>
      <c r="D422" s="6">
        <f t="shared" si="54"/>
        <v>0.5</v>
      </c>
      <c r="E422" s="6" t="s">
        <v>19</v>
      </c>
      <c r="F422" s="6" t="str">
        <f>MID(A422,19,1)</f>
        <v>S</v>
      </c>
      <c r="G422" s="6">
        <v>-23.43052852599045</v>
      </c>
      <c r="H422" s="6">
        <v>-46.787253155491442</v>
      </c>
      <c r="I422" s="9">
        <v>249.32</v>
      </c>
      <c r="K422" s="6">
        <v>2.31</v>
      </c>
      <c r="L422" s="6">
        <v>30</v>
      </c>
      <c r="N422" s="1">
        <f t="shared" si="51"/>
        <v>0</v>
      </c>
      <c r="O422" s="6" t="s">
        <v>185</v>
      </c>
      <c r="Q422" s="6" t="s">
        <v>21</v>
      </c>
      <c r="R422" s="6" t="s">
        <v>21</v>
      </c>
      <c r="S422" s="6" t="s">
        <v>21</v>
      </c>
      <c r="T422" s="6" t="s">
        <v>21</v>
      </c>
      <c r="U422" s="6">
        <f t="shared" si="52"/>
        <v>74.795999999999992</v>
      </c>
      <c r="V422" s="6">
        <f t="shared" si="53"/>
        <v>74.795999999999992</v>
      </c>
    </row>
    <row r="423" spans="1:22" hidden="1" x14ac:dyDescent="0.35">
      <c r="A423" s="6" t="s">
        <v>487</v>
      </c>
      <c r="B423" s="6" t="s">
        <v>472</v>
      </c>
      <c r="C423" s="6" t="s">
        <v>473</v>
      </c>
      <c r="D423" s="6">
        <f t="shared" si="54"/>
        <v>0.5</v>
      </c>
      <c r="E423" s="6" t="s">
        <v>19</v>
      </c>
      <c r="F423" s="6" t="str">
        <f>MID(A423,19,1)</f>
        <v>S</v>
      </c>
      <c r="G423" s="6">
        <v>-23.43639243708996</v>
      </c>
      <c r="H423" s="6">
        <v>-46.7863460273242</v>
      </c>
      <c r="I423" s="9">
        <v>532.59</v>
      </c>
      <c r="K423" s="6">
        <v>3.19</v>
      </c>
      <c r="L423" s="6">
        <v>0</v>
      </c>
      <c r="N423" s="1">
        <f t="shared" si="51"/>
        <v>0</v>
      </c>
      <c r="Q423" s="6" t="s">
        <v>21</v>
      </c>
      <c r="R423" s="6" t="s">
        <v>21</v>
      </c>
      <c r="S423" s="6" t="s">
        <v>21</v>
      </c>
      <c r="T423" s="6" t="s">
        <v>21</v>
      </c>
      <c r="U423" s="6">
        <f t="shared" si="52"/>
        <v>0</v>
      </c>
      <c r="V423" s="6">
        <f t="shared" si="53"/>
        <v>0</v>
      </c>
    </row>
    <row r="424" spans="1:22" x14ac:dyDescent="0.35">
      <c r="A424" s="6" t="s">
        <v>488</v>
      </c>
      <c r="B424" s="6" t="s">
        <v>472</v>
      </c>
      <c r="C424" s="6" t="s">
        <v>473</v>
      </c>
      <c r="D424" s="6">
        <f t="shared" si="54"/>
        <v>0.5</v>
      </c>
      <c r="E424" s="6" t="s">
        <v>19</v>
      </c>
      <c r="F424" s="6" t="str">
        <f>MID(A424,19,1)</f>
        <v>N</v>
      </c>
      <c r="G424" s="6">
        <v>-23.43566015042736</v>
      </c>
      <c r="H424" s="6">
        <v>-46.785833416855439</v>
      </c>
      <c r="I424" s="9">
        <v>73.319999999999993</v>
      </c>
      <c r="K424" s="6">
        <v>2.02</v>
      </c>
      <c r="L424" s="6">
        <v>0</v>
      </c>
      <c r="N424" s="1">
        <f t="shared" si="51"/>
        <v>0</v>
      </c>
      <c r="Q424" s="6" t="s">
        <v>21</v>
      </c>
      <c r="R424" s="6" t="s">
        <v>21</v>
      </c>
      <c r="S424" s="6" t="s">
        <v>21</v>
      </c>
      <c r="T424" s="6" t="s">
        <v>21</v>
      </c>
      <c r="U424" s="6">
        <f t="shared" si="52"/>
        <v>0</v>
      </c>
      <c r="V424" s="6">
        <f t="shared" si="53"/>
        <v>0</v>
      </c>
    </row>
    <row r="425" spans="1:22" x14ac:dyDescent="0.35">
      <c r="A425" s="6" t="s">
        <v>489</v>
      </c>
      <c r="B425" s="6" t="s">
        <v>472</v>
      </c>
      <c r="C425" s="6" t="s">
        <v>473</v>
      </c>
      <c r="D425" s="6">
        <f t="shared" si="54"/>
        <v>0.5</v>
      </c>
      <c r="E425" s="6" t="s">
        <v>19</v>
      </c>
      <c r="F425" s="6" t="str">
        <f>MID(A425,19,1)</f>
        <v>N</v>
      </c>
      <c r="G425" s="6">
        <v>-23.438781905014579</v>
      </c>
      <c r="H425" s="6">
        <v>-46.785635216691098</v>
      </c>
      <c r="I425" s="9">
        <v>1414.98</v>
      </c>
      <c r="K425" s="6">
        <v>9.56</v>
      </c>
      <c r="L425" s="6">
        <v>0</v>
      </c>
      <c r="N425" s="1">
        <f t="shared" si="51"/>
        <v>0</v>
      </c>
      <c r="Q425" s="6" t="s">
        <v>21</v>
      </c>
      <c r="R425" s="6" t="s">
        <v>21</v>
      </c>
      <c r="S425" s="6" t="s">
        <v>21</v>
      </c>
      <c r="T425" s="6" t="s">
        <v>21</v>
      </c>
      <c r="U425" s="6">
        <f t="shared" si="52"/>
        <v>0</v>
      </c>
      <c r="V425" s="6">
        <f t="shared" si="53"/>
        <v>0</v>
      </c>
    </row>
    <row r="426" spans="1:22" hidden="1" x14ac:dyDescent="0.35">
      <c r="A426" s="6" t="s">
        <v>490</v>
      </c>
      <c r="B426" s="6" t="s">
        <v>472</v>
      </c>
      <c r="C426" s="6" t="s">
        <v>473</v>
      </c>
      <c r="D426" s="6">
        <f t="shared" si="54"/>
        <v>0.5</v>
      </c>
      <c r="E426" s="6" t="s">
        <v>19</v>
      </c>
      <c r="F426" s="6" t="str">
        <f>MID(A426,19,1)</f>
        <v>S</v>
      </c>
      <c r="G426" s="6">
        <v>-23.430768480993581</v>
      </c>
      <c r="H426" s="6">
        <v>-46.760818954581779</v>
      </c>
      <c r="I426" s="9">
        <v>1262.5</v>
      </c>
      <c r="K426" s="6">
        <v>2.4300000000000002</v>
      </c>
      <c r="L426" s="6">
        <v>80</v>
      </c>
      <c r="N426" s="1">
        <f t="shared" si="51"/>
        <v>0</v>
      </c>
      <c r="O426" s="6" t="s">
        <v>20</v>
      </c>
      <c r="Q426" s="6" t="s">
        <v>21</v>
      </c>
      <c r="R426" s="6" t="s">
        <v>21</v>
      </c>
      <c r="S426" s="6" t="s">
        <v>21</v>
      </c>
      <c r="T426" s="6" t="s">
        <v>21</v>
      </c>
      <c r="U426" s="6">
        <f t="shared" si="52"/>
        <v>1010</v>
      </c>
      <c r="V426" s="6">
        <f t="shared" si="53"/>
        <v>1010</v>
      </c>
    </row>
    <row r="427" spans="1:22" hidden="1" x14ac:dyDescent="0.35">
      <c r="A427" s="6" t="s">
        <v>491</v>
      </c>
      <c r="B427" s="6" t="s">
        <v>472</v>
      </c>
      <c r="C427" s="6" t="s">
        <v>473</v>
      </c>
      <c r="D427" s="6">
        <f t="shared" si="54"/>
        <v>0.5</v>
      </c>
      <c r="E427" s="6" t="s">
        <v>23</v>
      </c>
      <c r="F427" s="6" t="str">
        <f>MID(A427,19,1)</f>
        <v>C</v>
      </c>
      <c r="G427" s="6">
        <v>-23.435021467522631</v>
      </c>
      <c r="H427" s="6">
        <v>-46.759512873868907</v>
      </c>
      <c r="I427" s="7">
        <v>2149.17</v>
      </c>
      <c r="J427" s="9">
        <f>I427/500</f>
        <v>4.2983400000000005</v>
      </c>
      <c r="K427" s="6">
        <v>2.4300000000000002</v>
      </c>
      <c r="L427" s="6">
        <v>70</v>
      </c>
      <c r="N427" s="1">
        <f t="shared" si="51"/>
        <v>0</v>
      </c>
      <c r="O427" s="6" t="s">
        <v>20</v>
      </c>
      <c r="Q427" s="6" t="s">
        <v>21</v>
      </c>
      <c r="R427" s="6" t="s">
        <v>21</v>
      </c>
      <c r="S427" s="6" t="s">
        <v>21</v>
      </c>
      <c r="T427" s="6" t="s">
        <v>21</v>
      </c>
      <c r="U427" s="6">
        <f t="shared" si="52"/>
        <v>1504.4189999999999</v>
      </c>
      <c r="V427" s="6">
        <f t="shared" si="53"/>
        <v>1504.4189999999999</v>
      </c>
    </row>
    <row r="428" spans="1:22" hidden="1" x14ac:dyDescent="0.35">
      <c r="A428" s="6" t="s">
        <v>492</v>
      </c>
      <c r="B428" s="6" t="s">
        <v>472</v>
      </c>
      <c r="C428" s="6" t="s">
        <v>473</v>
      </c>
      <c r="D428" s="6">
        <f t="shared" si="54"/>
        <v>0.5</v>
      </c>
      <c r="E428" s="6" t="s">
        <v>19</v>
      </c>
      <c r="F428" s="6" t="str">
        <f>MID(A428,19,1)</f>
        <v>S</v>
      </c>
      <c r="G428" s="6">
        <v>-23.438718166184302</v>
      </c>
      <c r="H428" s="6">
        <v>-46.786210003592849</v>
      </c>
      <c r="I428" s="9">
        <v>1565.09</v>
      </c>
      <c r="K428" s="6">
        <v>3.17</v>
      </c>
      <c r="L428" s="6">
        <v>0</v>
      </c>
      <c r="N428" s="1">
        <f t="shared" si="51"/>
        <v>0</v>
      </c>
      <c r="Q428" s="6" t="s">
        <v>21</v>
      </c>
      <c r="R428" s="6" t="s">
        <v>21</v>
      </c>
      <c r="S428" s="6" t="s">
        <v>21</v>
      </c>
      <c r="T428" s="6" t="s">
        <v>21</v>
      </c>
      <c r="U428" s="6">
        <f t="shared" si="52"/>
        <v>0</v>
      </c>
      <c r="V428" s="6">
        <f t="shared" si="53"/>
        <v>0</v>
      </c>
    </row>
    <row r="429" spans="1:22" x14ac:dyDescent="0.35">
      <c r="A429" s="6" t="s">
        <v>493</v>
      </c>
      <c r="B429" s="6" t="s">
        <v>472</v>
      </c>
      <c r="C429" s="6" t="s">
        <v>473</v>
      </c>
      <c r="D429" s="6">
        <f t="shared" si="54"/>
        <v>0.5</v>
      </c>
      <c r="E429" s="6" t="s">
        <v>19</v>
      </c>
      <c r="F429" s="6" t="str">
        <f>MID(A429,19,1)</f>
        <v>N</v>
      </c>
      <c r="G429" s="6">
        <v>-23.434163403774811</v>
      </c>
      <c r="H429" s="6">
        <v>-46.786088131542478</v>
      </c>
      <c r="I429" s="9">
        <v>130.1</v>
      </c>
      <c r="K429" s="6">
        <v>2.8</v>
      </c>
      <c r="L429" s="6">
        <v>20</v>
      </c>
      <c r="N429" s="1">
        <f t="shared" si="51"/>
        <v>0</v>
      </c>
      <c r="O429" s="6" t="s">
        <v>185</v>
      </c>
      <c r="Q429" s="6" t="s">
        <v>21</v>
      </c>
      <c r="R429" s="6" t="s">
        <v>21</v>
      </c>
      <c r="S429" s="6" t="s">
        <v>21</v>
      </c>
      <c r="T429" s="6" t="s">
        <v>21</v>
      </c>
      <c r="U429" s="6">
        <f t="shared" si="52"/>
        <v>26.02</v>
      </c>
      <c r="V429" s="6">
        <f t="shared" si="53"/>
        <v>26.02</v>
      </c>
    </row>
    <row r="430" spans="1:22" x14ac:dyDescent="0.35">
      <c r="A430" s="6" t="s">
        <v>494</v>
      </c>
      <c r="B430" s="6" t="s">
        <v>472</v>
      </c>
      <c r="C430" s="6" t="s">
        <v>473</v>
      </c>
      <c r="D430" s="6">
        <f t="shared" si="54"/>
        <v>0.5</v>
      </c>
      <c r="E430" s="6" t="s">
        <v>19</v>
      </c>
      <c r="F430" s="6" t="str">
        <f>MID(A430,19,1)</f>
        <v>N</v>
      </c>
      <c r="G430" s="6">
        <v>-23.43495578223142</v>
      </c>
      <c r="H430" s="6">
        <v>-46.785981294164181</v>
      </c>
      <c r="I430" s="9">
        <v>642.59</v>
      </c>
      <c r="K430" s="6">
        <v>2.94</v>
      </c>
      <c r="L430" s="6">
        <v>0</v>
      </c>
      <c r="N430" s="1">
        <f t="shared" si="51"/>
        <v>0</v>
      </c>
      <c r="Q430" s="6" t="s">
        <v>21</v>
      </c>
      <c r="R430" s="6" t="s">
        <v>21</v>
      </c>
      <c r="S430" s="6" t="s">
        <v>21</v>
      </c>
      <c r="T430" s="6" t="s">
        <v>21</v>
      </c>
      <c r="U430" s="6">
        <f t="shared" si="52"/>
        <v>0</v>
      </c>
      <c r="V430" s="6">
        <f t="shared" si="53"/>
        <v>0</v>
      </c>
    </row>
    <row r="431" spans="1:22" x14ac:dyDescent="0.35">
      <c r="A431" s="6" t="s">
        <v>495</v>
      </c>
      <c r="B431" s="6" t="s">
        <v>472</v>
      </c>
      <c r="C431" s="6" t="s">
        <v>473</v>
      </c>
      <c r="D431" s="6">
        <f t="shared" si="54"/>
        <v>0.5</v>
      </c>
      <c r="E431" s="6" t="s">
        <v>19</v>
      </c>
      <c r="F431" s="6" t="str">
        <f>MID(A431,19,1)</f>
        <v>N</v>
      </c>
      <c r="G431" s="6">
        <v>-23.43633333810816</v>
      </c>
      <c r="H431" s="6">
        <v>-46.785895340288988</v>
      </c>
      <c r="I431" s="9">
        <v>3088.36</v>
      </c>
      <c r="K431" s="6">
        <v>3.64</v>
      </c>
      <c r="L431" s="6">
        <v>0</v>
      </c>
      <c r="N431" s="1">
        <f t="shared" si="51"/>
        <v>0</v>
      </c>
      <c r="Q431" s="6" t="s">
        <v>21</v>
      </c>
      <c r="R431" s="6" t="s">
        <v>21</v>
      </c>
      <c r="S431" s="6" t="s">
        <v>21</v>
      </c>
      <c r="T431" s="6" t="s">
        <v>21</v>
      </c>
      <c r="U431" s="6">
        <f t="shared" si="52"/>
        <v>0</v>
      </c>
      <c r="V431" s="6">
        <f t="shared" si="53"/>
        <v>0</v>
      </c>
    </row>
    <row r="432" spans="1:22" hidden="1" x14ac:dyDescent="0.35">
      <c r="A432" s="6" t="s">
        <v>496</v>
      </c>
      <c r="B432" s="6" t="s">
        <v>472</v>
      </c>
      <c r="C432" s="6" t="s">
        <v>473</v>
      </c>
      <c r="D432" s="6">
        <f t="shared" si="54"/>
        <v>0.5</v>
      </c>
      <c r="E432" s="6" t="s">
        <v>19</v>
      </c>
      <c r="F432" s="6" t="str">
        <f>MID(A432,19,1)</f>
        <v>S</v>
      </c>
      <c r="G432" s="6">
        <v>-23.431859036526671</v>
      </c>
      <c r="H432" s="6">
        <v>-46.760424352602769</v>
      </c>
      <c r="I432" s="9">
        <v>398.4</v>
      </c>
      <c r="K432" s="6">
        <v>1.1200000000000001</v>
      </c>
      <c r="L432" s="6">
        <v>30</v>
      </c>
      <c r="N432" s="1">
        <f t="shared" si="51"/>
        <v>0</v>
      </c>
      <c r="O432" s="6" t="s">
        <v>185</v>
      </c>
      <c r="Q432" s="6" t="s">
        <v>21</v>
      </c>
      <c r="R432" s="6" t="s">
        <v>21</v>
      </c>
      <c r="S432" s="6" t="s">
        <v>21</v>
      </c>
      <c r="T432" s="6" t="s">
        <v>21</v>
      </c>
      <c r="U432" s="6">
        <f t="shared" si="52"/>
        <v>119.51999999999998</v>
      </c>
      <c r="V432" s="6">
        <f t="shared" si="53"/>
        <v>119.51999999999998</v>
      </c>
    </row>
    <row r="433" spans="1:22" hidden="1" x14ac:dyDescent="0.35">
      <c r="A433" s="6" t="s">
        <v>497</v>
      </c>
      <c r="B433" s="6" t="s">
        <v>472</v>
      </c>
      <c r="C433" s="6" t="s">
        <v>473</v>
      </c>
      <c r="D433" s="6">
        <f t="shared" si="54"/>
        <v>0.5</v>
      </c>
      <c r="E433" s="6" t="s">
        <v>19</v>
      </c>
      <c r="F433" s="6" t="str">
        <f>MID(A433,19,1)</f>
        <v>S</v>
      </c>
      <c r="G433" s="6">
        <v>-23.43202807157315</v>
      </c>
      <c r="H433" s="6">
        <v>-46.760751916100411</v>
      </c>
      <c r="I433" s="9">
        <v>244.68</v>
      </c>
      <c r="K433" s="6">
        <v>1.2</v>
      </c>
      <c r="L433" s="6">
        <v>50</v>
      </c>
      <c r="N433" s="1">
        <f t="shared" si="51"/>
        <v>0</v>
      </c>
      <c r="O433" s="6" t="s">
        <v>20</v>
      </c>
      <c r="Q433" s="6" t="s">
        <v>21</v>
      </c>
      <c r="R433" s="6" t="s">
        <v>21</v>
      </c>
      <c r="S433" s="6" t="s">
        <v>21</v>
      </c>
      <c r="T433" s="6" t="s">
        <v>21</v>
      </c>
      <c r="U433" s="6">
        <f t="shared" si="52"/>
        <v>122.34</v>
      </c>
      <c r="V433" s="6">
        <f t="shared" si="53"/>
        <v>122.34</v>
      </c>
    </row>
    <row r="434" spans="1:22" hidden="1" x14ac:dyDescent="0.35">
      <c r="A434" s="6" t="s">
        <v>498</v>
      </c>
      <c r="B434" s="6" t="s">
        <v>472</v>
      </c>
      <c r="C434" s="6" t="s">
        <v>473</v>
      </c>
      <c r="D434" s="6">
        <f t="shared" si="54"/>
        <v>0.5</v>
      </c>
      <c r="E434" s="6" t="s">
        <v>19</v>
      </c>
      <c r="F434" s="6" t="str">
        <f>MID(A434,19,1)</f>
        <v>S</v>
      </c>
      <c r="G434" s="6">
        <v>-23.432782152507539</v>
      </c>
      <c r="H434" s="6">
        <v>-46.760362378703448</v>
      </c>
      <c r="I434" s="9">
        <v>2444.6999999999998</v>
      </c>
      <c r="K434" s="6">
        <v>2.76</v>
      </c>
      <c r="L434" s="6">
        <v>30</v>
      </c>
      <c r="N434" s="1">
        <f t="shared" si="51"/>
        <v>0</v>
      </c>
      <c r="O434" s="6" t="s">
        <v>185</v>
      </c>
      <c r="Q434" s="6" t="s">
        <v>21</v>
      </c>
      <c r="R434" s="6" t="s">
        <v>21</v>
      </c>
      <c r="S434" s="6" t="s">
        <v>21</v>
      </c>
      <c r="T434" s="6" t="s">
        <v>21</v>
      </c>
      <c r="U434" s="6">
        <f t="shared" si="52"/>
        <v>733.41</v>
      </c>
      <c r="V434" s="6">
        <f t="shared" si="53"/>
        <v>733.41</v>
      </c>
    </row>
    <row r="435" spans="1:22" hidden="1" x14ac:dyDescent="0.35">
      <c r="A435" s="6" t="s">
        <v>499</v>
      </c>
      <c r="B435" s="6" t="s">
        <v>472</v>
      </c>
      <c r="C435" s="6" t="s">
        <v>473</v>
      </c>
      <c r="D435" s="6">
        <f t="shared" si="54"/>
        <v>0.5</v>
      </c>
      <c r="E435" s="6" t="s">
        <v>19</v>
      </c>
      <c r="F435" s="6" t="str">
        <f>MID(A435,19,1)</f>
        <v>S</v>
      </c>
      <c r="G435" s="6">
        <v>-23.431714414626121</v>
      </c>
      <c r="H435" s="6">
        <v>-46.760015115662902</v>
      </c>
      <c r="I435" s="9">
        <v>230</v>
      </c>
      <c r="K435" s="6">
        <v>2.37</v>
      </c>
      <c r="L435" s="6">
        <v>60</v>
      </c>
      <c r="N435" s="1">
        <f t="shared" si="51"/>
        <v>0</v>
      </c>
      <c r="O435" s="6" t="s">
        <v>20</v>
      </c>
      <c r="Q435" s="6" t="s">
        <v>21</v>
      </c>
      <c r="R435" s="6" t="s">
        <v>21</v>
      </c>
      <c r="S435" s="6" t="s">
        <v>21</v>
      </c>
      <c r="T435" s="6" t="s">
        <v>21</v>
      </c>
      <c r="U435" s="6">
        <f t="shared" si="52"/>
        <v>138</v>
      </c>
      <c r="V435" s="6">
        <f t="shared" si="53"/>
        <v>138</v>
      </c>
    </row>
    <row r="436" spans="1:22" x14ac:dyDescent="0.35">
      <c r="A436" s="6" t="s">
        <v>500</v>
      </c>
      <c r="B436" s="6" t="s">
        <v>472</v>
      </c>
      <c r="C436" s="6" t="s">
        <v>473</v>
      </c>
      <c r="D436" s="6">
        <f t="shared" si="54"/>
        <v>0.5</v>
      </c>
      <c r="E436" s="6" t="s">
        <v>19</v>
      </c>
      <c r="F436" s="6" t="str">
        <f>MID(A436,19,1)</f>
        <v>N</v>
      </c>
      <c r="G436" s="6">
        <v>-23.431240335495279</v>
      </c>
      <c r="H436" s="6">
        <v>-46.786704995983477</v>
      </c>
      <c r="I436" s="9">
        <v>2706.23</v>
      </c>
      <c r="K436" s="6">
        <v>5.76</v>
      </c>
      <c r="L436" s="6">
        <v>30</v>
      </c>
      <c r="N436" s="1">
        <f t="shared" si="51"/>
        <v>0</v>
      </c>
      <c r="O436" s="6" t="s">
        <v>185</v>
      </c>
      <c r="Q436" s="6" t="s">
        <v>21</v>
      </c>
      <c r="R436" s="6" t="s">
        <v>21</v>
      </c>
      <c r="S436" s="6" t="s">
        <v>21</v>
      </c>
      <c r="T436" s="6" t="s">
        <v>21</v>
      </c>
      <c r="U436" s="6">
        <f t="shared" si="52"/>
        <v>811.86900000000003</v>
      </c>
      <c r="V436" s="6">
        <f t="shared" si="53"/>
        <v>811.86900000000003</v>
      </c>
    </row>
    <row r="437" spans="1:22" x14ac:dyDescent="0.35">
      <c r="A437" s="6" t="s">
        <v>501</v>
      </c>
      <c r="B437" s="6" t="s">
        <v>472</v>
      </c>
      <c r="C437" s="6" t="s">
        <v>473</v>
      </c>
      <c r="D437" s="6">
        <f t="shared" si="54"/>
        <v>0.5</v>
      </c>
      <c r="E437" s="6" t="s">
        <v>19</v>
      </c>
      <c r="F437" s="6" t="str">
        <f>MID(A437,19,1)</f>
        <v>N</v>
      </c>
      <c r="G437" s="6">
        <v>-23.436481669770121</v>
      </c>
      <c r="H437" s="6">
        <v>-46.785656345827839</v>
      </c>
      <c r="I437" s="9">
        <v>780.31</v>
      </c>
      <c r="K437" s="6">
        <v>5.33</v>
      </c>
      <c r="L437" s="6">
        <v>0</v>
      </c>
      <c r="N437" s="1">
        <f t="shared" si="51"/>
        <v>0</v>
      </c>
      <c r="Q437" s="6" t="s">
        <v>21</v>
      </c>
      <c r="R437" s="6" t="s">
        <v>21</v>
      </c>
      <c r="S437" s="6" t="s">
        <v>21</v>
      </c>
      <c r="T437" s="6" t="s">
        <v>21</v>
      </c>
      <c r="U437" s="6">
        <f t="shared" si="52"/>
        <v>0</v>
      </c>
      <c r="V437" s="6">
        <f t="shared" si="53"/>
        <v>0</v>
      </c>
    </row>
    <row r="438" spans="1:22" x14ac:dyDescent="0.35">
      <c r="A438" s="6" t="s">
        <v>502</v>
      </c>
      <c r="B438" s="6" t="s">
        <v>472</v>
      </c>
      <c r="C438" s="6" t="s">
        <v>473</v>
      </c>
      <c r="D438" s="6">
        <f t="shared" si="54"/>
        <v>0.5</v>
      </c>
      <c r="E438" s="6" t="s">
        <v>19</v>
      </c>
      <c r="F438" s="6" t="str">
        <f>MID(A438,19,1)</f>
        <v>N</v>
      </c>
      <c r="G438" s="6">
        <v>-23.438200084405409</v>
      </c>
      <c r="H438" s="6">
        <v>-46.785654388160523</v>
      </c>
      <c r="I438" s="9">
        <v>47.7</v>
      </c>
      <c r="K438" s="6">
        <v>10.79</v>
      </c>
      <c r="L438" s="6">
        <v>0</v>
      </c>
      <c r="N438" s="1">
        <f t="shared" si="51"/>
        <v>0</v>
      </c>
      <c r="Q438" s="6" t="s">
        <v>21</v>
      </c>
      <c r="R438" s="6" t="s">
        <v>21</v>
      </c>
      <c r="S438" s="6" t="s">
        <v>21</v>
      </c>
      <c r="T438" s="6" t="s">
        <v>21</v>
      </c>
      <c r="U438" s="6">
        <f t="shared" si="52"/>
        <v>0</v>
      </c>
      <c r="V438" s="6">
        <f t="shared" si="53"/>
        <v>0</v>
      </c>
    </row>
    <row r="439" spans="1:22" x14ac:dyDescent="0.35">
      <c r="A439" s="6" t="s">
        <v>503</v>
      </c>
      <c r="B439" s="6" t="s">
        <v>472</v>
      </c>
      <c r="C439" s="6" t="s">
        <v>473</v>
      </c>
      <c r="D439" s="6">
        <f t="shared" si="54"/>
        <v>0.5</v>
      </c>
      <c r="E439" s="6" t="s">
        <v>19</v>
      </c>
      <c r="F439" s="6" t="str">
        <f>MID(A439,19,1)</f>
        <v>N</v>
      </c>
      <c r="G439" s="6">
        <v>-23.42919411060268</v>
      </c>
      <c r="H439" s="6">
        <v>-46.759782894842651</v>
      </c>
      <c r="I439" s="9">
        <v>1531.43</v>
      </c>
      <c r="K439" s="6">
        <v>12.15</v>
      </c>
      <c r="L439" s="6">
        <v>60</v>
      </c>
      <c r="N439" s="1">
        <f t="shared" si="51"/>
        <v>0</v>
      </c>
      <c r="O439" s="6" t="s">
        <v>20</v>
      </c>
      <c r="Q439" s="6" t="s">
        <v>21</v>
      </c>
      <c r="R439" s="6" t="s">
        <v>21</v>
      </c>
      <c r="S439" s="6" t="s">
        <v>21</v>
      </c>
      <c r="T439" s="6" t="s">
        <v>21</v>
      </c>
      <c r="U439" s="6">
        <f t="shared" si="52"/>
        <v>918.85800000000006</v>
      </c>
      <c r="V439" s="6">
        <f t="shared" si="53"/>
        <v>918.85800000000006</v>
      </c>
    </row>
    <row r="440" spans="1:22" hidden="1" x14ac:dyDescent="0.35">
      <c r="A440" s="6" t="s">
        <v>504</v>
      </c>
      <c r="B440" s="6" t="s">
        <v>505</v>
      </c>
      <c r="C440" s="6" t="s">
        <v>506</v>
      </c>
      <c r="D440" s="6">
        <f t="shared" si="54"/>
        <v>0.5</v>
      </c>
      <c r="E440" s="6" t="s">
        <v>19</v>
      </c>
      <c r="F440" s="6" t="str">
        <f>MID(A440,19,1)</f>
        <v>S</v>
      </c>
      <c r="G440" s="6">
        <v>-23.423839555105442</v>
      </c>
      <c r="H440" s="6">
        <v>-46.790806611685042</v>
      </c>
      <c r="I440" s="9">
        <v>92.1</v>
      </c>
      <c r="K440" s="6">
        <v>7.68</v>
      </c>
      <c r="L440" s="6">
        <v>0</v>
      </c>
      <c r="N440" s="1">
        <f t="shared" si="51"/>
        <v>0</v>
      </c>
      <c r="Q440" s="6" t="s">
        <v>21</v>
      </c>
      <c r="R440" s="6" t="s">
        <v>21</v>
      </c>
      <c r="S440" s="6" t="s">
        <v>21</v>
      </c>
      <c r="T440" s="6" t="s">
        <v>21</v>
      </c>
      <c r="U440" s="6">
        <f t="shared" si="52"/>
        <v>0</v>
      </c>
      <c r="V440" s="6">
        <f t="shared" si="53"/>
        <v>0</v>
      </c>
    </row>
    <row r="441" spans="1:22" x14ac:dyDescent="0.35">
      <c r="A441" s="6" t="s">
        <v>507</v>
      </c>
      <c r="B441" s="6" t="s">
        <v>505</v>
      </c>
      <c r="C441" s="6" t="s">
        <v>506</v>
      </c>
      <c r="D441" s="6">
        <f t="shared" si="54"/>
        <v>0.5</v>
      </c>
      <c r="E441" s="6" t="s">
        <v>19</v>
      </c>
      <c r="F441" s="6" t="str">
        <f>MID(A441,19,1)</f>
        <v>N</v>
      </c>
      <c r="G441" s="6">
        <v>-23.42307275801463</v>
      </c>
      <c r="H441" s="6">
        <v>-46.788548701681762</v>
      </c>
      <c r="I441" s="9">
        <v>5321.23</v>
      </c>
      <c r="K441" s="6">
        <v>3.94</v>
      </c>
      <c r="L441" s="6">
        <v>0</v>
      </c>
      <c r="N441" s="1">
        <f t="shared" si="51"/>
        <v>0</v>
      </c>
      <c r="Q441" s="6" t="s">
        <v>21</v>
      </c>
      <c r="R441" s="6" t="s">
        <v>21</v>
      </c>
      <c r="S441" s="6" t="s">
        <v>21</v>
      </c>
      <c r="T441" s="6" t="s">
        <v>21</v>
      </c>
      <c r="U441" s="6">
        <f t="shared" si="52"/>
        <v>0</v>
      </c>
      <c r="V441" s="6">
        <f t="shared" si="53"/>
        <v>0</v>
      </c>
    </row>
    <row r="442" spans="1:22" x14ac:dyDescent="0.35">
      <c r="A442" s="6" t="s">
        <v>508</v>
      </c>
      <c r="B442" s="6" t="s">
        <v>505</v>
      </c>
      <c r="C442" s="6" t="s">
        <v>506</v>
      </c>
      <c r="D442" s="6">
        <f t="shared" si="54"/>
        <v>0.5</v>
      </c>
      <c r="E442" s="6" t="s">
        <v>19</v>
      </c>
      <c r="F442" s="6" t="str">
        <f>MID(A442,19,1)</f>
        <v>N</v>
      </c>
      <c r="G442" s="6">
        <v>-23.430083703250361</v>
      </c>
      <c r="H442" s="6">
        <v>-46.786857682903843</v>
      </c>
      <c r="I442" s="9">
        <v>170.13</v>
      </c>
      <c r="K442" s="6">
        <v>3.17</v>
      </c>
      <c r="L442" s="6">
        <v>20</v>
      </c>
      <c r="N442" s="1">
        <f t="shared" si="51"/>
        <v>0</v>
      </c>
      <c r="O442" s="6" t="s">
        <v>185</v>
      </c>
      <c r="Q442" s="6" t="s">
        <v>21</v>
      </c>
      <c r="R442" s="6" t="s">
        <v>21</v>
      </c>
      <c r="S442" s="6" t="s">
        <v>21</v>
      </c>
      <c r="T442" s="6" t="s">
        <v>21</v>
      </c>
      <c r="U442" s="6">
        <f t="shared" si="52"/>
        <v>34.026000000000003</v>
      </c>
      <c r="V442" s="6">
        <f t="shared" si="53"/>
        <v>34.026000000000003</v>
      </c>
    </row>
    <row r="443" spans="1:22" x14ac:dyDescent="0.35">
      <c r="A443" s="6" t="s">
        <v>509</v>
      </c>
      <c r="B443" s="6" t="s">
        <v>505</v>
      </c>
      <c r="C443" s="6" t="s">
        <v>506</v>
      </c>
      <c r="D443" s="6">
        <f t="shared" si="54"/>
        <v>0.5</v>
      </c>
      <c r="E443" s="6" t="s">
        <v>19</v>
      </c>
      <c r="F443" s="6" t="str">
        <f>MID(A443,19,1)</f>
        <v>N</v>
      </c>
      <c r="G443" s="6">
        <v>-23.429103335905801</v>
      </c>
      <c r="H443" s="6">
        <v>-46.786999152939963</v>
      </c>
      <c r="I443" s="9">
        <v>1765.51</v>
      </c>
      <c r="K443" s="6">
        <v>3.35</v>
      </c>
      <c r="L443" s="6">
        <v>20</v>
      </c>
      <c r="N443" s="1">
        <f t="shared" si="51"/>
        <v>0</v>
      </c>
      <c r="O443" s="6" t="s">
        <v>185</v>
      </c>
      <c r="Q443" s="6" t="s">
        <v>21</v>
      </c>
      <c r="R443" s="6" t="s">
        <v>21</v>
      </c>
      <c r="S443" s="6" t="s">
        <v>21</v>
      </c>
      <c r="T443" s="6" t="s">
        <v>21</v>
      </c>
      <c r="U443" s="6">
        <f t="shared" si="52"/>
        <v>353.10200000000003</v>
      </c>
      <c r="V443" s="6">
        <f t="shared" si="53"/>
        <v>353.10200000000003</v>
      </c>
    </row>
    <row r="444" spans="1:22" hidden="1" x14ac:dyDescent="0.35">
      <c r="A444" s="6" t="s">
        <v>510</v>
      </c>
      <c r="B444" s="6" t="s">
        <v>505</v>
      </c>
      <c r="C444" s="6" t="s">
        <v>506</v>
      </c>
      <c r="D444" s="6">
        <f t="shared" si="54"/>
        <v>0.5</v>
      </c>
      <c r="E444" s="6" t="s">
        <v>23</v>
      </c>
      <c r="F444" s="6" t="str">
        <f>MID(A444,19,1)</f>
        <v>C</v>
      </c>
      <c r="G444" s="6">
        <v>-23.420690969749291</v>
      </c>
      <c r="H444" s="6">
        <v>-46.762243905426892</v>
      </c>
      <c r="I444" s="7">
        <v>8070.07</v>
      </c>
      <c r="J444" s="9">
        <f t="shared" ref="J444:J445" si="56">I444/500</f>
        <v>16.140139999999999</v>
      </c>
      <c r="K444" s="6">
        <v>11.06</v>
      </c>
      <c r="L444" s="6">
        <v>30</v>
      </c>
      <c r="N444" s="1">
        <f t="shared" si="51"/>
        <v>0</v>
      </c>
      <c r="O444" s="6" t="s">
        <v>185</v>
      </c>
      <c r="Q444" s="6" t="s">
        <v>21</v>
      </c>
      <c r="R444" s="6" t="s">
        <v>21</v>
      </c>
      <c r="S444" s="6" t="s">
        <v>21</v>
      </c>
      <c r="T444" s="6" t="s">
        <v>21</v>
      </c>
      <c r="U444" s="6">
        <f t="shared" si="52"/>
        <v>2421.0209999999997</v>
      </c>
      <c r="V444" s="6">
        <f t="shared" si="53"/>
        <v>2421.0209999999997</v>
      </c>
    </row>
    <row r="445" spans="1:22" hidden="1" x14ac:dyDescent="0.35">
      <c r="A445" s="6" t="s">
        <v>511</v>
      </c>
      <c r="B445" s="6" t="s">
        <v>505</v>
      </c>
      <c r="C445" s="6" t="s">
        <v>506</v>
      </c>
      <c r="D445" s="6">
        <f t="shared" si="54"/>
        <v>0.5</v>
      </c>
      <c r="E445" s="6" t="s">
        <v>23</v>
      </c>
      <c r="F445" s="6" t="str">
        <f>MID(A445,19,1)</f>
        <v>C</v>
      </c>
      <c r="G445" s="6">
        <v>-23.42439858413411</v>
      </c>
      <c r="H445" s="6">
        <v>-46.788448463716527</v>
      </c>
      <c r="I445" s="9">
        <v>5378.99</v>
      </c>
      <c r="J445" s="9">
        <f t="shared" si="56"/>
        <v>10.75798</v>
      </c>
      <c r="K445" s="6">
        <v>4.17</v>
      </c>
      <c r="L445" s="6">
        <v>80</v>
      </c>
      <c r="N445" s="1">
        <f t="shared" si="51"/>
        <v>0</v>
      </c>
      <c r="O445" s="6" t="s">
        <v>20</v>
      </c>
      <c r="Q445" s="6" t="s">
        <v>21</v>
      </c>
      <c r="R445" s="6" t="s">
        <v>21</v>
      </c>
      <c r="S445" s="6" t="s">
        <v>21</v>
      </c>
      <c r="T445" s="6" t="s">
        <v>21</v>
      </c>
      <c r="U445" s="6">
        <f t="shared" si="52"/>
        <v>4303.192</v>
      </c>
      <c r="V445" s="6">
        <f t="shared" si="53"/>
        <v>4303.192</v>
      </c>
    </row>
    <row r="446" spans="1:22" hidden="1" x14ac:dyDescent="0.35">
      <c r="A446" s="6" t="s">
        <v>512</v>
      </c>
      <c r="B446" s="6" t="s">
        <v>505</v>
      </c>
      <c r="C446" s="6" t="s">
        <v>506</v>
      </c>
      <c r="D446" s="6">
        <f t="shared" si="54"/>
        <v>0.5</v>
      </c>
      <c r="E446" s="6" t="s">
        <v>19</v>
      </c>
      <c r="F446" s="6" t="str">
        <f>MID(A446,19,1)</f>
        <v>S</v>
      </c>
      <c r="G446" s="6">
        <v>-23.425372160836449</v>
      </c>
      <c r="H446" s="6">
        <v>-46.761184362576579</v>
      </c>
      <c r="I446" s="9">
        <v>1950.07</v>
      </c>
      <c r="K446" s="6">
        <v>4.59</v>
      </c>
      <c r="L446" s="6">
        <v>0</v>
      </c>
      <c r="N446" s="1">
        <f t="shared" si="51"/>
        <v>0</v>
      </c>
      <c r="Q446" s="6" t="s">
        <v>21</v>
      </c>
      <c r="R446" s="6" t="s">
        <v>21</v>
      </c>
      <c r="S446" s="6" t="s">
        <v>21</v>
      </c>
      <c r="T446" s="6" t="s">
        <v>21</v>
      </c>
      <c r="U446" s="6">
        <f t="shared" si="52"/>
        <v>0</v>
      </c>
      <c r="V446" s="6">
        <f t="shared" si="53"/>
        <v>0</v>
      </c>
    </row>
    <row r="447" spans="1:22" hidden="1" x14ac:dyDescent="0.35">
      <c r="A447" s="6" t="s">
        <v>513</v>
      </c>
      <c r="B447" s="6" t="s">
        <v>505</v>
      </c>
      <c r="C447" s="6" t="s">
        <v>506</v>
      </c>
      <c r="D447" s="6">
        <f t="shared" si="54"/>
        <v>0.5</v>
      </c>
      <c r="E447" s="6" t="s">
        <v>23</v>
      </c>
      <c r="F447" s="6" t="str">
        <f>MID(A447,19,1)</f>
        <v>C</v>
      </c>
      <c r="G447" s="6">
        <v>-23.423123543740392</v>
      </c>
      <c r="H447" s="6">
        <v>-46.79034638092056</v>
      </c>
      <c r="I447" s="9">
        <v>280.04000000000002</v>
      </c>
      <c r="J447" s="9">
        <f t="shared" ref="J447:J448" si="57">I447/500</f>
        <v>0.56008000000000002</v>
      </c>
      <c r="K447" s="6">
        <v>4.71</v>
      </c>
      <c r="L447" s="6">
        <v>50</v>
      </c>
      <c r="N447" s="1">
        <f t="shared" si="51"/>
        <v>0</v>
      </c>
      <c r="O447" s="6" t="s">
        <v>20</v>
      </c>
      <c r="Q447" s="6" t="s">
        <v>21</v>
      </c>
      <c r="R447" s="6" t="s">
        <v>21</v>
      </c>
      <c r="S447" s="6" t="s">
        <v>21</v>
      </c>
      <c r="T447" s="6" t="s">
        <v>21</v>
      </c>
      <c r="U447" s="6">
        <f t="shared" si="52"/>
        <v>140.02000000000001</v>
      </c>
      <c r="V447" s="6">
        <f t="shared" si="53"/>
        <v>140.02000000000001</v>
      </c>
    </row>
    <row r="448" spans="1:22" hidden="1" x14ac:dyDescent="0.35">
      <c r="A448" s="6" t="s">
        <v>514</v>
      </c>
      <c r="B448" s="6" t="s">
        <v>505</v>
      </c>
      <c r="C448" s="6" t="s">
        <v>506</v>
      </c>
      <c r="D448" s="6">
        <f t="shared" si="54"/>
        <v>0.5</v>
      </c>
      <c r="E448" s="6" t="s">
        <v>23</v>
      </c>
      <c r="F448" s="6" t="str">
        <f>MID(A448,19,1)</f>
        <v>C</v>
      </c>
      <c r="G448" s="6">
        <v>-23.425292532344059</v>
      </c>
      <c r="H448" s="6">
        <v>-46.760839894457483</v>
      </c>
      <c r="I448" s="7">
        <v>7600.66</v>
      </c>
      <c r="J448" s="9">
        <f t="shared" si="57"/>
        <v>15.201319999999999</v>
      </c>
      <c r="K448" s="6">
        <v>6.61</v>
      </c>
      <c r="L448" s="6">
        <v>30</v>
      </c>
      <c r="N448" s="1">
        <f t="shared" si="51"/>
        <v>0</v>
      </c>
      <c r="O448" s="6" t="s">
        <v>185</v>
      </c>
      <c r="Q448" s="6" t="s">
        <v>21</v>
      </c>
      <c r="R448" s="6" t="s">
        <v>21</v>
      </c>
      <c r="S448" s="6" t="s">
        <v>21</v>
      </c>
      <c r="T448" s="6" t="s">
        <v>21</v>
      </c>
      <c r="U448" s="6">
        <f t="shared" si="52"/>
        <v>2280.1979999999999</v>
      </c>
      <c r="V448" s="6">
        <f t="shared" si="53"/>
        <v>2280.1979999999999</v>
      </c>
    </row>
    <row r="449" spans="1:22" hidden="1" x14ac:dyDescent="0.35">
      <c r="A449" s="6" t="s">
        <v>515</v>
      </c>
      <c r="B449" s="6" t="s">
        <v>505</v>
      </c>
      <c r="C449" s="6" t="s">
        <v>506</v>
      </c>
      <c r="D449" s="6">
        <f t="shared" si="54"/>
        <v>0.5</v>
      </c>
      <c r="E449" s="6" t="s">
        <v>19</v>
      </c>
      <c r="F449" s="6" t="str">
        <f>MID(A449,19,1)</f>
        <v>S</v>
      </c>
      <c r="G449" s="6">
        <v>-23.430115636163631</v>
      </c>
      <c r="H449" s="6">
        <v>-46.787256446263321</v>
      </c>
      <c r="I449" s="9">
        <v>56.37</v>
      </c>
      <c r="K449" s="6">
        <v>1.18</v>
      </c>
      <c r="L449" s="6">
        <v>30</v>
      </c>
      <c r="N449" s="1">
        <f t="shared" si="51"/>
        <v>0</v>
      </c>
      <c r="O449" s="6" t="s">
        <v>185</v>
      </c>
      <c r="Q449" s="6" t="s">
        <v>21</v>
      </c>
      <c r="R449" s="6" t="s">
        <v>21</v>
      </c>
      <c r="S449" s="6" t="s">
        <v>21</v>
      </c>
      <c r="T449" s="6" t="s">
        <v>21</v>
      </c>
      <c r="U449" s="6">
        <f t="shared" si="52"/>
        <v>16.910999999999998</v>
      </c>
      <c r="V449" s="6">
        <f t="shared" si="53"/>
        <v>16.910999999999998</v>
      </c>
    </row>
    <row r="450" spans="1:22" x14ac:dyDescent="0.35">
      <c r="A450" s="6" t="s">
        <v>516</v>
      </c>
      <c r="B450" s="6" t="s">
        <v>505</v>
      </c>
      <c r="C450" s="6" t="s">
        <v>506</v>
      </c>
      <c r="D450" s="6">
        <f t="shared" si="54"/>
        <v>0.5</v>
      </c>
      <c r="E450" s="6" t="s">
        <v>19</v>
      </c>
      <c r="F450" s="6" t="str">
        <f>MID(A450,19,1)</f>
        <v>N</v>
      </c>
      <c r="G450" s="6">
        <v>-23.425145005150771</v>
      </c>
      <c r="H450" s="6">
        <v>-46.760322569560692</v>
      </c>
      <c r="I450" s="9">
        <v>2184.1799999999998</v>
      </c>
      <c r="K450" s="6">
        <v>6.93</v>
      </c>
      <c r="L450" s="6">
        <v>60</v>
      </c>
      <c r="N450" s="1">
        <f t="shared" ref="N450:N513" si="58">IF(OR(R450="Sim",S450="Sim",T450="Sim"),(L450/100)*I450,0)</f>
        <v>0</v>
      </c>
      <c r="O450" s="6" t="s">
        <v>20</v>
      </c>
      <c r="Q450" s="6" t="s">
        <v>21</v>
      </c>
      <c r="R450" s="6" t="s">
        <v>21</v>
      </c>
      <c r="S450" s="6" t="s">
        <v>21</v>
      </c>
      <c r="T450" s="6" t="s">
        <v>21</v>
      </c>
      <c r="U450" s="6">
        <f t="shared" si="52"/>
        <v>1310.5079999999998</v>
      </c>
      <c r="V450" s="6">
        <f t="shared" si="53"/>
        <v>1310.5079999999998</v>
      </c>
    </row>
    <row r="451" spans="1:22" hidden="1" x14ac:dyDescent="0.35">
      <c r="A451" s="6" t="s">
        <v>517</v>
      </c>
      <c r="B451" s="6" t="s">
        <v>505</v>
      </c>
      <c r="C451" s="6" t="s">
        <v>506</v>
      </c>
      <c r="D451" s="6">
        <f t="shared" si="54"/>
        <v>0.5</v>
      </c>
      <c r="E451" s="6" t="s">
        <v>19</v>
      </c>
      <c r="F451" s="6" t="str">
        <f>MID(A451,19,1)</f>
        <v>S</v>
      </c>
      <c r="G451" s="6">
        <v>-23.430141792587001</v>
      </c>
      <c r="H451" s="6">
        <v>-46.787555177587933</v>
      </c>
      <c r="I451" s="9">
        <v>71.83</v>
      </c>
      <c r="K451" s="6">
        <v>1.23</v>
      </c>
      <c r="L451" s="6">
        <v>30</v>
      </c>
      <c r="N451" s="1">
        <f t="shared" si="58"/>
        <v>0</v>
      </c>
      <c r="O451" s="6" t="s">
        <v>185</v>
      </c>
      <c r="Q451" s="6" t="s">
        <v>21</v>
      </c>
      <c r="R451" s="6" t="s">
        <v>21</v>
      </c>
      <c r="S451" s="6" t="s">
        <v>21</v>
      </c>
      <c r="T451" s="6" t="s">
        <v>21</v>
      </c>
      <c r="U451" s="6">
        <f t="shared" ref="U451:U514" si="59">IF(N451=0,(I451*(L451/100)),0)</f>
        <v>21.548999999999999</v>
      </c>
      <c r="V451" s="6">
        <f t="shared" si="53"/>
        <v>21.548999999999999</v>
      </c>
    </row>
    <row r="452" spans="1:22" hidden="1" x14ac:dyDescent="0.35">
      <c r="A452" s="6" t="s">
        <v>518</v>
      </c>
      <c r="B452" s="6" t="s">
        <v>505</v>
      </c>
      <c r="C452" s="6" t="s">
        <v>506</v>
      </c>
      <c r="D452" s="6">
        <f t="shared" si="54"/>
        <v>0.5</v>
      </c>
      <c r="E452" s="6" t="s">
        <v>23</v>
      </c>
      <c r="F452" s="6" t="str">
        <f>MID(A452,19,1)</f>
        <v>C</v>
      </c>
      <c r="G452" s="6">
        <v>-23.420534192865439</v>
      </c>
      <c r="H452" s="6">
        <v>-46.761972020673717</v>
      </c>
      <c r="I452" s="7">
        <v>2175.4299999999998</v>
      </c>
      <c r="J452" s="9">
        <f>I452/500</f>
        <v>4.3508599999999999</v>
      </c>
      <c r="K452" s="6">
        <v>10.37</v>
      </c>
      <c r="L452" s="6">
        <v>80</v>
      </c>
      <c r="N452" s="1">
        <f t="shared" si="58"/>
        <v>0</v>
      </c>
      <c r="O452" s="6" t="s">
        <v>20</v>
      </c>
      <c r="Q452" s="6" t="s">
        <v>21</v>
      </c>
      <c r="R452" s="6" t="s">
        <v>21</v>
      </c>
      <c r="S452" s="6" t="s">
        <v>21</v>
      </c>
      <c r="T452" s="6" t="s">
        <v>21</v>
      </c>
      <c r="U452" s="6">
        <f t="shared" si="59"/>
        <v>1740.3440000000001</v>
      </c>
      <c r="V452" s="6">
        <f t="shared" si="53"/>
        <v>1740.3440000000001</v>
      </c>
    </row>
    <row r="453" spans="1:22" x14ac:dyDescent="0.35">
      <c r="A453" s="6" t="s">
        <v>519</v>
      </c>
      <c r="B453" s="6" t="s">
        <v>505</v>
      </c>
      <c r="C453" s="6" t="s">
        <v>506</v>
      </c>
      <c r="D453" s="6">
        <f t="shared" si="54"/>
        <v>0.5</v>
      </c>
      <c r="E453" s="6" t="s">
        <v>19</v>
      </c>
      <c r="F453" s="6" t="str">
        <f>MID(A453,19,1)</f>
        <v>N</v>
      </c>
      <c r="G453" s="6">
        <v>-23.427364894017689</v>
      </c>
      <c r="H453" s="6">
        <v>-46.760370982060913</v>
      </c>
      <c r="I453" s="9">
        <v>269.67</v>
      </c>
      <c r="K453" s="6">
        <v>9.83</v>
      </c>
      <c r="L453" s="6">
        <v>60</v>
      </c>
      <c r="N453" s="1">
        <f t="shared" si="58"/>
        <v>0</v>
      </c>
      <c r="O453" s="6" t="s">
        <v>20</v>
      </c>
      <c r="Q453" s="6" t="s">
        <v>21</v>
      </c>
      <c r="R453" s="6" t="s">
        <v>21</v>
      </c>
      <c r="S453" s="6" t="s">
        <v>21</v>
      </c>
      <c r="T453" s="6" t="s">
        <v>21</v>
      </c>
      <c r="U453" s="6">
        <f t="shared" si="59"/>
        <v>161.80199999999999</v>
      </c>
      <c r="V453" s="6">
        <f t="shared" si="53"/>
        <v>161.80199999999999</v>
      </c>
    </row>
    <row r="454" spans="1:22" hidden="1" x14ac:dyDescent="0.35">
      <c r="A454" s="6" t="s">
        <v>520</v>
      </c>
      <c r="B454" s="6" t="s">
        <v>505</v>
      </c>
      <c r="C454" s="6" t="s">
        <v>506</v>
      </c>
      <c r="D454" s="6">
        <f t="shared" si="54"/>
        <v>0.5</v>
      </c>
      <c r="E454" s="6" t="s">
        <v>19</v>
      </c>
      <c r="F454" s="6" t="str">
        <f>MID(A454,19,1)</f>
        <v>S</v>
      </c>
      <c r="G454" s="6">
        <v>-23.424710330335071</v>
      </c>
      <c r="H454" s="6">
        <v>-46.789100592965973</v>
      </c>
      <c r="I454" s="9">
        <v>1933.44</v>
      </c>
      <c r="K454" s="6">
        <v>3.1</v>
      </c>
      <c r="L454" s="6">
        <v>0</v>
      </c>
      <c r="N454" s="1">
        <f t="shared" si="58"/>
        <v>0</v>
      </c>
      <c r="Q454" s="6" t="s">
        <v>21</v>
      </c>
      <c r="R454" s="6" t="s">
        <v>21</v>
      </c>
      <c r="S454" s="6" t="s">
        <v>21</v>
      </c>
      <c r="T454" s="6" t="s">
        <v>21</v>
      </c>
      <c r="U454" s="6">
        <f t="shared" si="59"/>
        <v>0</v>
      </c>
      <c r="V454" s="6">
        <f t="shared" si="53"/>
        <v>0</v>
      </c>
    </row>
    <row r="455" spans="1:22" hidden="1" x14ac:dyDescent="0.35">
      <c r="A455" s="6" t="s">
        <v>521</v>
      </c>
      <c r="B455" s="6" t="s">
        <v>505</v>
      </c>
      <c r="C455" s="6" t="s">
        <v>506</v>
      </c>
      <c r="D455" s="6">
        <f t="shared" si="54"/>
        <v>0.5</v>
      </c>
      <c r="E455" s="6" t="s">
        <v>19</v>
      </c>
      <c r="F455" s="6" t="str">
        <f>MID(A455,19,1)</f>
        <v>S</v>
      </c>
      <c r="G455" s="6">
        <v>-23.423738455752972</v>
      </c>
      <c r="H455" s="6">
        <v>-46.790222442339321</v>
      </c>
      <c r="I455" s="9">
        <v>5362.64</v>
      </c>
      <c r="K455" s="6">
        <v>4.88</v>
      </c>
      <c r="L455" s="6">
        <v>20</v>
      </c>
      <c r="N455" s="1">
        <f t="shared" si="58"/>
        <v>0</v>
      </c>
      <c r="O455" s="6" t="s">
        <v>20</v>
      </c>
      <c r="Q455" s="6" t="s">
        <v>21</v>
      </c>
      <c r="R455" s="6" t="s">
        <v>21</v>
      </c>
      <c r="S455" s="6" t="s">
        <v>21</v>
      </c>
      <c r="T455" s="6" t="s">
        <v>21</v>
      </c>
      <c r="U455" s="6">
        <f t="shared" si="59"/>
        <v>1072.528</v>
      </c>
      <c r="V455" s="6">
        <f t="shared" ref="V455:V497" si="60">(I455*(L455/100))</f>
        <v>1072.528</v>
      </c>
    </row>
    <row r="456" spans="1:22" x14ac:dyDescent="0.35">
      <c r="A456" s="6" t="s">
        <v>522</v>
      </c>
      <c r="B456" s="6" t="s">
        <v>505</v>
      </c>
      <c r="C456" s="6" t="s">
        <v>506</v>
      </c>
      <c r="D456" s="6">
        <f t="shared" si="54"/>
        <v>0.5</v>
      </c>
      <c r="E456" s="6" t="s">
        <v>19</v>
      </c>
      <c r="F456" s="6" t="str">
        <f>MID(A456,19,1)</f>
        <v>N</v>
      </c>
      <c r="G456" s="6">
        <v>-23.42689812503831</v>
      </c>
      <c r="H456" s="6">
        <v>-46.787362783282653</v>
      </c>
      <c r="I456" s="9">
        <v>1403.68</v>
      </c>
      <c r="K456" s="6">
        <v>8.2100000000000009</v>
      </c>
      <c r="L456" s="6">
        <v>60</v>
      </c>
      <c r="N456" s="1">
        <f t="shared" si="58"/>
        <v>0</v>
      </c>
      <c r="O456" s="6" t="s">
        <v>185</v>
      </c>
      <c r="Q456" s="6" t="s">
        <v>21</v>
      </c>
      <c r="R456" s="6" t="s">
        <v>21</v>
      </c>
      <c r="S456" s="6" t="s">
        <v>21</v>
      </c>
      <c r="T456" s="6" t="s">
        <v>21</v>
      </c>
      <c r="U456" s="6">
        <f t="shared" si="59"/>
        <v>842.20799999999997</v>
      </c>
      <c r="V456" s="6">
        <f t="shared" si="60"/>
        <v>842.20799999999997</v>
      </c>
    </row>
    <row r="457" spans="1:22" x14ac:dyDescent="0.35">
      <c r="A457" s="6" t="s">
        <v>523</v>
      </c>
      <c r="B457" s="6" t="s">
        <v>505</v>
      </c>
      <c r="C457" s="6" t="s">
        <v>506</v>
      </c>
      <c r="D457" s="6">
        <f t="shared" si="54"/>
        <v>0.5</v>
      </c>
      <c r="E457" s="6" t="s">
        <v>19</v>
      </c>
      <c r="F457" s="6" t="str">
        <f>MID(A457,19,1)</f>
        <v>N</v>
      </c>
      <c r="G457" s="6">
        <v>-23.42286883448925</v>
      </c>
      <c r="H457" s="6">
        <v>-46.790078437328603</v>
      </c>
      <c r="I457" s="9">
        <v>779.29</v>
      </c>
      <c r="K457" s="6">
        <v>2.5299999999999998</v>
      </c>
      <c r="L457" s="6">
        <v>85</v>
      </c>
      <c r="N457" s="1">
        <f t="shared" si="58"/>
        <v>0</v>
      </c>
      <c r="O457" s="6" t="s">
        <v>20</v>
      </c>
      <c r="Q457" s="6" t="s">
        <v>21</v>
      </c>
      <c r="R457" s="6" t="s">
        <v>21</v>
      </c>
      <c r="S457" s="6" t="s">
        <v>21</v>
      </c>
      <c r="T457" s="6" t="s">
        <v>21</v>
      </c>
      <c r="U457" s="6">
        <f t="shared" si="59"/>
        <v>662.39649999999995</v>
      </c>
      <c r="V457" s="6">
        <f t="shared" si="60"/>
        <v>662.39649999999995</v>
      </c>
    </row>
    <row r="458" spans="1:22" x14ac:dyDescent="0.35">
      <c r="A458" s="6" t="s">
        <v>524</v>
      </c>
      <c r="B458" s="6" t="s">
        <v>505</v>
      </c>
      <c r="C458" s="6" t="s">
        <v>506</v>
      </c>
      <c r="D458" s="6">
        <f t="shared" si="54"/>
        <v>0.5</v>
      </c>
      <c r="E458" s="6" t="s">
        <v>19</v>
      </c>
      <c r="F458" s="6" t="str">
        <f>MID(A458,19,1)</f>
        <v>N</v>
      </c>
      <c r="G458" s="6">
        <v>-23.429068428799368</v>
      </c>
      <c r="H458" s="6">
        <v>-46.786840314724301</v>
      </c>
      <c r="I458" s="9">
        <v>913.96</v>
      </c>
      <c r="K458" s="6">
        <v>3.52</v>
      </c>
      <c r="L458" s="6">
        <v>20</v>
      </c>
      <c r="N458" s="1">
        <f t="shared" si="58"/>
        <v>0</v>
      </c>
      <c r="O458" s="6" t="s">
        <v>185</v>
      </c>
      <c r="Q458" s="6" t="s">
        <v>21</v>
      </c>
      <c r="R458" s="6" t="s">
        <v>21</v>
      </c>
      <c r="S458" s="6" t="s">
        <v>21</v>
      </c>
      <c r="T458" s="6" t="s">
        <v>21</v>
      </c>
      <c r="U458" s="6">
        <f t="shared" si="59"/>
        <v>182.79200000000003</v>
      </c>
      <c r="V458" s="6">
        <f t="shared" si="60"/>
        <v>182.79200000000003</v>
      </c>
    </row>
    <row r="459" spans="1:22" x14ac:dyDescent="0.35">
      <c r="A459" s="6" t="s">
        <v>525</v>
      </c>
      <c r="B459" s="6" t="s">
        <v>505</v>
      </c>
      <c r="C459" s="6" t="s">
        <v>506</v>
      </c>
      <c r="D459" s="6">
        <f t="shared" si="54"/>
        <v>0.5</v>
      </c>
      <c r="E459" s="6" t="s">
        <v>19</v>
      </c>
      <c r="F459" s="6" t="str">
        <f>MID(A459,19,1)</f>
        <v>N</v>
      </c>
      <c r="G459" s="6">
        <v>-23.42255063225339</v>
      </c>
      <c r="H459" s="6">
        <v>-46.789730530185793</v>
      </c>
      <c r="I459" s="9">
        <v>4187.21</v>
      </c>
      <c r="K459" s="6">
        <v>6.22</v>
      </c>
      <c r="L459" s="6">
        <v>0</v>
      </c>
      <c r="N459" s="1">
        <f t="shared" si="58"/>
        <v>0</v>
      </c>
      <c r="Q459" s="6" t="s">
        <v>21</v>
      </c>
      <c r="R459" s="6" t="s">
        <v>21</v>
      </c>
      <c r="S459" s="6" t="s">
        <v>21</v>
      </c>
      <c r="T459" s="6" t="s">
        <v>21</v>
      </c>
      <c r="U459" s="6">
        <f t="shared" si="59"/>
        <v>0</v>
      </c>
      <c r="V459" s="6">
        <f t="shared" si="60"/>
        <v>0</v>
      </c>
    </row>
    <row r="460" spans="1:22" x14ac:dyDescent="0.35">
      <c r="A460" s="6" t="s">
        <v>526</v>
      </c>
      <c r="B460" s="6" t="s">
        <v>505</v>
      </c>
      <c r="C460" s="6" t="s">
        <v>506</v>
      </c>
      <c r="D460" s="6">
        <f t="shared" si="54"/>
        <v>0.5</v>
      </c>
      <c r="E460" s="6" t="s">
        <v>19</v>
      </c>
      <c r="F460" s="6" t="str">
        <f>MID(A460,19,1)</f>
        <v>N</v>
      </c>
      <c r="G460" s="6">
        <v>-23.42231504010805</v>
      </c>
      <c r="H460" s="6">
        <v>-46.78908602120417</v>
      </c>
      <c r="I460" s="9">
        <v>3615.6</v>
      </c>
      <c r="K460" s="6">
        <v>6.49</v>
      </c>
      <c r="L460" s="6">
        <v>0</v>
      </c>
      <c r="N460" s="1">
        <f t="shared" si="58"/>
        <v>0</v>
      </c>
      <c r="Q460" s="6" t="s">
        <v>21</v>
      </c>
      <c r="R460" s="6" t="s">
        <v>21</v>
      </c>
      <c r="S460" s="6" t="s">
        <v>21</v>
      </c>
      <c r="T460" s="6" t="s">
        <v>21</v>
      </c>
      <c r="U460" s="6">
        <f t="shared" si="59"/>
        <v>0</v>
      </c>
      <c r="V460" s="6">
        <f t="shared" si="60"/>
        <v>0</v>
      </c>
    </row>
    <row r="461" spans="1:22" x14ac:dyDescent="0.35">
      <c r="A461" s="6" t="s">
        <v>527</v>
      </c>
      <c r="B461" s="6" t="s">
        <v>505</v>
      </c>
      <c r="C461" s="6" t="s">
        <v>506</v>
      </c>
      <c r="D461" s="6">
        <f t="shared" si="54"/>
        <v>0.5</v>
      </c>
      <c r="E461" s="6" t="s">
        <v>19</v>
      </c>
      <c r="F461" s="6" t="str">
        <f>MID(A461,19,1)</f>
        <v>N</v>
      </c>
      <c r="G461" s="6">
        <v>-23.422993287166261</v>
      </c>
      <c r="H461" s="6">
        <v>-46.788986050046368</v>
      </c>
      <c r="I461" s="9">
        <v>3989.56</v>
      </c>
      <c r="K461" s="6">
        <v>2.56</v>
      </c>
      <c r="L461" s="6">
        <v>0</v>
      </c>
      <c r="N461" s="1">
        <f t="shared" si="58"/>
        <v>0</v>
      </c>
      <c r="Q461" s="6" t="s">
        <v>21</v>
      </c>
      <c r="R461" s="6" t="s">
        <v>21</v>
      </c>
      <c r="S461" s="6" t="s">
        <v>21</v>
      </c>
      <c r="T461" s="6" t="s">
        <v>21</v>
      </c>
      <c r="U461" s="6">
        <f t="shared" si="59"/>
        <v>0</v>
      </c>
      <c r="V461" s="6">
        <f t="shared" si="60"/>
        <v>0</v>
      </c>
    </row>
    <row r="462" spans="1:22" x14ac:dyDescent="0.35">
      <c r="A462" s="6" t="s">
        <v>528</v>
      </c>
      <c r="B462" s="6" t="s">
        <v>505</v>
      </c>
      <c r="C462" s="6" t="s">
        <v>506</v>
      </c>
      <c r="D462" s="6">
        <f t="shared" ref="D462:D525" si="61">C462-B462</f>
        <v>0.5</v>
      </c>
      <c r="E462" s="6" t="s">
        <v>19</v>
      </c>
      <c r="F462" s="6" t="str">
        <f>MID(A462,19,1)</f>
        <v>N</v>
      </c>
      <c r="G462" s="6">
        <v>-23.424123491112471</v>
      </c>
      <c r="H462" s="6">
        <v>-46.787979070626619</v>
      </c>
      <c r="I462" s="9">
        <v>1864.36</v>
      </c>
      <c r="K462" s="6">
        <v>5.79</v>
      </c>
      <c r="L462" s="6">
        <v>0</v>
      </c>
      <c r="N462" s="1">
        <f t="shared" si="58"/>
        <v>0</v>
      </c>
      <c r="Q462" s="6" t="s">
        <v>21</v>
      </c>
      <c r="R462" s="6" t="s">
        <v>21</v>
      </c>
      <c r="S462" s="6" t="s">
        <v>21</v>
      </c>
      <c r="T462" s="6" t="s">
        <v>21</v>
      </c>
      <c r="U462" s="6">
        <f t="shared" si="59"/>
        <v>0</v>
      </c>
      <c r="V462" s="6">
        <f t="shared" si="60"/>
        <v>0</v>
      </c>
    </row>
    <row r="463" spans="1:22" x14ac:dyDescent="0.35">
      <c r="A463" s="6" t="s">
        <v>529</v>
      </c>
      <c r="B463" s="6" t="s">
        <v>505</v>
      </c>
      <c r="C463" s="6" t="s">
        <v>506</v>
      </c>
      <c r="D463" s="6">
        <f t="shared" si="61"/>
        <v>0.5</v>
      </c>
      <c r="E463" s="6" t="s">
        <v>19</v>
      </c>
      <c r="F463" s="6" t="str">
        <f>MID(A463,19,1)</f>
        <v>N</v>
      </c>
      <c r="G463" s="6">
        <v>-23.427045634701031</v>
      </c>
      <c r="H463" s="6">
        <v>-46.787148557518456</v>
      </c>
      <c r="I463" s="9">
        <v>858.98</v>
      </c>
      <c r="K463" s="6">
        <v>9.1999999999999993</v>
      </c>
      <c r="L463" s="6">
        <v>20</v>
      </c>
      <c r="N463" s="1">
        <f t="shared" si="58"/>
        <v>0</v>
      </c>
      <c r="O463" s="6" t="s">
        <v>185</v>
      </c>
      <c r="Q463" s="6" t="s">
        <v>21</v>
      </c>
      <c r="R463" s="6" t="s">
        <v>21</v>
      </c>
      <c r="S463" s="6" t="s">
        <v>21</v>
      </c>
      <c r="T463" s="6" t="s">
        <v>21</v>
      </c>
      <c r="U463" s="6">
        <f t="shared" si="59"/>
        <v>171.79600000000002</v>
      </c>
      <c r="V463" s="6">
        <f t="shared" si="60"/>
        <v>171.79600000000002</v>
      </c>
    </row>
    <row r="464" spans="1:22" x14ac:dyDescent="0.35">
      <c r="A464" s="6" t="s">
        <v>530</v>
      </c>
      <c r="B464" s="6" t="s">
        <v>505</v>
      </c>
      <c r="C464" s="6" t="s">
        <v>506</v>
      </c>
      <c r="D464" s="6">
        <f t="shared" si="61"/>
        <v>0.5</v>
      </c>
      <c r="E464" s="6" t="s">
        <v>19</v>
      </c>
      <c r="F464" s="6" t="str">
        <f>MID(A464,19,1)</f>
        <v>N</v>
      </c>
      <c r="G464" s="6">
        <v>-23.42208963253896</v>
      </c>
      <c r="H464" s="6">
        <v>-46.789011790952763</v>
      </c>
      <c r="I464" s="9">
        <v>727.41</v>
      </c>
      <c r="K464" s="6">
        <v>8.5</v>
      </c>
      <c r="L464" s="6">
        <v>0</v>
      </c>
      <c r="N464" s="1">
        <f t="shared" si="58"/>
        <v>0</v>
      </c>
      <c r="Q464" s="6" t="s">
        <v>21</v>
      </c>
      <c r="R464" s="6" t="s">
        <v>21</v>
      </c>
      <c r="S464" s="6" t="s">
        <v>21</v>
      </c>
      <c r="T464" s="6" t="s">
        <v>21</v>
      </c>
      <c r="U464" s="6">
        <f t="shared" si="59"/>
        <v>0</v>
      </c>
      <c r="V464" s="6">
        <f t="shared" si="60"/>
        <v>0</v>
      </c>
    </row>
    <row r="465" spans="1:22" hidden="1" x14ac:dyDescent="0.35">
      <c r="A465" s="6" t="s">
        <v>531</v>
      </c>
      <c r="B465" s="6" t="s">
        <v>505</v>
      </c>
      <c r="C465" s="6" t="s">
        <v>506</v>
      </c>
      <c r="D465" s="6">
        <f t="shared" si="61"/>
        <v>0.5</v>
      </c>
      <c r="E465" s="6" t="s">
        <v>19</v>
      </c>
      <c r="F465" s="6" t="str">
        <f>MID(A465,19,1)</f>
        <v>S</v>
      </c>
      <c r="G465" s="6">
        <v>-23.430246054923131</v>
      </c>
      <c r="H465" s="6">
        <v>-46.787360731104457</v>
      </c>
      <c r="I465" s="9">
        <v>705.37</v>
      </c>
      <c r="K465" s="6">
        <v>1.76</v>
      </c>
      <c r="L465" s="6">
        <v>30</v>
      </c>
      <c r="N465" s="1">
        <f t="shared" si="58"/>
        <v>0</v>
      </c>
      <c r="O465" s="6" t="s">
        <v>185</v>
      </c>
      <c r="Q465" s="6" t="s">
        <v>21</v>
      </c>
      <c r="R465" s="6" t="s">
        <v>21</v>
      </c>
      <c r="S465" s="6" t="s">
        <v>21</v>
      </c>
      <c r="T465" s="6" t="s">
        <v>21</v>
      </c>
      <c r="U465" s="6">
        <f t="shared" si="59"/>
        <v>211.61099999999999</v>
      </c>
      <c r="V465" s="6">
        <f t="shared" si="60"/>
        <v>211.61099999999999</v>
      </c>
    </row>
    <row r="466" spans="1:22" hidden="1" x14ac:dyDescent="0.35">
      <c r="A466" s="6" t="s">
        <v>532</v>
      </c>
      <c r="B466" s="6" t="s">
        <v>505</v>
      </c>
      <c r="C466" s="6" t="s">
        <v>506</v>
      </c>
      <c r="D466" s="6">
        <f t="shared" si="61"/>
        <v>0.5</v>
      </c>
      <c r="E466" s="6" t="s">
        <v>19</v>
      </c>
      <c r="F466" s="6" t="str">
        <f>MID(A466,19,1)</f>
        <v>S</v>
      </c>
      <c r="G466" s="6">
        <v>-23.420748487286421</v>
      </c>
      <c r="H466" s="6">
        <v>-46.762581343347392</v>
      </c>
      <c r="I466" s="9">
        <v>2299.92</v>
      </c>
      <c r="K466" s="6">
        <v>10.47</v>
      </c>
      <c r="L466" s="6">
        <v>0</v>
      </c>
      <c r="N466" s="1">
        <f t="shared" si="58"/>
        <v>0</v>
      </c>
      <c r="Q466" s="6" t="s">
        <v>21</v>
      </c>
      <c r="R466" s="6" t="s">
        <v>21</v>
      </c>
      <c r="S466" s="6" t="s">
        <v>21</v>
      </c>
      <c r="T466" s="6" t="s">
        <v>21</v>
      </c>
      <c r="U466" s="6">
        <f t="shared" si="59"/>
        <v>0</v>
      </c>
      <c r="V466" s="6">
        <f t="shared" si="60"/>
        <v>0</v>
      </c>
    </row>
    <row r="467" spans="1:22" hidden="1" x14ac:dyDescent="0.35">
      <c r="A467" s="6" t="s">
        <v>533</v>
      </c>
      <c r="B467" s="6" t="s">
        <v>505</v>
      </c>
      <c r="C467" s="6" t="s">
        <v>506</v>
      </c>
      <c r="D467" s="6">
        <f t="shared" si="61"/>
        <v>0.5</v>
      </c>
      <c r="E467" s="6" t="s">
        <v>19</v>
      </c>
      <c r="F467" s="6" t="str">
        <f>MID(A467,19,1)</f>
        <v>S</v>
      </c>
      <c r="G467" s="6">
        <v>-23.428208581401041</v>
      </c>
      <c r="H467" s="6">
        <v>-46.787684162012013</v>
      </c>
      <c r="I467" s="9">
        <v>1636.17</v>
      </c>
      <c r="K467" s="6">
        <v>4.12</v>
      </c>
      <c r="L467" s="6">
        <v>30</v>
      </c>
      <c r="N467" s="1">
        <f t="shared" si="58"/>
        <v>0</v>
      </c>
      <c r="O467" s="6" t="s">
        <v>185</v>
      </c>
      <c r="Q467" s="6" t="s">
        <v>21</v>
      </c>
      <c r="R467" s="6" t="s">
        <v>21</v>
      </c>
      <c r="S467" s="6" t="s">
        <v>21</v>
      </c>
      <c r="T467" s="6" t="s">
        <v>21</v>
      </c>
      <c r="U467" s="6">
        <f t="shared" si="59"/>
        <v>490.851</v>
      </c>
      <c r="V467" s="6">
        <f t="shared" si="60"/>
        <v>490.851</v>
      </c>
    </row>
    <row r="468" spans="1:22" hidden="1" x14ac:dyDescent="0.35">
      <c r="A468" s="6" t="s">
        <v>534</v>
      </c>
      <c r="B468" s="6" t="s">
        <v>505</v>
      </c>
      <c r="C468" s="6" t="s">
        <v>506</v>
      </c>
      <c r="D468" s="6">
        <f t="shared" si="61"/>
        <v>0.5</v>
      </c>
      <c r="E468" s="6" t="s">
        <v>19</v>
      </c>
      <c r="F468" s="6" t="str">
        <f>MID(A468,19,1)</f>
        <v>S</v>
      </c>
      <c r="G468" s="6">
        <v>-23.429509139162949</v>
      </c>
      <c r="H468" s="6">
        <v>-46.787405203362177</v>
      </c>
      <c r="I468" s="9">
        <v>1733.22</v>
      </c>
      <c r="K468" s="6">
        <v>1.69</v>
      </c>
      <c r="L468" s="6">
        <v>30</v>
      </c>
      <c r="N468" s="1">
        <f t="shared" si="58"/>
        <v>0</v>
      </c>
      <c r="O468" s="6" t="s">
        <v>185</v>
      </c>
      <c r="Q468" s="6" t="s">
        <v>21</v>
      </c>
      <c r="R468" s="6" t="s">
        <v>21</v>
      </c>
      <c r="S468" s="6" t="s">
        <v>21</v>
      </c>
      <c r="T468" s="6" t="s">
        <v>21</v>
      </c>
      <c r="U468" s="6">
        <f t="shared" si="59"/>
        <v>519.96600000000001</v>
      </c>
      <c r="V468" s="6">
        <f t="shared" si="60"/>
        <v>519.96600000000001</v>
      </c>
    </row>
    <row r="469" spans="1:22" hidden="1" x14ac:dyDescent="0.35">
      <c r="A469" s="6" t="s">
        <v>535</v>
      </c>
      <c r="B469" s="6" t="s">
        <v>505</v>
      </c>
      <c r="C469" s="6" t="s">
        <v>506</v>
      </c>
      <c r="D469" s="6">
        <f t="shared" si="61"/>
        <v>0.5</v>
      </c>
      <c r="E469" s="6" t="s">
        <v>19</v>
      </c>
      <c r="F469" s="6" t="str">
        <f>MID(A469,19,1)</f>
        <v>S</v>
      </c>
      <c r="G469" s="6">
        <v>-23.423421546242089</v>
      </c>
      <c r="H469" s="6">
        <v>-46.789823377576113</v>
      </c>
      <c r="I469" s="9">
        <v>523.87</v>
      </c>
      <c r="K469" s="6">
        <v>2.3199999999999998</v>
      </c>
      <c r="L469" s="6">
        <v>50</v>
      </c>
      <c r="N469" s="1">
        <f t="shared" si="58"/>
        <v>0</v>
      </c>
      <c r="O469" s="6" t="s">
        <v>20</v>
      </c>
      <c r="Q469" s="6" t="s">
        <v>21</v>
      </c>
      <c r="R469" s="6" t="s">
        <v>21</v>
      </c>
      <c r="S469" s="6" t="s">
        <v>21</v>
      </c>
      <c r="T469" s="6" t="s">
        <v>21</v>
      </c>
      <c r="U469" s="6">
        <f t="shared" si="59"/>
        <v>261.935</v>
      </c>
      <c r="V469" s="6">
        <f t="shared" si="60"/>
        <v>261.935</v>
      </c>
    </row>
    <row r="470" spans="1:22" hidden="1" x14ac:dyDescent="0.35">
      <c r="A470" s="6" t="s">
        <v>536</v>
      </c>
      <c r="B470" s="6" t="s">
        <v>505</v>
      </c>
      <c r="C470" s="6" t="s">
        <v>506</v>
      </c>
      <c r="D470" s="6">
        <f t="shared" si="61"/>
        <v>0.5</v>
      </c>
      <c r="E470" s="6" t="s">
        <v>19</v>
      </c>
      <c r="F470" s="6" t="str">
        <f>MID(A470,19,1)</f>
        <v>S</v>
      </c>
      <c r="G470" s="6">
        <v>-23.42345827591511</v>
      </c>
      <c r="H470" s="6">
        <v>-46.790602976893162</v>
      </c>
      <c r="I470" s="9">
        <v>63.12</v>
      </c>
      <c r="K470" s="6">
        <v>7.11</v>
      </c>
      <c r="L470" s="6">
        <v>50</v>
      </c>
      <c r="N470" s="1">
        <f t="shared" si="58"/>
        <v>0</v>
      </c>
      <c r="O470" s="6" t="s">
        <v>20</v>
      </c>
      <c r="Q470" s="6" t="s">
        <v>21</v>
      </c>
      <c r="R470" s="6" t="s">
        <v>21</v>
      </c>
      <c r="S470" s="6" t="s">
        <v>21</v>
      </c>
      <c r="T470" s="6" t="s">
        <v>21</v>
      </c>
      <c r="U470" s="6">
        <f t="shared" si="59"/>
        <v>31.56</v>
      </c>
      <c r="V470" s="6">
        <f t="shared" si="60"/>
        <v>31.56</v>
      </c>
    </row>
    <row r="471" spans="1:22" hidden="1" x14ac:dyDescent="0.35">
      <c r="A471" s="6" t="s">
        <v>537</v>
      </c>
      <c r="B471" s="6" t="s">
        <v>505</v>
      </c>
      <c r="C471" s="6" t="s">
        <v>506</v>
      </c>
      <c r="D471" s="6">
        <f t="shared" si="61"/>
        <v>0.5</v>
      </c>
      <c r="E471" s="6" t="s">
        <v>19</v>
      </c>
      <c r="F471" s="6" t="str">
        <f>MID(A471,19,1)</f>
        <v>S</v>
      </c>
      <c r="G471" s="6">
        <v>-23.423280814522879</v>
      </c>
      <c r="H471" s="6">
        <v>-46.790512984949721</v>
      </c>
      <c r="I471" s="9">
        <v>109.41</v>
      </c>
      <c r="K471" s="6">
        <v>6.53</v>
      </c>
      <c r="L471" s="6">
        <v>50</v>
      </c>
      <c r="N471" s="1">
        <f t="shared" si="58"/>
        <v>0</v>
      </c>
      <c r="O471" s="6" t="s">
        <v>20</v>
      </c>
      <c r="Q471" s="6" t="s">
        <v>21</v>
      </c>
      <c r="R471" s="6" t="s">
        <v>21</v>
      </c>
      <c r="S471" s="6" t="s">
        <v>21</v>
      </c>
      <c r="T471" s="6" t="s">
        <v>21</v>
      </c>
      <c r="U471" s="6">
        <f t="shared" si="59"/>
        <v>54.704999999999998</v>
      </c>
      <c r="V471" s="6">
        <f t="shared" si="60"/>
        <v>54.704999999999998</v>
      </c>
    </row>
    <row r="472" spans="1:22" hidden="1" x14ac:dyDescent="0.35">
      <c r="A472" s="6" t="s">
        <v>538</v>
      </c>
      <c r="B472" s="6" t="s">
        <v>505</v>
      </c>
      <c r="C472" s="6" t="s">
        <v>506</v>
      </c>
      <c r="D472" s="6">
        <f t="shared" si="61"/>
        <v>0.5</v>
      </c>
      <c r="E472" s="6" t="s">
        <v>19</v>
      </c>
      <c r="F472" s="6" t="str">
        <f>MID(A472,19,1)</f>
        <v>S</v>
      </c>
      <c r="G472" s="6">
        <v>-23.424807014846859</v>
      </c>
      <c r="H472" s="6">
        <v>-46.788622386509942</v>
      </c>
      <c r="I472" s="9">
        <v>3094.33</v>
      </c>
      <c r="K472" s="6">
        <v>2.44</v>
      </c>
      <c r="L472" s="6">
        <v>50</v>
      </c>
      <c r="N472" s="1">
        <f t="shared" si="58"/>
        <v>0</v>
      </c>
      <c r="O472" s="6" t="s">
        <v>20</v>
      </c>
      <c r="Q472" s="6" t="s">
        <v>21</v>
      </c>
      <c r="R472" s="6" t="s">
        <v>21</v>
      </c>
      <c r="S472" s="6" t="s">
        <v>21</v>
      </c>
      <c r="T472" s="6" t="s">
        <v>21</v>
      </c>
      <c r="U472" s="6">
        <f t="shared" si="59"/>
        <v>1547.165</v>
      </c>
      <c r="V472" s="6">
        <f t="shared" si="60"/>
        <v>1547.165</v>
      </c>
    </row>
    <row r="473" spans="1:22" hidden="1" x14ac:dyDescent="0.35">
      <c r="A473" s="6" t="s">
        <v>539</v>
      </c>
      <c r="B473" s="6" t="s">
        <v>505</v>
      </c>
      <c r="C473" s="6" t="s">
        <v>506</v>
      </c>
      <c r="D473" s="6">
        <f t="shared" si="61"/>
        <v>0.5</v>
      </c>
      <c r="E473" s="6" t="s">
        <v>19</v>
      </c>
      <c r="F473" s="6" t="str">
        <f>MID(A473,19,1)</f>
        <v>S</v>
      </c>
      <c r="G473" s="6">
        <v>-23.42688924221223</v>
      </c>
      <c r="H473" s="6">
        <v>-46.787753582458301</v>
      </c>
      <c r="I473" s="9">
        <v>972.49</v>
      </c>
      <c r="K473" s="6">
        <v>6.51</v>
      </c>
      <c r="L473" s="6">
        <v>30</v>
      </c>
      <c r="N473" s="1">
        <f t="shared" si="58"/>
        <v>0</v>
      </c>
      <c r="O473" s="6" t="s">
        <v>185</v>
      </c>
      <c r="Q473" s="6" t="s">
        <v>21</v>
      </c>
      <c r="R473" s="6" t="s">
        <v>21</v>
      </c>
      <c r="S473" s="6" t="s">
        <v>21</v>
      </c>
      <c r="T473" s="6" t="s">
        <v>21</v>
      </c>
      <c r="U473" s="6">
        <f t="shared" si="59"/>
        <v>291.74700000000001</v>
      </c>
      <c r="V473" s="6">
        <f t="shared" si="60"/>
        <v>291.74700000000001</v>
      </c>
    </row>
    <row r="474" spans="1:22" hidden="1" x14ac:dyDescent="0.35">
      <c r="A474" s="6" t="s">
        <v>540</v>
      </c>
      <c r="B474" s="6" t="s">
        <v>541</v>
      </c>
      <c r="C474" s="6" t="s">
        <v>542</v>
      </c>
      <c r="D474" s="6">
        <f t="shared" si="61"/>
        <v>0.5</v>
      </c>
      <c r="E474" s="6" t="s">
        <v>19</v>
      </c>
      <c r="F474" s="6" t="str">
        <f>MID(A474,19,1)</f>
        <v>S</v>
      </c>
      <c r="G474" s="6">
        <v>-23.421121808181301</v>
      </c>
      <c r="H474" s="6">
        <v>-46.794631294606347</v>
      </c>
      <c r="I474" s="9">
        <v>179.88</v>
      </c>
      <c r="K474" s="6">
        <v>10.26</v>
      </c>
      <c r="L474" s="6">
        <v>40</v>
      </c>
      <c r="N474" s="1">
        <f t="shared" si="58"/>
        <v>0</v>
      </c>
      <c r="O474" s="6" t="s">
        <v>20</v>
      </c>
      <c r="Q474" s="6" t="s">
        <v>21</v>
      </c>
      <c r="R474" s="6" t="s">
        <v>21</v>
      </c>
      <c r="S474" s="6" t="s">
        <v>21</v>
      </c>
      <c r="T474" s="6" t="s">
        <v>21</v>
      </c>
      <c r="U474" s="6">
        <f t="shared" si="59"/>
        <v>71.951999999999998</v>
      </c>
      <c r="V474" s="6">
        <f t="shared" si="60"/>
        <v>71.951999999999998</v>
      </c>
    </row>
    <row r="475" spans="1:22" hidden="1" x14ac:dyDescent="0.35">
      <c r="A475" s="6" t="s">
        <v>543</v>
      </c>
      <c r="B475" s="6" t="s">
        <v>541</v>
      </c>
      <c r="C475" s="6" t="s">
        <v>542</v>
      </c>
      <c r="D475" s="6">
        <f t="shared" si="61"/>
        <v>0.5</v>
      </c>
      <c r="E475" s="6" t="s">
        <v>19</v>
      </c>
      <c r="F475" s="6" t="str">
        <f>MID(A475,19,1)</f>
        <v>S</v>
      </c>
      <c r="G475" s="6">
        <v>-23.420075566552271</v>
      </c>
      <c r="H475" s="6">
        <v>-46.797064867969333</v>
      </c>
      <c r="I475" s="9">
        <v>1038.05</v>
      </c>
      <c r="K475" s="6">
        <v>8.02</v>
      </c>
      <c r="L475" s="6">
        <v>40</v>
      </c>
      <c r="N475" s="1">
        <f t="shared" si="58"/>
        <v>0</v>
      </c>
      <c r="O475" s="6" t="s">
        <v>20</v>
      </c>
      <c r="Q475" s="6" t="s">
        <v>21</v>
      </c>
      <c r="R475" s="6" t="s">
        <v>21</v>
      </c>
      <c r="S475" s="6" t="s">
        <v>21</v>
      </c>
      <c r="T475" s="6" t="s">
        <v>21</v>
      </c>
      <c r="U475" s="6">
        <f t="shared" si="59"/>
        <v>415.22</v>
      </c>
      <c r="V475" s="6">
        <f t="shared" si="60"/>
        <v>415.22</v>
      </c>
    </row>
    <row r="476" spans="1:22" hidden="1" x14ac:dyDescent="0.35">
      <c r="A476" s="6" t="s">
        <v>544</v>
      </c>
      <c r="B476" s="6" t="s">
        <v>541</v>
      </c>
      <c r="C476" s="6" t="s">
        <v>542</v>
      </c>
      <c r="D476" s="6">
        <f t="shared" si="61"/>
        <v>0.5</v>
      </c>
      <c r="E476" s="6" t="s">
        <v>19</v>
      </c>
      <c r="F476" s="6" t="str">
        <f>MID(A476,19,1)</f>
        <v>S</v>
      </c>
      <c r="G476" s="6">
        <v>-23.418973331851021</v>
      </c>
      <c r="H476" s="6">
        <v>-46.798530678289602</v>
      </c>
      <c r="I476" s="9">
        <v>564.54</v>
      </c>
      <c r="K476" s="6">
        <v>4.17</v>
      </c>
      <c r="L476" s="6">
        <v>40</v>
      </c>
      <c r="N476" s="1">
        <f t="shared" si="58"/>
        <v>0</v>
      </c>
      <c r="O476" s="6" t="s">
        <v>20</v>
      </c>
      <c r="Q476" s="6" t="s">
        <v>21</v>
      </c>
      <c r="R476" s="6" t="s">
        <v>21</v>
      </c>
      <c r="S476" s="6" t="s">
        <v>21</v>
      </c>
      <c r="T476" s="6" t="s">
        <v>21</v>
      </c>
      <c r="U476" s="6">
        <f t="shared" si="59"/>
        <v>225.816</v>
      </c>
      <c r="V476" s="6">
        <f t="shared" si="60"/>
        <v>225.816</v>
      </c>
    </row>
    <row r="477" spans="1:22" hidden="1" x14ac:dyDescent="0.35">
      <c r="A477" s="6" t="s">
        <v>545</v>
      </c>
      <c r="B477" s="6" t="s">
        <v>541</v>
      </c>
      <c r="C477" s="6" t="s">
        <v>542</v>
      </c>
      <c r="D477" s="6">
        <f t="shared" si="61"/>
        <v>0.5</v>
      </c>
      <c r="E477" s="6" t="s">
        <v>19</v>
      </c>
      <c r="F477" s="6" t="str">
        <f>MID(A477,19,1)</f>
        <v>S</v>
      </c>
      <c r="G477" s="6">
        <v>-23.422729806323741</v>
      </c>
      <c r="H477" s="6">
        <v>-46.791390418225276</v>
      </c>
      <c r="I477" s="9">
        <v>282.63</v>
      </c>
      <c r="K477" s="6">
        <v>5.66</v>
      </c>
      <c r="L477" s="6">
        <v>50</v>
      </c>
      <c r="N477" s="1">
        <f t="shared" si="58"/>
        <v>0</v>
      </c>
      <c r="O477" s="6" t="s">
        <v>20</v>
      </c>
      <c r="Q477" s="6" t="s">
        <v>21</v>
      </c>
      <c r="R477" s="6" t="s">
        <v>21</v>
      </c>
      <c r="S477" s="6" t="s">
        <v>21</v>
      </c>
      <c r="T477" s="6" t="s">
        <v>21</v>
      </c>
      <c r="U477" s="6">
        <f t="shared" si="59"/>
        <v>141.315</v>
      </c>
      <c r="V477" s="6">
        <f t="shared" si="60"/>
        <v>141.315</v>
      </c>
    </row>
    <row r="478" spans="1:22" hidden="1" x14ac:dyDescent="0.35">
      <c r="A478" s="6" t="s">
        <v>546</v>
      </c>
      <c r="B478" s="6" t="s">
        <v>541</v>
      </c>
      <c r="C478" s="6" t="s">
        <v>542</v>
      </c>
      <c r="D478" s="6">
        <f t="shared" si="61"/>
        <v>0.5</v>
      </c>
      <c r="E478" s="6" t="s">
        <v>19</v>
      </c>
      <c r="F478" s="6" t="str">
        <f>MID(A478,19,1)</f>
        <v>S</v>
      </c>
      <c r="G478" s="6">
        <v>-23.423639618229242</v>
      </c>
      <c r="H478" s="6">
        <v>-46.79100261184869</v>
      </c>
      <c r="I478" s="9">
        <v>1531.29</v>
      </c>
      <c r="K478" s="6">
        <v>6.98</v>
      </c>
      <c r="L478" s="6">
        <v>40</v>
      </c>
      <c r="N478" s="1">
        <f t="shared" si="58"/>
        <v>0</v>
      </c>
      <c r="O478" s="6" t="s">
        <v>20</v>
      </c>
      <c r="Q478" s="6" t="s">
        <v>21</v>
      </c>
      <c r="R478" s="6" t="s">
        <v>21</v>
      </c>
      <c r="S478" s="6" t="s">
        <v>21</v>
      </c>
      <c r="T478" s="6" t="s">
        <v>21</v>
      </c>
      <c r="U478" s="6">
        <f t="shared" si="59"/>
        <v>612.51599999999996</v>
      </c>
      <c r="V478" s="6">
        <f t="shared" si="60"/>
        <v>612.51599999999996</v>
      </c>
    </row>
    <row r="479" spans="1:22" hidden="1" x14ac:dyDescent="0.35">
      <c r="A479" s="6" t="s">
        <v>547</v>
      </c>
      <c r="B479" s="6" t="s">
        <v>541</v>
      </c>
      <c r="C479" s="6" t="s">
        <v>542</v>
      </c>
      <c r="D479" s="6">
        <f t="shared" si="61"/>
        <v>0.5</v>
      </c>
      <c r="E479" s="6" t="s">
        <v>19</v>
      </c>
      <c r="F479" s="6" t="str">
        <f>MID(A479,19,1)</f>
        <v>S</v>
      </c>
      <c r="G479" s="6">
        <v>-23.413099887022359</v>
      </c>
      <c r="H479" s="6">
        <v>-46.766747009462136</v>
      </c>
      <c r="I479" s="9">
        <v>1987.07</v>
      </c>
      <c r="K479" s="6">
        <v>12.81</v>
      </c>
      <c r="L479" s="6">
        <v>70</v>
      </c>
      <c r="N479" s="1">
        <f t="shared" si="58"/>
        <v>0</v>
      </c>
      <c r="O479" s="6" t="s">
        <v>20</v>
      </c>
      <c r="Q479" s="6" t="s">
        <v>21</v>
      </c>
      <c r="R479" s="6" t="s">
        <v>21</v>
      </c>
      <c r="S479" s="6" t="s">
        <v>21</v>
      </c>
      <c r="T479" s="6" t="s">
        <v>21</v>
      </c>
      <c r="U479" s="6">
        <f t="shared" si="59"/>
        <v>1390.9489999999998</v>
      </c>
      <c r="V479" s="6">
        <f t="shared" si="60"/>
        <v>1390.9489999999998</v>
      </c>
    </row>
    <row r="480" spans="1:22" hidden="1" x14ac:dyDescent="0.35">
      <c r="A480" s="6" t="s">
        <v>548</v>
      </c>
      <c r="B480" s="6" t="s">
        <v>541</v>
      </c>
      <c r="C480" s="6" t="s">
        <v>542</v>
      </c>
      <c r="D480" s="6">
        <f t="shared" si="61"/>
        <v>0.5</v>
      </c>
      <c r="E480" s="6" t="s">
        <v>19</v>
      </c>
      <c r="F480" s="6" t="str">
        <f>MID(A480,19,1)</f>
        <v>S</v>
      </c>
      <c r="G480" s="6">
        <v>-23.4168403569345</v>
      </c>
      <c r="H480" s="6">
        <v>-46.764846307885712</v>
      </c>
      <c r="I480" s="9">
        <v>1620.13</v>
      </c>
      <c r="K480" s="6">
        <v>7.38</v>
      </c>
      <c r="L480" s="6">
        <v>0</v>
      </c>
      <c r="N480" s="1">
        <f t="shared" si="58"/>
        <v>0</v>
      </c>
      <c r="Q480" s="6" t="s">
        <v>21</v>
      </c>
      <c r="R480" s="6" t="s">
        <v>21</v>
      </c>
      <c r="S480" s="6" t="s">
        <v>21</v>
      </c>
      <c r="T480" s="6" t="s">
        <v>21</v>
      </c>
      <c r="U480" s="6">
        <f t="shared" si="59"/>
        <v>0</v>
      </c>
      <c r="V480" s="6">
        <f t="shared" si="60"/>
        <v>0</v>
      </c>
    </row>
    <row r="481" spans="1:22" x14ac:dyDescent="0.35">
      <c r="A481" s="6" t="s">
        <v>549</v>
      </c>
      <c r="B481" s="6" t="s">
        <v>541</v>
      </c>
      <c r="C481" s="6" t="s">
        <v>542</v>
      </c>
      <c r="D481" s="6">
        <f t="shared" si="61"/>
        <v>0.5</v>
      </c>
      <c r="E481" s="6" t="s">
        <v>19</v>
      </c>
      <c r="F481" s="6" t="str">
        <f>MID(A481,19,1)</f>
        <v>N</v>
      </c>
      <c r="G481" s="6">
        <v>-23.422626784520119</v>
      </c>
      <c r="H481" s="6">
        <v>-46.790205303940311</v>
      </c>
      <c r="I481" s="9">
        <v>0.18</v>
      </c>
      <c r="K481" s="6">
        <v>7.75</v>
      </c>
      <c r="N481" s="1">
        <f t="shared" si="58"/>
        <v>0</v>
      </c>
      <c r="Q481" s="6" t="s">
        <v>21</v>
      </c>
      <c r="R481" s="6" t="s">
        <v>21</v>
      </c>
      <c r="S481" s="6" t="s">
        <v>21</v>
      </c>
      <c r="T481" s="6" t="s">
        <v>21</v>
      </c>
      <c r="U481" s="6">
        <f t="shared" si="59"/>
        <v>0</v>
      </c>
      <c r="V481" s="6">
        <f t="shared" si="60"/>
        <v>0</v>
      </c>
    </row>
    <row r="482" spans="1:22" x14ac:dyDescent="0.35">
      <c r="A482" s="6" t="s">
        <v>550</v>
      </c>
      <c r="B482" s="6" t="s">
        <v>541</v>
      </c>
      <c r="C482" s="6" t="s">
        <v>542</v>
      </c>
      <c r="D482" s="6">
        <f t="shared" si="61"/>
        <v>0.5</v>
      </c>
      <c r="E482" s="6" t="s">
        <v>19</v>
      </c>
      <c r="F482" s="6" t="str">
        <f>MID(A482,19,1)</f>
        <v>N</v>
      </c>
      <c r="G482" s="6">
        <v>-23.422131167407841</v>
      </c>
      <c r="H482" s="6">
        <v>-46.790287121430403</v>
      </c>
      <c r="I482" s="9">
        <v>660.43</v>
      </c>
      <c r="K482" s="6">
        <v>11.09</v>
      </c>
      <c r="L482" s="6">
        <v>0</v>
      </c>
      <c r="N482" s="1">
        <f t="shared" si="58"/>
        <v>0</v>
      </c>
      <c r="Q482" s="6" t="s">
        <v>21</v>
      </c>
      <c r="R482" s="6" t="s">
        <v>21</v>
      </c>
      <c r="S482" s="6" t="s">
        <v>21</v>
      </c>
      <c r="T482" s="6" t="s">
        <v>21</v>
      </c>
      <c r="U482" s="6">
        <f t="shared" si="59"/>
        <v>0</v>
      </c>
      <c r="V482" s="6">
        <f t="shared" si="60"/>
        <v>0</v>
      </c>
    </row>
    <row r="483" spans="1:22" x14ac:dyDescent="0.35">
      <c r="A483" s="6" t="s">
        <v>551</v>
      </c>
      <c r="B483" s="6" t="s">
        <v>541</v>
      </c>
      <c r="C483" s="6" t="s">
        <v>542</v>
      </c>
      <c r="D483" s="6">
        <f t="shared" si="61"/>
        <v>0.5</v>
      </c>
      <c r="E483" s="6" t="s">
        <v>19</v>
      </c>
      <c r="F483" s="6" t="str">
        <f>MID(A483,19,1)</f>
        <v>N</v>
      </c>
      <c r="G483" s="6">
        <v>-23.42217790962183</v>
      </c>
      <c r="H483" s="6">
        <v>-46.791410134509682</v>
      </c>
      <c r="I483" s="9">
        <v>3620.53</v>
      </c>
      <c r="K483" s="6">
        <v>3.73</v>
      </c>
      <c r="L483" s="6">
        <v>65</v>
      </c>
      <c r="N483" s="1">
        <f t="shared" si="58"/>
        <v>0</v>
      </c>
      <c r="O483" s="6" t="s">
        <v>20</v>
      </c>
      <c r="Q483" s="6" t="s">
        <v>21</v>
      </c>
      <c r="R483" s="6" t="s">
        <v>21</v>
      </c>
      <c r="S483" s="6" t="s">
        <v>21</v>
      </c>
      <c r="T483" s="6" t="s">
        <v>21</v>
      </c>
      <c r="U483" s="6">
        <f t="shared" si="59"/>
        <v>2353.3445000000002</v>
      </c>
      <c r="V483" s="6">
        <f t="shared" si="60"/>
        <v>2353.3445000000002</v>
      </c>
    </row>
    <row r="484" spans="1:22" x14ac:dyDescent="0.35">
      <c r="A484" s="6" t="s">
        <v>552</v>
      </c>
      <c r="B484" s="6" t="s">
        <v>541</v>
      </c>
      <c r="C484" s="6" t="s">
        <v>542</v>
      </c>
      <c r="D484" s="6">
        <f t="shared" si="61"/>
        <v>0.5</v>
      </c>
      <c r="E484" s="6" t="s">
        <v>19</v>
      </c>
      <c r="F484" s="6" t="str">
        <f>MID(A484,19,1)</f>
        <v>N</v>
      </c>
      <c r="G484" s="6">
        <v>-23.422142866083561</v>
      </c>
      <c r="H484" s="6">
        <v>-46.791030203881427</v>
      </c>
      <c r="I484" s="9">
        <v>1585.11</v>
      </c>
      <c r="K484" s="6">
        <v>7.1</v>
      </c>
      <c r="L484" s="6">
        <v>0</v>
      </c>
      <c r="N484" s="1">
        <f t="shared" si="58"/>
        <v>0</v>
      </c>
      <c r="Q484" s="6" t="s">
        <v>21</v>
      </c>
      <c r="R484" s="6" t="s">
        <v>21</v>
      </c>
      <c r="S484" s="6" t="s">
        <v>21</v>
      </c>
      <c r="T484" s="6" t="s">
        <v>21</v>
      </c>
      <c r="U484" s="6">
        <f t="shared" si="59"/>
        <v>0</v>
      </c>
      <c r="V484" s="6">
        <f t="shared" si="60"/>
        <v>0</v>
      </c>
    </row>
    <row r="485" spans="1:22" x14ac:dyDescent="0.35">
      <c r="A485" s="6" t="s">
        <v>553</v>
      </c>
      <c r="B485" s="6" t="s">
        <v>541</v>
      </c>
      <c r="C485" s="6" t="s">
        <v>542</v>
      </c>
      <c r="D485" s="6">
        <f t="shared" si="61"/>
        <v>0.5</v>
      </c>
      <c r="E485" s="6" t="s">
        <v>19</v>
      </c>
      <c r="F485" s="6" t="str">
        <f>MID(A485,19,1)</f>
        <v>N</v>
      </c>
      <c r="G485" s="6">
        <v>-23.42235720374909</v>
      </c>
      <c r="H485" s="6">
        <v>-46.79034643718694</v>
      </c>
      <c r="I485" s="9">
        <v>1479.37</v>
      </c>
      <c r="K485" s="6">
        <v>8.5399999999999991</v>
      </c>
      <c r="L485" s="6">
        <v>0</v>
      </c>
      <c r="N485" s="1">
        <f t="shared" si="58"/>
        <v>0</v>
      </c>
      <c r="Q485" s="6" t="s">
        <v>21</v>
      </c>
      <c r="R485" s="6" t="s">
        <v>21</v>
      </c>
      <c r="S485" s="6" t="s">
        <v>21</v>
      </c>
      <c r="T485" s="6" t="s">
        <v>21</v>
      </c>
      <c r="U485" s="6">
        <f t="shared" si="59"/>
        <v>0</v>
      </c>
      <c r="V485" s="6">
        <f t="shared" si="60"/>
        <v>0</v>
      </c>
    </row>
    <row r="486" spans="1:22" x14ac:dyDescent="0.35">
      <c r="A486" s="6" t="s">
        <v>554</v>
      </c>
      <c r="B486" s="6" t="s">
        <v>541</v>
      </c>
      <c r="C486" s="6" t="s">
        <v>542</v>
      </c>
      <c r="D486" s="6">
        <f t="shared" si="61"/>
        <v>0.5</v>
      </c>
      <c r="E486" s="6" t="s">
        <v>19</v>
      </c>
      <c r="F486" s="6" t="str">
        <f>MID(A486,19,1)</f>
        <v>N</v>
      </c>
      <c r="G486" s="6">
        <v>-23.414230028233519</v>
      </c>
      <c r="H486" s="6">
        <v>-46.765530949115153</v>
      </c>
      <c r="I486" s="9">
        <v>442.14</v>
      </c>
      <c r="K486" s="6">
        <v>5.36</v>
      </c>
      <c r="L486" s="6">
        <v>80</v>
      </c>
      <c r="N486" s="1">
        <f t="shared" si="58"/>
        <v>0</v>
      </c>
      <c r="O486" s="6" t="s">
        <v>20</v>
      </c>
      <c r="Q486" s="6" t="s">
        <v>21</v>
      </c>
      <c r="R486" s="6" t="s">
        <v>21</v>
      </c>
      <c r="S486" s="6" t="s">
        <v>21</v>
      </c>
      <c r="T486" s="6" t="s">
        <v>21</v>
      </c>
      <c r="U486" s="6">
        <f t="shared" si="59"/>
        <v>353.71199999999999</v>
      </c>
      <c r="V486" s="6">
        <f t="shared" si="60"/>
        <v>353.71199999999999</v>
      </c>
    </row>
    <row r="487" spans="1:22" x14ac:dyDescent="0.35">
      <c r="A487" s="6" t="s">
        <v>555</v>
      </c>
      <c r="B487" s="6" t="s">
        <v>541</v>
      </c>
      <c r="C487" s="6" t="s">
        <v>542</v>
      </c>
      <c r="D487" s="6">
        <f t="shared" si="61"/>
        <v>0.5</v>
      </c>
      <c r="E487" s="6" t="s">
        <v>19</v>
      </c>
      <c r="F487" s="6" t="str">
        <f>MID(A487,19,1)</f>
        <v>N</v>
      </c>
      <c r="G487" s="6">
        <v>-23.422424615245401</v>
      </c>
      <c r="H487" s="6">
        <v>-46.790116208279123</v>
      </c>
      <c r="I487" s="9">
        <v>72.31</v>
      </c>
      <c r="K487" s="6">
        <v>7.98</v>
      </c>
      <c r="L487" s="6">
        <v>0</v>
      </c>
      <c r="N487" s="1">
        <f t="shared" si="58"/>
        <v>0</v>
      </c>
      <c r="Q487" s="6" t="s">
        <v>21</v>
      </c>
      <c r="R487" s="6" t="s">
        <v>21</v>
      </c>
      <c r="S487" s="6" t="s">
        <v>21</v>
      </c>
      <c r="T487" s="6" t="s">
        <v>21</v>
      </c>
      <c r="U487" s="6">
        <f t="shared" si="59"/>
        <v>0</v>
      </c>
      <c r="V487" s="6">
        <f t="shared" si="60"/>
        <v>0</v>
      </c>
    </row>
    <row r="488" spans="1:22" hidden="1" x14ac:dyDescent="0.35">
      <c r="A488" s="6" t="s">
        <v>556</v>
      </c>
      <c r="B488" s="6" t="s">
        <v>541</v>
      </c>
      <c r="C488" s="6" t="s">
        <v>542</v>
      </c>
      <c r="D488" s="6">
        <f t="shared" si="61"/>
        <v>0.5</v>
      </c>
      <c r="E488" s="6" t="s">
        <v>19</v>
      </c>
      <c r="F488" s="6" t="str">
        <f>MID(A488,19,1)</f>
        <v>S</v>
      </c>
      <c r="G488" s="6">
        <v>-23.423178585655009</v>
      </c>
      <c r="H488" s="6">
        <v>-46.791147730779812</v>
      </c>
      <c r="I488" s="9">
        <v>5916.6</v>
      </c>
      <c r="K488" s="6">
        <v>7.49</v>
      </c>
      <c r="L488" s="6">
        <v>20</v>
      </c>
      <c r="N488" s="1">
        <f t="shared" si="58"/>
        <v>0</v>
      </c>
      <c r="O488" s="6" t="s">
        <v>20</v>
      </c>
      <c r="Q488" s="6" t="s">
        <v>21</v>
      </c>
      <c r="R488" s="6" t="s">
        <v>21</v>
      </c>
      <c r="S488" s="6" t="s">
        <v>21</v>
      </c>
      <c r="T488" s="6" t="s">
        <v>21</v>
      </c>
      <c r="U488" s="6">
        <f t="shared" si="59"/>
        <v>1183.3200000000002</v>
      </c>
      <c r="V488" s="6">
        <f t="shared" si="60"/>
        <v>1183.3200000000002</v>
      </c>
    </row>
    <row r="489" spans="1:22" hidden="1" x14ac:dyDescent="0.35">
      <c r="A489" s="6" t="s">
        <v>557</v>
      </c>
      <c r="B489" s="6" t="s">
        <v>541</v>
      </c>
      <c r="C489" s="6" t="s">
        <v>542</v>
      </c>
      <c r="D489" s="6">
        <f t="shared" si="61"/>
        <v>0.5</v>
      </c>
      <c r="E489" s="6" t="s">
        <v>19</v>
      </c>
      <c r="F489" s="6" t="str">
        <f>MID(A489,19,1)</f>
        <v>S</v>
      </c>
      <c r="G489" s="6">
        <v>-23.422444993859401</v>
      </c>
      <c r="H489" s="6">
        <v>-46.792443420976298</v>
      </c>
      <c r="I489" s="9">
        <v>2048.5700000000002</v>
      </c>
      <c r="K489" s="6">
        <v>7.07</v>
      </c>
      <c r="L489" s="6">
        <v>0</v>
      </c>
      <c r="N489" s="1">
        <f t="shared" si="58"/>
        <v>0</v>
      </c>
      <c r="Q489" s="6" t="s">
        <v>21</v>
      </c>
      <c r="R489" s="6" t="s">
        <v>21</v>
      </c>
      <c r="S489" s="6" t="s">
        <v>21</v>
      </c>
      <c r="T489" s="6" t="s">
        <v>21</v>
      </c>
      <c r="U489" s="6">
        <f t="shared" si="59"/>
        <v>0</v>
      </c>
      <c r="V489" s="6">
        <f t="shared" si="60"/>
        <v>0</v>
      </c>
    </row>
    <row r="490" spans="1:22" hidden="1" x14ac:dyDescent="0.35">
      <c r="A490" s="6" t="s">
        <v>558</v>
      </c>
      <c r="B490" s="6" t="s">
        <v>541</v>
      </c>
      <c r="C490" s="6" t="s">
        <v>542</v>
      </c>
      <c r="D490" s="6">
        <f t="shared" si="61"/>
        <v>0.5</v>
      </c>
      <c r="E490" s="6" t="s">
        <v>23</v>
      </c>
      <c r="F490" s="6" t="str">
        <f>MID(A490,19,1)</f>
        <v>C</v>
      </c>
      <c r="G490" s="6">
        <v>-23.41663988346254</v>
      </c>
      <c r="H490" s="6">
        <v>-46.7642286642198</v>
      </c>
      <c r="I490" s="7">
        <v>1737.98</v>
      </c>
      <c r="J490" s="9">
        <f>I490/500</f>
        <v>3.4759600000000002</v>
      </c>
      <c r="K490" s="6">
        <v>8.25</v>
      </c>
      <c r="L490" s="6">
        <v>80</v>
      </c>
      <c r="N490" s="1">
        <f t="shared" si="58"/>
        <v>0</v>
      </c>
      <c r="O490" s="6" t="s">
        <v>20</v>
      </c>
      <c r="Q490" s="6" t="s">
        <v>21</v>
      </c>
      <c r="R490" s="6" t="s">
        <v>21</v>
      </c>
      <c r="S490" s="6" t="s">
        <v>21</v>
      </c>
      <c r="T490" s="6" t="s">
        <v>21</v>
      </c>
      <c r="U490" s="6">
        <f t="shared" si="59"/>
        <v>1390.384</v>
      </c>
      <c r="V490" s="6">
        <f t="shared" si="60"/>
        <v>1390.384</v>
      </c>
    </row>
    <row r="491" spans="1:22" hidden="1" x14ac:dyDescent="0.35">
      <c r="A491" s="6" t="s">
        <v>559</v>
      </c>
      <c r="B491" s="6" t="s">
        <v>541</v>
      </c>
      <c r="C491" s="6" t="s">
        <v>542</v>
      </c>
      <c r="D491" s="6">
        <f t="shared" si="61"/>
        <v>0.5</v>
      </c>
      <c r="E491" s="6" t="s">
        <v>19</v>
      </c>
      <c r="F491" s="6" t="str">
        <f>MID(A491,19,1)</f>
        <v>S</v>
      </c>
      <c r="G491" s="6">
        <v>-23.41512813034505</v>
      </c>
      <c r="H491" s="6">
        <v>-46.765824760287238</v>
      </c>
      <c r="I491" s="9">
        <v>94.48</v>
      </c>
      <c r="K491" s="6">
        <v>13.05</v>
      </c>
      <c r="L491" s="6">
        <v>70</v>
      </c>
      <c r="N491" s="1">
        <f t="shared" si="58"/>
        <v>0</v>
      </c>
      <c r="O491" s="6" t="s">
        <v>20</v>
      </c>
      <c r="Q491" s="6" t="s">
        <v>21</v>
      </c>
      <c r="R491" s="6" t="s">
        <v>21</v>
      </c>
      <c r="S491" s="6" t="s">
        <v>21</v>
      </c>
      <c r="T491" s="6" t="s">
        <v>21</v>
      </c>
      <c r="U491" s="6">
        <f t="shared" si="59"/>
        <v>66.135999999999996</v>
      </c>
      <c r="V491" s="6">
        <f t="shared" si="60"/>
        <v>66.135999999999996</v>
      </c>
    </row>
    <row r="492" spans="1:22" x14ac:dyDescent="0.35">
      <c r="A492" s="6" t="s">
        <v>560</v>
      </c>
      <c r="B492" s="6" t="s">
        <v>541</v>
      </c>
      <c r="C492" s="6" t="s">
        <v>542</v>
      </c>
      <c r="D492" s="6">
        <f t="shared" si="61"/>
        <v>0.5</v>
      </c>
      <c r="E492" s="6" t="s">
        <v>19</v>
      </c>
      <c r="F492" s="6" t="str">
        <f>MID(A492,19,1)</f>
        <v>N</v>
      </c>
      <c r="G492" s="6">
        <v>-23.412300334417321</v>
      </c>
      <c r="H492" s="6">
        <v>-46.766382284790168</v>
      </c>
      <c r="I492" s="9">
        <v>1505.31</v>
      </c>
      <c r="K492" s="6">
        <v>11.45</v>
      </c>
      <c r="L492" s="6">
        <v>80</v>
      </c>
      <c r="N492" s="1">
        <f t="shared" si="58"/>
        <v>0</v>
      </c>
      <c r="O492" s="6" t="s">
        <v>20</v>
      </c>
      <c r="Q492" s="6" t="s">
        <v>21</v>
      </c>
      <c r="R492" s="6" t="s">
        <v>21</v>
      </c>
      <c r="S492" s="6" t="s">
        <v>21</v>
      </c>
      <c r="T492" s="6" t="s">
        <v>21</v>
      </c>
      <c r="U492" s="6">
        <f t="shared" si="59"/>
        <v>1204.248</v>
      </c>
      <c r="V492" s="6">
        <f t="shared" si="60"/>
        <v>1204.248</v>
      </c>
    </row>
    <row r="493" spans="1:22" hidden="1" x14ac:dyDescent="0.35">
      <c r="A493" s="6" t="s">
        <v>561</v>
      </c>
      <c r="B493" s="6" t="s">
        <v>541</v>
      </c>
      <c r="C493" s="6" t="s">
        <v>542</v>
      </c>
      <c r="D493" s="6">
        <f t="shared" si="61"/>
        <v>0.5</v>
      </c>
      <c r="E493" s="6" t="s">
        <v>23</v>
      </c>
      <c r="F493" s="6" t="str">
        <f>MID(A493,19,1)</f>
        <v>C</v>
      </c>
      <c r="G493" s="6">
        <v>-23.419470329693279</v>
      </c>
      <c r="H493" s="6">
        <v>-46.797544618235577</v>
      </c>
      <c r="I493" s="9">
        <v>4822.7</v>
      </c>
      <c r="J493" s="9">
        <f t="shared" ref="J493:J495" si="62">I493/500</f>
        <v>9.6454000000000004</v>
      </c>
      <c r="K493" s="6">
        <v>4.41</v>
      </c>
      <c r="L493" s="6">
        <v>40</v>
      </c>
      <c r="N493" s="1">
        <f t="shared" si="58"/>
        <v>0</v>
      </c>
      <c r="O493" s="6" t="s">
        <v>20</v>
      </c>
      <c r="Q493" s="6" t="s">
        <v>21</v>
      </c>
      <c r="R493" s="6" t="s">
        <v>21</v>
      </c>
      <c r="S493" s="6" t="s">
        <v>21</v>
      </c>
      <c r="T493" s="6" t="s">
        <v>21</v>
      </c>
      <c r="U493" s="6">
        <f t="shared" si="59"/>
        <v>1929.08</v>
      </c>
      <c r="V493" s="6">
        <f t="shared" si="60"/>
        <v>1929.08</v>
      </c>
    </row>
    <row r="494" spans="1:22" hidden="1" x14ac:dyDescent="0.35">
      <c r="A494" s="6" t="s">
        <v>562</v>
      </c>
      <c r="B494" s="6" t="s">
        <v>541</v>
      </c>
      <c r="C494" s="6" t="s">
        <v>542</v>
      </c>
      <c r="D494" s="6">
        <f t="shared" si="61"/>
        <v>0.5</v>
      </c>
      <c r="E494" s="6" t="s">
        <v>23</v>
      </c>
      <c r="F494" s="6" t="str">
        <f>MID(A494,19,1)</f>
        <v>C</v>
      </c>
      <c r="G494" s="6">
        <v>-23.422847660099521</v>
      </c>
      <c r="H494" s="6">
        <v>-46.790849753247137</v>
      </c>
      <c r="I494" s="9">
        <v>1174.97</v>
      </c>
      <c r="J494" s="9">
        <f t="shared" si="62"/>
        <v>2.3499400000000001</v>
      </c>
      <c r="K494" s="6">
        <v>5.65</v>
      </c>
      <c r="L494" s="6">
        <v>50</v>
      </c>
      <c r="N494" s="1">
        <f t="shared" si="58"/>
        <v>0</v>
      </c>
      <c r="O494" s="6" t="s">
        <v>20</v>
      </c>
      <c r="Q494" s="6" t="s">
        <v>21</v>
      </c>
      <c r="R494" s="6" t="s">
        <v>21</v>
      </c>
      <c r="S494" s="6" t="s">
        <v>21</v>
      </c>
      <c r="T494" s="6" t="s">
        <v>21</v>
      </c>
      <c r="U494" s="6">
        <f t="shared" si="59"/>
        <v>587.48500000000001</v>
      </c>
      <c r="V494" s="6">
        <f t="shared" si="60"/>
        <v>587.48500000000001</v>
      </c>
    </row>
    <row r="495" spans="1:22" hidden="1" x14ac:dyDescent="0.35">
      <c r="A495" s="6" t="s">
        <v>563</v>
      </c>
      <c r="B495" s="6" t="s">
        <v>541</v>
      </c>
      <c r="C495" s="6" t="s">
        <v>542</v>
      </c>
      <c r="D495" s="6">
        <f t="shared" si="61"/>
        <v>0.5</v>
      </c>
      <c r="E495" s="6" t="s">
        <v>23</v>
      </c>
      <c r="F495" s="6" t="str">
        <f>MID(A495,19,1)</f>
        <v>C</v>
      </c>
      <c r="G495" s="6">
        <v>-23.42182381115688</v>
      </c>
      <c r="H495" s="6">
        <v>-46.792782477952038</v>
      </c>
      <c r="I495" s="9">
        <v>3901.11</v>
      </c>
      <c r="J495" s="9">
        <f t="shared" si="62"/>
        <v>7.8022200000000002</v>
      </c>
      <c r="K495" s="6">
        <v>5.12</v>
      </c>
      <c r="L495" s="6">
        <v>50</v>
      </c>
      <c r="N495" s="1">
        <f t="shared" si="58"/>
        <v>0</v>
      </c>
      <c r="O495" s="6" t="s">
        <v>20</v>
      </c>
      <c r="Q495" s="6" t="s">
        <v>21</v>
      </c>
      <c r="R495" s="6" t="s">
        <v>21</v>
      </c>
      <c r="S495" s="6" t="s">
        <v>21</v>
      </c>
      <c r="T495" s="6" t="s">
        <v>21</v>
      </c>
      <c r="U495" s="6">
        <f t="shared" si="59"/>
        <v>1950.5550000000001</v>
      </c>
      <c r="V495" s="6">
        <f t="shared" si="60"/>
        <v>1950.5550000000001</v>
      </c>
    </row>
    <row r="496" spans="1:22" x14ac:dyDescent="0.35">
      <c r="A496" s="6" t="s">
        <v>564</v>
      </c>
      <c r="B496" s="6" t="s">
        <v>541</v>
      </c>
      <c r="C496" s="6" t="s">
        <v>542</v>
      </c>
      <c r="D496" s="6">
        <f t="shared" si="61"/>
        <v>0.5</v>
      </c>
      <c r="E496" s="6" t="s">
        <v>19</v>
      </c>
      <c r="F496" s="6" t="str">
        <f>MID(A496,19,1)</f>
        <v>N</v>
      </c>
      <c r="G496" s="6">
        <v>-23.421583586405941</v>
      </c>
      <c r="H496" s="6">
        <v>-46.792013558460397</v>
      </c>
      <c r="I496" s="9">
        <v>1800.05</v>
      </c>
      <c r="K496" s="6">
        <v>5.2</v>
      </c>
      <c r="L496" s="6">
        <v>0</v>
      </c>
      <c r="N496" s="1">
        <f t="shared" si="58"/>
        <v>0</v>
      </c>
      <c r="Q496" s="6" t="s">
        <v>21</v>
      </c>
      <c r="R496" s="6" t="s">
        <v>21</v>
      </c>
      <c r="S496" s="6" t="s">
        <v>21</v>
      </c>
      <c r="T496" s="6" t="s">
        <v>21</v>
      </c>
      <c r="U496" s="6">
        <f t="shared" si="59"/>
        <v>0</v>
      </c>
      <c r="V496" s="6">
        <f t="shared" si="60"/>
        <v>0</v>
      </c>
    </row>
    <row r="497" spans="1:22" x14ac:dyDescent="0.35">
      <c r="A497" s="6" t="s">
        <v>565</v>
      </c>
      <c r="B497" s="6" t="s">
        <v>541</v>
      </c>
      <c r="C497" s="6" t="s">
        <v>542</v>
      </c>
      <c r="D497" s="6">
        <f t="shared" si="61"/>
        <v>0.5</v>
      </c>
      <c r="E497" s="6" t="s">
        <v>19</v>
      </c>
      <c r="F497" s="6" t="str">
        <f>MID(A497,19,1)</f>
        <v>N</v>
      </c>
      <c r="G497" s="6">
        <v>-23.41460175026042</v>
      </c>
      <c r="H497" s="6">
        <v>-46.765334425262253</v>
      </c>
      <c r="I497" s="9">
        <v>290.67</v>
      </c>
      <c r="K497" s="6">
        <v>6.76</v>
      </c>
      <c r="L497" s="6">
        <v>80</v>
      </c>
      <c r="N497" s="1">
        <f t="shared" si="58"/>
        <v>0</v>
      </c>
      <c r="O497" s="6" t="s">
        <v>20</v>
      </c>
      <c r="Q497" s="6" t="s">
        <v>21</v>
      </c>
      <c r="R497" s="6" t="s">
        <v>21</v>
      </c>
      <c r="S497" s="6" t="s">
        <v>21</v>
      </c>
      <c r="T497" s="6" t="s">
        <v>21</v>
      </c>
      <c r="U497" s="6">
        <f t="shared" si="59"/>
        <v>232.53600000000003</v>
      </c>
      <c r="V497" s="6">
        <f t="shared" si="60"/>
        <v>232.53600000000003</v>
      </c>
    </row>
    <row r="498" spans="1:22" x14ac:dyDescent="0.35">
      <c r="A498" s="8" t="s">
        <v>566</v>
      </c>
      <c r="B498" s="8" t="s">
        <v>541</v>
      </c>
      <c r="C498" s="8" t="s">
        <v>542</v>
      </c>
      <c r="D498" s="6">
        <f t="shared" si="61"/>
        <v>0.5</v>
      </c>
      <c r="E498" s="8" t="s">
        <v>19</v>
      </c>
      <c r="F498" s="6" t="str">
        <f>MID(A498,19,1)</f>
        <v>N</v>
      </c>
      <c r="G498" s="8">
        <v>-23.4193399867039</v>
      </c>
      <c r="H498" s="8">
        <v>-46.796504574126253</v>
      </c>
      <c r="I498" s="7">
        <v>2401.35</v>
      </c>
      <c r="J498" s="7"/>
      <c r="K498" s="8">
        <v>5.38</v>
      </c>
      <c r="L498" s="8">
        <v>70</v>
      </c>
      <c r="M498" s="8"/>
      <c r="N498" s="11">
        <f t="shared" si="58"/>
        <v>1680.9449999999999</v>
      </c>
      <c r="O498" s="8" t="s">
        <v>4083</v>
      </c>
      <c r="P498" s="8"/>
      <c r="Q498" s="8" t="s">
        <v>21</v>
      </c>
      <c r="R498" s="8" t="s">
        <v>26</v>
      </c>
      <c r="S498" s="8" t="s">
        <v>21</v>
      </c>
      <c r="T498" s="8" t="s">
        <v>21</v>
      </c>
      <c r="U498" s="6">
        <f t="shared" si="59"/>
        <v>0</v>
      </c>
    </row>
    <row r="499" spans="1:22" hidden="1" x14ac:dyDescent="0.35">
      <c r="A499" s="6" t="s">
        <v>567</v>
      </c>
      <c r="B499" s="6" t="s">
        <v>541</v>
      </c>
      <c r="C499" s="6" t="s">
        <v>542</v>
      </c>
      <c r="D499" s="6">
        <f t="shared" si="61"/>
        <v>0.5</v>
      </c>
      <c r="E499" s="6" t="s">
        <v>23</v>
      </c>
      <c r="F499" s="6" t="str">
        <f>MID(A499,19,1)</f>
        <v>C</v>
      </c>
      <c r="G499" s="6">
        <v>-23.41672443278804</v>
      </c>
      <c r="H499" s="6">
        <v>-46.764537654099058</v>
      </c>
      <c r="I499" s="7">
        <v>5797.91</v>
      </c>
      <c r="J499" s="9">
        <f t="shared" ref="J499:J500" si="63">I499/500</f>
        <v>11.59582</v>
      </c>
      <c r="K499" s="6">
        <v>6.21</v>
      </c>
      <c r="L499" s="6">
        <v>30</v>
      </c>
      <c r="N499" s="1">
        <f t="shared" si="58"/>
        <v>0</v>
      </c>
      <c r="O499" s="6" t="s">
        <v>185</v>
      </c>
      <c r="Q499" s="6" t="s">
        <v>21</v>
      </c>
      <c r="R499" s="6" t="s">
        <v>21</v>
      </c>
      <c r="S499" s="6" t="s">
        <v>21</v>
      </c>
      <c r="T499" s="6" t="s">
        <v>21</v>
      </c>
      <c r="U499" s="6">
        <f t="shared" si="59"/>
        <v>1739.3729999999998</v>
      </c>
      <c r="V499" s="6">
        <f t="shared" ref="V499:V504" si="64">(I499*(L499/100))</f>
        <v>1739.3729999999998</v>
      </c>
    </row>
    <row r="500" spans="1:22" hidden="1" x14ac:dyDescent="0.35">
      <c r="A500" s="6" t="s">
        <v>568</v>
      </c>
      <c r="B500" s="6" t="s">
        <v>541</v>
      </c>
      <c r="C500" s="6" t="s">
        <v>542</v>
      </c>
      <c r="D500" s="6">
        <f t="shared" si="61"/>
        <v>0.5</v>
      </c>
      <c r="E500" s="6" t="s">
        <v>23</v>
      </c>
      <c r="F500" s="6" t="str">
        <f>MID(A500,19,1)</f>
        <v>C</v>
      </c>
      <c r="G500" s="6">
        <v>-23.413131478973909</v>
      </c>
      <c r="H500" s="6">
        <v>-46.766390302132741</v>
      </c>
      <c r="I500" s="7">
        <v>6358.55</v>
      </c>
      <c r="J500" s="9">
        <f t="shared" si="63"/>
        <v>12.7171</v>
      </c>
      <c r="K500" s="6">
        <v>6.38</v>
      </c>
      <c r="L500" s="6">
        <v>30</v>
      </c>
      <c r="N500" s="1">
        <f t="shared" si="58"/>
        <v>0</v>
      </c>
      <c r="O500" s="6" t="s">
        <v>185</v>
      </c>
      <c r="Q500" s="6" t="s">
        <v>21</v>
      </c>
      <c r="R500" s="6" t="s">
        <v>21</v>
      </c>
      <c r="S500" s="6" t="s">
        <v>21</v>
      </c>
      <c r="T500" s="6" t="s">
        <v>21</v>
      </c>
      <c r="U500" s="6">
        <f t="shared" si="59"/>
        <v>1907.5650000000001</v>
      </c>
      <c r="V500" s="6">
        <f t="shared" si="64"/>
        <v>1907.5650000000001</v>
      </c>
    </row>
    <row r="501" spans="1:22" hidden="1" x14ac:dyDescent="0.35">
      <c r="A501" s="6" t="s">
        <v>569</v>
      </c>
      <c r="B501" s="6" t="s">
        <v>541</v>
      </c>
      <c r="C501" s="6" t="s">
        <v>542</v>
      </c>
      <c r="D501" s="6">
        <f t="shared" si="61"/>
        <v>0.5</v>
      </c>
      <c r="E501" s="6" t="s">
        <v>19</v>
      </c>
      <c r="F501" s="6" t="str">
        <f>MID(A501,19,1)</f>
        <v>S</v>
      </c>
      <c r="G501" s="6">
        <v>-23.42024586761092</v>
      </c>
      <c r="H501" s="6">
        <v>-46.796145663507119</v>
      </c>
      <c r="I501" s="9">
        <v>3511.98</v>
      </c>
      <c r="K501" s="6">
        <v>6.11</v>
      </c>
      <c r="L501" s="6">
        <v>40</v>
      </c>
      <c r="N501" s="1">
        <f t="shared" si="58"/>
        <v>0</v>
      </c>
      <c r="O501" s="6" t="s">
        <v>20</v>
      </c>
      <c r="Q501" s="6" t="s">
        <v>21</v>
      </c>
      <c r="R501" s="6" t="s">
        <v>21</v>
      </c>
      <c r="S501" s="6" t="s">
        <v>21</v>
      </c>
      <c r="T501" s="6" t="s">
        <v>21</v>
      </c>
      <c r="U501" s="6">
        <f t="shared" si="59"/>
        <v>1404.7920000000001</v>
      </c>
      <c r="V501" s="6">
        <f t="shared" si="64"/>
        <v>1404.7920000000001</v>
      </c>
    </row>
    <row r="502" spans="1:22" hidden="1" x14ac:dyDescent="0.35">
      <c r="A502" s="6" t="s">
        <v>570</v>
      </c>
      <c r="B502" s="6" t="s">
        <v>571</v>
      </c>
      <c r="C502" s="6" t="s">
        <v>572</v>
      </c>
      <c r="D502" s="6">
        <f t="shared" si="61"/>
        <v>0.5</v>
      </c>
      <c r="E502" s="6" t="s">
        <v>19</v>
      </c>
      <c r="F502" s="6" t="str">
        <f>MID(A502,19,1)</f>
        <v>S</v>
      </c>
      <c r="G502" s="6">
        <v>-23.40689660739849</v>
      </c>
      <c r="H502" s="6">
        <v>-46.768058926900729</v>
      </c>
      <c r="I502" s="9">
        <v>210.24</v>
      </c>
      <c r="K502" s="6">
        <v>9.49</v>
      </c>
      <c r="L502" s="6">
        <v>70</v>
      </c>
      <c r="N502" s="1">
        <f t="shared" si="58"/>
        <v>0</v>
      </c>
      <c r="O502" s="6" t="s">
        <v>20</v>
      </c>
      <c r="Q502" s="6" t="s">
        <v>21</v>
      </c>
      <c r="R502" s="6" t="s">
        <v>21</v>
      </c>
      <c r="S502" s="6" t="s">
        <v>21</v>
      </c>
      <c r="T502" s="6" t="s">
        <v>21</v>
      </c>
      <c r="U502" s="6">
        <f t="shared" si="59"/>
        <v>147.16800000000001</v>
      </c>
      <c r="V502" s="6">
        <f t="shared" si="64"/>
        <v>147.16800000000001</v>
      </c>
    </row>
    <row r="503" spans="1:22" hidden="1" x14ac:dyDescent="0.35">
      <c r="A503" s="6" t="s">
        <v>573</v>
      </c>
      <c r="B503" s="6" t="s">
        <v>571</v>
      </c>
      <c r="C503" s="6" t="s">
        <v>572</v>
      </c>
      <c r="D503" s="6">
        <f t="shared" si="61"/>
        <v>0.5</v>
      </c>
      <c r="E503" s="6" t="s">
        <v>19</v>
      </c>
      <c r="F503" s="6" t="str">
        <f>MID(A503,19,1)</f>
        <v>S</v>
      </c>
      <c r="G503" s="6">
        <v>-23.419199168997029</v>
      </c>
      <c r="H503" s="6">
        <v>-46.799591258992137</v>
      </c>
      <c r="I503" s="9">
        <v>300.7</v>
      </c>
      <c r="K503" s="6">
        <v>2.88</v>
      </c>
      <c r="L503" s="6">
        <v>40</v>
      </c>
      <c r="N503" s="1">
        <f t="shared" si="58"/>
        <v>0</v>
      </c>
      <c r="O503" s="6" t="s">
        <v>20</v>
      </c>
      <c r="Q503" s="6" t="s">
        <v>21</v>
      </c>
      <c r="R503" s="6" t="s">
        <v>21</v>
      </c>
      <c r="S503" s="6" t="s">
        <v>21</v>
      </c>
      <c r="T503" s="6" t="s">
        <v>21</v>
      </c>
      <c r="U503" s="6">
        <f t="shared" si="59"/>
        <v>120.28</v>
      </c>
      <c r="V503" s="6">
        <f t="shared" si="64"/>
        <v>120.28</v>
      </c>
    </row>
    <row r="504" spans="1:22" x14ac:dyDescent="0.35">
      <c r="A504" s="6" t="s">
        <v>574</v>
      </c>
      <c r="B504" s="6" t="s">
        <v>571</v>
      </c>
      <c r="C504" s="6" t="s">
        <v>572</v>
      </c>
      <c r="D504" s="6">
        <f t="shared" si="61"/>
        <v>0.5</v>
      </c>
      <c r="E504" s="6" t="s">
        <v>19</v>
      </c>
      <c r="F504" s="6" t="str">
        <f>MID(A504,19,1)</f>
        <v>N</v>
      </c>
      <c r="G504" s="6">
        <v>-23.416894225732339</v>
      </c>
      <c r="H504" s="6">
        <v>-46.800997097585032</v>
      </c>
      <c r="I504" s="9">
        <v>1803.62</v>
      </c>
      <c r="K504" s="6">
        <v>5.16</v>
      </c>
      <c r="L504" s="6">
        <v>0</v>
      </c>
      <c r="N504" s="1">
        <f t="shared" si="58"/>
        <v>0</v>
      </c>
      <c r="Q504" s="6" t="s">
        <v>21</v>
      </c>
      <c r="R504" s="6" t="s">
        <v>21</v>
      </c>
      <c r="S504" s="6" t="s">
        <v>21</v>
      </c>
      <c r="T504" s="6" t="s">
        <v>21</v>
      </c>
      <c r="U504" s="6">
        <f t="shared" si="59"/>
        <v>0</v>
      </c>
      <c r="V504" s="6">
        <f t="shared" si="64"/>
        <v>0</v>
      </c>
    </row>
    <row r="505" spans="1:22" x14ac:dyDescent="0.35">
      <c r="A505" s="8" t="s">
        <v>575</v>
      </c>
      <c r="B505" s="8" t="s">
        <v>571</v>
      </c>
      <c r="C505" s="8" t="s">
        <v>572</v>
      </c>
      <c r="D505" s="6">
        <f t="shared" si="61"/>
        <v>0.5</v>
      </c>
      <c r="E505" s="8" t="s">
        <v>19</v>
      </c>
      <c r="F505" s="6" t="str">
        <f>MID(A505,19,1)</f>
        <v>N</v>
      </c>
      <c r="G505" s="8">
        <v>-23.41471937313489</v>
      </c>
      <c r="H505" s="8">
        <v>-46.805275344987358</v>
      </c>
      <c r="I505" s="7">
        <v>2194.3200000000002</v>
      </c>
      <c r="J505" s="7"/>
      <c r="K505" s="8">
        <v>4.07</v>
      </c>
      <c r="L505" s="8">
        <v>70</v>
      </c>
      <c r="M505" s="8"/>
      <c r="N505" s="11">
        <f t="shared" si="58"/>
        <v>1536.0240000000001</v>
      </c>
      <c r="O505" s="8" t="s">
        <v>4083</v>
      </c>
      <c r="P505" s="8"/>
      <c r="Q505" s="8" t="s">
        <v>21</v>
      </c>
      <c r="R505" s="8" t="s">
        <v>21</v>
      </c>
      <c r="S505" s="8" t="s">
        <v>26</v>
      </c>
      <c r="T505" s="8" t="s">
        <v>21</v>
      </c>
      <c r="U505" s="6">
        <f t="shared" si="59"/>
        <v>0</v>
      </c>
    </row>
    <row r="506" spans="1:22" hidden="1" x14ac:dyDescent="0.35">
      <c r="A506" s="6" t="s">
        <v>576</v>
      </c>
      <c r="B506" s="6" t="s">
        <v>571</v>
      </c>
      <c r="C506" s="6" t="s">
        <v>572</v>
      </c>
      <c r="D506" s="6">
        <f t="shared" si="61"/>
        <v>0.5</v>
      </c>
      <c r="E506" s="6" t="s">
        <v>19</v>
      </c>
      <c r="F506" s="6" t="str">
        <f>MID(A506,19,1)</f>
        <v>S</v>
      </c>
      <c r="G506" s="6">
        <v>-23.417318752881599</v>
      </c>
      <c r="H506" s="6">
        <v>-46.801234212047063</v>
      </c>
      <c r="I506" s="9">
        <v>376.26</v>
      </c>
      <c r="K506" s="6">
        <v>3.38</v>
      </c>
      <c r="L506" s="6">
        <v>0</v>
      </c>
      <c r="N506" s="1">
        <f t="shared" si="58"/>
        <v>0</v>
      </c>
      <c r="Q506" s="6" t="s">
        <v>26</v>
      </c>
      <c r="R506" s="6" t="s">
        <v>21</v>
      </c>
      <c r="S506" s="6" t="s">
        <v>21</v>
      </c>
      <c r="T506" s="6" t="s">
        <v>21</v>
      </c>
      <c r="U506" s="6">
        <f t="shared" si="59"/>
        <v>0</v>
      </c>
    </row>
    <row r="507" spans="1:22" x14ac:dyDescent="0.35">
      <c r="A507" s="6" t="s">
        <v>577</v>
      </c>
      <c r="B507" s="6" t="s">
        <v>571</v>
      </c>
      <c r="C507" s="6" t="s">
        <v>572</v>
      </c>
      <c r="D507" s="6">
        <f t="shared" si="61"/>
        <v>0.5</v>
      </c>
      <c r="E507" s="6" t="s">
        <v>19</v>
      </c>
      <c r="F507" s="6" t="str">
        <f>MID(A507,19,1)</f>
        <v>N</v>
      </c>
      <c r="G507" s="6">
        <v>-23.408825542500129</v>
      </c>
      <c r="H507" s="6">
        <v>-46.767225156809069</v>
      </c>
      <c r="I507" s="9">
        <v>1661.85</v>
      </c>
      <c r="K507" s="6">
        <v>9.25</v>
      </c>
      <c r="L507" s="6">
        <v>80</v>
      </c>
      <c r="N507" s="1">
        <f t="shared" si="58"/>
        <v>0</v>
      </c>
      <c r="O507" s="6" t="s">
        <v>20</v>
      </c>
      <c r="Q507" s="6" t="s">
        <v>21</v>
      </c>
      <c r="R507" s="6" t="s">
        <v>21</v>
      </c>
      <c r="S507" s="6" t="s">
        <v>21</v>
      </c>
      <c r="T507" s="6" t="s">
        <v>21</v>
      </c>
      <c r="U507" s="6">
        <f t="shared" si="59"/>
        <v>1329.48</v>
      </c>
      <c r="V507" s="6">
        <f t="shared" ref="V507:V529" si="65">(I507*(L507/100))</f>
        <v>1329.48</v>
      </c>
    </row>
    <row r="508" spans="1:22" x14ac:dyDescent="0.35">
      <c r="A508" s="6" t="s">
        <v>578</v>
      </c>
      <c r="B508" s="6" t="s">
        <v>571</v>
      </c>
      <c r="C508" s="6" t="s">
        <v>572</v>
      </c>
      <c r="D508" s="6">
        <f t="shared" si="61"/>
        <v>0.5</v>
      </c>
      <c r="E508" s="6" t="s">
        <v>19</v>
      </c>
      <c r="F508" s="6" t="str">
        <f>MID(A508,19,1)</f>
        <v>N</v>
      </c>
      <c r="G508" s="6">
        <v>-23.404208964552222</v>
      </c>
      <c r="H508" s="6">
        <v>-46.767443195795408</v>
      </c>
      <c r="I508" s="9">
        <v>1721.6</v>
      </c>
      <c r="K508" s="6">
        <v>5.66</v>
      </c>
      <c r="L508" s="6">
        <v>60</v>
      </c>
      <c r="N508" s="1">
        <f t="shared" si="58"/>
        <v>0</v>
      </c>
      <c r="O508" s="6" t="s">
        <v>20</v>
      </c>
      <c r="Q508" s="6" t="s">
        <v>21</v>
      </c>
      <c r="R508" s="6" t="s">
        <v>21</v>
      </c>
      <c r="S508" s="6" t="s">
        <v>21</v>
      </c>
      <c r="T508" s="6" t="s">
        <v>21</v>
      </c>
      <c r="U508" s="6">
        <f t="shared" si="59"/>
        <v>1032.9599999999998</v>
      </c>
      <c r="V508" s="6">
        <f t="shared" si="65"/>
        <v>1032.9599999999998</v>
      </c>
    </row>
    <row r="509" spans="1:22" hidden="1" x14ac:dyDescent="0.35">
      <c r="A509" s="6" t="s">
        <v>579</v>
      </c>
      <c r="B509" s="6" t="s">
        <v>571</v>
      </c>
      <c r="C509" s="6" t="s">
        <v>572</v>
      </c>
      <c r="D509" s="6">
        <f t="shared" si="61"/>
        <v>0.5</v>
      </c>
      <c r="E509" s="6" t="s">
        <v>19</v>
      </c>
      <c r="F509" s="6" t="str">
        <f>MID(A509,19,1)</f>
        <v>S</v>
      </c>
      <c r="G509" s="6">
        <v>-23.41095276816058</v>
      </c>
      <c r="H509" s="6">
        <v>-46.767210329217477</v>
      </c>
      <c r="I509" s="9">
        <v>70.37</v>
      </c>
      <c r="K509" s="6">
        <v>3.38</v>
      </c>
      <c r="L509" s="6">
        <v>30</v>
      </c>
      <c r="N509" s="1">
        <f t="shared" si="58"/>
        <v>0</v>
      </c>
      <c r="O509" s="6" t="s">
        <v>185</v>
      </c>
      <c r="Q509" s="6" t="s">
        <v>21</v>
      </c>
      <c r="R509" s="6" t="s">
        <v>21</v>
      </c>
      <c r="S509" s="6" t="s">
        <v>21</v>
      </c>
      <c r="T509" s="6" t="s">
        <v>21</v>
      </c>
      <c r="U509" s="6">
        <f t="shared" si="59"/>
        <v>21.111000000000001</v>
      </c>
      <c r="V509" s="6">
        <f t="shared" si="65"/>
        <v>21.111000000000001</v>
      </c>
    </row>
    <row r="510" spans="1:22" hidden="1" x14ac:dyDescent="0.35">
      <c r="A510" s="6" t="s">
        <v>580</v>
      </c>
      <c r="B510" s="6" t="s">
        <v>571</v>
      </c>
      <c r="C510" s="6" t="s">
        <v>572</v>
      </c>
      <c r="D510" s="6">
        <f t="shared" si="61"/>
        <v>0.5</v>
      </c>
      <c r="E510" s="6" t="s">
        <v>19</v>
      </c>
      <c r="F510" s="6" t="str">
        <f>MID(A510,19,1)</f>
        <v>S</v>
      </c>
      <c r="G510" s="6">
        <v>-23.40425980272455</v>
      </c>
      <c r="H510" s="6">
        <v>-46.768086992270028</v>
      </c>
      <c r="I510" s="9">
        <v>1657.52</v>
      </c>
      <c r="K510" s="6">
        <v>5.57</v>
      </c>
      <c r="L510" s="6">
        <v>70</v>
      </c>
      <c r="N510" s="1">
        <f t="shared" si="58"/>
        <v>0</v>
      </c>
      <c r="O510" s="6" t="s">
        <v>20</v>
      </c>
      <c r="Q510" s="6" t="s">
        <v>21</v>
      </c>
      <c r="R510" s="6" t="s">
        <v>21</v>
      </c>
      <c r="S510" s="6" t="s">
        <v>21</v>
      </c>
      <c r="T510" s="6" t="s">
        <v>21</v>
      </c>
      <c r="U510" s="6">
        <f t="shared" si="59"/>
        <v>1160.2639999999999</v>
      </c>
      <c r="V510" s="6">
        <f t="shared" si="65"/>
        <v>1160.2639999999999</v>
      </c>
    </row>
    <row r="511" spans="1:22" x14ac:dyDescent="0.35">
      <c r="A511" s="6" t="s">
        <v>581</v>
      </c>
      <c r="B511" s="6" t="s">
        <v>571</v>
      </c>
      <c r="C511" s="6" t="s">
        <v>572</v>
      </c>
      <c r="D511" s="6">
        <f t="shared" si="61"/>
        <v>0.5</v>
      </c>
      <c r="E511" s="6" t="s">
        <v>19</v>
      </c>
      <c r="F511" s="6" t="str">
        <f>MID(A511,19,1)</f>
        <v>N</v>
      </c>
      <c r="G511" s="6">
        <v>-23.406822302879519</v>
      </c>
      <c r="H511" s="6">
        <v>-46.767394692634717</v>
      </c>
      <c r="I511" s="9">
        <v>142.56</v>
      </c>
      <c r="K511" s="6">
        <v>3.9</v>
      </c>
      <c r="L511" s="6">
        <v>60</v>
      </c>
      <c r="N511" s="1">
        <f t="shared" si="58"/>
        <v>0</v>
      </c>
      <c r="O511" s="6" t="s">
        <v>20</v>
      </c>
      <c r="Q511" s="6" t="s">
        <v>21</v>
      </c>
      <c r="R511" s="6" t="s">
        <v>21</v>
      </c>
      <c r="S511" s="6" t="s">
        <v>21</v>
      </c>
      <c r="T511" s="6" t="s">
        <v>21</v>
      </c>
      <c r="U511" s="6">
        <f t="shared" si="59"/>
        <v>85.536000000000001</v>
      </c>
      <c r="V511" s="6">
        <f t="shared" si="65"/>
        <v>85.536000000000001</v>
      </c>
    </row>
    <row r="512" spans="1:22" hidden="1" x14ac:dyDescent="0.35">
      <c r="A512" s="6" t="s">
        <v>582</v>
      </c>
      <c r="B512" s="6" t="s">
        <v>571</v>
      </c>
      <c r="C512" s="6" t="s">
        <v>572</v>
      </c>
      <c r="D512" s="6">
        <f t="shared" si="61"/>
        <v>0.5</v>
      </c>
      <c r="E512" s="6" t="s">
        <v>19</v>
      </c>
      <c r="F512" s="6" t="str">
        <f>MID(A512,19,1)</f>
        <v>S</v>
      </c>
      <c r="G512" s="6">
        <v>-23.410607545529651</v>
      </c>
      <c r="H512" s="6">
        <v>-46.767281110355952</v>
      </c>
      <c r="I512" s="9">
        <v>283.95</v>
      </c>
      <c r="K512" s="6">
        <v>6.29</v>
      </c>
      <c r="L512" s="6">
        <v>30</v>
      </c>
      <c r="N512" s="1">
        <f t="shared" si="58"/>
        <v>0</v>
      </c>
      <c r="O512" s="6" t="s">
        <v>185</v>
      </c>
      <c r="Q512" s="6" t="s">
        <v>21</v>
      </c>
      <c r="R512" s="6" t="s">
        <v>21</v>
      </c>
      <c r="S512" s="6" t="s">
        <v>21</v>
      </c>
      <c r="T512" s="6" t="s">
        <v>21</v>
      </c>
      <c r="U512" s="6">
        <f t="shared" si="59"/>
        <v>85.184999999999988</v>
      </c>
      <c r="V512" s="6">
        <f t="shared" si="65"/>
        <v>85.184999999999988</v>
      </c>
    </row>
    <row r="513" spans="1:22" hidden="1" x14ac:dyDescent="0.35">
      <c r="A513" s="6" t="s">
        <v>583</v>
      </c>
      <c r="B513" s="6" t="s">
        <v>571</v>
      </c>
      <c r="C513" s="6" t="s">
        <v>572</v>
      </c>
      <c r="D513" s="6">
        <f t="shared" si="61"/>
        <v>0.5</v>
      </c>
      <c r="E513" s="6" t="s">
        <v>23</v>
      </c>
      <c r="F513" s="6" t="str">
        <f>MID(A513,19,1)</f>
        <v>C</v>
      </c>
      <c r="G513" s="6">
        <v>-23.40860424995677</v>
      </c>
      <c r="H513" s="6">
        <v>-46.767582017626097</v>
      </c>
      <c r="I513" s="7">
        <v>5001.8500000000004</v>
      </c>
      <c r="J513" s="9">
        <f t="shared" ref="J513:J514" si="66">I513/500</f>
        <v>10.0037</v>
      </c>
      <c r="K513" s="6">
        <v>5.71</v>
      </c>
      <c r="L513" s="6">
        <v>30</v>
      </c>
      <c r="N513" s="1">
        <f t="shared" si="58"/>
        <v>0</v>
      </c>
      <c r="O513" s="6" t="s">
        <v>185</v>
      </c>
      <c r="Q513" s="6" t="s">
        <v>21</v>
      </c>
      <c r="R513" s="6" t="s">
        <v>21</v>
      </c>
      <c r="S513" s="6" t="s">
        <v>21</v>
      </c>
      <c r="T513" s="6" t="s">
        <v>21</v>
      </c>
      <c r="U513" s="6">
        <f t="shared" si="59"/>
        <v>1500.5550000000001</v>
      </c>
      <c r="V513" s="6">
        <f t="shared" si="65"/>
        <v>1500.5550000000001</v>
      </c>
    </row>
    <row r="514" spans="1:22" hidden="1" x14ac:dyDescent="0.35">
      <c r="A514" s="6" t="s">
        <v>584</v>
      </c>
      <c r="B514" s="6" t="s">
        <v>571</v>
      </c>
      <c r="C514" s="6" t="s">
        <v>572</v>
      </c>
      <c r="D514" s="6">
        <f t="shared" si="61"/>
        <v>0.5</v>
      </c>
      <c r="E514" s="6" t="s">
        <v>23</v>
      </c>
      <c r="F514" s="6" t="str">
        <f>MID(A514,19,1)</f>
        <v>C</v>
      </c>
      <c r="G514" s="6">
        <v>-23.404176073248941</v>
      </c>
      <c r="H514" s="6">
        <v>-46.76775820256686</v>
      </c>
      <c r="I514" s="7">
        <v>6326.36</v>
      </c>
      <c r="J514" s="9">
        <f t="shared" si="66"/>
        <v>12.652719999999999</v>
      </c>
      <c r="K514" s="6">
        <v>2.96</v>
      </c>
      <c r="L514" s="6">
        <v>70</v>
      </c>
      <c r="N514" s="1">
        <f t="shared" ref="N514:N577" si="67">IF(OR(R514="Sim",S514="Sim",T514="Sim"),(L514/100)*I514,0)</f>
        <v>0</v>
      </c>
      <c r="O514" s="6" t="s">
        <v>185</v>
      </c>
      <c r="Q514" s="6" t="s">
        <v>21</v>
      </c>
      <c r="R514" s="6" t="s">
        <v>21</v>
      </c>
      <c r="S514" s="6" t="s">
        <v>21</v>
      </c>
      <c r="T514" s="6" t="s">
        <v>21</v>
      </c>
      <c r="U514" s="6">
        <f t="shared" si="59"/>
        <v>4428.4519999999993</v>
      </c>
      <c r="V514" s="6">
        <f t="shared" si="65"/>
        <v>4428.4519999999993</v>
      </c>
    </row>
    <row r="515" spans="1:22" hidden="1" x14ac:dyDescent="0.35">
      <c r="A515" s="6" t="s">
        <v>585</v>
      </c>
      <c r="B515" s="6" t="s">
        <v>571</v>
      </c>
      <c r="C515" s="6" t="s">
        <v>572</v>
      </c>
      <c r="D515" s="6">
        <f t="shared" si="61"/>
        <v>0.5</v>
      </c>
      <c r="E515" s="6" t="s">
        <v>19</v>
      </c>
      <c r="F515" s="6" t="str">
        <f>MID(A515,19,1)</f>
        <v>S</v>
      </c>
      <c r="G515" s="6">
        <v>-23.40902033587578</v>
      </c>
      <c r="H515" s="6">
        <v>-46.767836282940593</v>
      </c>
      <c r="I515" s="9">
        <v>1832.23</v>
      </c>
      <c r="K515" s="6">
        <v>7.19</v>
      </c>
      <c r="L515" s="6">
        <v>70</v>
      </c>
      <c r="N515" s="1">
        <f t="shared" si="67"/>
        <v>0</v>
      </c>
      <c r="O515" s="6" t="s">
        <v>20</v>
      </c>
      <c r="Q515" s="6" t="s">
        <v>21</v>
      </c>
      <c r="R515" s="6" t="s">
        <v>21</v>
      </c>
      <c r="S515" s="6" t="s">
        <v>21</v>
      </c>
      <c r="T515" s="6" t="s">
        <v>21</v>
      </c>
      <c r="U515" s="6">
        <f t="shared" ref="U515:U578" si="68">IF(N515=0,(I515*(L515/100)),0)</f>
        <v>1282.5609999999999</v>
      </c>
      <c r="V515" s="6">
        <f t="shared" si="65"/>
        <v>1282.5609999999999</v>
      </c>
    </row>
    <row r="516" spans="1:22" hidden="1" x14ac:dyDescent="0.35">
      <c r="A516" s="6" t="s">
        <v>586</v>
      </c>
      <c r="B516" s="6" t="s">
        <v>571</v>
      </c>
      <c r="C516" s="6" t="s">
        <v>572</v>
      </c>
      <c r="D516" s="6">
        <f t="shared" si="61"/>
        <v>0.5</v>
      </c>
      <c r="E516" s="6" t="s">
        <v>19</v>
      </c>
      <c r="F516" s="6" t="str">
        <f>MID(A516,19,1)</f>
        <v>S</v>
      </c>
      <c r="G516" s="6">
        <v>-23.41818171623909</v>
      </c>
      <c r="H516" s="6">
        <v>-46.800180626101969</v>
      </c>
      <c r="I516" s="9">
        <v>5073.67</v>
      </c>
      <c r="K516" s="6">
        <v>3.63</v>
      </c>
      <c r="L516" s="6">
        <v>40</v>
      </c>
      <c r="N516" s="1">
        <f t="shared" si="67"/>
        <v>0</v>
      </c>
      <c r="O516" s="6" t="s">
        <v>20</v>
      </c>
      <c r="Q516" s="6" t="s">
        <v>21</v>
      </c>
      <c r="R516" s="6" t="s">
        <v>21</v>
      </c>
      <c r="S516" s="6" t="s">
        <v>21</v>
      </c>
      <c r="T516" s="6" t="s">
        <v>21</v>
      </c>
      <c r="U516" s="6">
        <f t="shared" si="68"/>
        <v>2029.4680000000001</v>
      </c>
      <c r="V516" s="6">
        <f t="shared" si="65"/>
        <v>2029.4680000000001</v>
      </c>
    </row>
    <row r="517" spans="1:22" hidden="1" x14ac:dyDescent="0.35">
      <c r="A517" s="6" t="s">
        <v>587</v>
      </c>
      <c r="B517" s="6" t="s">
        <v>571</v>
      </c>
      <c r="C517" s="6" t="s">
        <v>572</v>
      </c>
      <c r="D517" s="6">
        <f t="shared" si="61"/>
        <v>0.5</v>
      </c>
      <c r="E517" s="6" t="s">
        <v>19</v>
      </c>
      <c r="F517" s="6" t="str">
        <f>MID(A517,19,1)</f>
        <v>S</v>
      </c>
      <c r="G517" s="6">
        <v>-23.418656990289019</v>
      </c>
      <c r="H517" s="6">
        <v>-46.799450860044999</v>
      </c>
      <c r="I517" s="9">
        <v>1183.26</v>
      </c>
      <c r="K517" s="6">
        <v>4.33</v>
      </c>
      <c r="L517" s="6">
        <v>40</v>
      </c>
      <c r="N517" s="1">
        <f t="shared" si="67"/>
        <v>0</v>
      </c>
      <c r="O517" s="6" t="s">
        <v>20</v>
      </c>
      <c r="Q517" s="6" t="s">
        <v>21</v>
      </c>
      <c r="R517" s="6" t="s">
        <v>21</v>
      </c>
      <c r="S517" s="6" t="s">
        <v>21</v>
      </c>
      <c r="T517" s="6" t="s">
        <v>21</v>
      </c>
      <c r="U517" s="6">
        <f t="shared" si="68"/>
        <v>473.30400000000003</v>
      </c>
      <c r="V517" s="6">
        <f t="shared" si="65"/>
        <v>473.30400000000003</v>
      </c>
    </row>
    <row r="518" spans="1:22" hidden="1" x14ac:dyDescent="0.35">
      <c r="A518" s="6" t="s">
        <v>588</v>
      </c>
      <c r="B518" s="6" t="s">
        <v>571</v>
      </c>
      <c r="C518" s="6" t="s">
        <v>572</v>
      </c>
      <c r="D518" s="6">
        <f t="shared" si="61"/>
        <v>0.5</v>
      </c>
      <c r="E518" s="6" t="s">
        <v>19</v>
      </c>
      <c r="F518" s="6" t="str">
        <f>MID(A518,19,1)</f>
        <v>S</v>
      </c>
      <c r="G518" s="6">
        <v>-23.41396980378779</v>
      </c>
      <c r="H518" s="6">
        <v>-46.807270705269516</v>
      </c>
      <c r="I518" s="9">
        <v>1793.42</v>
      </c>
      <c r="K518" s="6">
        <v>4.53</v>
      </c>
      <c r="L518" s="6">
        <v>0</v>
      </c>
      <c r="N518" s="1">
        <f t="shared" si="67"/>
        <v>0</v>
      </c>
      <c r="Q518" s="6" t="s">
        <v>21</v>
      </c>
      <c r="R518" s="6" t="s">
        <v>21</v>
      </c>
      <c r="S518" s="6" t="s">
        <v>21</v>
      </c>
      <c r="T518" s="6" t="s">
        <v>21</v>
      </c>
      <c r="U518" s="6">
        <f t="shared" si="68"/>
        <v>0</v>
      </c>
      <c r="V518" s="6">
        <f t="shared" si="65"/>
        <v>0</v>
      </c>
    </row>
    <row r="519" spans="1:22" hidden="1" x14ac:dyDescent="0.35">
      <c r="A519" s="6" t="s">
        <v>589</v>
      </c>
      <c r="B519" s="6" t="s">
        <v>571</v>
      </c>
      <c r="C519" s="6" t="s">
        <v>572</v>
      </c>
      <c r="D519" s="6">
        <f t="shared" si="61"/>
        <v>0.5</v>
      </c>
      <c r="E519" s="6" t="s">
        <v>23</v>
      </c>
      <c r="F519" s="6" t="str">
        <f>MID(A519,19,1)</f>
        <v>C</v>
      </c>
      <c r="G519" s="6">
        <v>-23.40686838676136</v>
      </c>
      <c r="H519" s="6">
        <v>-46.767716973835583</v>
      </c>
      <c r="I519" s="7">
        <v>478.98</v>
      </c>
      <c r="J519" s="9">
        <f>I519/500</f>
        <v>0.95796000000000003</v>
      </c>
      <c r="K519" s="6">
        <v>3.8</v>
      </c>
      <c r="L519" s="6">
        <v>30</v>
      </c>
      <c r="N519" s="1">
        <f t="shared" si="67"/>
        <v>0</v>
      </c>
      <c r="O519" s="6" t="s">
        <v>185</v>
      </c>
      <c r="Q519" s="6" t="s">
        <v>21</v>
      </c>
      <c r="R519" s="6" t="s">
        <v>21</v>
      </c>
      <c r="S519" s="6" t="s">
        <v>21</v>
      </c>
      <c r="T519" s="6" t="s">
        <v>21</v>
      </c>
      <c r="U519" s="6">
        <f t="shared" si="68"/>
        <v>143.69399999999999</v>
      </c>
      <c r="V519" s="6">
        <f t="shared" si="65"/>
        <v>143.69399999999999</v>
      </c>
    </row>
    <row r="520" spans="1:22" hidden="1" x14ac:dyDescent="0.35">
      <c r="A520" s="6" t="s">
        <v>590</v>
      </c>
      <c r="B520" s="6" t="s">
        <v>571</v>
      </c>
      <c r="C520" s="6" t="s">
        <v>572</v>
      </c>
      <c r="D520" s="6">
        <f t="shared" si="61"/>
        <v>0.5</v>
      </c>
      <c r="E520" s="6" t="s">
        <v>19</v>
      </c>
      <c r="F520" s="6" t="str">
        <f>MID(A520,19,1)</f>
        <v>S</v>
      </c>
      <c r="G520" s="6">
        <v>-23.41762837410861</v>
      </c>
      <c r="H520" s="6">
        <v>-46.801381878075553</v>
      </c>
      <c r="I520" s="9">
        <v>1730.53</v>
      </c>
      <c r="K520" s="6">
        <v>3.07</v>
      </c>
      <c r="L520" s="6">
        <v>40</v>
      </c>
      <c r="N520" s="1">
        <f t="shared" si="67"/>
        <v>0</v>
      </c>
      <c r="O520" s="6" t="s">
        <v>20</v>
      </c>
      <c r="Q520" s="6" t="s">
        <v>21</v>
      </c>
      <c r="R520" s="6" t="s">
        <v>21</v>
      </c>
      <c r="S520" s="6" t="s">
        <v>21</v>
      </c>
      <c r="T520" s="6" t="s">
        <v>21</v>
      </c>
      <c r="U520" s="6">
        <f t="shared" si="68"/>
        <v>692.21199999999999</v>
      </c>
      <c r="V520" s="6">
        <f t="shared" si="65"/>
        <v>692.21199999999999</v>
      </c>
    </row>
    <row r="521" spans="1:22" hidden="1" x14ac:dyDescent="0.35">
      <c r="A521" s="6" t="s">
        <v>591</v>
      </c>
      <c r="B521" s="6" t="s">
        <v>571</v>
      </c>
      <c r="C521" s="6" t="s">
        <v>572</v>
      </c>
      <c r="D521" s="6">
        <f t="shared" si="61"/>
        <v>0.5</v>
      </c>
      <c r="E521" s="6" t="s">
        <v>19</v>
      </c>
      <c r="F521" s="6" t="str">
        <f>MID(A521,19,1)</f>
        <v>S</v>
      </c>
      <c r="G521" s="6">
        <v>-23.416261935911219</v>
      </c>
      <c r="H521" s="6">
        <v>-46.803548221582297</v>
      </c>
      <c r="I521" s="9">
        <v>232.98</v>
      </c>
      <c r="K521" s="6">
        <v>4.18</v>
      </c>
      <c r="L521" s="6">
        <v>0</v>
      </c>
      <c r="N521" s="1">
        <f t="shared" si="67"/>
        <v>0</v>
      </c>
      <c r="Q521" s="6" t="s">
        <v>21</v>
      </c>
      <c r="R521" s="6" t="s">
        <v>21</v>
      </c>
      <c r="S521" s="6" t="s">
        <v>21</v>
      </c>
      <c r="T521" s="6" t="s">
        <v>21</v>
      </c>
      <c r="U521" s="6">
        <f t="shared" si="68"/>
        <v>0</v>
      </c>
      <c r="V521" s="6">
        <f t="shared" si="65"/>
        <v>0</v>
      </c>
    </row>
    <row r="522" spans="1:22" hidden="1" x14ac:dyDescent="0.35">
      <c r="A522" s="6" t="s">
        <v>592</v>
      </c>
      <c r="B522" s="6" t="s">
        <v>571</v>
      </c>
      <c r="C522" s="6" t="s">
        <v>572</v>
      </c>
      <c r="D522" s="6">
        <f t="shared" si="61"/>
        <v>0.5</v>
      </c>
      <c r="E522" s="6" t="s">
        <v>19</v>
      </c>
      <c r="F522" s="6" t="str">
        <f>MID(A522,19,1)</f>
        <v>S</v>
      </c>
      <c r="G522" s="6">
        <v>-23.416097442182441</v>
      </c>
      <c r="H522" s="6">
        <v>-46.803890185539508</v>
      </c>
      <c r="I522" s="9">
        <v>90.67</v>
      </c>
      <c r="K522" s="6">
        <v>7.53</v>
      </c>
      <c r="L522" s="6">
        <v>0</v>
      </c>
      <c r="N522" s="1">
        <f t="shared" si="67"/>
        <v>0</v>
      </c>
      <c r="Q522" s="6" t="s">
        <v>21</v>
      </c>
      <c r="R522" s="6" t="s">
        <v>21</v>
      </c>
      <c r="S522" s="6" t="s">
        <v>21</v>
      </c>
      <c r="T522" s="6" t="s">
        <v>21</v>
      </c>
      <c r="U522" s="6">
        <f t="shared" si="68"/>
        <v>0</v>
      </c>
      <c r="V522" s="6">
        <f t="shared" si="65"/>
        <v>0</v>
      </c>
    </row>
    <row r="523" spans="1:22" hidden="1" x14ac:dyDescent="0.35">
      <c r="A523" s="6" t="s">
        <v>593</v>
      </c>
      <c r="B523" s="6" t="s">
        <v>571</v>
      </c>
      <c r="C523" s="6" t="s">
        <v>572</v>
      </c>
      <c r="D523" s="6">
        <f t="shared" si="61"/>
        <v>0.5</v>
      </c>
      <c r="E523" s="6" t="s">
        <v>19</v>
      </c>
      <c r="F523" s="6" t="str">
        <f>MID(A523,19,1)</f>
        <v>S</v>
      </c>
      <c r="G523" s="6">
        <v>-23.4151682001518</v>
      </c>
      <c r="H523" s="6">
        <v>-46.805097572855388</v>
      </c>
      <c r="I523" s="9">
        <v>5183.95</v>
      </c>
      <c r="K523" s="6">
        <v>8.58</v>
      </c>
      <c r="L523" s="6">
        <v>0</v>
      </c>
      <c r="N523" s="1">
        <f t="shared" si="67"/>
        <v>0</v>
      </c>
      <c r="Q523" s="6" t="s">
        <v>21</v>
      </c>
      <c r="R523" s="6" t="s">
        <v>21</v>
      </c>
      <c r="S523" s="6" t="s">
        <v>21</v>
      </c>
      <c r="T523" s="6" t="s">
        <v>21</v>
      </c>
      <c r="U523" s="6">
        <f t="shared" si="68"/>
        <v>0</v>
      </c>
      <c r="V523" s="6">
        <f t="shared" si="65"/>
        <v>0</v>
      </c>
    </row>
    <row r="524" spans="1:22" hidden="1" x14ac:dyDescent="0.35">
      <c r="A524" s="6" t="s">
        <v>594</v>
      </c>
      <c r="B524" s="6" t="s">
        <v>571</v>
      </c>
      <c r="C524" s="6" t="s">
        <v>572</v>
      </c>
      <c r="D524" s="6">
        <f t="shared" si="61"/>
        <v>0.5</v>
      </c>
      <c r="E524" s="6" t="s">
        <v>19</v>
      </c>
      <c r="F524" s="6" t="str">
        <f>MID(A524,19,1)</f>
        <v>S</v>
      </c>
      <c r="G524" s="6">
        <v>-23.415055622015821</v>
      </c>
      <c r="H524" s="6">
        <v>-46.805646705276111</v>
      </c>
      <c r="I524" s="9">
        <v>1906.37</v>
      </c>
      <c r="K524" s="6">
        <v>10.97</v>
      </c>
      <c r="L524" s="6">
        <v>0</v>
      </c>
      <c r="N524" s="1">
        <f t="shared" si="67"/>
        <v>0</v>
      </c>
      <c r="Q524" s="6" t="s">
        <v>21</v>
      </c>
      <c r="R524" s="6" t="s">
        <v>21</v>
      </c>
      <c r="S524" s="6" t="s">
        <v>21</v>
      </c>
      <c r="T524" s="6" t="s">
        <v>21</v>
      </c>
      <c r="U524" s="6">
        <f t="shared" si="68"/>
        <v>0</v>
      </c>
      <c r="V524" s="6">
        <f t="shared" si="65"/>
        <v>0</v>
      </c>
    </row>
    <row r="525" spans="1:22" hidden="1" x14ac:dyDescent="0.35">
      <c r="A525" s="6" t="s">
        <v>595</v>
      </c>
      <c r="B525" s="6" t="s">
        <v>596</v>
      </c>
      <c r="C525" s="6" t="s">
        <v>597</v>
      </c>
      <c r="D525" s="6">
        <f t="shared" si="61"/>
        <v>0.5</v>
      </c>
      <c r="E525" s="6" t="s">
        <v>19</v>
      </c>
      <c r="F525" s="6" t="str">
        <f>MID(A525,19,1)</f>
        <v>S</v>
      </c>
      <c r="G525" s="6">
        <v>-23.41375151438962</v>
      </c>
      <c r="H525" s="6">
        <v>-46.808033872382097</v>
      </c>
      <c r="I525" s="9">
        <v>174.76</v>
      </c>
      <c r="K525" s="6">
        <v>4.8899999999999997</v>
      </c>
      <c r="L525" s="6">
        <v>0</v>
      </c>
      <c r="N525" s="1">
        <f t="shared" si="67"/>
        <v>0</v>
      </c>
      <c r="Q525" s="6" t="s">
        <v>21</v>
      </c>
      <c r="R525" s="6" t="s">
        <v>21</v>
      </c>
      <c r="S525" s="6" t="s">
        <v>21</v>
      </c>
      <c r="T525" s="6" t="s">
        <v>21</v>
      </c>
      <c r="U525" s="6">
        <f t="shared" si="68"/>
        <v>0</v>
      </c>
      <c r="V525" s="6">
        <f t="shared" si="65"/>
        <v>0</v>
      </c>
    </row>
    <row r="526" spans="1:22" hidden="1" x14ac:dyDescent="0.35">
      <c r="A526" s="6" t="s">
        <v>598</v>
      </c>
      <c r="B526" s="6" t="s">
        <v>596</v>
      </c>
      <c r="C526" s="6" t="s">
        <v>597</v>
      </c>
      <c r="D526" s="6">
        <f t="shared" ref="D526:D589" si="69">C526-B526</f>
        <v>0.5</v>
      </c>
      <c r="E526" s="6" t="s">
        <v>19</v>
      </c>
      <c r="F526" s="6" t="str">
        <f>MID(A526,19,1)</f>
        <v>S</v>
      </c>
      <c r="G526" s="6">
        <v>-23.40030557995787</v>
      </c>
      <c r="H526" s="6">
        <v>-46.76822483974118</v>
      </c>
      <c r="I526" s="9">
        <v>1830.44</v>
      </c>
      <c r="K526" s="6">
        <v>12.27</v>
      </c>
      <c r="L526" s="6">
        <v>70</v>
      </c>
      <c r="N526" s="1">
        <f t="shared" si="67"/>
        <v>0</v>
      </c>
      <c r="O526" s="6" t="s">
        <v>20</v>
      </c>
      <c r="Q526" s="6" t="s">
        <v>21</v>
      </c>
      <c r="R526" s="6" t="s">
        <v>21</v>
      </c>
      <c r="S526" s="6" t="s">
        <v>21</v>
      </c>
      <c r="T526" s="6" t="s">
        <v>21</v>
      </c>
      <c r="U526" s="6">
        <f t="shared" si="68"/>
        <v>1281.308</v>
      </c>
      <c r="V526" s="6">
        <f t="shared" si="65"/>
        <v>1281.308</v>
      </c>
    </row>
    <row r="527" spans="1:22" hidden="1" x14ac:dyDescent="0.35">
      <c r="A527" s="6" t="s">
        <v>599</v>
      </c>
      <c r="B527" s="6" t="s">
        <v>596</v>
      </c>
      <c r="C527" s="6" t="s">
        <v>597</v>
      </c>
      <c r="D527" s="6">
        <f t="shared" si="69"/>
        <v>0.5</v>
      </c>
      <c r="E527" s="6" t="s">
        <v>19</v>
      </c>
      <c r="F527" s="6" t="str">
        <f>MID(A527,19,1)</f>
        <v>S</v>
      </c>
      <c r="G527" s="6">
        <v>-23.394602166971971</v>
      </c>
      <c r="H527" s="6">
        <v>-46.768863550248689</v>
      </c>
      <c r="I527" s="9">
        <v>1936.17</v>
      </c>
      <c r="K527" s="6">
        <v>4.51</v>
      </c>
      <c r="L527" s="6">
        <v>80</v>
      </c>
      <c r="N527" s="1">
        <f t="shared" si="67"/>
        <v>0</v>
      </c>
      <c r="O527" s="6" t="s">
        <v>20</v>
      </c>
      <c r="Q527" s="6" t="s">
        <v>21</v>
      </c>
      <c r="R527" s="6" t="s">
        <v>21</v>
      </c>
      <c r="S527" s="6" t="s">
        <v>21</v>
      </c>
      <c r="T527" s="6" t="s">
        <v>21</v>
      </c>
      <c r="U527" s="6">
        <f t="shared" si="68"/>
        <v>1548.9360000000001</v>
      </c>
      <c r="V527" s="6">
        <f t="shared" si="65"/>
        <v>1548.9360000000001</v>
      </c>
    </row>
    <row r="528" spans="1:22" hidden="1" x14ac:dyDescent="0.35">
      <c r="A528" s="6" t="s">
        <v>600</v>
      </c>
      <c r="B528" s="6" t="s">
        <v>596</v>
      </c>
      <c r="C528" s="6" t="s">
        <v>597</v>
      </c>
      <c r="D528" s="6">
        <f t="shared" si="69"/>
        <v>0.5</v>
      </c>
      <c r="E528" s="6" t="s">
        <v>19</v>
      </c>
      <c r="F528" s="6" t="str">
        <f>MID(A528,19,1)</f>
        <v>S</v>
      </c>
      <c r="G528" s="6">
        <v>-23.39463437206841</v>
      </c>
      <c r="H528" s="6">
        <v>-46.768535967652177</v>
      </c>
      <c r="I528" s="9">
        <v>7705.8</v>
      </c>
      <c r="K528" s="6">
        <v>4.01</v>
      </c>
      <c r="L528" s="6">
        <v>60</v>
      </c>
      <c r="N528" s="1">
        <f t="shared" si="67"/>
        <v>0</v>
      </c>
      <c r="O528" s="6" t="s">
        <v>185</v>
      </c>
      <c r="Q528" s="6" t="s">
        <v>21</v>
      </c>
      <c r="R528" s="6" t="s">
        <v>21</v>
      </c>
      <c r="S528" s="6" t="s">
        <v>21</v>
      </c>
      <c r="T528" s="6" t="s">
        <v>21</v>
      </c>
      <c r="U528" s="6">
        <f t="shared" si="68"/>
        <v>4623.4799999999996</v>
      </c>
      <c r="V528" s="6">
        <f t="shared" si="65"/>
        <v>4623.4799999999996</v>
      </c>
    </row>
    <row r="529" spans="1:22" hidden="1" x14ac:dyDescent="0.35">
      <c r="A529" s="6" t="s">
        <v>601</v>
      </c>
      <c r="B529" s="6" t="s">
        <v>596</v>
      </c>
      <c r="C529" s="6" t="s">
        <v>597</v>
      </c>
      <c r="D529" s="6">
        <f t="shared" si="69"/>
        <v>0.5</v>
      </c>
      <c r="E529" s="6" t="s">
        <v>23</v>
      </c>
      <c r="F529" s="6" t="str">
        <f>MID(A529,19,1)</f>
        <v>C</v>
      </c>
      <c r="G529" s="6">
        <v>-23.400268041816592</v>
      </c>
      <c r="H529" s="6">
        <v>-46.767902682767946</v>
      </c>
      <c r="I529" s="7">
        <v>7131.5</v>
      </c>
      <c r="J529" s="9">
        <f>I529/500</f>
        <v>14.263</v>
      </c>
      <c r="K529" s="6">
        <v>8.3800000000000008</v>
      </c>
      <c r="L529" s="6">
        <v>70</v>
      </c>
      <c r="N529" s="1">
        <f t="shared" si="67"/>
        <v>0</v>
      </c>
      <c r="O529" s="6" t="s">
        <v>185</v>
      </c>
      <c r="Q529" s="6" t="s">
        <v>21</v>
      </c>
      <c r="R529" s="6" t="s">
        <v>21</v>
      </c>
      <c r="S529" s="6" t="s">
        <v>21</v>
      </c>
      <c r="T529" s="6" t="s">
        <v>21</v>
      </c>
      <c r="U529" s="6">
        <f t="shared" si="68"/>
        <v>4992.0499999999993</v>
      </c>
      <c r="V529" s="6">
        <f t="shared" si="65"/>
        <v>4992.0499999999993</v>
      </c>
    </row>
    <row r="530" spans="1:22" x14ac:dyDescent="0.35">
      <c r="A530" s="8" t="s">
        <v>602</v>
      </c>
      <c r="B530" s="8" t="s">
        <v>596</v>
      </c>
      <c r="C530" s="8" t="s">
        <v>597</v>
      </c>
      <c r="D530" s="6">
        <f t="shared" si="69"/>
        <v>0.5</v>
      </c>
      <c r="E530" s="8" t="s">
        <v>19</v>
      </c>
      <c r="F530" s="6" t="str">
        <f>MID(A530,19,1)</f>
        <v>N</v>
      </c>
      <c r="G530" s="8">
        <v>-23.41211498789059</v>
      </c>
      <c r="H530" s="8">
        <v>-46.809295283040527</v>
      </c>
      <c r="I530" s="7">
        <v>1836.26</v>
      </c>
      <c r="J530" s="7"/>
      <c r="K530" s="8">
        <v>7.57</v>
      </c>
      <c r="L530" s="8">
        <v>70</v>
      </c>
      <c r="M530" s="8"/>
      <c r="N530" s="11">
        <f t="shared" si="67"/>
        <v>1285.3819999999998</v>
      </c>
      <c r="O530" s="8" t="s">
        <v>25</v>
      </c>
      <c r="P530" s="8" t="s">
        <v>603</v>
      </c>
      <c r="Q530" s="8" t="s">
        <v>21</v>
      </c>
      <c r="R530" s="8" t="s">
        <v>21</v>
      </c>
      <c r="S530" s="8" t="s">
        <v>26</v>
      </c>
      <c r="T530" s="8" t="s">
        <v>21</v>
      </c>
      <c r="U530" s="6">
        <f t="shared" si="68"/>
        <v>0</v>
      </c>
    </row>
    <row r="531" spans="1:22" hidden="1" x14ac:dyDescent="0.35">
      <c r="A531" s="6" t="s">
        <v>604</v>
      </c>
      <c r="B531" s="6" t="s">
        <v>596</v>
      </c>
      <c r="C531" s="6" t="s">
        <v>597</v>
      </c>
      <c r="D531" s="6">
        <f t="shared" si="69"/>
        <v>0.5</v>
      </c>
      <c r="E531" s="6" t="s">
        <v>23</v>
      </c>
      <c r="F531" s="6" t="str">
        <f>MID(A531,19,1)</f>
        <v>C</v>
      </c>
      <c r="G531" s="6">
        <v>-23.394053132958799</v>
      </c>
      <c r="H531" s="6">
        <v>-46.768266660039792</v>
      </c>
      <c r="I531" s="7">
        <v>3950.02</v>
      </c>
      <c r="J531" s="9">
        <f>I531/500</f>
        <v>7.9000399999999997</v>
      </c>
      <c r="K531" s="6">
        <v>2.97</v>
      </c>
      <c r="L531" s="6">
        <v>30</v>
      </c>
      <c r="N531" s="1">
        <f t="shared" si="67"/>
        <v>0</v>
      </c>
      <c r="O531" s="6" t="s">
        <v>20</v>
      </c>
      <c r="Q531" s="6" t="s">
        <v>21</v>
      </c>
      <c r="R531" s="6" t="s">
        <v>21</v>
      </c>
      <c r="S531" s="6" t="s">
        <v>21</v>
      </c>
      <c r="T531" s="6" t="s">
        <v>21</v>
      </c>
      <c r="U531" s="6">
        <f t="shared" si="68"/>
        <v>1185.0059999999999</v>
      </c>
      <c r="V531" s="6">
        <f>(I531*(L531/100))</f>
        <v>1185.0059999999999</v>
      </c>
    </row>
    <row r="532" spans="1:22" hidden="1" x14ac:dyDescent="0.35">
      <c r="A532" s="8" t="s">
        <v>605</v>
      </c>
      <c r="B532" s="8" t="s">
        <v>596</v>
      </c>
      <c r="C532" s="8" t="s">
        <v>597</v>
      </c>
      <c r="D532" s="6">
        <f t="shared" si="69"/>
        <v>0.5</v>
      </c>
      <c r="E532" s="8" t="s">
        <v>19</v>
      </c>
      <c r="F532" s="6" t="str">
        <f>MID(A532,19,1)</f>
        <v>S</v>
      </c>
      <c r="G532" s="8">
        <v>-23.41228816117226</v>
      </c>
      <c r="H532" s="8">
        <v>-46.809488348566312</v>
      </c>
      <c r="I532" s="7">
        <v>1717.67</v>
      </c>
      <c r="J532" s="7"/>
      <c r="K532" s="8">
        <v>7.06</v>
      </c>
      <c r="L532" s="8">
        <v>60</v>
      </c>
      <c r="M532" s="8"/>
      <c r="N532" s="11">
        <f t="shared" si="67"/>
        <v>1030.6020000000001</v>
      </c>
      <c r="O532" s="8" t="s">
        <v>25</v>
      </c>
      <c r="P532" s="8"/>
      <c r="Q532" s="8" t="s">
        <v>21</v>
      </c>
      <c r="R532" s="8" t="s">
        <v>21</v>
      </c>
      <c r="S532" s="8" t="s">
        <v>21</v>
      </c>
      <c r="T532" s="8" t="s">
        <v>26</v>
      </c>
      <c r="U532" s="6">
        <f t="shared" si="68"/>
        <v>0</v>
      </c>
    </row>
    <row r="533" spans="1:22" hidden="1" x14ac:dyDescent="0.35">
      <c r="A533" s="6" t="s">
        <v>606</v>
      </c>
      <c r="B533" s="6" t="s">
        <v>596</v>
      </c>
      <c r="C533" s="6" t="s">
        <v>597</v>
      </c>
      <c r="D533" s="6">
        <f t="shared" si="69"/>
        <v>0.5</v>
      </c>
      <c r="E533" s="6" t="s">
        <v>23</v>
      </c>
      <c r="F533" s="6" t="str">
        <f>MID(A533,19,1)</f>
        <v>C</v>
      </c>
      <c r="G533" s="6">
        <v>-23.396229074559091</v>
      </c>
      <c r="H533" s="6">
        <v>-46.767954967347748</v>
      </c>
      <c r="I533" s="7">
        <v>403.99</v>
      </c>
      <c r="J533" s="9">
        <f>I533/500</f>
        <v>0.80798000000000003</v>
      </c>
      <c r="K533" s="6">
        <v>2.93</v>
      </c>
      <c r="L533" s="6">
        <v>30</v>
      </c>
      <c r="N533" s="1">
        <f t="shared" si="67"/>
        <v>0</v>
      </c>
      <c r="O533" s="6" t="s">
        <v>20</v>
      </c>
      <c r="Q533" s="6" t="s">
        <v>21</v>
      </c>
      <c r="R533" s="6" t="s">
        <v>21</v>
      </c>
      <c r="S533" s="6" t="s">
        <v>21</v>
      </c>
      <c r="T533" s="6" t="s">
        <v>21</v>
      </c>
      <c r="U533" s="6">
        <f t="shared" si="68"/>
        <v>121.197</v>
      </c>
      <c r="V533" s="6">
        <f t="shared" ref="V533:V534" si="70">(I533*(L533/100))</f>
        <v>121.197</v>
      </c>
    </row>
    <row r="534" spans="1:22" hidden="1" x14ac:dyDescent="0.35">
      <c r="A534" s="6" t="s">
        <v>607</v>
      </c>
      <c r="B534" s="6" t="s">
        <v>596</v>
      </c>
      <c r="C534" s="6" t="s">
        <v>597</v>
      </c>
      <c r="D534" s="6">
        <f t="shared" si="69"/>
        <v>0.5</v>
      </c>
      <c r="E534" s="6" t="s">
        <v>19</v>
      </c>
      <c r="F534" s="6" t="str">
        <f>MID(A534,19,1)</f>
        <v>S</v>
      </c>
      <c r="G534" s="6">
        <v>-23.398090001342169</v>
      </c>
      <c r="H534" s="6">
        <v>-46.768169901425587</v>
      </c>
      <c r="I534" s="9">
        <v>1.2</v>
      </c>
      <c r="K534" s="6">
        <v>13.85</v>
      </c>
      <c r="N534" s="1">
        <f t="shared" si="67"/>
        <v>0</v>
      </c>
      <c r="Q534" s="6" t="s">
        <v>21</v>
      </c>
      <c r="R534" s="6" t="s">
        <v>21</v>
      </c>
      <c r="S534" s="6" t="s">
        <v>21</v>
      </c>
      <c r="T534" s="6" t="s">
        <v>21</v>
      </c>
      <c r="U534" s="6">
        <f t="shared" si="68"/>
        <v>0</v>
      </c>
      <c r="V534" s="6">
        <f t="shared" si="70"/>
        <v>0</v>
      </c>
    </row>
    <row r="535" spans="1:22" hidden="1" x14ac:dyDescent="0.35">
      <c r="A535" s="8" t="s">
        <v>608</v>
      </c>
      <c r="B535" s="8" t="s">
        <v>596</v>
      </c>
      <c r="C535" s="8" t="s">
        <v>597</v>
      </c>
      <c r="D535" s="6">
        <f t="shared" si="69"/>
        <v>0.5</v>
      </c>
      <c r="E535" s="8" t="s">
        <v>19</v>
      </c>
      <c r="F535" s="6" t="str">
        <f>MID(A535,19,1)</f>
        <v>S</v>
      </c>
      <c r="G535" s="8">
        <v>-23.413641274770939</v>
      </c>
      <c r="H535" s="8">
        <v>-46.80784216282855</v>
      </c>
      <c r="I535" s="7">
        <v>441.24</v>
      </c>
      <c r="J535" s="7"/>
      <c r="K535" s="8">
        <v>3.72</v>
      </c>
      <c r="L535" s="8">
        <v>80</v>
      </c>
      <c r="M535" s="8"/>
      <c r="N535" s="11">
        <f t="shared" si="67"/>
        <v>352.99200000000002</v>
      </c>
      <c r="O535" s="8" t="s">
        <v>126</v>
      </c>
      <c r="P535" s="8"/>
      <c r="Q535" s="8" t="s">
        <v>21</v>
      </c>
      <c r="R535" s="8" t="s">
        <v>21</v>
      </c>
      <c r="S535" s="8" t="s">
        <v>26</v>
      </c>
      <c r="T535" s="8" t="s">
        <v>21</v>
      </c>
      <c r="U535" s="6">
        <f t="shared" si="68"/>
        <v>0</v>
      </c>
    </row>
    <row r="536" spans="1:22" x14ac:dyDescent="0.35">
      <c r="A536" s="8" t="s">
        <v>609</v>
      </c>
      <c r="B536" s="8" t="s">
        <v>596</v>
      </c>
      <c r="C536" s="8" t="s">
        <v>597</v>
      </c>
      <c r="D536" s="6">
        <f t="shared" si="69"/>
        <v>0.5</v>
      </c>
      <c r="E536" s="8" t="s">
        <v>19</v>
      </c>
      <c r="F536" s="6" t="str">
        <f>MID(A536,19,1)</f>
        <v>N</v>
      </c>
      <c r="G536" s="8">
        <v>-23.410532600583441</v>
      </c>
      <c r="H536" s="8">
        <v>-46.8136916272259</v>
      </c>
      <c r="I536" s="7">
        <v>2124.7199999999998</v>
      </c>
      <c r="J536" s="7"/>
      <c r="K536" s="8">
        <v>6.65</v>
      </c>
      <c r="L536" s="8">
        <v>80</v>
      </c>
      <c r="M536" s="8"/>
      <c r="N536" s="11">
        <f t="shared" si="67"/>
        <v>1699.7759999999998</v>
      </c>
      <c r="O536" s="8" t="s">
        <v>25</v>
      </c>
      <c r="P536" s="8"/>
      <c r="Q536" s="8" t="s">
        <v>21</v>
      </c>
      <c r="R536" s="8" t="s">
        <v>21</v>
      </c>
      <c r="S536" s="8" t="s">
        <v>26</v>
      </c>
      <c r="T536" s="8" t="s">
        <v>26</v>
      </c>
      <c r="U536" s="6">
        <f t="shared" si="68"/>
        <v>0</v>
      </c>
    </row>
    <row r="537" spans="1:22" x14ac:dyDescent="0.35">
      <c r="A537" s="6" t="s">
        <v>610</v>
      </c>
      <c r="B537" s="6" t="s">
        <v>596</v>
      </c>
      <c r="C537" s="6" t="s">
        <v>597</v>
      </c>
      <c r="D537" s="6">
        <f t="shared" si="69"/>
        <v>0.5</v>
      </c>
      <c r="E537" s="6" t="s">
        <v>19</v>
      </c>
      <c r="F537" s="6" t="str">
        <f>MID(A537,19,1)</f>
        <v>N</v>
      </c>
      <c r="G537" s="6">
        <v>-23.400208386513299</v>
      </c>
      <c r="H537" s="6">
        <v>-46.767578693932712</v>
      </c>
      <c r="I537" s="9">
        <v>1827.41</v>
      </c>
      <c r="K537" s="6">
        <v>6.52</v>
      </c>
      <c r="L537" s="6">
        <v>60</v>
      </c>
      <c r="N537" s="1">
        <f t="shared" si="67"/>
        <v>0</v>
      </c>
      <c r="O537" s="6" t="s">
        <v>20</v>
      </c>
      <c r="Q537" s="6" t="s">
        <v>21</v>
      </c>
      <c r="R537" s="6" t="s">
        <v>21</v>
      </c>
      <c r="S537" s="6" t="s">
        <v>21</v>
      </c>
      <c r="T537" s="6" t="s">
        <v>21</v>
      </c>
      <c r="U537" s="6">
        <f t="shared" si="68"/>
        <v>1096.4459999999999</v>
      </c>
      <c r="V537" s="6">
        <f>(I537*(L537/100))</f>
        <v>1096.4459999999999</v>
      </c>
    </row>
    <row r="538" spans="1:22" hidden="1" x14ac:dyDescent="0.35">
      <c r="A538" s="8" t="s">
        <v>611</v>
      </c>
      <c r="B538" s="8" t="s">
        <v>596</v>
      </c>
      <c r="C538" s="8" t="s">
        <v>597</v>
      </c>
      <c r="D538" s="6">
        <f t="shared" si="69"/>
        <v>0.5</v>
      </c>
      <c r="E538" s="8" t="s">
        <v>19</v>
      </c>
      <c r="F538" s="6" t="str">
        <f>MID(A538,19,1)</f>
        <v>S</v>
      </c>
      <c r="G538" s="8">
        <v>-23.410764348778329</v>
      </c>
      <c r="H538" s="8">
        <v>-46.813734525964428</v>
      </c>
      <c r="I538" s="7">
        <v>2124.67</v>
      </c>
      <c r="J538" s="7"/>
      <c r="K538" s="8">
        <v>6.36</v>
      </c>
      <c r="L538" s="8">
        <v>70</v>
      </c>
      <c r="M538" s="8"/>
      <c r="N538" s="11">
        <f t="shared" si="67"/>
        <v>1487.269</v>
      </c>
      <c r="O538" s="8" t="s">
        <v>25</v>
      </c>
      <c r="P538" s="8"/>
      <c r="Q538" s="8" t="s">
        <v>21</v>
      </c>
      <c r="R538" s="8" t="s">
        <v>21</v>
      </c>
      <c r="S538" s="8" t="s">
        <v>21</v>
      </c>
      <c r="T538" s="8" t="s">
        <v>26</v>
      </c>
      <c r="U538" s="6">
        <f t="shared" si="68"/>
        <v>0</v>
      </c>
    </row>
    <row r="539" spans="1:22" hidden="1" x14ac:dyDescent="0.35">
      <c r="A539" s="6" t="s">
        <v>612</v>
      </c>
      <c r="B539" s="6" t="s">
        <v>596</v>
      </c>
      <c r="C539" s="6" t="s">
        <v>597</v>
      </c>
      <c r="D539" s="6">
        <f t="shared" si="69"/>
        <v>0.5</v>
      </c>
      <c r="E539" s="6" t="s">
        <v>19</v>
      </c>
      <c r="F539" s="6" t="str">
        <f>MID(A539,19,1)</f>
        <v>S</v>
      </c>
      <c r="G539" s="6">
        <v>-23.413924768185321</v>
      </c>
      <c r="H539" s="6">
        <v>-46.807752128248048</v>
      </c>
      <c r="I539" s="9">
        <v>104.91</v>
      </c>
      <c r="K539" s="6">
        <v>5.34</v>
      </c>
      <c r="L539" s="6">
        <v>0</v>
      </c>
      <c r="N539" s="1">
        <f t="shared" si="67"/>
        <v>0</v>
      </c>
      <c r="Q539" s="6" t="s">
        <v>21</v>
      </c>
      <c r="R539" s="6" t="s">
        <v>21</v>
      </c>
      <c r="S539" s="6" t="s">
        <v>21</v>
      </c>
      <c r="T539" s="6" t="s">
        <v>21</v>
      </c>
      <c r="U539" s="6">
        <f t="shared" si="68"/>
        <v>0</v>
      </c>
      <c r="V539" s="6">
        <f t="shared" ref="V539:V554" si="71">(I539*(L539/100))</f>
        <v>0</v>
      </c>
    </row>
    <row r="540" spans="1:22" hidden="1" x14ac:dyDescent="0.35">
      <c r="A540" s="6" t="s">
        <v>613</v>
      </c>
      <c r="B540" s="6" t="s">
        <v>614</v>
      </c>
      <c r="C540" s="6" t="s">
        <v>615</v>
      </c>
      <c r="D540" s="6">
        <f t="shared" si="69"/>
        <v>0.5</v>
      </c>
      <c r="E540" s="6" t="s">
        <v>19</v>
      </c>
      <c r="F540" s="6" t="str">
        <f>MID(A540,19,1)</f>
        <v>S</v>
      </c>
      <c r="G540" s="6">
        <v>-23.409375518265271</v>
      </c>
      <c r="H540" s="6">
        <v>-46.821188144543598</v>
      </c>
      <c r="I540" s="9">
        <v>434</v>
      </c>
      <c r="K540" s="6">
        <v>9.8699999999999992</v>
      </c>
      <c r="L540" s="6">
        <v>0</v>
      </c>
      <c r="N540" s="1">
        <f t="shared" si="67"/>
        <v>0</v>
      </c>
      <c r="Q540" s="6" t="s">
        <v>21</v>
      </c>
      <c r="R540" s="6" t="s">
        <v>21</v>
      </c>
      <c r="S540" s="6" t="s">
        <v>21</v>
      </c>
      <c r="T540" s="6" t="s">
        <v>21</v>
      </c>
      <c r="U540" s="6">
        <f t="shared" si="68"/>
        <v>0</v>
      </c>
      <c r="V540" s="6">
        <f t="shared" si="71"/>
        <v>0</v>
      </c>
    </row>
    <row r="541" spans="1:22" hidden="1" x14ac:dyDescent="0.35">
      <c r="A541" s="6" t="s">
        <v>616</v>
      </c>
      <c r="B541" s="6" t="s">
        <v>614</v>
      </c>
      <c r="C541" s="6" t="s">
        <v>615</v>
      </c>
      <c r="D541" s="6">
        <f t="shared" si="69"/>
        <v>0.5</v>
      </c>
      <c r="E541" s="6" t="s">
        <v>19</v>
      </c>
      <c r="F541" s="6" t="str">
        <f>MID(A541,19,1)</f>
        <v>S</v>
      </c>
      <c r="G541" s="6">
        <v>-23.410348724865141</v>
      </c>
      <c r="H541" s="6">
        <v>-46.818590990781438</v>
      </c>
      <c r="I541" s="9">
        <v>1893.71</v>
      </c>
      <c r="K541" s="6">
        <v>5.32</v>
      </c>
      <c r="L541" s="6">
        <v>0</v>
      </c>
      <c r="N541" s="1">
        <f t="shared" si="67"/>
        <v>0</v>
      </c>
      <c r="Q541" s="6" t="s">
        <v>21</v>
      </c>
      <c r="R541" s="6" t="s">
        <v>21</v>
      </c>
      <c r="S541" s="6" t="s">
        <v>21</v>
      </c>
      <c r="T541" s="6" t="s">
        <v>21</v>
      </c>
      <c r="U541" s="6">
        <f t="shared" si="68"/>
        <v>0</v>
      </c>
      <c r="V541" s="6">
        <f t="shared" si="71"/>
        <v>0</v>
      </c>
    </row>
    <row r="542" spans="1:22" hidden="1" x14ac:dyDescent="0.35">
      <c r="A542" s="6" t="s">
        <v>617</v>
      </c>
      <c r="B542" s="6" t="s">
        <v>614</v>
      </c>
      <c r="C542" s="6" t="s">
        <v>615</v>
      </c>
      <c r="D542" s="6">
        <f t="shared" si="69"/>
        <v>0.5</v>
      </c>
      <c r="E542" s="6" t="s">
        <v>19</v>
      </c>
      <c r="F542" s="6" t="str">
        <f>MID(A542,19,1)</f>
        <v>S</v>
      </c>
      <c r="G542" s="6">
        <v>-23.407771690791989</v>
      </c>
      <c r="H542" s="6">
        <v>-46.82304730637513</v>
      </c>
      <c r="I542" s="9">
        <v>1393.23</v>
      </c>
      <c r="K542" s="6">
        <v>7.87</v>
      </c>
      <c r="L542" s="6">
        <v>0</v>
      </c>
      <c r="N542" s="1">
        <f t="shared" si="67"/>
        <v>0</v>
      </c>
      <c r="Q542" s="6" t="s">
        <v>21</v>
      </c>
      <c r="R542" s="6" t="s">
        <v>21</v>
      </c>
      <c r="S542" s="6" t="s">
        <v>21</v>
      </c>
      <c r="T542" s="6" t="s">
        <v>21</v>
      </c>
      <c r="U542" s="6">
        <f t="shared" si="68"/>
        <v>0</v>
      </c>
      <c r="V542" s="6">
        <f t="shared" si="71"/>
        <v>0</v>
      </c>
    </row>
    <row r="543" spans="1:22" x14ac:dyDescent="0.35">
      <c r="A543" s="6" t="s">
        <v>618</v>
      </c>
      <c r="B543" s="6" t="s">
        <v>614</v>
      </c>
      <c r="C543" s="6" t="s">
        <v>615</v>
      </c>
      <c r="D543" s="6">
        <f t="shared" si="69"/>
        <v>0.5</v>
      </c>
      <c r="E543" s="6" t="s">
        <v>19</v>
      </c>
      <c r="F543" s="6" t="str">
        <f>MID(A543,19,1)</f>
        <v>N</v>
      </c>
      <c r="G543" s="6">
        <v>-23.410021386275911</v>
      </c>
      <c r="H543" s="6">
        <v>-46.818321554203578</v>
      </c>
      <c r="I543" s="9">
        <v>1724.04</v>
      </c>
      <c r="K543" s="6">
        <v>7.54</v>
      </c>
      <c r="L543" s="6">
        <v>0</v>
      </c>
      <c r="N543" s="1">
        <f t="shared" si="67"/>
        <v>0</v>
      </c>
      <c r="Q543" s="6" t="s">
        <v>21</v>
      </c>
      <c r="R543" s="6" t="s">
        <v>21</v>
      </c>
      <c r="S543" s="6" t="s">
        <v>21</v>
      </c>
      <c r="T543" s="6" t="s">
        <v>21</v>
      </c>
      <c r="U543" s="6">
        <f t="shared" si="68"/>
        <v>0</v>
      </c>
      <c r="V543" s="6">
        <f t="shared" si="71"/>
        <v>0</v>
      </c>
    </row>
    <row r="544" spans="1:22" hidden="1" x14ac:dyDescent="0.35">
      <c r="A544" s="6" t="s">
        <v>619</v>
      </c>
      <c r="B544" s="6" t="s">
        <v>614</v>
      </c>
      <c r="C544" s="6" t="s">
        <v>615</v>
      </c>
      <c r="D544" s="6">
        <f t="shared" si="69"/>
        <v>0.5</v>
      </c>
      <c r="E544" s="6" t="s">
        <v>19</v>
      </c>
      <c r="F544" s="6" t="str">
        <f>MID(A544,19,1)</f>
        <v>S</v>
      </c>
      <c r="G544" s="6">
        <v>-23.408984769937291</v>
      </c>
      <c r="H544" s="6">
        <v>-46.821809117225442</v>
      </c>
      <c r="I544" s="9">
        <v>81.400000000000006</v>
      </c>
      <c r="K544" s="6">
        <v>7.72</v>
      </c>
      <c r="L544" s="6">
        <v>0</v>
      </c>
      <c r="N544" s="1">
        <f t="shared" si="67"/>
        <v>0</v>
      </c>
      <c r="Q544" s="6" t="s">
        <v>21</v>
      </c>
      <c r="R544" s="6" t="s">
        <v>21</v>
      </c>
      <c r="S544" s="6" t="s">
        <v>21</v>
      </c>
      <c r="T544" s="6" t="s">
        <v>21</v>
      </c>
      <c r="U544" s="6">
        <f t="shared" si="68"/>
        <v>0</v>
      </c>
      <c r="V544" s="6">
        <f t="shared" si="71"/>
        <v>0</v>
      </c>
    </row>
    <row r="545" spans="1:22" hidden="1" x14ac:dyDescent="0.35">
      <c r="A545" s="6" t="s">
        <v>620</v>
      </c>
      <c r="B545" s="6" t="s">
        <v>614</v>
      </c>
      <c r="C545" s="6" t="s">
        <v>615</v>
      </c>
      <c r="D545" s="6">
        <f t="shared" si="69"/>
        <v>0.5</v>
      </c>
      <c r="E545" s="6" t="s">
        <v>19</v>
      </c>
      <c r="F545" s="6" t="str">
        <f>MID(A545,19,1)</f>
        <v>S</v>
      </c>
      <c r="G545" s="6">
        <v>-23.409237177910349</v>
      </c>
      <c r="H545" s="6">
        <v>-46.821118547755653</v>
      </c>
      <c r="I545" s="9">
        <v>1599.84</v>
      </c>
      <c r="K545" s="6">
        <v>8.3699999999999992</v>
      </c>
      <c r="L545" s="6">
        <v>0</v>
      </c>
      <c r="N545" s="1">
        <f t="shared" si="67"/>
        <v>0</v>
      </c>
      <c r="Q545" s="6" t="s">
        <v>21</v>
      </c>
      <c r="R545" s="6" t="s">
        <v>21</v>
      </c>
      <c r="S545" s="6" t="s">
        <v>21</v>
      </c>
      <c r="T545" s="6" t="s">
        <v>21</v>
      </c>
      <c r="U545" s="6">
        <f t="shared" si="68"/>
        <v>0</v>
      </c>
      <c r="V545" s="6">
        <f t="shared" si="71"/>
        <v>0</v>
      </c>
    </row>
    <row r="546" spans="1:22" x14ac:dyDescent="0.35">
      <c r="A546" s="6" t="s">
        <v>621</v>
      </c>
      <c r="B546" s="6" t="s">
        <v>614</v>
      </c>
      <c r="C546" s="6" t="s">
        <v>615</v>
      </c>
      <c r="D546" s="6">
        <f t="shared" si="69"/>
        <v>0.5</v>
      </c>
      <c r="E546" s="6" t="s">
        <v>19</v>
      </c>
      <c r="F546" s="6" t="str">
        <f>MID(A546,19,1)</f>
        <v>N</v>
      </c>
      <c r="G546" s="6">
        <v>-23.40748816622153</v>
      </c>
      <c r="H546" s="6">
        <v>-46.822619340824581</v>
      </c>
      <c r="I546" s="9">
        <v>1509.63</v>
      </c>
      <c r="K546" s="6">
        <v>11.28</v>
      </c>
      <c r="L546" s="6">
        <v>0</v>
      </c>
      <c r="N546" s="1">
        <f t="shared" si="67"/>
        <v>0</v>
      </c>
      <c r="Q546" s="6" t="s">
        <v>21</v>
      </c>
      <c r="R546" s="6" t="s">
        <v>21</v>
      </c>
      <c r="S546" s="6" t="s">
        <v>21</v>
      </c>
      <c r="T546" s="6" t="s">
        <v>21</v>
      </c>
      <c r="U546" s="6">
        <f t="shared" si="68"/>
        <v>0</v>
      </c>
      <c r="V546" s="6">
        <f t="shared" si="71"/>
        <v>0</v>
      </c>
    </row>
    <row r="547" spans="1:22" hidden="1" x14ac:dyDescent="0.35">
      <c r="A547" s="6" t="s">
        <v>622</v>
      </c>
      <c r="B547" s="6" t="s">
        <v>614</v>
      </c>
      <c r="C547" s="6" t="s">
        <v>615</v>
      </c>
      <c r="D547" s="6">
        <f t="shared" si="69"/>
        <v>0.5</v>
      </c>
      <c r="E547" s="6" t="s">
        <v>19</v>
      </c>
      <c r="F547" s="6" t="str">
        <f>MID(A547,19,1)</f>
        <v>S</v>
      </c>
      <c r="G547" s="6">
        <v>-23.408662307911271</v>
      </c>
      <c r="H547" s="6">
        <v>-46.821884957296028</v>
      </c>
      <c r="I547" s="9">
        <v>1633.91</v>
      </c>
      <c r="K547" s="6">
        <v>5.59</v>
      </c>
      <c r="L547" s="6">
        <v>0</v>
      </c>
      <c r="N547" s="1">
        <f t="shared" si="67"/>
        <v>0</v>
      </c>
      <c r="Q547" s="6" t="s">
        <v>21</v>
      </c>
      <c r="R547" s="6" t="s">
        <v>21</v>
      </c>
      <c r="S547" s="6" t="s">
        <v>21</v>
      </c>
      <c r="T547" s="6" t="s">
        <v>21</v>
      </c>
      <c r="U547" s="6">
        <f t="shared" si="68"/>
        <v>0</v>
      </c>
      <c r="V547" s="6">
        <f t="shared" si="71"/>
        <v>0</v>
      </c>
    </row>
    <row r="548" spans="1:22" x14ac:dyDescent="0.35">
      <c r="A548" s="6" t="s">
        <v>623</v>
      </c>
      <c r="B548" s="6" t="s">
        <v>614</v>
      </c>
      <c r="C548" s="6" t="s">
        <v>615</v>
      </c>
      <c r="D548" s="6">
        <f t="shared" si="69"/>
        <v>0.5</v>
      </c>
      <c r="E548" s="6" t="s">
        <v>19</v>
      </c>
      <c r="F548" s="6" t="str">
        <f>MID(A548,19,1)</f>
        <v>N</v>
      </c>
      <c r="G548" s="6">
        <v>-23.40844250807277</v>
      </c>
      <c r="H548" s="6">
        <v>-46.821136383873053</v>
      </c>
      <c r="I548" s="9">
        <v>91.17</v>
      </c>
      <c r="K548" s="6">
        <v>7.96</v>
      </c>
      <c r="L548" s="6">
        <v>0</v>
      </c>
      <c r="N548" s="1">
        <f t="shared" si="67"/>
        <v>0</v>
      </c>
      <c r="Q548" s="6" t="s">
        <v>21</v>
      </c>
      <c r="R548" s="6" t="s">
        <v>21</v>
      </c>
      <c r="S548" s="6" t="s">
        <v>21</v>
      </c>
      <c r="T548" s="6" t="s">
        <v>21</v>
      </c>
      <c r="U548" s="6">
        <f t="shared" si="68"/>
        <v>0</v>
      </c>
      <c r="V548" s="6">
        <f t="shared" si="71"/>
        <v>0</v>
      </c>
    </row>
    <row r="549" spans="1:22" x14ac:dyDescent="0.35">
      <c r="A549" s="6" t="s">
        <v>624</v>
      </c>
      <c r="B549" s="6" t="s">
        <v>614</v>
      </c>
      <c r="C549" s="6" t="s">
        <v>615</v>
      </c>
      <c r="D549" s="6">
        <f t="shared" si="69"/>
        <v>0.5</v>
      </c>
      <c r="E549" s="6" t="s">
        <v>19</v>
      </c>
      <c r="F549" s="6" t="str">
        <f>MID(A549,19,1)</f>
        <v>N</v>
      </c>
      <c r="G549" s="6">
        <v>-23.387619148536611</v>
      </c>
      <c r="H549" s="6">
        <v>-46.769207639332564</v>
      </c>
      <c r="I549" s="9">
        <v>467.95</v>
      </c>
      <c r="K549" s="6">
        <v>9.84</v>
      </c>
      <c r="L549" s="6">
        <v>30</v>
      </c>
      <c r="N549" s="1">
        <f t="shared" si="67"/>
        <v>0</v>
      </c>
      <c r="O549" s="6" t="s">
        <v>185</v>
      </c>
      <c r="Q549" s="6" t="s">
        <v>21</v>
      </c>
      <c r="R549" s="6" t="s">
        <v>21</v>
      </c>
      <c r="S549" s="6" t="s">
        <v>21</v>
      </c>
      <c r="T549" s="6" t="s">
        <v>21</v>
      </c>
      <c r="U549" s="6">
        <f t="shared" si="68"/>
        <v>140.38499999999999</v>
      </c>
      <c r="V549" s="6">
        <f t="shared" si="71"/>
        <v>140.38499999999999</v>
      </c>
    </row>
    <row r="550" spans="1:22" hidden="1" x14ac:dyDescent="0.35">
      <c r="A550" s="6" t="s">
        <v>625</v>
      </c>
      <c r="B550" s="6" t="s">
        <v>614</v>
      </c>
      <c r="C550" s="6" t="s">
        <v>615</v>
      </c>
      <c r="D550" s="6">
        <f t="shared" si="69"/>
        <v>0.5</v>
      </c>
      <c r="E550" s="6" t="s">
        <v>23</v>
      </c>
      <c r="F550" s="6" t="str">
        <f>MID(A550,19,1)</f>
        <v>C</v>
      </c>
      <c r="G550" s="6">
        <v>-23.385360456592519</v>
      </c>
      <c r="H550" s="6">
        <v>-46.769300764563582</v>
      </c>
      <c r="I550" s="7">
        <v>6416.36</v>
      </c>
      <c r="J550" s="9">
        <f>I550/500</f>
        <v>12.83272</v>
      </c>
      <c r="K550" s="6">
        <v>5.79</v>
      </c>
      <c r="L550" s="6">
        <v>30</v>
      </c>
      <c r="N550" s="1">
        <f t="shared" si="67"/>
        <v>0</v>
      </c>
      <c r="O550" s="6" t="s">
        <v>185</v>
      </c>
      <c r="Q550" s="6" t="s">
        <v>21</v>
      </c>
      <c r="R550" s="6" t="s">
        <v>21</v>
      </c>
      <c r="S550" s="6" t="s">
        <v>21</v>
      </c>
      <c r="T550" s="6" t="s">
        <v>21</v>
      </c>
      <c r="U550" s="6">
        <f t="shared" si="68"/>
        <v>1924.9079999999999</v>
      </c>
      <c r="V550" s="6">
        <f t="shared" si="71"/>
        <v>1924.9079999999999</v>
      </c>
    </row>
    <row r="551" spans="1:22" x14ac:dyDescent="0.35">
      <c r="A551" s="6" t="s">
        <v>626</v>
      </c>
      <c r="B551" s="6" t="s">
        <v>614</v>
      </c>
      <c r="C551" s="6" t="s">
        <v>615</v>
      </c>
      <c r="D551" s="6">
        <f t="shared" si="69"/>
        <v>0.5</v>
      </c>
      <c r="E551" s="6" t="s">
        <v>19</v>
      </c>
      <c r="F551" s="6" t="str">
        <f>MID(A551,19,1)</f>
        <v>N</v>
      </c>
      <c r="G551" s="6">
        <v>-23.392607478573488</v>
      </c>
      <c r="H551" s="6">
        <v>-46.768236565127587</v>
      </c>
      <c r="I551" s="9">
        <v>134.47999999999999</v>
      </c>
      <c r="K551" s="6">
        <v>1.77</v>
      </c>
      <c r="L551" s="6">
        <v>30</v>
      </c>
      <c r="N551" s="1">
        <f t="shared" si="67"/>
        <v>0</v>
      </c>
      <c r="O551" s="6" t="s">
        <v>20</v>
      </c>
      <c r="Q551" s="6" t="s">
        <v>21</v>
      </c>
      <c r="R551" s="6" t="s">
        <v>21</v>
      </c>
      <c r="S551" s="6" t="s">
        <v>21</v>
      </c>
      <c r="T551" s="6" t="s">
        <v>21</v>
      </c>
      <c r="U551" s="6">
        <f t="shared" si="68"/>
        <v>40.343999999999994</v>
      </c>
      <c r="V551" s="6">
        <f t="shared" si="71"/>
        <v>40.343999999999994</v>
      </c>
    </row>
    <row r="552" spans="1:22" hidden="1" x14ac:dyDescent="0.35">
      <c r="A552" s="6" t="s">
        <v>627</v>
      </c>
      <c r="B552" s="6" t="s">
        <v>614</v>
      </c>
      <c r="C552" s="6" t="s">
        <v>615</v>
      </c>
      <c r="D552" s="6">
        <f t="shared" si="69"/>
        <v>0.5</v>
      </c>
      <c r="E552" s="6" t="s">
        <v>19</v>
      </c>
      <c r="F552" s="6" t="str">
        <f>MID(A552,19,1)</f>
        <v>S</v>
      </c>
      <c r="G552" s="6">
        <v>-23.38766078631193</v>
      </c>
      <c r="H552" s="6">
        <v>-46.769538375441677</v>
      </c>
      <c r="I552" s="9">
        <v>171.78</v>
      </c>
      <c r="K552" s="6">
        <v>10.89</v>
      </c>
      <c r="L552" s="6">
        <v>50</v>
      </c>
      <c r="N552" s="1">
        <f t="shared" si="67"/>
        <v>0</v>
      </c>
      <c r="O552" s="6" t="s">
        <v>20</v>
      </c>
      <c r="Q552" s="6" t="s">
        <v>21</v>
      </c>
      <c r="R552" s="6" t="s">
        <v>21</v>
      </c>
      <c r="S552" s="6" t="s">
        <v>21</v>
      </c>
      <c r="T552" s="6" t="s">
        <v>21</v>
      </c>
      <c r="U552" s="6">
        <f t="shared" si="68"/>
        <v>85.89</v>
      </c>
      <c r="V552" s="6">
        <f t="shared" si="71"/>
        <v>85.89</v>
      </c>
    </row>
    <row r="553" spans="1:22" hidden="1" x14ac:dyDescent="0.35">
      <c r="A553" s="6" t="s">
        <v>628</v>
      </c>
      <c r="B553" s="6" t="s">
        <v>614</v>
      </c>
      <c r="C553" s="6" t="s">
        <v>615</v>
      </c>
      <c r="D553" s="6">
        <f t="shared" si="69"/>
        <v>0.5</v>
      </c>
      <c r="E553" s="6" t="s">
        <v>19</v>
      </c>
      <c r="F553" s="6" t="str">
        <f>MID(A553,19,1)</f>
        <v>S</v>
      </c>
      <c r="G553" s="6">
        <v>-23.385353972765898</v>
      </c>
      <c r="H553" s="6">
        <v>-46.769629397896509</v>
      </c>
      <c r="I553" s="9">
        <v>1896.51</v>
      </c>
      <c r="K553" s="6">
        <v>8.89</v>
      </c>
      <c r="L553" s="6">
        <v>50</v>
      </c>
      <c r="N553" s="1">
        <f t="shared" si="67"/>
        <v>0</v>
      </c>
      <c r="O553" s="6" t="s">
        <v>20</v>
      </c>
      <c r="Q553" s="6" t="s">
        <v>21</v>
      </c>
      <c r="R553" s="6" t="s">
        <v>21</v>
      </c>
      <c r="S553" s="6" t="s">
        <v>21</v>
      </c>
      <c r="T553" s="6" t="s">
        <v>21</v>
      </c>
      <c r="U553" s="6">
        <f t="shared" si="68"/>
        <v>948.255</v>
      </c>
      <c r="V553" s="6">
        <f t="shared" si="71"/>
        <v>948.255</v>
      </c>
    </row>
    <row r="554" spans="1:22" hidden="1" x14ac:dyDescent="0.35">
      <c r="A554" s="6" t="s">
        <v>629</v>
      </c>
      <c r="B554" s="6" t="s">
        <v>614</v>
      </c>
      <c r="C554" s="6" t="s">
        <v>615</v>
      </c>
      <c r="D554" s="6">
        <f t="shared" si="69"/>
        <v>0.5</v>
      </c>
      <c r="E554" s="6" t="s">
        <v>19</v>
      </c>
      <c r="F554" s="6" t="str">
        <f>MID(A554,19,1)</f>
        <v>S</v>
      </c>
      <c r="G554" s="6">
        <v>-23.390945993515331</v>
      </c>
      <c r="H554" s="6">
        <v>-46.769292746991738</v>
      </c>
      <c r="I554" s="9">
        <v>1446.08</v>
      </c>
      <c r="K554" s="6">
        <v>2.39</v>
      </c>
      <c r="L554" s="6">
        <v>80</v>
      </c>
      <c r="N554" s="1">
        <f t="shared" si="67"/>
        <v>0</v>
      </c>
      <c r="O554" s="6" t="s">
        <v>20</v>
      </c>
      <c r="Q554" s="6" t="s">
        <v>21</v>
      </c>
      <c r="R554" s="6" t="s">
        <v>21</v>
      </c>
      <c r="S554" s="6" t="s">
        <v>21</v>
      </c>
      <c r="T554" s="6" t="s">
        <v>21</v>
      </c>
      <c r="U554" s="6">
        <f t="shared" si="68"/>
        <v>1156.864</v>
      </c>
      <c r="V554" s="6">
        <f t="shared" si="71"/>
        <v>1156.864</v>
      </c>
    </row>
    <row r="555" spans="1:22" x14ac:dyDescent="0.35">
      <c r="A555" s="8" t="s">
        <v>630</v>
      </c>
      <c r="B555" s="8" t="s">
        <v>614</v>
      </c>
      <c r="C555" s="8" t="s">
        <v>615</v>
      </c>
      <c r="D555" s="6">
        <f t="shared" si="69"/>
        <v>0.5</v>
      </c>
      <c r="E555" s="8" t="s">
        <v>19</v>
      </c>
      <c r="F555" s="6" t="str">
        <f>MID(A555,19,1)</f>
        <v>N</v>
      </c>
      <c r="G555" s="8">
        <v>-23.408389420701759</v>
      </c>
      <c r="H555" s="8">
        <v>-46.821569414695787</v>
      </c>
      <c r="I555" s="7">
        <v>1197.97</v>
      </c>
      <c r="J555" s="7"/>
      <c r="K555" s="8">
        <v>5.49</v>
      </c>
      <c r="L555" s="8">
        <v>60</v>
      </c>
      <c r="M555" s="8"/>
      <c r="N555" s="11">
        <f t="shared" si="67"/>
        <v>718.78200000000004</v>
      </c>
      <c r="O555" s="8" t="s">
        <v>25</v>
      </c>
      <c r="P555" s="8"/>
      <c r="Q555" s="8" t="s">
        <v>21</v>
      </c>
      <c r="R555" s="8" t="s">
        <v>21</v>
      </c>
      <c r="S555" s="8" t="s">
        <v>26</v>
      </c>
      <c r="T555" s="8" t="s">
        <v>21</v>
      </c>
      <c r="U555" s="6">
        <f t="shared" si="68"/>
        <v>0</v>
      </c>
    </row>
    <row r="556" spans="1:22" x14ac:dyDescent="0.35">
      <c r="A556" s="6" t="s">
        <v>631</v>
      </c>
      <c r="B556" s="6" t="s">
        <v>614</v>
      </c>
      <c r="C556" s="6" t="s">
        <v>615</v>
      </c>
      <c r="D556" s="6">
        <f t="shared" si="69"/>
        <v>0.5</v>
      </c>
      <c r="E556" s="6" t="s">
        <v>19</v>
      </c>
      <c r="F556" s="6" t="str">
        <f>MID(A556,19,1)</f>
        <v>N</v>
      </c>
      <c r="G556" s="6">
        <v>-23.387704300637271</v>
      </c>
      <c r="H556" s="6">
        <v>-46.768863858691951</v>
      </c>
      <c r="I556" s="9">
        <v>203.82</v>
      </c>
      <c r="K556" s="6">
        <v>9.19</v>
      </c>
      <c r="L556" s="6">
        <v>0</v>
      </c>
      <c r="N556" s="1">
        <f t="shared" si="67"/>
        <v>0</v>
      </c>
      <c r="Q556" s="6" t="s">
        <v>21</v>
      </c>
      <c r="R556" s="6" t="s">
        <v>21</v>
      </c>
      <c r="S556" s="6" t="s">
        <v>21</v>
      </c>
      <c r="T556" s="6" t="s">
        <v>21</v>
      </c>
      <c r="U556" s="6">
        <f t="shared" si="68"/>
        <v>0</v>
      </c>
      <c r="V556" s="6">
        <f t="shared" ref="V556:V586" si="72">(I556*(L556/100))</f>
        <v>0</v>
      </c>
    </row>
    <row r="557" spans="1:22" hidden="1" x14ac:dyDescent="0.35">
      <c r="A557" s="6" t="s">
        <v>632</v>
      </c>
      <c r="B557" s="6" t="s">
        <v>614</v>
      </c>
      <c r="C557" s="6" t="s">
        <v>615</v>
      </c>
      <c r="D557" s="6">
        <f t="shared" si="69"/>
        <v>0.5</v>
      </c>
      <c r="E557" s="6" t="s">
        <v>19</v>
      </c>
      <c r="F557" s="6" t="str">
        <f>MID(A557,19,1)</f>
        <v>S</v>
      </c>
      <c r="G557" s="6">
        <v>-23.392351735656781</v>
      </c>
      <c r="H557" s="6">
        <v>-46.768496359499927</v>
      </c>
      <c r="I557" s="9">
        <v>94.33</v>
      </c>
      <c r="K557" s="6">
        <v>2.2000000000000002</v>
      </c>
      <c r="L557" s="6">
        <v>30</v>
      </c>
      <c r="N557" s="1">
        <f t="shared" si="67"/>
        <v>0</v>
      </c>
      <c r="O557" s="6" t="s">
        <v>20</v>
      </c>
      <c r="Q557" s="6" t="s">
        <v>21</v>
      </c>
      <c r="R557" s="6" t="s">
        <v>21</v>
      </c>
      <c r="S557" s="6" t="s">
        <v>21</v>
      </c>
      <c r="T557" s="6" t="s">
        <v>21</v>
      </c>
      <c r="U557" s="6">
        <f t="shared" si="68"/>
        <v>28.298999999999999</v>
      </c>
      <c r="V557" s="6">
        <f t="shared" si="72"/>
        <v>28.298999999999999</v>
      </c>
    </row>
    <row r="558" spans="1:22" hidden="1" x14ac:dyDescent="0.35">
      <c r="A558" s="6" t="s">
        <v>633</v>
      </c>
      <c r="B558" s="6" t="s">
        <v>614</v>
      </c>
      <c r="C558" s="6" t="s">
        <v>615</v>
      </c>
      <c r="D558" s="6">
        <f t="shared" si="69"/>
        <v>0.5</v>
      </c>
      <c r="E558" s="6" t="s">
        <v>23</v>
      </c>
      <c r="F558" s="6" t="str">
        <f>MID(A558,19,1)</f>
        <v>C</v>
      </c>
      <c r="G558" s="6">
        <v>-23.407719539608738</v>
      </c>
      <c r="H558" s="6">
        <v>-46.822703661621311</v>
      </c>
      <c r="I558" s="9">
        <v>841.86</v>
      </c>
      <c r="J558" s="9">
        <f>I558/500</f>
        <v>1.6837200000000001</v>
      </c>
      <c r="K558" s="6">
        <v>11.51</v>
      </c>
      <c r="L558" s="6">
        <v>0</v>
      </c>
      <c r="N558" s="1">
        <f t="shared" si="67"/>
        <v>0</v>
      </c>
      <c r="Q558" s="6" t="s">
        <v>21</v>
      </c>
      <c r="R558" s="6" t="s">
        <v>21</v>
      </c>
      <c r="S558" s="6" t="s">
        <v>21</v>
      </c>
      <c r="T558" s="6" t="s">
        <v>21</v>
      </c>
      <c r="U558" s="6">
        <f t="shared" si="68"/>
        <v>0</v>
      </c>
      <c r="V558" s="6">
        <f t="shared" si="72"/>
        <v>0</v>
      </c>
    </row>
    <row r="559" spans="1:22" hidden="1" x14ac:dyDescent="0.35">
      <c r="A559" s="6" t="s">
        <v>634</v>
      </c>
      <c r="B559" s="6" t="s">
        <v>614</v>
      </c>
      <c r="C559" s="6" t="s">
        <v>615</v>
      </c>
      <c r="D559" s="6">
        <f t="shared" si="69"/>
        <v>0.5</v>
      </c>
      <c r="E559" s="6" t="s">
        <v>19</v>
      </c>
      <c r="F559" s="6" t="str">
        <f>MID(A559,19,1)</f>
        <v>S</v>
      </c>
      <c r="G559" s="6">
        <v>-23.40981207883685</v>
      </c>
      <c r="H559" s="6">
        <v>-46.82014111978112</v>
      </c>
      <c r="I559" s="9">
        <v>659.23</v>
      </c>
      <c r="K559" s="6">
        <v>6.48</v>
      </c>
      <c r="L559" s="6">
        <v>0</v>
      </c>
      <c r="N559" s="1">
        <f t="shared" si="67"/>
        <v>0</v>
      </c>
      <c r="Q559" s="6" t="s">
        <v>21</v>
      </c>
      <c r="R559" s="6" t="s">
        <v>21</v>
      </c>
      <c r="S559" s="6" t="s">
        <v>21</v>
      </c>
      <c r="T559" s="6" t="s">
        <v>21</v>
      </c>
      <c r="U559" s="6">
        <f t="shared" si="68"/>
        <v>0</v>
      </c>
      <c r="V559" s="6">
        <f t="shared" si="72"/>
        <v>0</v>
      </c>
    </row>
    <row r="560" spans="1:22" x14ac:dyDescent="0.35">
      <c r="A560" s="6" t="s">
        <v>635</v>
      </c>
      <c r="B560" s="6" t="s">
        <v>614</v>
      </c>
      <c r="C560" s="6" t="s">
        <v>615</v>
      </c>
      <c r="D560" s="6">
        <f t="shared" si="69"/>
        <v>0.5</v>
      </c>
      <c r="E560" s="6" t="s">
        <v>19</v>
      </c>
      <c r="F560" s="6" t="str">
        <f>MID(A560,19,1)</f>
        <v>N</v>
      </c>
      <c r="G560" s="6">
        <v>-23.408835352909762</v>
      </c>
      <c r="H560" s="6">
        <v>-46.82067639659347</v>
      </c>
      <c r="I560" s="9">
        <v>528.29999999999995</v>
      </c>
      <c r="K560" s="6">
        <v>9.3800000000000008</v>
      </c>
      <c r="L560" s="6">
        <v>0</v>
      </c>
      <c r="N560" s="1">
        <f t="shared" si="67"/>
        <v>0</v>
      </c>
      <c r="Q560" s="6" t="s">
        <v>21</v>
      </c>
      <c r="R560" s="6" t="s">
        <v>21</v>
      </c>
      <c r="S560" s="6" t="s">
        <v>21</v>
      </c>
      <c r="T560" s="6" t="s">
        <v>21</v>
      </c>
      <c r="U560" s="6">
        <f t="shared" si="68"/>
        <v>0</v>
      </c>
      <c r="V560" s="6">
        <f t="shared" si="72"/>
        <v>0</v>
      </c>
    </row>
    <row r="561" spans="1:22" x14ac:dyDescent="0.35">
      <c r="A561" s="6" t="s">
        <v>636</v>
      </c>
      <c r="B561" s="6" t="s">
        <v>614</v>
      </c>
      <c r="C561" s="6" t="s">
        <v>615</v>
      </c>
      <c r="D561" s="6">
        <f t="shared" si="69"/>
        <v>0.5</v>
      </c>
      <c r="E561" s="6" t="s">
        <v>19</v>
      </c>
      <c r="F561" s="6" t="str">
        <f>MID(A561,19,1)</f>
        <v>N</v>
      </c>
      <c r="G561" s="6">
        <v>-23.385342926287532</v>
      </c>
      <c r="H561" s="6">
        <v>-46.768971881775983</v>
      </c>
      <c r="I561" s="9">
        <v>1890.56</v>
      </c>
      <c r="K561" s="6">
        <v>5.6</v>
      </c>
      <c r="L561" s="6">
        <v>30</v>
      </c>
      <c r="N561" s="1">
        <f t="shared" si="67"/>
        <v>0</v>
      </c>
      <c r="O561" s="6" t="s">
        <v>20</v>
      </c>
      <c r="Q561" s="6" t="s">
        <v>21</v>
      </c>
      <c r="R561" s="6" t="s">
        <v>21</v>
      </c>
      <c r="S561" s="6" t="s">
        <v>21</v>
      </c>
      <c r="T561" s="6" t="s">
        <v>21</v>
      </c>
      <c r="U561" s="6">
        <f t="shared" si="68"/>
        <v>567.16800000000001</v>
      </c>
      <c r="V561" s="6">
        <f t="shared" si="72"/>
        <v>567.16800000000001</v>
      </c>
    </row>
    <row r="562" spans="1:22" hidden="1" x14ac:dyDescent="0.35">
      <c r="A562" s="6" t="s">
        <v>637</v>
      </c>
      <c r="B562" s="6" t="s">
        <v>614</v>
      </c>
      <c r="C562" s="6" t="s">
        <v>615</v>
      </c>
      <c r="D562" s="6">
        <f t="shared" si="69"/>
        <v>0.5</v>
      </c>
      <c r="E562" s="6" t="s">
        <v>23</v>
      </c>
      <c r="F562" s="6" t="str">
        <f>MID(A562,19,1)</f>
        <v>C</v>
      </c>
      <c r="G562" s="6">
        <v>-23.390894313276871</v>
      </c>
      <c r="H562" s="6">
        <v>-46.768585098498221</v>
      </c>
      <c r="I562" s="7">
        <v>1396.45</v>
      </c>
      <c r="J562" s="9">
        <f>I562/500</f>
        <v>2.7928999999999999</v>
      </c>
      <c r="K562" s="6">
        <v>5.08</v>
      </c>
      <c r="L562" s="6">
        <v>30</v>
      </c>
      <c r="N562" s="1">
        <f t="shared" si="67"/>
        <v>0</v>
      </c>
      <c r="O562" s="6" t="s">
        <v>20</v>
      </c>
      <c r="Q562" s="6" t="s">
        <v>21</v>
      </c>
      <c r="R562" s="6" t="s">
        <v>21</v>
      </c>
      <c r="S562" s="6" t="s">
        <v>21</v>
      </c>
      <c r="T562" s="6" t="s">
        <v>21</v>
      </c>
      <c r="U562" s="6">
        <f t="shared" si="68"/>
        <v>418.935</v>
      </c>
      <c r="V562" s="6">
        <f t="shared" si="72"/>
        <v>418.935</v>
      </c>
    </row>
    <row r="563" spans="1:22" x14ac:dyDescent="0.35">
      <c r="A563" s="6" t="s">
        <v>638</v>
      </c>
      <c r="B563" s="6" t="s">
        <v>614</v>
      </c>
      <c r="C563" s="6" t="s">
        <v>615</v>
      </c>
      <c r="D563" s="6">
        <f t="shared" si="69"/>
        <v>0.5</v>
      </c>
      <c r="E563" s="6" t="s">
        <v>19</v>
      </c>
      <c r="F563" s="6" t="str">
        <f>MID(A563,19,1)</f>
        <v>N</v>
      </c>
      <c r="G563" s="6">
        <v>-23.40967645581528</v>
      </c>
      <c r="H563" s="6">
        <v>-46.819711751459209</v>
      </c>
      <c r="I563" s="9">
        <v>1452.19</v>
      </c>
      <c r="K563" s="6">
        <v>7.05</v>
      </c>
      <c r="L563" s="6">
        <v>0</v>
      </c>
      <c r="N563" s="1">
        <f t="shared" si="67"/>
        <v>0</v>
      </c>
      <c r="Q563" s="6" t="s">
        <v>21</v>
      </c>
      <c r="R563" s="6" t="s">
        <v>21</v>
      </c>
      <c r="S563" s="6" t="s">
        <v>21</v>
      </c>
      <c r="T563" s="6" t="s">
        <v>21</v>
      </c>
      <c r="U563" s="6">
        <f t="shared" si="68"/>
        <v>0</v>
      </c>
      <c r="V563" s="6">
        <f t="shared" si="72"/>
        <v>0</v>
      </c>
    </row>
    <row r="564" spans="1:22" x14ac:dyDescent="0.35">
      <c r="A564" s="6" t="s">
        <v>639</v>
      </c>
      <c r="B564" s="6" t="s">
        <v>614</v>
      </c>
      <c r="C564" s="6" t="s">
        <v>615</v>
      </c>
      <c r="D564" s="6">
        <f t="shared" si="69"/>
        <v>0.5</v>
      </c>
      <c r="E564" s="6" t="s">
        <v>19</v>
      </c>
      <c r="F564" s="6" t="str">
        <f>MID(A564,19,1)</f>
        <v>N</v>
      </c>
      <c r="G564" s="6">
        <v>-23.408978550232369</v>
      </c>
      <c r="H564" s="6">
        <v>-46.820780306237502</v>
      </c>
      <c r="I564" s="9">
        <v>1963.18</v>
      </c>
      <c r="K564" s="6">
        <v>7.89</v>
      </c>
      <c r="L564" s="6">
        <v>0</v>
      </c>
      <c r="N564" s="1">
        <f t="shared" si="67"/>
        <v>0</v>
      </c>
      <c r="Q564" s="6" t="s">
        <v>21</v>
      </c>
      <c r="R564" s="6" t="s">
        <v>21</v>
      </c>
      <c r="S564" s="6" t="s">
        <v>21</v>
      </c>
      <c r="T564" s="6" t="s">
        <v>21</v>
      </c>
      <c r="U564" s="6">
        <f t="shared" si="68"/>
        <v>0</v>
      </c>
      <c r="V564" s="6">
        <f t="shared" si="72"/>
        <v>0</v>
      </c>
    </row>
    <row r="565" spans="1:22" hidden="1" x14ac:dyDescent="0.35">
      <c r="A565" s="6" t="s">
        <v>640</v>
      </c>
      <c r="B565" s="6" t="s">
        <v>614</v>
      </c>
      <c r="C565" s="6" t="s">
        <v>615</v>
      </c>
      <c r="D565" s="6">
        <f t="shared" si="69"/>
        <v>0.5</v>
      </c>
      <c r="E565" s="6" t="s">
        <v>23</v>
      </c>
      <c r="F565" s="6" t="str">
        <f>MID(A565,19,1)</f>
        <v>C</v>
      </c>
      <c r="G565" s="6">
        <v>-23.39079059557443</v>
      </c>
      <c r="H565" s="6">
        <v>-46.768989910610173</v>
      </c>
      <c r="I565" s="7">
        <v>5746.32</v>
      </c>
      <c r="J565" s="9">
        <f>I565/500</f>
        <v>11.49264</v>
      </c>
      <c r="K565" s="6">
        <v>2.99</v>
      </c>
      <c r="L565" s="6">
        <v>60</v>
      </c>
      <c r="N565" s="1">
        <f t="shared" si="67"/>
        <v>0</v>
      </c>
      <c r="O565" s="6" t="s">
        <v>185</v>
      </c>
      <c r="Q565" s="6" t="s">
        <v>21</v>
      </c>
      <c r="R565" s="6" t="s">
        <v>21</v>
      </c>
      <c r="S565" s="6" t="s">
        <v>21</v>
      </c>
      <c r="T565" s="6" t="s">
        <v>21</v>
      </c>
      <c r="U565" s="6">
        <f t="shared" si="68"/>
        <v>3447.7919999999999</v>
      </c>
      <c r="V565" s="6">
        <f t="shared" si="72"/>
        <v>3447.7919999999999</v>
      </c>
    </row>
    <row r="566" spans="1:22" hidden="1" x14ac:dyDescent="0.35">
      <c r="A566" s="6" t="s">
        <v>641</v>
      </c>
      <c r="B566" s="6" t="s">
        <v>642</v>
      </c>
      <c r="C566" s="6" t="s">
        <v>643</v>
      </c>
      <c r="D566" s="6">
        <f t="shared" si="69"/>
        <v>0.5</v>
      </c>
      <c r="E566" s="6" t="s">
        <v>19</v>
      </c>
      <c r="F566" s="6" t="str">
        <f>MID(A566,19,1)</f>
        <v>S</v>
      </c>
      <c r="G566" s="6">
        <v>-23.405529660539489</v>
      </c>
      <c r="H566" s="6">
        <v>-46.82897351168986</v>
      </c>
      <c r="I566" s="9">
        <v>295.79000000000002</v>
      </c>
      <c r="K566" s="6">
        <v>7.27</v>
      </c>
      <c r="L566" s="6">
        <v>20</v>
      </c>
      <c r="N566" s="1">
        <f t="shared" si="67"/>
        <v>0</v>
      </c>
      <c r="O566" s="6" t="s">
        <v>20</v>
      </c>
      <c r="Q566" s="6" t="s">
        <v>21</v>
      </c>
      <c r="R566" s="6" t="s">
        <v>21</v>
      </c>
      <c r="S566" s="6" t="s">
        <v>21</v>
      </c>
      <c r="T566" s="6" t="s">
        <v>21</v>
      </c>
      <c r="U566" s="6">
        <f t="shared" si="68"/>
        <v>59.158000000000008</v>
      </c>
      <c r="V566" s="6">
        <f t="shared" si="72"/>
        <v>59.158000000000008</v>
      </c>
    </row>
    <row r="567" spans="1:22" x14ac:dyDescent="0.35">
      <c r="A567" s="6" t="s">
        <v>644</v>
      </c>
      <c r="B567" s="6" t="s">
        <v>642</v>
      </c>
      <c r="C567" s="6" t="s">
        <v>643</v>
      </c>
      <c r="D567" s="6">
        <f t="shared" si="69"/>
        <v>0.5</v>
      </c>
      <c r="E567" s="6" t="s">
        <v>19</v>
      </c>
      <c r="F567" s="6" t="str">
        <f>MID(A567,19,1)</f>
        <v>N</v>
      </c>
      <c r="G567" s="6">
        <v>-23.40481511042309</v>
      </c>
      <c r="H567" s="6">
        <v>-46.831609023382157</v>
      </c>
      <c r="I567" s="9">
        <v>6430.22</v>
      </c>
      <c r="K567" s="6">
        <v>7.29</v>
      </c>
      <c r="L567" s="6">
        <v>70</v>
      </c>
      <c r="N567" s="1">
        <f t="shared" si="67"/>
        <v>0</v>
      </c>
      <c r="O567" s="6" t="s">
        <v>20</v>
      </c>
      <c r="Q567" s="6" t="s">
        <v>21</v>
      </c>
      <c r="R567" s="6" t="s">
        <v>21</v>
      </c>
      <c r="S567" s="6" t="s">
        <v>21</v>
      </c>
      <c r="T567" s="6" t="s">
        <v>21</v>
      </c>
      <c r="U567" s="6">
        <f t="shared" si="68"/>
        <v>4501.1539999999995</v>
      </c>
      <c r="V567" s="6">
        <f t="shared" si="72"/>
        <v>4501.1539999999995</v>
      </c>
    </row>
    <row r="568" spans="1:22" x14ac:dyDescent="0.35">
      <c r="A568" s="6" t="s">
        <v>645</v>
      </c>
      <c r="B568" s="6" t="s">
        <v>642</v>
      </c>
      <c r="C568" s="6" t="s">
        <v>643</v>
      </c>
      <c r="D568" s="6">
        <f t="shared" si="69"/>
        <v>0.5</v>
      </c>
      <c r="E568" s="6" t="s">
        <v>19</v>
      </c>
      <c r="F568" s="6" t="str">
        <f>MID(A568,19,1)</f>
        <v>N</v>
      </c>
      <c r="G568" s="6">
        <v>-23.37789899755354</v>
      </c>
      <c r="H568" s="6">
        <v>-46.772321281491067</v>
      </c>
      <c r="I568" s="9">
        <v>2107.77</v>
      </c>
      <c r="K568" s="6">
        <v>12.94</v>
      </c>
      <c r="L568" s="6">
        <v>70</v>
      </c>
      <c r="N568" s="1">
        <f t="shared" si="67"/>
        <v>0</v>
      </c>
      <c r="O568" s="6" t="s">
        <v>20</v>
      </c>
      <c r="Q568" s="6" t="s">
        <v>21</v>
      </c>
      <c r="R568" s="6" t="s">
        <v>21</v>
      </c>
      <c r="S568" s="6" t="s">
        <v>21</v>
      </c>
      <c r="T568" s="6" t="s">
        <v>21</v>
      </c>
      <c r="U568" s="6">
        <f t="shared" si="68"/>
        <v>1475.4389999999999</v>
      </c>
      <c r="V568" s="6">
        <f t="shared" si="72"/>
        <v>1475.4389999999999</v>
      </c>
    </row>
    <row r="569" spans="1:22" x14ac:dyDescent="0.35">
      <c r="A569" s="6" t="s">
        <v>646</v>
      </c>
      <c r="B569" s="6" t="s">
        <v>642</v>
      </c>
      <c r="C569" s="6" t="s">
        <v>643</v>
      </c>
      <c r="D569" s="6">
        <f t="shared" si="69"/>
        <v>0.5</v>
      </c>
      <c r="E569" s="6" t="s">
        <v>19</v>
      </c>
      <c r="F569" s="6" t="str">
        <f>MID(A569,19,1)</f>
        <v>N</v>
      </c>
      <c r="G569" s="6">
        <v>-23.404730439611409</v>
      </c>
      <c r="H569" s="6">
        <v>-46.830192912684197</v>
      </c>
      <c r="I569" s="9">
        <v>216.32</v>
      </c>
      <c r="K569" s="6">
        <v>2.02</v>
      </c>
      <c r="L569" s="6">
        <v>20</v>
      </c>
      <c r="N569" s="1">
        <f t="shared" si="67"/>
        <v>0</v>
      </c>
      <c r="O569" s="6" t="s">
        <v>20</v>
      </c>
      <c r="Q569" s="6" t="s">
        <v>21</v>
      </c>
      <c r="R569" s="6" t="s">
        <v>21</v>
      </c>
      <c r="S569" s="6" t="s">
        <v>21</v>
      </c>
      <c r="T569" s="6" t="s">
        <v>21</v>
      </c>
      <c r="U569" s="6">
        <f t="shared" si="68"/>
        <v>43.264000000000003</v>
      </c>
      <c r="V569" s="6">
        <f t="shared" si="72"/>
        <v>43.264000000000003</v>
      </c>
    </row>
    <row r="570" spans="1:22" x14ac:dyDescent="0.35">
      <c r="A570" s="6" t="s">
        <v>647</v>
      </c>
      <c r="B570" s="6" t="s">
        <v>642</v>
      </c>
      <c r="C570" s="6" t="s">
        <v>643</v>
      </c>
      <c r="D570" s="6">
        <f t="shared" si="69"/>
        <v>0.5</v>
      </c>
      <c r="E570" s="6" t="s">
        <v>19</v>
      </c>
      <c r="F570" s="6" t="str">
        <f>MID(A570,19,1)</f>
        <v>N</v>
      </c>
      <c r="G570" s="6">
        <v>-23.40484526224602</v>
      </c>
      <c r="H570" s="6">
        <v>-46.828933086234997</v>
      </c>
      <c r="I570" s="9">
        <v>215.09</v>
      </c>
      <c r="K570" s="6">
        <v>7.01</v>
      </c>
      <c r="L570" s="6">
        <v>20</v>
      </c>
      <c r="N570" s="1">
        <f t="shared" si="67"/>
        <v>0</v>
      </c>
      <c r="O570" s="6" t="s">
        <v>20</v>
      </c>
      <c r="Q570" s="6" t="s">
        <v>21</v>
      </c>
      <c r="R570" s="6" t="s">
        <v>21</v>
      </c>
      <c r="S570" s="6" t="s">
        <v>21</v>
      </c>
      <c r="T570" s="6" t="s">
        <v>21</v>
      </c>
      <c r="U570" s="6">
        <f t="shared" si="68"/>
        <v>43.018000000000001</v>
      </c>
      <c r="V570" s="6">
        <f t="shared" si="72"/>
        <v>43.018000000000001</v>
      </c>
    </row>
    <row r="571" spans="1:22" x14ac:dyDescent="0.35">
      <c r="A571" s="6" t="s">
        <v>648</v>
      </c>
      <c r="B571" s="6" t="s">
        <v>642</v>
      </c>
      <c r="C571" s="6" t="s">
        <v>643</v>
      </c>
      <c r="D571" s="6">
        <f t="shared" si="69"/>
        <v>0.5</v>
      </c>
      <c r="E571" s="6" t="s">
        <v>19</v>
      </c>
      <c r="F571" s="6" t="str">
        <f>MID(A571,19,1)</f>
        <v>N</v>
      </c>
      <c r="G571" s="6">
        <v>-23.40472060536986</v>
      </c>
      <c r="H571" s="6">
        <v>-46.829586018270767</v>
      </c>
      <c r="I571" s="9">
        <v>167.69</v>
      </c>
      <c r="K571" s="6">
        <v>6.19</v>
      </c>
      <c r="L571" s="6">
        <v>20</v>
      </c>
      <c r="N571" s="1">
        <f t="shared" si="67"/>
        <v>0</v>
      </c>
      <c r="O571" s="6" t="s">
        <v>20</v>
      </c>
      <c r="Q571" s="6" t="s">
        <v>21</v>
      </c>
      <c r="R571" s="6" t="s">
        <v>21</v>
      </c>
      <c r="S571" s="6" t="s">
        <v>21</v>
      </c>
      <c r="T571" s="6" t="s">
        <v>21</v>
      </c>
      <c r="U571" s="6">
        <f t="shared" si="68"/>
        <v>33.538000000000004</v>
      </c>
      <c r="V571" s="6">
        <f t="shared" si="72"/>
        <v>33.538000000000004</v>
      </c>
    </row>
    <row r="572" spans="1:22" x14ac:dyDescent="0.35">
      <c r="A572" s="6" t="s">
        <v>649</v>
      </c>
      <c r="B572" s="6" t="s">
        <v>642</v>
      </c>
      <c r="C572" s="6" t="s">
        <v>643</v>
      </c>
      <c r="D572" s="6">
        <f t="shared" si="69"/>
        <v>0.5</v>
      </c>
      <c r="E572" s="6" t="s">
        <v>19</v>
      </c>
      <c r="F572" s="6" t="str">
        <f>MID(A572,19,1)</f>
        <v>N</v>
      </c>
      <c r="G572" s="6">
        <v>-23.405477821145698</v>
      </c>
      <c r="H572" s="6">
        <v>-46.82629633799354</v>
      </c>
      <c r="I572" s="9">
        <v>2042.01</v>
      </c>
      <c r="K572" s="6">
        <v>7.5</v>
      </c>
      <c r="L572" s="6">
        <v>0</v>
      </c>
      <c r="N572" s="1">
        <f t="shared" si="67"/>
        <v>0</v>
      </c>
      <c r="Q572" s="6" t="s">
        <v>21</v>
      </c>
      <c r="R572" s="6" t="s">
        <v>21</v>
      </c>
      <c r="S572" s="6" t="s">
        <v>21</v>
      </c>
      <c r="T572" s="6" t="s">
        <v>21</v>
      </c>
      <c r="U572" s="6">
        <f t="shared" si="68"/>
        <v>0</v>
      </c>
      <c r="V572" s="6">
        <f t="shared" si="72"/>
        <v>0</v>
      </c>
    </row>
    <row r="573" spans="1:22" x14ac:dyDescent="0.35">
      <c r="A573" s="6" t="s">
        <v>650</v>
      </c>
      <c r="B573" s="6" t="s">
        <v>642</v>
      </c>
      <c r="C573" s="6" t="s">
        <v>643</v>
      </c>
      <c r="D573" s="6">
        <f t="shared" si="69"/>
        <v>0.5</v>
      </c>
      <c r="E573" s="6" t="s">
        <v>19</v>
      </c>
      <c r="F573" s="6" t="str">
        <f>MID(A573,19,1)</f>
        <v>N</v>
      </c>
      <c r="G573" s="6">
        <v>-23.38143752379446</v>
      </c>
      <c r="H573" s="6">
        <v>-46.769973080747981</v>
      </c>
      <c r="I573" s="9">
        <v>5934.48</v>
      </c>
      <c r="K573" s="6">
        <v>4.76</v>
      </c>
      <c r="L573" s="6">
        <v>30</v>
      </c>
      <c r="N573" s="1">
        <f t="shared" si="67"/>
        <v>0</v>
      </c>
      <c r="O573" s="6" t="s">
        <v>185</v>
      </c>
      <c r="Q573" s="6" t="s">
        <v>21</v>
      </c>
      <c r="R573" s="6" t="s">
        <v>21</v>
      </c>
      <c r="S573" s="6" t="s">
        <v>21</v>
      </c>
      <c r="T573" s="6" t="s">
        <v>21</v>
      </c>
      <c r="U573" s="6">
        <f t="shared" si="68"/>
        <v>1780.3439999999998</v>
      </c>
      <c r="V573" s="6">
        <f t="shared" si="72"/>
        <v>1780.3439999999998</v>
      </c>
    </row>
    <row r="574" spans="1:22" hidden="1" x14ac:dyDescent="0.35">
      <c r="A574" s="6" t="s">
        <v>651</v>
      </c>
      <c r="B574" s="6" t="s">
        <v>642</v>
      </c>
      <c r="C574" s="6" t="s">
        <v>643</v>
      </c>
      <c r="D574" s="6">
        <f t="shared" si="69"/>
        <v>0.5</v>
      </c>
      <c r="E574" s="6" t="s">
        <v>19</v>
      </c>
      <c r="F574" s="6" t="str">
        <f>MID(A574,19,1)</f>
        <v>S</v>
      </c>
      <c r="G574" s="6">
        <v>-23.405292461764191</v>
      </c>
      <c r="H574" s="6">
        <v>-46.831292857949997</v>
      </c>
      <c r="I574" s="9">
        <v>5620.53</v>
      </c>
      <c r="K574" s="6">
        <v>12.47</v>
      </c>
      <c r="L574" s="6">
        <v>20</v>
      </c>
      <c r="N574" s="1">
        <f t="shared" si="67"/>
        <v>0</v>
      </c>
      <c r="O574" s="6" t="s">
        <v>20</v>
      </c>
      <c r="Q574" s="6" t="s">
        <v>21</v>
      </c>
      <c r="R574" s="6" t="s">
        <v>21</v>
      </c>
      <c r="S574" s="6" t="s">
        <v>21</v>
      </c>
      <c r="T574" s="6" t="s">
        <v>21</v>
      </c>
      <c r="U574" s="6">
        <f t="shared" si="68"/>
        <v>1124.106</v>
      </c>
      <c r="V574" s="6">
        <f t="shared" si="72"/>
        <v>1124.106</v>
      </c>
    </row>
    <row r="575" spans="1:22" hidden="1" x14ac:dyDescent="0.35">
      <c r="A575" s="6" t="s">
        <v>652</v>
      </c>
      <c r="B575" s="6" t="s">
        <v>642</v>
      </c>
      <c r="C575" s="6" t="s">
        <v>643</v>
      </c>
      <c r="D575" s="6">
        <f t="shared" si="69"/>
        <v>0.5</v>
      </c>
      <c r="E575" s="6" t="s">
        <v>23</v>
      </c>
      <c r="F575" s="6" t="str">
        <f>MID(A575,19,1)</f>
        <v>C</v>
      </c>
      <c r="G575" s="6">
        <v>-23.378036722460578</v>
      </c>
      <c r="H575" s="6">
        <v>-46.772663485420587</v>
      </c>
      <c r="I575" s="7">
        <v>7733.15</v>
      </c>
      <c r="J575" s="9">
        <f>I575/500</f>
        <v>15.466299999999999</v>
      </c>
      <c r="K575" s="6">
        <v>6.28</v>
      </c>
      <c r="L575" s="6">
        <v>30</v>
      </c>
      <c r="N575" s="1">
        <f t="shared" si="67"/>
        <v>0</v>
      </c>
      <c r="O575" s="6" t="s">
        <v>185</v>
      </c>
      <c r="Q575" s="6" t="s">
        <v>21</v>
      </c>
      <c r="R575" s="6" t="s">
        <v>21</v>
      </c>
      <c r="S575" s="6" t="s">
        <v>21</v>
      </c>
      <c r="T575" s="6" t="s">
        <v>21</v>
      </c>
      <c r="U575" s="6">
        <f t="shared" si="68"/>
        <v>2319.9449999999997</v>
      </c>
      <c r="V575" s="6">
        <f t="shared" si="72"/>
        <v>2319.9449999999997</v>
      </c>
    </row>
    <row r="576" spans="1:22" x14ac:dyDescent="0.35">
      <c r="A576" s="6" t="s">
        <v>653</v>
      </c>
      <c r="B576" s="6" t="s">
        <v>642</v>
      </c>
      <c r="C576" s="6" t="s">
        <v>643</v>
      </c>
      <c r="D576" s="6">
        <f t="shared" si="69"/>
        <v>0.5</v>
      </c>
      <c r="E576" s="6" t="s">
        <v>19</v>
      </c>
      <c r="F576" s="6" t="str">
        <f>MID(A576,19,1)</f>
        <v>N</v>
      </c>
      <c r="G576" s="6">
        <v>-23.38132736087157</v>
      </c>
      <c r="H576" s="6">
        <v>-46.769683923904509</v>
      </c>
      <c r="I576" s="9">
        <v>1754.25</v>
      </c>
      <c r="K576" s="6">
        <v>3.31</v>
      </c>
      <c r="L576" s="6">
        <v>30</v>
      </c>
      <c r="N576" s="1">
        <f t="shared" si="67"/>
        <v>0</v>
      </c>
      <c r="O576" s="6" t="s">
        <v>20</v>
      </c>
      <c r="Q576" s="6" t="s">
        <v>21</v>
      </c>
      <c r="R576" s="6" t="s">
        <v>21</v>
      </c>
      <c r="S576" s="6" t="s">
        <v>21</v>
      </c>
      <c r="T576" s="6" t="s">
        <v>21</v>
      </c>
      <c r="U576" s="6">
        <f t="shared" si="68"/>
        <v>526.27499999999998</v>
      </c>
      <c r="V576" s="6">
        <f t="shared" si="72"/>
        <v>526.27499999999998</v>
      </c>
    </row>
    <row r="577" spans="1:22" x14ac:dyDescent="0.35">
      <c r="A577" s="6" t="s">
        <v>654</v>
      </c>
      <c r="B577" s="6" t="s">
        <v>642</v>
      </c>
      <c r="C577" s="6" t="s">
        <v>643</v>
      </c>
      <c r="D577" s="6">
        <f t="shared" si="69"/>
        <v>0.5</v>
      </c>
      <c r="E577" s="6" t="s">
        <v>19</v>
      </c>
      <c r="F577" s="6" t="str">
        <f>MID(A577,19,1)</f>
        <v>N</v>
      </c>
      <c r="G577" s="6">
        <v>-23.404638918540261</v>
      </c>
      <c r="H577" s="6">
        <v>-46.83215457008545</v>
      </c>
      <c r="I577" s="9">
        <v>1395.07</v>
      </c>
      <c r="K577" s="6">
        <v>7.12</v>
      </c>
      <c r="L577" s="6">
        <v>20</v>
      </c>
      <c r="N577" s="1">
        <f t="shared" si="67"/>
        <v>0</v>
      </c>
      <c r="O577" s="6" t="s">
        <v>20</v>
      </c>
      <c r="Q577" s="6" t="s">
        <v>21</v>
      </c>
      <c r="R577" s="6" t="s">
        <v>21</v>
      </c>
      <c r="S577" s="6" t="s">
        <v>21</v>
      </c>
      <c r="T577" s="6" t="s">
        <v>21</v>
      </c>
      <c r="U577" s="6">
        <f t="shared" si="68"/>
        <v>279.01400000000001</v>
      </c>
      <c r="V577" s="6">
        <f t="shared" si="72"/>
        <v>279.01400000000001</v>
      </c>
    </row>
    <row r="578" spans="1:22" hidden="1" x14ac:dyDescent="0.35">
      <c r="A578" s="6" t="s">
        <v>655</v>
      </c>
      <c r="B578" s="6" t="s">
        <v>642</v>
      </c>
      <c r="C578" s="6" t="s">
        <v>643</v>
      </c>
      <c r="D578" s="6">
        <f t="shared" si="69"/>
        <v>0.5</v>
      </c>
      <c r="E578" s="6" t="s">
        <v>19</v>
      </c>
      <c r="F578" s="6" t="str">
        <f>MID(A578,19,1)</f>
        <v>S</v>
      </c>
      <c r="G578" s="6">
        <v>-23.381598526098959</v>
      </c>
      <c r="H578" s="6">
        <v>-46.770266878937072</v>
      </c>
      <c r="I578" s="9">
        <v>1598.12</v>
      </c>
      <c r="K578" s="6">
        <v>12.91</v>
      </c>
      <c r="L578" s="6">
        <v>50</v>
      </c>
      <c r="N578" s="1">
        <f t="shared" ref="N578:N641" si="73">IF(OR(R578="Sim",S578="Sim",T578="Sim"),(L578/100)*I578,0)</f>
        <v>0</v>
      </c>
      <c r="O578" s="6" t="s">
        <v>20</v>
      </c>
      <c r="Q578" s="6" t="s">
        <v>21</v>
      </c>
      <c r="R578" s="6" t="s">
        <v>21</v>
      </c>
      <c r="S578" s="6" t="s">
        <v>21</v>
      </c>
      <c r="T578" s="6" t="s">
        <v>21</v>
      </c>
      <c r="U578" s="6">
        <f t="shared" si="68"/>
        <v>799.06</v>
      </c>
      <c r="V578" s="6">
        <f t="shared" si="72"/>
        <v>799.06</v>
      </c>
    </row>
    <row r="579" spans="1:22" hidden="1" x14ac:dyDescent="0.35">
      <c r="A579" s="6" t="s">
        <v>656</v>
      </c>
      <c r="B579" s="6" t="s">
        <v>642</v>
      </c>
      <c r="C579" s="6" t="s">
        <v>643</v>
      </c>
      <c r="D579" s="6">
        <f t="shared" si="69"/>
        <v>0.5</v>
      </c>
      <c r="E579" s="6" t="s">
        <v>19</v>
      </c>
      <c r="F579" s="6" t="str">
        <f>MID(A579,19,1)</f>
        <v>S</v>
      </c>
      <c r="G579" s="6">
        <v>-23.405820325308561</v>
      </c>
      <c r="H579" s="6">
        <v>-46.826255653608833</v>
      </c>
      <c r="I579" s="9">
        <v>1832.98</v>
      </c>
      <c r="K579" s="6">
        <v>16.78</v>
      </c>
      <c r="L579" s="6">
        <v>0</v>
      </c>
      <c r="N579" s="1">
        <f t="shared" si="73"/>
        <v>0</v>
      </c>
      <c r="Q579" s="6" t="s">
        <v>21</v>
      </c>
      <c r="R579" s="6" t="s">
        <v>21</v>
      </c>
      <c r="S579" s="6" t="s">
        <v>21</v>
      </c>
      <c r="T579" s="6" t="s">
        <v>21</v>
      </c>
      <c r="U579" s="6">
        <f t="shared" ref="U579:U642" si="74">IF(N579=0,(I579*(L579/100)),0)</f>
        <v>0</v>
      </c>
      <c r="V579" s="6">
        <f t="shared" si="72"/>
        <v>0</v>
      </c>
    </row>
    <row r="580" spans="1:22" hidden="1" x14ac:dyDescent="0.35">
      <c r="A580" s="6" t="s">
        <v>657</v>
      </c>
      <c r="B580" s="6" t="s">
        <v>642</v>
      </c>
      <c r="C580" s="6" t="s">
        <v>643</v>
      </c>
      <c r="D580" s="6">
        <f t="shared" si="69"/>
        <v>0.5</v>
      </c>
      <c r="E580" s="6" t="s">
        <v>19</v>
      </c>
      <c r="F580" s="6" t="str">
        <f>MID(A580,19,1)</f>
        <v>S</v>
      </c>
      <c r="G580" s="6">
        <v>-23.405433708179451</v>
      </c>
      <c r="H580" s="6">
        <v>-46.828408826022631</v>
      </c>
      <c r="I580" s="9">
        <v>386.2</v>
      </c>
      <c r="K580" s="6">
        <v>9.14</v>
      </c>
      <c r="L580" s="6">
        <v>0</v>
      </c>
      <c r="N580" s="1">
        <f t="shared" si="73"/>
        <v>0</v>
      </c>
      <c r="Q580" s="6" t="s">
        <v>21</v>
      </c>
      <c r="R580" s="6" t="s">
        <v>21</v>
      </c>
      <c r="S580" s="6" t="s">
        <v>21</v>
      </c>
      <c r="T580" s="6" t="s">
        <v>21</v>
      </c>
      <c r="U580" s="6">
        <f t="shared" si="74"/>
        <v>0</v>
      </c>
      <c r="V580" s="6">
        <f t="shared" si="72"/>
        <v>0</v>
      </c>
    </row>
    <row r="581" spans="1:22" hidden="1" x14ac:dyDescent="0.35">
      <c r="A581" s="6" t="s">
        <v>658</v>
      </c>
      <c r="B581" s="6" t="s">
        <v>642</v>
      </c>
      <c r="C581" s="6" t="s">
        <v>643</v>
      </c>
      <c r="D581" s="6">
        <f t="shared" si="69"/>
        <v>0.5</v>
      </c>
      <c r="E581" s="6" t="s">
        <v>19</v>
      </c>
      <c r="F581" s="6" t="str">
        <f>MID(A581,19,1)</f>
        <v>S</v>
      </c>
      <c r="G581" s="6">
        <v>-23.405324796764191</v>
      </c>
      <c r="H581" s="6">
        <v>-46.832036677988597</v>
      </c>
      <c r="I581" s="9">
        <v>1644.26</v>
      </c>
      <c r="K581" s="6">
        <v>16.64</v>
      </c>
      <c r="L581" s="6">
        <v>20</v>
      </c>
      <c r="N581" s="1">
        <f t="shared" si="73"/>
        <v>0</v>
      </c>
      <c r="O581" s="6" t="s">
        <v>20</v>
      </c>
      <c r="Q581" s="6" t="s">
        <v>21</v>
      </c>
      <c r="R581" s="6" t="s">
        <v>21</v>
      </c>
      <c r="S581" s="6" t="s">
        <v>21</v>
      </c>
      <c r="T581" s="6" t="s">
        <v>21</v>
      </c>
      <c r="U581" s="6">
        <f t="shared" si="74"/>
        <v>328.85200000000003</v>
      </c>
      <c r="V581" s="6">
        <f t="shared" si="72"/>
        <v>328.85200000000003</v>
      </c>
    </row>
    <row r="582" spans="1:22" hidden="1" x14ac:dyDescent="0.35">
      <c r="A582" s="6" t="s">
        <v>659</v>
      </c>
      <c r="B582" s="6" t="s">
        <v>642</v>
      </c>
      <c r="C582" s="6" t="s">
        <v>643</v>
      </c>
      <c r="D582" s="6">
        <f t="shared" si="69"/>
        <v>0.5</v>
      </c>
      <c r="E582" s="6" t="s">
        <v>19</v>
      </c>
      <c r="F582" s="6" t="str">
        <f>MID(A582,19,1)</f>
        <v>S</v>
      </c>
      <c r="G582" s="6">
        <v>-23.40557977617674</v>
      </c>
      <c r="H582" s="6">
        <v>-46.828454592332477</v>
      </c>
      <c r="I582" s="9">
        <v>135.79</v>
      </c>
      <c r="K582" s="6">
        <v>13.58</v>
      </c>
      <c r="L582" s="6">
        <v>0</v>
      </c>
      <c r="N582" s="1">
        <f t="shared" si="73"/>
        <v>0</v>
      </c>
      <c r="Q582" s="6" t="s">
        <v>21</v>
      </c>
      <c r="R582" s="6" t="s">
        <v>21</v>
      </c>
      <c r="S582" s="6" t="s">
        <v>21</v>
      </c>
      <c r="T582" s="6" t="s">
        <v>21</v>
      </c>
      <c r="U582" s="6">
        <f t="shared" si="74"/>
        <v>0</v>
      </c>
      <c r="V582" s="6">
        <f t="shared" si="72"/>
        <v>0</v>
      </c>
    </row>
    <row r="583" spans="1:22" hidden="1" x14ac:dyDescent="0.35">
      <c r="A583" s="6" t="s">
        <v>660</v>
      </c>
      <c r="B583" s="6" t="s">
        <v>642</v>
      </c>
      <c r="C583" s="6" t="s">
        <v>643</v>
      </c>
      <c r="D583" s="6">
        <f t="shared" si="69"/>
        <v>0.5</v>
      </c>
      <c r="E583" s="6" t="s">
        <v>19</v>
      </c>
      <c r="F583" s="6" t="str">
        <f>MID(A583,19,1)</f>
        <v>S</v>
      </c>
      <c r="G583" s="6">
        <v>-23.405388574624929</v>
      </c>
      <c r="H583" s="6">
        <v>-46.829059069337511</v>
      </c>
      <c r="I583" s="9">
        <v>591.99</v>
      </c>
      <c r="K583" s="6">
        <v>5.52</v>
      </c>
      <c r="L583" s="6">
        <v>20</v>
      </c>
      <c r="N583" s="1">
        <f t="shared" si="73"/>
        <v>0</v>
      </c>
      <c r="O583" s="6" t="s">
        <v>20</v>
      </c>
      <c r="Q583" s="6" t="s">
        <v>21</v>
      </c>
      <c r="R583" s="6" t="s">
        <v>21</v>
      </c>
      <c r="S583" s="6" t="s">
        <v>21</v>
      </c>
      <c r="T583" s="6" t="s">
        <v>21</v>
      </c>
      <c r="U583" s="6">
        <f t="shared" si="74"/>
        <v>118.39800000000001</v>
      </c>
      <c r="V583" s="6">
        <f t="shared" si="72"/>
        <v>118.39800000000001</v>
      </c>
    </row>
    <row r="584" spans="1:22" hidden="1" x14ac:dyDescent="0.35">
      <c r="A584" s="6" t="s">
        <v>661</v>
      </c>
      <c r="B584" s="6" t="s">
        <v>642</v>
      </c>
      <c r="C584" s="6" t="s">
        <v>643</v>
      </c>
      <c r="D584" s="6">
        <f t="shared" si="69"/>
        <v>0.5</v>
      </c>
      <c r="E584" s="6" t="s">
        <v>19</v>
      </c>
      <c r="F584" s="6" t="str">
        <f>MID(A584,19,1)</f>
        <v>S</v>
      </c>
      <c r="G584" s="6">
        <v>-23.378305999160929</v>
      </c>
      <c r="H584" s="6">
        <v>-46.772853061830212</v>
      </c>
      <c r="I584" s="9">
        <v>2059.11</v>
      </c>
      <c r="K584" s="6">
        <v>9.85</v>
      </c>
      <c r="L584" s="6">
        <v>60</v>
      </c>
      <c r="N584" s="1">
        <f t="shared" si="73"/>
        <v>0</v>
      </c>
      <c r="O584" s="6" t="s">
        <v>20</v>
      </c>
      <c r="Q584" s="6" t="s">
        <v>21</v>
      </c>
      <c r="R584" s="6" t="s">
        <v>21</v>
      </c>
      <c r="S584" s="6" t="s">
        <v>21</v>
      </c>
      <c r="T584" s="6" t="s">
        <v>21</v>
      </c>
      <c r="U584" s="6">
        <f t="shared" si="74"/>
        <v>1235.4660000000001</v>
      </c>
      <c r="V584" s="6">
        <f t="shared" si="72"/>
        <v>1235.4660000000001</v>
      </c>
    </row>
    <row r="585" spans="1:22" x14ac:dyDescent="0.35">
      <c r="A585" s="6" t="s">
        <v>662</v>
      </c>
      <c r="B585" s="6" t="s">
        <v>663</v>
      </c>
      <c r="C585" s="6" t="s">
        <v>664</v>
      </c>
      <c r="D585" s="6">
        <f t="shared" si="69"/>
        <v>0.5</v>
      </c>
      <c r="E585" s="6" t="s">
        <v>19</v>
      </c>
      <c r="F585" s="6" t="str">
        <f>MID(A585,19,1)</f>
        <v>N</v>
      </c>
      <c r="G585" s="6">
        <v>-23.371955633516119</v>
      </c>
      <c r="H585" s="6">
        <v>-46.778559699597679</v>
      </c>
      <c r="I585" s="9">
        <v>1126.6300000000001</v>
      </c>
      <c r="K585" s="6">
        <v>3.29</v>
      </c>
      <c r="L585" s="6">
        <v>30</v>
      </c>
      <c r="N585" s="1">
        <f t="shared" si="73"/>
        <v>0</v>
      </c>
      <c r="O585" s="6" t="s">
        <v>20</v>
      </c>
      <c r="Q585" s="6" t="s">
        <v>21</v>
      </c>
      <c r="R585" s="6" t="s">
        <v>21</v>
      </c>
      <c r="S585" s="6" t="s">
        <v>21</v>
      </c>
      <c r="T585" s="6" t="s">
        <v>21</v>
      </c>
      <c r="U585" s="6">
        <f t="shared" si="74"/>
        <v>337.98900000000003</v>
      </c>
      <c r="V585" s="6">
        <f t="shared" si="72"/>
        <v>337.98900000000003</v>
      </c>
    </row>
    <row r="586" spans="1:22" hidden="1" x14ac:dyDescent="0.35">
      <c r="A586" s="6" t="s">
        <v>665</v>
      </c>
      <c r="B586" s="6" t="s">
        <v>663</v>
      </c>
      <c r="C586" s="6" t="s">
        <v>664</v>
      </c>
      <c r="D586" s="6">
        <f t="shared" si="69"/>
        <v>0.5</v>
      </c>
      <c r="E586" s="6" t="s">
        <v>19</v>
      </c>
      <c r="F586" s="6" t="str">
        <f>MID(A586,19,1)</f>
        <v>S</v>
      </c>
      <c r="G586" s="6">
        <v>-23.40203430383599</v>
      </c>
      <c r="H586" s="6">
        <v>-46.83676781051922</v>
      </c>
      <c r="I586" s="9">
        <v>851.34</v>
      </c>
      <c r="K586" s="6">
        <v>9.39</v>
      </c>
      <c r="L586" s="6">
        <v>20</v>
      </c>
      <c r="N586" s="1">
        <f t="shared" si="73"/>
        <v>0</v>
      </c>
      <c r="O586" s="6" t="s">
        <v>20</v>
      </c>
      <c r="Q586" s="6" t="s">
        <v>21</v>
      </c>
      <c r="R586" s="6" t="s">
        <v>21</v>
      </c>
      <c r="S586" s="6" t="s">
        <v>21</v>
      </c>
      <c r="T586" s="6" t="s">
        <v>21</v>
      </c>
      <c r="U586" s="6">
        <f t="shared" si="74"/>
        <v>170.26800000000003</v>
      </c>
      <c r="V586" s="6">
        <f t="shared" si="72"/>
        <v>170.26800000000003</v>
      </c>
    </row>
    <row r="587" spans="1:22" x14ac:dyDescent="0.35">
      <c r="A587" s="8" t="s">
        <v>666</v>
      </c>
      <c r="B587" s="8" t="s">
        <v>663</v>
      </c>
      <c r="C587" s="8" t="s">
        <v>664</v>
      </c>
      <c r="D587" s="6">
        <f t="shared" si="69"/>
        <v>0.5</v>
      </c>
      <c r="E587" s="8" t="s">
        <v>19</v>
      </c>
      <c r="F587" s="6" t="str">
        <f>MID(A587,19,1)</f>
        <v>N</v>
      </c>
      <c r="G587" s="8">
        <v>-23.398864138161819</v>
      </c>
      <c r="H587" s="8">
        <v>-46.836249000946452</v>
      </c>
      <c r="I587" s="7">
        <v>2024.53</v>
      </c>
      <c r="J587" s="7"/>
      <c r="K587" s="8">
        <v>6.37</v>
      </c>
      <c r="L587" s="8">
        <v>50</v>
      </c>
      <c r="M587" s="8"/>
      <c r="N587" s="11">
        <f t="shared" si="73"/>
        <v>1012.265</v>
      </c>
      <c r="O587" s="8" t="s">
        <v>25</v>
      </c>
      <c r="P587" s="8"/>
      <c r="Q587" s="8" t="s">
        <v>21</v>
      </c>
      <c r="R587" s="8" t="s">
        <v>21</v>
      </c>
      <c r="S587" s="8" t="s">
        <v>21</v>
      </c>
      <c r="T587" s="8" t="s">
        <v>26</v>
      </c>
      <c r="U587" s="6">
        <f t="shared" si="74"/>
        <v>0</v>
      </c>
    </row>
    <row r="588" spans="1:22" hidden="1" x14ac:dyDescent="0.35">
      <c r="A588" s="6" t="s">
        <v>667</v>
      </c>
      <c r="B588" s="6" t="s">
        <v>663</v>
      </c>
      <c r="C588" s="6" t="s">
        <v>664</v>
      </c>
      <c r="D588" s="6">
        <f t="shared" si="69"/>
        <v>0.5</v>
      </c>
      <c r="E588" s="6" t="s">
        <v>19</v>
      </c>
      <c r="F588" s="6" t="str">
        <f>MID(A588,19,1)</f>
        <v>S</v>
      </c>
      <c r="G588" s="6">
        <v>-23.398891442256051</v>
      </c>
      <c r="H588" s="6">
        <v>-46.836573240737152</v>
      </c>
      <c r="I588" s="9">
        <v>2118.36</v>
      </c>
      <c r="K588" s="6">
        <v>9.44</v>
      </c>
      <c r="L588" s="6">
        <v>0</v>
      </c>
      <c r="N588" s="1">
        <f t="shared" si="73"/>
        <v>0</v>
      </c>
      <c r="Q588" s="6" t="s">
        <v>21</v>
      </c>
      <c r="R588" s="6" t="s">
        <v>21</v>
      </c>
      <c r="S588" s="6" t="s">
        <v>21</v>
      </c>
      <c r="T588" s="6" t="s">
        <v>21</v>
      </c>
      <c r="U588" s="6">
        <f t="shared" si="74"/>
        <v>0</v>
      </c>
      <c r="V588" s="6">
        <f t="shared" ref="V588:V600" si="75">(I588*(L588/100))</f>
        <v>0</v>
      </c>
    </row>
    <row r="589" spans="1:22" hidden="1" x14ac:dyDescent="0.35">
      <c r="A589" s="6" t="s">
        <v>668</v>
      </c>
      <c r="B589" s="6" t="s">
        <v>663</v>
      </c>
      <c r="C589" s="6" t="s">
        <v>664</v>
      </c>
      <c r="D589" s="6">
        <f t="shared" si="69"/>
        <v>0.5</v>
      </c>
      <c r="E589" s="6" t="s">
        <v>23</v>
      </c>
      <c r="F589" s="6" t="str">
        <f>MID(A589,19,1)</f>
        <v>C</v>
      </c>
      <c r="G589" s="6">
        <v>-23.36997767832986</v>
      </c>
      <c r="H589" s="6">
        <v>-46.780125273562341</v>
      </c>
      <c r="I589" s="7">
        <v>3234.58</v>
      </c>
      <c r="J589" s="9">
        <f>I589/500</f>
        <v>6.4691599999999996</v>
      </c>
      <c r="K589" s="6">
        <v>4.78</v>
      </c>
      <c r="L589" s="6">
        <v>60</v>
      </c>
      <c r="N589" s="1">
        <f t="shared" si="73"/>
        <v>0</v>
      </c>
      <c r="O589" s="6" t="s">
        <v>185</v>
      </c>
      <c r="Q589" s="6" t="s">
        <v>21</v>
      </c>
      <c r="R589" s="6" t="s">
        <v>21</v>
      </c>
      <c r="S589" s="6" t="s">
        <v>21</v>
      </c>
      <c r="T589" s="6" t="s">
        <v>21</v>
      </c>
      <c r="U589" s="6">
        <f t="shared" si="74"/>
        <v>1940.7479999999998</v>
      </c>
      <c r="V589" s="6">
        <f t="shared" si="75"/>
        <v>1940.7479999999998</v>
      </c>
    </row>
    <row r="590" spans="1:22" hidden="1" x14ac:dyDescent="0.35">
      <c r="A590" s="6" t="s">
        <v>669</v>
      </c>
      <c r="B590" s="6" t="s">
        <v>663</v>
      </c>
      <c r="C590" s="6" t="s">
        <v>664</v>
      </c>
      <c r="D590" s="6">
        <f t="shared" ref="D590:D653" si="76">C590-B590</f>
        <v>0.5</v>
      </c>
      <c r="E590" s="6" t="s">
        <v>19</v>
      </c>
      <c r="F590" s="6" t="str">
        <f>MID(A590,19,1)</f>
        <v>S</v>
      </c>
      <c r="G590" s="6">
        <v>-23.370099366109489</v>
      </c>
      <c r="H590" s="6">
        <v>-46.780419583212357</v>
      </c>
      <c r="I590" s="9">
        <v>839.8</v>
      </c>
      <c r="K590" s="6">
        <v>5.36</v>
      </c>
      <c r="L590" s="6">
        <v>0</v>
      </c>
      <c r="N590" s="1">
        <f t="shared" si="73"/>
        <v>0</v>
      </c>
      <c r="Q590" s="6" t="s">
        <v>21</v>
      </c>
      <c r="R590" s="6" t="s">
        <v>21</v>
      </c>
      <c r="S590" s="6" t="s">
        <v>21</v>
      </c>
      <c r="T590" s="6" t="s">
        <v>21</v>
      </c>
      <c r="U590" s="6">
        <f t="shared" si="74"/>
        <v>0</v>
      </c>
      <c r="V590" s="6">
        <f t="shared" si="75"/>
        <v>0</v>
      </c>
    </row>
    <row r="591" spans="1:22" x14ac:dyDescent="0.35">
      <c r="A591" s="6" t="s">
        <v>670</v>
      </c>
      <c r="B591" s="6" t="s">
        <v>663</v>
      </c>
      <c r="C591" s="6" t="s">
        <v>664</v>
      </c>
      <c r="D591" s="6">
        <f t="shared" si="76"/>
        <v>0.5</v>
      </c>
      <c r="E591" s="6" t="s">
        <v>19</v>
      </c>
      <c r="F591" s="6" t="str">
        <f>MID(A591,19,1)</f>
        <v>N</v>
      </c>
      <c r="G591" s="6">
        <v>-23.36982885436597</v>
      </c>
      <c r="H591" s="6">
        <v>-46.779848556939001</v>
      </c>
      <c r="I591" s="9">
        <v>753.53</v>
      </c>
      <c r="K591" s="6">
        <v>8.5</v>
      </c>
      <c r="L591" s="6">
        <v>30</v>
      </c>
      <c r="N591" s="1">
        <f t="shared" si="73"/>
        <v>0</v>
      </c>
      <c r="O591" s="6" t="s">
        <v>20</v>
      </c>
      <c r="Q591" s="6" t="s">
        <v>21</v>
      </c>
      <c r="R591" s="6" t="s">
        <v>21</v>
      </c>
      <c r="S591" s="6" t="s">
        <v>21</v>
      </c>
      <c r="T591" s="6" t="s">
        <v>21</v>
      </c>
      <c r="U591" s="6">
        <f t="shared" si="74"/>
        <v>226.059</v>
      </c>
      <c r="V591" s="6">
        <f t="shared" si="75"/>
        <v>226.059</v>
      </c>
    </row>
    <row r="592" spans="1:22" hidden="1" x14ac:dyDescent="0.35">
      <c r="A592" s="6" t="s">
        <v>671</v>
      </c>
      <c r="B592" s="6" t="s">
        <v>663</v>
      </c>
      <c r="C592" s="6" t="s">
        <v>664</v>
      </c>
      <c r="D592" s="6">
        <f t="shared" si="76"/>
        <v>0.5</v>
      </c>
      <c r="E592" s="6" t="s">
        <v>23</v>
      </c>
      <c r="F592" s="6" t="str">
        <f>MID(A592,19,1)</f>
        <v>C</v>
      </c>
      <c r="G592" s="6">
        <v>-23.372381147250671</v>
      </c>
      <c r="H592" s="6">
        <v>-46.77904504488292</v>
      </c>
      <c r="I592" s="7">
        <v>1224.51</v>
      </c>
      <c r="J592" s="9">
        <f>I592/500</f>
        <v>2.44902</v>
      </c>
      <c r="K592" s="6">
        <v>13.38</v>
      </c>
      <c r="L592" s="6">
        <v>0</v>
      </c>
      <c r="N592" s="1">
        <f t="shared" si="73"/>
        <v>0</v>
      </c>
      <c r="Q592" s="6" t="s">
        <v>21</v>
      </c>
      <c r="R592" s="6" t="s">
        <v>21</v>
      </c>
      <c r="S592" s="6" t="s">
        <v>21</v>
      </c>
      <c r="T592" s="6" t="s">
        <v>21</v>
      </c>
      <c r="U592" s="6">
        <f t="shared" si="74"/>
        <v>0</v>
      </c>
      <c r="V592" s="6">
        <f t="shared" si="75"/>
        <v>0</v>
      </c>
    </row>
    <row r="593" spans="1:22" hidden="1" x14ac:dyDescent="0.35">
      <c r="A593" s="6" t="s">
        <v>672</v>
      </c>
      <c r="B593" s="6" t="s">
        <v>663</v>
      </c>
      <c r="C593" s="6" t="s">
        <v>664</v>
      </c>
      <c r="D593" s="6">
        <f t="shared" si="76"/>
        <v>0.5</v>
      </c>
      <c r="E593" s="6" t="s">
        <v>19</v>
      </c>
      <c r="F593" s="6" t="str">
        <f>MID(A593,19,1)</f>
        <v>S</v>
      </c>
      <c r="G593" s="6">
        <v>-23.40395522215055</v>
      </c>
      <c r="H593" s="6">
        <v>-46.835173978008541</v>
      </c>
      <c r="I593" s="9">
        <v>1381.58</v>
      </c>
      <c r="K593" s="6">
        <v>7.02</v>
      </c>
      <c r="L593" s="6">
        <v>20</v>
      </c>
      <c r="N593" s="1">
        <f t="shared" si="73"/>
        <v>0</v>
      </c>
      <c r="O593" s="6" t="s">
        <v>20</v>
      </c>
      <c r="Q593" s="6" t="s">
        <v>21</v>
      </c>
      <c r="R593" s="6" t="s">
        <v>21</v>
      </c>
      <c r="S593" s="6" t="s">
        <v>21</v>
      </c>
      <c r="T593" s="6" t="s">
        <v>21</v>
      </c>
      <c r="U593" s="6">
        <f t="shared" si="74"/>
        <v>276.31599999999997</v>
      </c>
      <c r="V593" s="6">
        <f t="shared" si="75"/>
        <v>276.31599999999997</v>
      </c>
    </row>
    <row r="594" spans="1:22" x14ac:dyDescent="0.35">
      <c r="A594" s="6" t="s">
        <v>673</v>
      </c>
      <c r="B594" s="6" t="s">
        <v>663</v>
      </c>
      <c r="C594" s="6" t="s">
        <v>664</v>
      </c>
      <c r="D594" s="6">
        <f t="shared" si="76"/>
        <v>0.5</v>
      </c>
      <c r="E594" s="6" t="s">
        <v>19</v>
      </c>
      <c r="F594" s="6" t="str">
        <f>MID(A594,19,1)</f>
        <v>N</v>
      </c>
      <c r="G594" s="6">
        <v>-23.401876674731589</v>
      </c>
      <c r="H594" s="6">
        <v>-46.836548002367962</v>
      </c>
      <c r="I594" s="9">
        <v>827.62</v>
      </c>
      <c r="K594" s="6">
        <v>6.93</v>
      </c>
      <c r="L594" s="6">
        <v>20</v>
      </c>
      <c r="N594" s="1">
        <f t="shared" si="73"/>
        <v>0</v>
      </c>
      <c r="O594" s="6" t="s">
        <v>20</v>
      </c>
      <c r="Q594" s="6" t="s">
        <v>21</v>
      </c>
      <c r="R594" s="6" t="s">
        <v>21</v>
      </c>
      <c r="S594" s="6" t="s">
        <v>21</v>
      </c>
      <c r="T594" s="6" t="s">
        <v>21</v>
      </c>
      <c r="U594" s="6">
        <f t="shared" si="74"/>
        <v>165.524</v>
      </c>
      <c r="V594" s="6">
        <f t="shared" si="75"/>
        <v>165.524</v>
      </c>
    </row>
    <row r="595" spans="1:22" x14ac:dyDescent="0.35">
      <c r="A595" s="6" t="s">
        <v>674</v>
      </c>
      <c r="B595" s="6" t="s">
        <v>663</v>
      </c>
      <c r="C595" s="6" t="s">
        <v>664</v>
      </c>
      <c r="D595" s="6">
        <f t="shared" si="76"/>
        <v>0.5</v>
      </c>
      <c r="E595" s="6" t="s">
        <v>19</v>
      </c>
      <c r="F595" s="6" t="str">
        <f>MID(A595,19,1)</f>
        <v>N</v>
      </c>
      <c r="G595" s="6">
        <v>-23.403785906609311</v>
      </c>
      <c r="H595" s="6">
        <v>-46.834977981034953</v>
      </c>
      <c r="I595" s="9">
        <v>1242.44</v>
      </c>
      <c r="K595" s="6">
        <v>5.54</v>
      </c>
      <c r="L595" s="6">
        <v>20</v>
      </c>
      <c r="N595" s="1">
        <f t="shared" si="73"/>
        <v>0</v>
      </c>
      <c r="O595" s="6" t="s">
        <v>20</v>
      </c>
      <c r="Q595" s="6" t="s">
        <v>21</v>
      </c>
      <c r="R595" s="6" t="s">
        <v>21</v>
      </c>
      <c r="S595" s="6" t="s">
        <v>21</v>
      </c>
      <c r="T595" s="6" t="s">
        <v>21</v>
      </c>
      <c r="U595" s="6">
        <f t="shared" si="74"/>
        <v>248.48800000000003</v>
      </c>
      <c r="V595" s="6">
        <f t="shared" si="75"/>
        <v>248.48800000000003</v>
      </c>
    </row>
    <row r="596" spans="1:22" hidden="1" x14ac:dyDescent="0.35">
      <c r="A596" s="6" t="s">
        <v>675</v>
      </c>
      <c r="B596" s="6" t="s">
        <v>663</v>
      </c>
      <c r="C596" s="6" t="s">
        <v>664</v>
      </c>
      <c r="D596" s="6">
        <f t="shared" si="76"/>
        <v>0.5</v>
      </c>
      <c r="E596" s="6" t="s">
        <v>23</v>
      </c>
      <c r="F596" s="6" t="str">
        <f>MID(A596,19,1)</f>
        <v>C</v>
      </c>
      <c r="G596" s="6">
        <v>-23.372105133402808</v>
      </c>
      <c r="H596" s="6">
        <v>-46.778850503551787</v>
      </c>
      <c r="I596" s="7">
        <v>4373.8</v>
      </c>
      <c r="J596" s="9">
        <f t="shared" ref="J596:J597" si="77">I596/500</f>
        <v>8.7476000000000003</v>
      </c>
      <c r="K596" s="6">
        <v>5.77</v>
      </c>
      <c r="L596" s="6">
        <v>60</v>
      </c>
      <c r="N596" s="1">
        <f t="shared" si="73"/>
        <v>0</v>
      </c>
      <c r="O596" s="6" t="s">
        <v>185</v>
      </c>
      <c r="Q596" s="6" t="s">
        <v>21</v>
      </c>
      <c r="R596" s="6" t="s">
        <v>21</v>
      </c>
      <c r="S596" s="6" t="s">
        <v>21</v>
      </c>
      <c r="T596" s="6" t="s">
        <v>21</v>
      </c>
      <c r="U596" s="6">
        <f t="shared" si="74"/>
        <v>2624.28</v>
      </c>
      <c r="V596" s="6">
        <f t="shared" si="75"/>
        <v>2624.28</v>
      </c>
    </row>
    <row r="597" spans="1:22" hidden="1" x14ac:dyDescent="0.35">
      <c r="A597" s="6" t="s">
        <v>676</v>
      </c>
      <c r="B597" s="6" t="s">
        <v>663</v>
      </c>
      <c r="C597" s="6" t="s">
        <v>664</v>
      </c>
      <c r="D597" s="6">
        <f t="shared" si="76"/>
        <v>0.5</v>
      </c>
      <c r="E597" s="6" t="s">
        <v>23</v>
      </c>
      <c r="F597" s="6" t="str">
        <f>MID(A597,19,1)</f>
        <v>C</v>
      </c>
      <c r="G597" s="6">
        <v>-23.375012531261881</v>
      </c>
      <c r="H597" s="6">
        <v>-46.776310720051008</v>
      </c>
      <c r="I597" s="7">
        <v>7808.08</v>
      </c>
      <c r="J597" s="9">
        <f t="shared" si="77"/>
        <v>15.616160000000001</v>
      </c>
      <c r="K597" s="6">
        <v>6.04</v>
      </c>
      <c r="L597" s="6">
        <v>30</v>
      </c>
      <c r="N597" s="1">
        <f t="shared" si="73"/>
        <v>0</v>
      </c>
      <c r="O597" s="6" t="s">
        <v>185</v>
      </c>
      <c r="Q597" s="6" t="s">
        <v>21</v>
      </c>
      <c r="R597" s="6" t="s">
        <v>21</v>
      </c>
      <c r="S597" s="6" t="s">
        <v>21</v>
      </c>
      <c r="T597" s="6" t="s">
        <v>21</v>
      </c>
      <c r="U597" s="6">
        <f t="shared" si="74"/>
        <v>2342.424</v>
      </c>
      <c r="V597" s="6">
        <f t="shared" si="75"/>
        <v>2342.424</v>
      </c>
    </row>
    <row r="598" spans="1:22" hidden="1" x14ac:dyDescent="0.35">
      <c r="A598" s="6" t="s">
        <v>677</v>
      </c>
      <c r="B598" s="6" t="s">
        <v>663</v>
      </c>
      <c r="C598" s="6" t="s">
        <v>664</v>
      </c>
      <c r="D598" s="6">
        <f t="shared" si="76"/>
        <v>0.5</v>
      </c>
      <c r="E598" s="6" t="s">
        <v>19</v>
      </c>
      <c r="F598" s="6" t="str">
        <f>MID(A598,19,1)</f>
        <v>S</v>
      </c>
      <c r="G598" s="6">
        <v>-23.375196118167661</v>
      </c>
      <c r="H598" s="6">
        <v>-46.77657748824393</v>
      </c>
      <c r="I598" s="9">
        <v>2004.61</v>
      </c>
      <c r="K598" s="6">
        <v>7.22</v>
      </c>
      <c r="L598" s="6">
        <v>60</v>
      </c>
      <c r="N598" s="1">
        <f t="shared" si="73"/>
        <v>0</v>
      </c>
      <c r="O598" s="6" t="s">
        <v>20</v>
      </c>
      <c r="Q598" s="6" t="s">
        <v>21</v>
      </c>
      <c r="R598" s="6" t="s">
        <v>21</v>
      </c>
      <c r="S598" s="6" t="s">
        <v>21</v>
      </c>
      <c r="T598" s="6" t="s">
        <v>21</v>
      </c>
      <c r="U598" s="6">
        <f t="shared" si="74"/>
        <v>1202.7659999999998</v>
      </c>
      <c r="V598" s="6">
        <f t="shared" si="75"/>
        <v>1202.7659999999998</v>
      </c>
    </row>
    <row r="599" spans="1:22" hidden="1" x14ac:dyDescent="0.35">
      <c r="A599" s="6" t="s">
        <v>678</v>
      </c>
      <c r="B599" s="6" t="s">
        <v>663</v>
      </c>
      <c r="C599" s="6" t="s">
        <v>664</v>
      </c>
      <c r="D599" s="6">
        <f t="shared" si="76"/>
        <v>0.5</v>
      </c>
      <c r="E599" s="6" t="s">
        <v>23</v>
      </c>
      <c r="F599" s="6" t="str">
        <f>MID(A599,19,1)</f>
        <v>C</v>
      </c>
      <c r="G599" s="6">
        <v>-23.37475805713191</v>
      </c>
      <c r="H599" s="6">
        <v>-46.776126443407023</v>
      </c>
      <c r="I599" s="7">
        <v>2083.48</v>
      </c>
      <c r="J599" s="9">
        <f>I599/500</f>
        <v>4.1669600000000004</v>
      </c>
      <c r="K599" s="6">
        <v>8.76</v>
      </c>
      <c r="L599" s="6">
        <v>70</v>
      </c>
      <c r="N599" s="1">
        <f t="shared" si="73"/>
        <v>0</v>
      </c>
      <c r="O599" s="6" t="s">
        <v>20</v>
      </c>
      <c r="Q599" s="6" t="s">
        <v>21</v>
      </c>
      <c r="R599" s="6" t="s">
        <v>21</v>
      </c>
      <c r="S599" s="6" t="s">
        <v>21</v>
      </c>
      <c r="T599" s="6" t="s">
        <v>21</v>
      </c>
      <c r="U599" s="6">
        <f t="shared" si="74"/>
        <v>1458.4359999999999</v>
      </c>
      <c r="V599" s="6">
        <f t="shared" si="75"/>
        <v>1458.4359999999999</v>
      </c>
    </row>
    <row r="600" spans="1:22" x14ac:dyDescent="0.35">
      <c r="A600" s="6" t="s">
        <v>679</v>
      </c>
      <c r="B600" s="6" t="s">
        <v>680</v>
      </c>
      <c r="C600" s="6" t="s">
        <v>681</v>
      </c>
      <c r="D600" s="6">
        <f t="shared" si="76"/>
        <v>0.5</v>
      </c>
      <c r="E600" s="6" t="s">
        <v>19</v>
      </c>
      <c r="F600" s="6" t="str">
        <f>MID(A600,19,1)</f>
        <v>N</v>
      </c>
      <c r="G600" s="6">
        <v>-23.363264142643349</v>
      </c>
      <c r="H600" s="6">
        <v>-46.783395635842822</v>
      </c>
      <c r="I600" s="9">
        <v>2115.37</v>
      </c>
      <c r="K600" s="6">
        <v>12.09</v>
      </c>
      <c r="L600" s="6">
        <v>30</v>
      </c>
      <c r="N600" s="1">
        <f t="shared" si="73"/>
        <v>0</v>
      </c>
      <c r="O600" s="6" t="s">
        <v>20</v>
      </c>
      <c r="Q600" s="6" t="s">
        <v>21</v>
      </c>
      <c r="R600" s="6" t="s">
        <v>21</v>
      </c>
      <c r="S600" s="6" t="s">
        <v>21</v>
      </c>
      <c r="T600" s="6" t="s">
        <v>21</v>
      </c>
      <c r="U600" s="6">
        <f t="shared" si="74"/>
        <v>634.61099999999999</v>
      </c>
      <c r="V600" s="6">
        <f t="shared" si="75"/>
        <v>634.61099999999999</v>
      </c>
    </row>
    <row r="601" spans="1:22" x14ac:dyDescent="0.35">
      <c r="A601" s="8" t="s">
        <v>682</v>
      </c>
      <c r="B601" s="8" t="s">
        <v>680</v>
      </c>
      <c r="C601" s="8" t="s">
        <v>681</v>
      </c>
      <c r="D601" s="6">
        <f t="shared" si="76"/>
        <v>0.5</v>
      </c>
      <c r="E601" s="8" t="s">
        <v>19</v>
      </c>
      <c r="F601" s="6" t="str">
        <f>MID(A601,19,1)</f>
        <v>N</v>
      </c>
      <c r="G601" s="8">
        <v>-23.389951159545131</v>
      </c>
      <c r="H601" s="8">
        <v>-46.835785086797223</v>
      </c>
      <c r="I601" s="7">
        <v>948.6</v>
      </c>
      <c r="J601" s="7"/>
      <c r="K601" s="8">
        <v>7.14</v>
      </c>
      <c r="L601" s="8">
        <v>80</v>
      </c>
      <c r="M601" s="8"/>
      <c r="N601" s="11">
        <f t="shared" si="73"/>
        <v>758.88000000000011</v>
      </c>
      <c r="O601" s="8" t="s">
        <v>71</v>
      </c>
      <c r="P601" s="8"/>
      <c r="Q601" s="8" t="s">
        <v>21</v>
      </c>
      <c r="R601" s="8" t="s">
        <v>21</v>
      </c>
      <c r="S601" s="8" t="s">
        <v>21</v>
      </c>
      <c r="T601" s="8" t="s">
        <v>26</v>
      </c>
      <c r="U601" s="6">
        <f t="shared" si="74"/>
        <v>0</v>
      </c>
    </row>
    <row r="602" spans="1:22" x14ac:dyDescent="0.35">
      <c r="A602" s="6" t="s">
        <v>683</v>
      </c>
      <c r="B602" s="6" t="s">
        <v>680</v>
      </c>
      <c r="C602" s="6" t="s">
        <v>681</v>
      </c>
      <c r="D602" s="6">
        <f t="shared" si="76"/>
        <v>0.5</v>
      </c>
      <c r="E602" s="6" t="s">
        <v>19</v>
      </c>
      <c r="F602" s="6" t="str">
        <f>MID(A602,19,1)</f>
        <v>N</v>
      </c>
      <c r="G602" s="6">
        <v>-23.395672372294221</v>
      </c>
      <c r="H602" s="6">
        <v>-46.835381032563042</v>
      </c>
      <c r="I602" s="9">
        <v>942.61</v>
      </c>
      <c r="K602" s="6">
        <v>9.85</v>
      </c>
      <c r="L602" s="6">
        <v>20</v>
      </c>
      <c r="N602" s="1">
        <f t="shared" si="73"/>
        <v>0</v>
      </c>
      <c r="O602" s="6" t="s">
        <v>71</v>
      </c>
      <c r="Q602" s="6" t="s">
        <v>21</v>
      </c>
      <c r="R602" s="6" t="s">
        <v>21</v>
      </c>
      <c r="S602" s="6" t="s">
        <v>21</v>
      </c>
      <c r="T602" s="6" t="s">
        <v>21</v>
      </c>
      <c r="U602" s="6">
        <f t="shared" si="74"/>
        <v>188.52200000000002</v>
      </c>
      <c r="V602" s="6">
        <f t="shared" ref="V602:V613" si="78">(I602*(L602/100))</f>
        <v>188.52200000000002</v>
      </c>
    </row>
    <row r="603" spans="1:22" hidden="1" x14ac:dyDescent="0.35">
      <c r="A603" s="6" t="s">
        <v>684</v>
      </c>
      <c r="B603" s="6" t="s">
        <v>680</v>
      </c>
      <c r="C603" s="6" t="s">
        <v>681</v>
      </c>
      <c r="D603" s="6">
        <f t="shared" si="76"/>
        <v>0.5</v>
      </c>
      <c r="E603" s="6" t="s">
        <v>19</v>
      </c>
      <c r="F603" s="6" t="str">
        <f>MID(A603,19,1)</f>
        <v>S</v>
      </c>
      <c r="G603" s="6">
        <v>-23.39039565070517</v>
      </c>
      <c r="H603" s="6">
        <v>-46.836108347237598</v>
      </c>
      <c r="I603" s="9">
        <v>1639.6</v>
      </c>
      <c r="K603" s="6">
        <v>18.5</v>
      </c>
      <c r="L603" s="6">
        <v>0</v>
      </c>
      <c r="N603" s="1">
        <f t="shared" si="73"/>
        <v>0</v>
      </c>
      <c r="Q603" s="6" t="s">
        <v>21</v>
      </c>
      <c r="R603" s="6" t="s">
        <v>21</v>
      </c>
      <c r="S603" s="6" t="s">
        <v>21</v>
      </c>
      <c r="T603" s="6" t="s">
        <v>21</v>
      </c>
      <c r="U603" s="6">
        <f t="shared" si="74"/>
        <v>0</v>
      </c>
      <c r="V603" s="6">
        <f t="shared" si="78"/>
        <v>0</v>
      </c>
    </row>
    <row r="604" spans="1:22" hidden="1" x14ac:dyDescent="0.35">
      <c r="A604" s="6" t="s">
        <v>685</v>
      </c>
      <c r="B604" s="6" t="s">
        <v>680</v>
      </c>
      <c r="C604" s="6" t="s">
        <v>681</v>
      </c>
      <c r="D604" s="6">
        <f t="shared" si="76"/>
        <v>0.5</v>
      </c>
      <c r="E604" s="6" t="s">
        <v>19</v>
      </c>
      <c r="F604" s="6" t="str">
        <f>MID(A604,19,1)</f>
        <v>S</v>
      </c>
      <c r="G604" s="6">
        <v>-23.394391208121</v>
      </c>
      <c r="H604" s="6">
        <v>-46.835675715146138</v>
      </c>
      <c r="I604" s="9">
        <v>2000.63</v>
      </c>
      <c r="K604" s="6">
        <v>14.32</v>
      </c>
      <c r="L604" s="6">
        <v>0</v>
      </c>
      <c r="N604" s="1">
        <f t="shared" si="73"/>
        <v>0</v>
      </c>
      <c r="Q604" s="6" t="s">
        <v>21</v>
      </c>
      <c r="R604" s="6" t="s">
        <v>21</v>
      </c>
      <c r="S604" s="6" t="s">
        <v>21</v>
      </c>
      <c r="T604" s="6" t="s">
        <v>21</v>
      </c>
      <c r="U604" s="6">
        <f t="shared" si="74"/>
        <v>0</v>
      </c>
      <c r="V604" s="6">
        <f t="shared" si="78"/>
        <v>0</v>
      </c>
    </row>
    <row r="605" spans="1:22" x14ac:dyDescent="0.35">
      <c r="A605" s="6" t="s">
        <v>686</v>
      </c>
      <c r="B605" s="6" t="s">
        <v>680</v>
      </c>
      <c r="C605" s="6" t="s">
        <v>681</v>
      </c>
      <c r="D605" s="6">
        <f t="shared" si="76"/>
        <v>0.5</v>
      </c>
      <c r="E605" s="6" t="s">
        <v>19</v>
      </c>
      <c r="F605" s="6" t="str">
        <f>MID(A605,19,1)</f>
        <v>N</v>
      </c>
      <c r="G605" s="6">
        <v>-23.38925096893767</v>
      </c>
      <c r="H605" s="6">
        <v>-46.836273057673139</v>
      </c>
      <c r="I605" s="9">
        <v>691.34</v>
      </c>
      <c r="K605" s="6">
        <v>7.4</v>
      </c>
      <c r="L605" s="6">
        <v>0</v>
      </c>
      <c r="N605" s="1">
        <f t="shared" si="73"/>
        <v>0</v>
      </c>
      <c r="Q605" s="6" t="s">
        <v>21</v>
      </c>
      <c r="R605" s="6" t="s">
        <v>21</v>
      </c>
      <c r="S605" s="6" t="s">
        <v>21</v>
      </c>
      <c r="T605" s="6" t="s">
        <v>21</v>
      </c>
      <c r="U605" s="6">
        <f t="shared" si="74"/>
        <v>0</v>
      </c>
      <c r="V605" s="6">
        <f t="shared" si="78"/>
        <v>0</v>
      </c>
    </row>
    <row r="606" spans="1:22" x14ac:dyDescent="0.35">
      <c r="A606" s="6" t="s">
        <v>687</v>
      </c>
      <c r="B606" s="6" t="s">
        <v>680</v>
      </c>
      <c r="C606" s="6" t="s">
        <v>681</v>
      </c>
      <c r="D606" s="6">
        <f t="shared" si="76"/>
        <v>0.5</v>
      </c>
      <c r="E606" s="6" t="s">
        <v>19</v>
      </c>
      <c r="F606" s="6" t="str">
        <f>MID(A606,19,1)</f>
        <v>N</v>
      </c>
      <c r="G606" s="6">
        <v>-23.393507762418739</v>
      </c>
      <c r="H606" s="6">
        <v>-46.83531734156773</v>
      </c>
      <c r="I606" s="9">
        <v>1258.68</v>
      </c>
      <c r="K606" s="6">
        <v>7.06</v>
      </c>
      <c r="L606" s="6">
        <v>0</v>
      </c>
      <c r="N606" s="1">
        <f t="shared" si="73"/>
        <v>0</v>
      </c>
      <c r="Q606" s="6" t="s">
        <v>21</v>
      </c>
      <c r="R606" s="6" t="s">
        <v>21</v>
      </c>
      <c r="S606" s="6" t="s">
        <v>21</v>
      </c>
      <c r="T606" s="6" t="s">
        <v>21</v>
      </c>
      <c r="U606" s="6">
        <f t="shared" si="74"/>
        <v>0</v>
      </c>
      <c r="V606" s="6">
        <f t="shared" si="78"/>
        <v>0</v>
      </c>
    </row>
    <row r="607" spans="1:22" x14ac:dyDescent="0.35">
      <c r="A607" s="6" t="s">
        <v>688</v>
      </c>
      <c r="B607" s="6" t="s">
        <v>680</v>
      </c>
      <c r="C607" s="6" t="s">
        <v>681</v>
      </c>
      <c r="D607" s="6">
        <f t="shared" si="76"/>
        <v>0.5</v>
      </c>
      <c r="E607" s="6" t="s">
        <v>19</v>
      </c>
      <c r="F607" s="6" t="str">
        <f>MID(A607,19,1)</f>
        <v>N</v>
      </c>
      <c r="G607" s="6">
        <v>-23.394760169157461</v>
      </c>
      <c r="H607" s="6">
        <v>-46.835363808429207</v>
      </c>
      <c r="I607" s="9">
        <v>55.83</v>
      </c>
      <c r="K607" s="6">
        <v>1.35</v>
      </c>
      <c r="L607" s="6">
        <v>0</v>
      </c>
      <c r="N607" s="1">
        <f t="shared" si="73"/>
        <v>0</v>
      </c>
      <c r="Q607" s="6" t="s">
        <v>21</v>
      </c>
      <c r="R607" s="6" t="s">
        <v>21</v>
      </c>
      <c r="S607" s="6" t="s">
        <v>21</v>
      </c>
      <c r="T607" s="6" t="s">
        <v>21</v>
      </c>
      <c r="U607" s="6">
        <f t="shared" si="74"/>
        <v>0</v>
      </c>
      <c r="V607" s="6">
        <f t="shared" si="78"/>
        <v>0</v>
      </c>
    </row>
    <row r="608" spans="1:22" hidden="1" x14ac:dyDescent="0.35">
      <c r="A608" s="6" t="s">
        <v>689</v>
      </c>
      <c r="B608" s="6" t="s">
        <v>680</v>
      </c>
      <c r="C608" s="6" t="s">
        <v>681</v>
      </c>
      <c r="D608" s="6">
        <f t="shared" si="76"/>
        <v>0.5</v>
      </c>
      <c r="E608" s="6" t="s">
        <v>23</v>
      </c>
      <c r="F608" s="6" t="str">
        <f>MID(A608,19,1)</f>
        <v>C</v>
      </c>
      <c r="G608" s="6">
        <v>-23.363345961597059</v>
      </c>
      <c r="H608" s="6">
        <v>-46.783726738734387</v>
      </c>
      <c r="I608" s="7">
        <v>7838.79</v>
      </c>
      <c r="J608" s="9">
        <f>I608/500</f>
        <v>15.677580000000001</v>
      </c>
      <c r="K608" s="6">
        <v>12.01</v>
      </c>
      <c r="L608" s="6">
        <v>60</v>
      </c>
      <c r="N608" s="1">
        <f t="shared" si="73"/>
        <v>0</v>
      </c>
      <c r="O608" s="6" t="s">
        <v>185</v>
      </c>
      <c r="Q608" s="6" t="s">
        <v>21</v>
      </c>
      <c r="R608" s="6" t="s">
        <v>21</v>
      </c>
      <c r="S608" s="6" t="s">
        <v>21</v>
      </c>
      <c r="T608" s="6" t="s">
        <v>21</v>
      </c>
      <c r="U608" s="6">
        <f t="shared" si="74"/>
        <v>4703.2739999999994</v>
      </c>
      <c r="V608" s="6">
        <f t="shared" si="78"/>
        <v>4703.2739999999994</v>
      </c>
    </row>
    <row r="609" spans="1:22" x14ac:dyDescent="0.35">
      <c r="A609" s="6" t="s">
        <v>690</v>
      </c>
      <c r="B609" s="6" t="s">
        <v>680</v>
      </c>
      <c r="C609" s="6" t="s">
        <v>681</v>
      </c>
      <c r="D609" s="6">
        <f t="shared" si="76"/>
        <v>0.5</v>
      </c>
      <c r="E609" s="6" t="s">
        <v>19</v>
      </c>
      <c r="F609" s="6" t="str">
        <f>MID(A609,19,1)</f>
        <v>N</v>
      </c>
      <c r="G609" s="6">
        <v>-23.36726639019502</v>
      </c>
      <c r="H609" s="6">
        <v>-46.78135319570363</v>
      </c>
      <c r="I609" s="9">
        <v>1829.53</v>
      </c>
      <c r="K609" s="6">
        <v>9.15</v>
      </c>
      <c r="L609" s="6">
        <v>30</v>
      </c>
      <c r="N609" s="1">
        <f t="shared" si="73"/>
        <v>0</v>
      </c>
      <c r="O609" s="6" t="s">
        <v>20</v>
      </c>
      <c r="Q609" s="6" t="s">
        <v>21</v>
      </c>
      <c r="R609" s="6" t="s">
        <v>21</v>
      </c>
      <c r="S609" s="6" t="s">
        <v>21</v>
      </c>
      <c r="T609" s="6" t="s">
        <v>21</v>
      </c>
      <c r="U609" s="6">
        <f t="shared" si="74"/>
        <v>548.85899999999992</v>
      </c>
      <c r="V609" s="6">
        <f t="shared" si="78"/>
        <v>548.85899999999992</v>
      </c>
    </row>
    <row r="610" spans="1:22" x14ac:dyDescent="0.35">
      <c r="A610" s="6" t="s">
        <v>691</v>
      </c>
      <c r="B610" s="6" t="s">
        <v>680</v>
      </c>
      <c r="C610" s="6" t="s">
        <v>681</v>
      </c>
      <c r="D610" s="6">
        <f t="shared" si="76"/>
        <v>0.5</v>
      </c>
      <c r="E610" s="6" t="s">
        <v>19</v>
      </c>
      <c r="F610" s="6" t="str">
        <f>MID(A610,19,1)</f>
        <v>N</v>
      </c>
      <c r="G610" s="6">
        <v>-23.390977168346769</v>
      </c>
      <c r="H610" s="6">
        <v>-46.835451081395583</v>
      </c>
      <c r="I610" s="9">
        <v>1000.86</v>
      </c>
      <c r="K610" s="6">
        <v>10.79</v>
      </c>
      <c r="L610" s="6">
        <v>0</v>
      </c>
      <c r="N610" s="1">
        <f t="shared" si="73"/>
        <v>0</v>
      </c>
      <c r="Q610" s="6" t="s">
        <v>21</v>
      </c>
      <c r="R610" s="6" t="s">
        <v>21</v>
      </c>
      <c r="S610" s="6" t="s">
        <v>21</v>
      </c>
      <c r="T610" s="6" t="s">
        <v>21</v>
      </c>
      <c r="U610" s="6">
        <f t="shared" si="74"/>
        <v>0</v>
      </c>
      <c r="V610" s="6">
        <f t="shared" si="78"/>
        <v>0</v>
      </c>
    </row>
    <row r="611" spans="1:22" hidden="1" x14ac:dyDescent="0.35">
      <c r="A611" s="6" t="s">
        <v>692</v>
      </c>
      <c r="B611" s="6" t="s">
        <v>680</v>
      </c>
      <c r="C611" s="6" t="s">
        <v>681</v>
      </c>
      <c r="D611" s="6">
        <f t="shared" si="76"/>
        <v>0.5</v>
      </c>
      <c r="E611" s="6" t="s">
        <v>23</v>
      </c>
      <c r="F611" s="6" t="str">
        <f>MID(A611,19,1)</f>
        <v>C</v>
      </c>
      <c r="G611" s="6">
        <v>-23.367421102268509</v>
      </c>
      <c r="H611" s="6">
        <v>-46.7816457157071</v>
      </c>
      <c r="I611" s="7">
        <v>7186.34</v>
      </c>
      <c r="J611" s="9">
        <f>I611/500</f>
        <v>14.372680000000001</v>
      </c>
      <c r="K611" s="6">
        <v>6.74</v>
      </c>
      <c r="L611" s="6">
        <v>60</v>
      </c>
      <c r="N611" s="1">
        <f t="shared" si="73"/>
        <v>0</v>
      </c>
      <c r="O611" s="6" t="s">
        <v>185</v>
      </c>
      <c r="Q611" s="6" t="s">
        <v>21</v>
      </c>
      <c r="R611" s="6" t="s">
        <v>21</v>
      </c>
      <c r="S611" s="6" t="s">
        <v>21</v>
      </c>
      <c r="T611" s="6" t="s">
        <v>21</v>
      </c>
      <c r="U611" s="6">
        <f t="shared" si="74"/>
        <v>4311.8040000000001</v>
      </c>
      <c r="V611" s="6">
        <f t="shared" si="78"/>
        <v>4311.8040000000001</v>
      </c>
    </row>
    <row r="612" spans="1:22" hidden="1" x14ac:dyDescent="0.35">
      <c r="A612" s="6" t="s">
        <v>693</v>
      </c>
      <c r="B612" s="6" t="s">
        <v>680</v>
      </c>
      <c r="C612" s="6" t="s">
        <v>681</v>
      </c>
      <c r="D612" s="6">
        <f t="shared" si="76"/>
        <v>0.5</v>
      </c>
      <c r="E612" s="6" t="s">
        <v>19</v>
      </c>
      <c r="F612" s="6" t="str">
        <f>MID(A612,19,1)</f>
        <v>S</v>
      </c>
      <c r="G612" s="6">
        <v>-23.363465653988872</v>
      </c>
      <c r="H612" s="6">
        <v>-46.783998771181381</v>
      </c>
      <c r="I612" s="9">
        <v>2157.66</v>
      </c>
      <c r="K612" s="6">
        <v>16.61</v>
      </c>
      <c r="L612" s="6">
        <v>50</v>
      </c>
      <c r="N612" s="1">
        <f t="shared" si="73"/>
        <v>0</v>
      </c>
      <c r="O612" s="6" t="s">
        <v>20</v>
      </c>
      <c r="Q612" s="6" t="s">
        <v>21</v>
      </c>
      <c r="R612" s="6" t="s">
        <v>21</v>
      </c>
      <c r="S612" s="6" t="s">
        <v>21</v>
      </c>
      <c r="T612" s="6" t="s">
        <v>21</v>
      </c>
      <c r="U612" s="6">
        <f t="shared" si="74"/>
        <v>1078.83</v>
      </c>
      <c r="V612" s="6">
        <f t="shared" si="78"/>
        <v>1078.83</v>
      </c>
    </row>
    <row r="613" spans="1:22" hidden="1" x14ac:dyDescent="0.35">
      <c r="A613" s="6" t="s">
        <v>694</v>
      </c>
      <c r="B613" s="6" t="s">
        <v>680</v>
      </c>
      <c r="C613" s="6" t="s">
        <v>681</v>
      </c>
      <c r="D613" s="6">
        <f t="shared" si="76"/>
        <v>0.5</v>
      </c>
      <c r="E613" s="6" t="s">
        <v>19</v>
      </c>
      <c r="F613" s="6" t="str">
        <f>MID(A613,19,1)</f>
        <v>S</v>
      </c>
      <c r="G613" s="6">
        <v>-23.367474468821019</v>
      </c>
      <c r="H613" s="6">
        <v>-46.781960015709608</v>
      </c>
      <c r="I613" s="9">
        <v>1804.42</v>
      </c>
      <c r="K613" s="6">
        <v>8.26</v>
      </c>
      <c r="L613" s="6">
        <v>0</v>
      </c>
      <c r="N613" s="1">
        <f t="shared" si="73"/>
        <v>0</v>
      </c>
      <c r="Q613" s="6" t="s">
        <v>21</v>
      </c>
      <c r="R613" s="6" t="s">
        <v>21</v>
      </c>
      <c r="S613" s="6" t="s">
        <v>21</v>
      </c>
      <c r="T613" s="6" t="s">
        <v>21</v>
      </c>
      <c r="U613" s="6">
        <f t="shared" si="74"/>
        <v>0</v>
      </c>
      <c r="V613" s="6">
        <f t="shared" si="78"/>
        <v>0</v>
      </c>
    </row>
    <row r="614" spans="1:22" x14ac:dyDescent="0.35">
      <c r="A614" s="8" t="s">
        <v>695</v>
      </c>
      <c r="B614" s="8" t="s">
        <v>696</v>
      </c>
      <c r="C614" s="8" t="s">
        <v>697</v>
      </c>
      <c r="D614" s="6">
        <f t="shared" si="76"/>
        <v>0.5</v>
      </c>
      <c r="E614" s="8" t="s">
        <v>19</v>
      </c>
      <c r="F614" s="6" t="str">
        <f>MID(A614,19,1)</f>
        <v>N</v>
      </c>
      <c r="G614" s="8">
        <v>-23.381957198841949</v>
      </c>
      <c r="H614" s="8">
        <v>-46.838283026832357</v>
      </c>
      <c r="I614" s="7">
        <v>2078.1799999999998</v>
      </c>
      <c r="J614" s="7"/>
      <c r="K614" s="8">
        <v>7.26</v>
      </c>
      <c r="L614" s="8">
        <v>40</v>
      </c>
      <c r="M614" s="8"/>
      <c r="N614" s="11">
        <f t="shared" si="73"/>
        <v>831.27199999999993</v>
      </c>
      <c r="O614" s="8" t="s">
        <v>25</v>
      </c>
      <c r="P614" s="8" t="s">
        <v>698</v>
      </c>
      <c r="Q614" s="8" t="s">
        <v>21</v>
      </c>
      <c r="R614" s="8" t="s">
        <v>21</v>
      </c>
      <c r="S614" s="8" t="s">
        <v>21</v>
      </c>
      <c r="T614" s="8" t="s">
        <v>26</v>
      </c>
      <c r="U614" s="6">
        <f t="shared" si="74"/>
        <v>0</v>
      </c>
    </row>
    <row r="615" spans="1:22" x14ac:dyDescent="0.35">
      <c r="A615" s="6" t="s">
        <v>699</v>
      </c>
      <c r="B615" s="6" t="s">
        <v>696</v>
      </c>
      <c r="C615" s="6" t="s">
        <v>697</v>
      </c>
      <c r="D615" s="6">
        <f t="shared" si="76"/>
        <v>0.5</v>
      </c>
      <c r="E615" s="6" t="s">
        <v>19</v>
      </c>
      <c r="F615" s="6" t="str">
        <f>MID(A615,19,1)</f>
        <v>N</v>
      </c>
      <c r="G615" s="6">
        <v>-23.38418582381291</v>
      </c>
      <c r="H615" s="6">
        <v>-46.838353541916938</v>
      </c>
      <c r="I615" s="9">
        <v>36.51</v>
      </c>
      <c r="K615" s="6">
        <v>2.93</v>
      </c>
      <c r="L615" s="6">
        <v>0</v>
      </c>
      <c r="N615" s="1">
        <f t="shared" si="73"/>
        <v>0</v>
      </c>
      <c r="Q615" s="6" t="s">
        <v>21</v>
      </c>
      <c r="R615" s="6" t="s">
        <v>21</v>
      </c>
      <c r="S615" s="6" t="s">
        <v>21</v>
      </c>
      <c r="T615" s="6" t="s">
        <v>21</v>
      </c>
      <c r="U615" s="6">
        <f t="shared" si="74"/>
        <v>0</v>
      </c>
      <c r="V615" s="6">
        <f t="shared" ref="V615:V621" si="79">(I615*(L615/100))</f>
        <v>0</v>
      </c>
    </row>
    <row r="616" spans="1:22" x14ac:dyDescent="0.35">
      <c r="A616" s="6" t="s">
        <v>700</v>
      </c>
      <c r="B616" s="6" t="s">
        <v>696</v>
      </c>
      <c r="C616" s="6" t="s">
        <v>697</v>
      </c>
      <c r="D616" s="6">
        <f t="shared" si="76"/>
        <v>0.5</v>
      </c>
      <c r="E616" s="6" t="s">
        <v>19</v>
      </c>
      <c r="F616" s="6" t="str">
        <f>MID(A616,19,1)</f>
        <v>N</v>
      </c>
      <c r="G616" s="6">
        <v>-23.356761280779509</v>
      </c>
      <c r="H616" s="6">
        <v>-46.78869709988497</v>
      </c>
      <c r="I616" s="9">
        <v>6313.98</v>
      </c>
      <c r="K616" s="6">
        <v>8.19</v>
      </c>
      <c r="L616" s="6">
        <v>70</v>
      </c>
      <c r="N616" s="1">
        <f t="shared" si="73"/>
        <v>0</v>
      </c>
      <c r="O616" s="6" t="s">
        <v>185</v>
      </c>
      <c r="Q616" s="6" t="s">
        <v>21</v>
      </c>
      <c r="R616" s="6" t="s">
        <v>21</v>
      </c>
      <c r="S616" s="6" t="s">
        <v>21</v>
      </c>
      <c r="T616" s="6" t="s">
        <v>21</v>
      </c>
      <c r="U616" s="6">
        <f t="shared" si="74"/>
        <v>4419.7859999999991</v>
      </c>
      <c r="V616" s="6">
        <f t="shared" si="79"/>
        <v>4419.7859999999991</v>
      </c>
    </row>
    <row r="617" spans="1:22" hidden="1" x14ac:dyDescent="0.35">
      <c r="A617" s="6" t="s">
        <v>701</v>
      </c>
      <c r="B617" s="6" t="s">
        <v>696</v>
      </c>
      <c r="C617" s="6" t="s">
        <v>697</v>
      </c>
      <c r="D617" s="6">
        <f t="shared" si="76"/>
        <v>0.5</v>
      </c>
      <c r="E617" s="6" t="s">
        <v>19</v>
      </c>
      <c r="F617" s="6" t="str">
        <f>MID(A617,19,1)</f>
        <v>S</v>
      </c>
      <c r="G617" s="6">
        <v>-23.38296206520064</v>
      </c>
      <c r="H617" s="6">
        <v>-46.838928282769693</v>
      </c>
      <c r="I617" s="9">
        <v>55.42</v>
      </c>
      <c r="K617" s="6">
        <v>18.97</v>
      </c>
      <c r="L617" s="6">
        <v>20</v>
      </c>
      <c r="N617" s="1">
        <f t="shared" si="73"/>
        <v>0</v>
      </c>
      <c r="O617" s="6" t="s">
        <v>20</v>
      </c>
      <c r="Q617" s="6" t="s">
        <v>21</v>
      </c>
      <c r="R617" s="6" t="s">
        <v>21</v>
      </c>
      <c r="S617" s="6" t="s">
        <v>21</v>
      </c>
      <c r="T617" s="6" t="s">
        <v>21</v>
      </c>
      <c r="U617" s="6">
        <f t="shared" si="74"/>
        <v>11.084000000000001</v>
      </c>
      <c r="V617" s="6">
        <f t="shared" si="79"/>
        <v>11.084000000000001</v>
      </c>
    </row>
    <row r="618" spans="1:22" x14ac:dyDescent="0.35">
      <c r="A618" s="6" t="s">
        <v>702</v>
      </c>
      <c r="B618" s="6" t="s">
        <v>696</v>
      </c>
      <c r="C618" s="6" t="s">
        <v>697</v>
      </c>
      <c r="D618" s="6">
        <f t="shared" si="76"/>
        <v>0.5</v>
      </c>
      <c r="E618" s="6" t="s">
        <v>19</v>
      </c>
      <c r="F618" s="6" t="str">
        <f>MID(A618,19,1)</f>
        <v>N</v>
      </c>
      <c r="G618" s="6">
        <v>-23.387557409628389</v>
      </c>
      <c r="H618" s="6">
        <v>-46.837496384641071</v>
      </c>
      <c r="I618" s="9">
        <v>1129.6099999999999</v>
      </c>
      <c r="K618" s="6">
        <v>10.58</v>
      </c>
      <c r="L618" s="6">
        <v>0</v>
      </c>
      <c r="N618" s="1">
        <f t="shared" si="73"/>
        <v>0</v>
      </c>
      <c r="Q618" s="6" t="s">
        <v>21</v>
      </c>
      <c r="R618" s="6" t="s">
        <v>21</v>
      </c>
      <c r="S618" s="6" t="s">
        <v>21</v>
      </c>
      <c r="T618" s="6" t="s">
        <v>21</v>
      </c>
      <c r="U618" s="6">
        <f t="shared" si="74"/>
        <v>0</v>
      </c>
      <c r="V618" s="6">
        <f t="shared" si="79"/>
        <v>0</v>
      </c>
    </row>
    <row r="619" spans="1:22" hidden="1" x14ac:dyDescent="0.35">
      <c r="A619" s="6" t="s">
        <v>703</v>
      </c>
      <c r="B619" s="6" t="s">
        <v>696</v>
      </c>
      <c r="C619" s="6" t="s">
        <v>697</v>
      </c>
      <c r="D619" s="6">
        <f t="shared" si="76"/>
        <v>0.5</v>
      </c>
      <c r="E619" s="6" t="s">
        <v>19</v>
      </c>
      <c r="F619" s="6" t="str">
        <f>MID(A619,19,1)</f>
        <v>S</v>
      </c>
      <c r="G619" s="6">
        <v>-23.35931492429809</v>
      </c>
      <c r="H619" s="6">
        <v>-46.785535300926213</v>
      </c>
      <c r="I619" s="9">
        <v>1789.45</v>
      </c>
      <c r="K619" s="6">
        <v>14.89</v>
      </c>
      <c r="L619" s="6">
        <v>50</v>
      </c>
      <c r="N619" s="1">
        <f t="shared" si="73"/>
        <v>0</v>
      </c>
      <c r="O619" s="6" t="s">
        <v>20</v>
      </c>
      <c r="Q619" s="6" t="s">
        <v>21</v>
      </c>
      <c r="R619" s="6" t="s">
        <v>21</v>
      </c>
      <c r="S619" s="6" t="s">
        <v>21</v>
      </c>
      <c r="T619" s="6" t="s">
        <v>21</v>
      </c>
      <c r="U619" s="6">
        <f t="shared" si="74"/>
        <v>894.72500000000002</v>
      </c>
      <c r="V619" s="6">
        <f t="shared" si="79"/>
        <v>894.72500000000002</v>
      </c>
    </row>
    <row r="620" spans="1:22" x14ac:dyDescent="0.35">
      <c r="A620" s="6" t="s">
        <v>704</v>
      </c>
      <c r="B620" s="6" t="s">
        <v>696</v>
      </c>
      <c r="C620" s="6" t="s">
        <v>697</v>
      </c>
      <c r="D620" s="6">
        <f t="shared" si="76"/>
        <v>0.5</v>
      </c>
      <c r="E620" s="6" t="s">
        <v>19</v>
      </c>
      <c r="F620" s="6" t="str">
        <f>MID(A620,19,1)</f>
        <v>N</v>
      </c>
      <c r="G620" s="6">
        <v>-23.35901937536271</v>
      </c>
      <c r="H620" s="6">
        <v>-46.784995330760673</v>
      </c>
      <c r="I620" s="9">
        <v>1924.27</v>
      </c>
      <c r="K620" s="6">
        <v>9.06</v>
      </c>
      <c r="L620" s="6">
        <v>30</v>
      </c>
      <c r="N620" s="1">
        <f t="shared" si="73"/>
        <v>0</v>
      </c>
      <c r="O620" s="6" t="s">
        <v>20</v>
      </c>
      <c r="Q620" s="6" t="s">
        <v>21</v>
      </c>
      <c r="R620" s="6" t="s">
        <v>21</v>
      </c>
      <c r="S620" s="6" t="s">
        <v>21</v>
      </c>
      <c r="T620" s="6" t="s">
        <v>21</v>
      </c>
      <c r="U620" s="6">
        <f t="shared" si="74"/>
        <v>577.28099999999995</v>
      </c>
      <c r="V620" s="6">
        <f t="shared" si="79"/>
        <v>577.28099999999995</v>
      </c>
    </row>
    <row r="621" spans="1:22" x14ac:dyDescent="0.35">
      <c r="A621" s="6" t="s">
        <v>705</v>
      </c>
      <c r="B621" s="6" t="s">
        <v>696</v>
      </c>
      <c r="C621" s="6" t="s">
        <v>697</v>
      </c>
      <c r="D621" s="6">
        <f t="shared" si="76"/>
        <v>0.5</v>
      </c>
      <c r="E621" s="6" t="s">
        <v>19</v>
      </c>
      <c r="F621" s="6" t="str">
        <f>MID(A621,19,1)</f>
        <v>N</v>
      </c>
      <c r="G621" s="6">
        <v>-23.35701413401209</v>
      </c>
      <c r="H621" s="6">
        <v>-46.786788942937051</v>
      </c>
      <c r="I621" s="9">
        <v>800.94</v>
      </c>
      <c r="K621" s="6">
        <v>3.69</v>
      </c>
      <c r="L621" s="6">
        <v>90</v>
      </c>
      <c r="N621" s="1">
        <f t="shared" si="73"/>
        <v>0</v>
      </c>
      <c r="O621" s="6" t="s">
        <v>20</v>
      </c>
      <c r="Q621" s="6" t="s">
        <v>21</v>
      </c>
      <c r="R621" s="6" t="s">
        <v>21</v>
      </c>
      <c r="S621" s="6" t="s">
        <v>21</v>
      </c>
      <c r="T621" s="6" t="s">
        <v>21</v>
      </c>
      <c r="U621" s="6">
        <f t="shared" si="74"/>
        <v>720.84600000000012</v>
      </c>
      <c r="V621" s="6">
        <f t="shared" si="79"/>
        <v>720.84600000000012</v>
      </c>
    </row>
    <row r="622" spans="1:22" hidden="1" x14ac:dyDescent="0.35">
      <c r="A622" s="8" t="s">
        <v>706</v>
      </c>
      <c r="B622" s="8" t="s">
        <v>696</v>
      </c>
      <c r="C622" s="8" t="s">
        <v>697</v>
      </c>
      <c r="D622" s="6">
        <f t="shared" si="76"/>
        <v>0.5</v>
      </c>
      <c r="E622" s="8" t="s">
        <v>19</v>
      </c>
      <c r="F622" s="6" t="str">
        <f>MID(A622,19,1)</f>
        <v>S</v>
      </c>
      <c r="G622" s="8">
        <v>-23.38146148071548</v>
      </c>
      <c r="H622" s="8">
        <v>-46.838679951070759</v>
      </c>
      <c r="I622" s="7">
        <v>7390.83</v>
      </c>
      <c r="J622" s="7"/>
      <c r="K622" s="8">
        <v>14.39</v>
      </c>
      <c r="L622" s="8">
        <v>80</v>
      </c>
      <c r="M622" s="8"/>
      <c r="N622" s="11">
        <f t="shared" si="73"/>
        <v>5912.6640000000007</v>
      </c>
      <c r="O622" s="8" t="s">
        <v>25</v>
      </c>
      <c r="P622" s="8"/>
      <c r="Q622" s="8" t="s">
        <v>21</v>
      </c>
      <c r="R622" s="8" t="s">
        <v>21</v>
      </c>
      <c r="S622" s="8" t="s">
        <v>21</v>
      </c>
      <c r="T622" s="8" t="s">
        <v>26</v>
      </c>
      <c r="U622" s="6">
        <f t="shared" si="74"/>
        <v>0</v>
      </c>
    </row>
    <row r="623" spans="1:22" x14ac:dyDescent="0.35">
      <c r="A623" s="6" t="s">
        <v>707</v>
      </c>
      <c r="B623" s="6" t="s">
        <v>696</v>
      </c>
      <c r="C623" s="6" t="s">
        <v>697</v>
      </c>
      <c r="D623" s="6">
        <f t="shared" si="76"/>
        <v>0.5</v>
      </c>
      <c r="E623" s="6" t="s">
        <v>19</v>
      </c>
      <c r="F623" s="6" t="str">
        <f>MID(A623,19,1)</f>
        <v>N</v>
      </c>
      <c r="G623" s="6">
        <v>-23.38410699069189</v>
      </c>
      <c r="H623" s="6">
        <v>-46.838345251630287</v>
      </c>
      <c r="I623" s="9">
        <v>135.85</v>
      </c>
      <c r="K623" s="6">
        <v>3.49</v>
      </c>
      <c r="L623" s="6">
        <v>0</v>
      </c>
      <c r="N623" s="1">
        <f t="shared" si="73"/>
        <v>0</v>
      </c>
      <c r="Q623" s="6" t="s">
        <v>21</v>
      </c>
      <c r="R623" s="6" t="s">
        <v>21</v>
      </c>
      <c r="S623" s="6" t="s">
        <v>21</v>
      </c>
      <c r="T623" s="6" t="s">
        <v>21</v>
      </c>
      <c r="U623" s="6">
        <f t="shared" si="74"/>
        <v>0</v>
      </c>
      <c r="V623" s="6">
        <f t="shared" ref="V623:V631" si="80">(I623*(L623/100))</f>
        <v>0</v>
      </c>
    </row>
    <row r="624" spans="1:22" x14ac:dyDescent="0.35">
      <c r="A624" s="6" t="s">
        <v>708</v>
      </c>
      <c r="B624" s="6" t="s">
        <v>696</v>
      </c>
      <c r="C624" s="6" t="s">
        <v>697</v>
      </c>
      <c r="D624" s="6">
        <f t="shared" si="76"/>
        <v>0.5</v>
      </c>
      <c r="E624" s="6" t="s">
        <v>19</v>
      </c>
      <c r="F624" s="6" t="str">
        <f>MID(A624,19,1)</f>
        <v>N</v>
      </c>
      <c r="G624" s="6">
        <v>-23.38530503644132</v>
      </c>
      <c r="H624" s="6">
        <v>-46.838295279292673</v>
      </c>
      <c r="I624" s="9">
        <v>1179.95</v>
      </c>
      <c r="K624" s="6">
        <v>8.1999999999999993</v>
      </c>
      <c r="L624" s="6">
        <v>0</v>
      </c>
      <c r="N624" s="1">
        <f t="shared" si="73"/>
        <v>0</v>
      </c>
      <c r="Q624" s="6" t="s">
        <v>21</v>
      </c>
      <c r="R624" s="6" t="s">
        <v>21</v>
      </c>
      <c r="S624" s="6" t="s">
        <v>21</v>
      </c>
      <c r="T624" s="6" t="s">
        <v>21</v>
      </c>
      <c r="U624" s="6">
        <f t="shared" si="74"/>
        <v>0</v>
      </c>
      <c r="V624" s="6">
        <f t="shared" si="80"/>
        <v>0</v>
      </c>
    </row>
    <row r="625" spans="1:22" hidden="1" x14ac:dyDescent="0.35">
      <c r="A625" s="6" t="s">
        <v>709</v>
      </c>
      <c r="B625" s="6" t="s">
        <v>696</v>
      </c>
      <c r="C625" s="6" t="s">
        <v>697</v>
      </c>
      <c r="D625" s="6">
        <f t="shared" si="76"/>
        <v>0.5</v>
      </c>
      <c r="E625" s="6" t="s">
        <v>19</v>
      </c>
      <c r="F625" s="6" t="str">
        <f>MID(A625,19,1)</f>
        <v>S</v>
      </c>
      <c r="G625" s="6">
        <v>-23.379834178221369</v>
      </c>
      <c r="H625" s="6">
        <v>-46.838968753785537</v>
      </c>
      <c r="I625" s="9">
        <v>110.98</v>
      </c>
      <c r="K625" s="6">
        <v>11.5</v>
      </c>
      <c r="L625" s="6">
        <v>20</v>
      </c>
      <c r="N625" s="1">
        <f t="shared" si="73"/>
        <v>0</v>
      </c>
      <c r="O625" s="6" t="s">
        <v>20</v>
      </c>
      <c r="Q625" s="6" t="s">
        <v>21</v>
      </c>
      <c r="R625" s="6" t="s">
        <v>21</v>
      </c>
      <c r="S625" s="6" t="s">
        <v>21</v>
      </c>
      <c r="T625" s="6" t="s">
        <v>21</v>
      </c>
      <c r="U625" s="6">
        <f t="shared" si="74"/>
        <v>22.196000000000002</v>
      </c>
      <c r="V625" s="6">
        <f t="shared" si="80"/>
        <v>22.196000000000002</v>
      </c>
    </row>
    <row r="626" spans="1:22" hidden="1" x14ac:dyDescent="0.35">
      <c r="A626" s="6" t="s">
        <v>710</v>
      </c>
      <c r="B626" s="6" t="s">
        <v>696</v>
      </c>
      <c r="C626" s="6" t="s">
        <v>697</v>
      </c>
      <c r="D626" s="6">
        <f t="shared" si="76"/>
        <v>0.5</v>
      </c>
      <c r="E626" s="6" t="s">
        <v>19</v>
      </c>
      <c r="F626" s="6" t="str">
        <f>MID(A626,19,1)</f>
        <v>S</v>
      </c>
      <c r="G626" s="6">
        <v>-23.383646312480138</v>
      </c>
      <c r="H626" s="6">
        <v>-46.838784545179493</v>
      </c>
      <c r="I626" s="9">
        <v>511.17</v>
      </c>
      <c r="K626" s="6">
        <v>12.69</v>
      </c>
      <c r="L626" s="6">
        <v>20</v>
      </c>
      <c r="N626" s="1">
        <f t="shared" si="73"/>
        <v>0</v>
      </c>
      <c r="O626" s="6" t="s">
        <v>20</v>
      </c>
      <c r="Q626" s="6" t="s">
        <v>21</v>
      </c>
      <c r="R626" s="6" t="s">
        <v>21</v>
      </c>
      <c r="S626" s="6" t="s">
        <v>21</v>
      </c>
      <c r="T626" s="6" t="s">
        <v>21</v>
      </c>
      <c r="U626" s="6">
        <f t="shared" si="74"/>
        <v>102.23400000000001</v>
      </c>
      <c r="V626" s="6">
        <f t="shared" si="80"/>
        <v>102.23400000000001</v>
      </c>
    </row>
    <row r="627" spans="1:22" x14ac:dyDescent="0.35">
      <c r="A627" s="6" t="s">
        <v>711</v>
      </c>
      <c r="B627" s="6" t="s">
        <v>696</v>
      </c>
      <c r="C627" s="6" t="s">
        <v>697</v>
      </c>
      <c r="D627" s="6">
        <f t="shared" si="76"/>
        <v>0.5</v>
      </c>
      <c r="E627" s="6" t="s">
        <v>19</v>
      </c>
      <c r="F627" s="6" t="str">
        <f>MID(A627,19,1)</f>
        <v>N</v>
      </c>
      <c r="G627" s="6">
        <v>-23.356390638889138</v>
      </c>
      <c r="H627" s="6">
        <v>-46.788502816355773</v>
      </c>
      <c r="I627" s="9">
        <v>1830.25</v>
      </c>
      <c r="K627" s="6">
        <v>11.4</v>
      </c>
      <c r="L627" s="6">
        <v>20</v>
      </c>
      <c r="N627" s="1">
        <f t="shared" si="73"/>
        <v>0</v>
      </c>
      <c r="O627" s="6" t="s">
        <v>20</v>
      </c>
      <c r="Q627" s="6" t="s">
        <v>21</v>
      </c>
      <c r="R627" s="6" t="s">
        <v>21</v>
      </c>
      <c r="S627" s="6" t="s">
        <v>21</v>
      </c>
      <c r="T627" s="6" t="s">
        <v>21</v>
      </c>
      <c r="U627" s="6">
        <f t="shared" si="74"/>
        <v>366.05</v>
      </c>
      <c r="V627" s="6">
        <f t="shared" si="80"/>
        <v>366.05</v>
      </c>
    </row>
    <row r="628" spans="1:22" hidden="1" x14ac:dyDescent="0.35">
      <c r="A628" s="6" t="s">
        <v>712</v>
      </c>
      <c r="B628" s="6" t="s">
        <v>696</v>
      </c>
      <c r="C628" s="6" t="s">
        <v>697</v>
      </c>
      <c r="D628" s="6">
        <f t="shared" si="76"/>
        <v>0.5</v>
      </c>
      <c r="E628" s="6" t="s">
        <v>23</v>
      </c>
      <c r="F628" s="6" t="str">
        <f>MID(A628,19,1)</f>
        <v>C</v>
      </c>
      <c r="G628" s="6">
        <v>-23.359253042480798</v>
      </c>
      <c r="H628" s="6">
        <v>-46.785222780461822</v>
      </c>
      <c r="I628" s="7">
        <v>6919.55</v>
      </c>
      <c r="J628" s="9">
        <f>I628/500</f>
        <v>13.8391</v>
      </c>
      <c r="K628" s="6">
        <v>11.15</v>
      </c>
      <c r="L628" s="6">
        <v>60</v>
      </c>
      <c r="N628" s="1">
        <f t="shared" si="73"/>
        <v>0</v>
      </c>
      <c r="O628" s="6" t="s">
        <v>185</v>
      </c>
      <c r="Q628" s="6" t="s">
        <v>21</v>
      </c>
      <c r="R628" s="6" t="s">
        <v>21</v>
      </c>
      <c r="S628" s="6" t="s">
        <v>21</v>
      </c>
      <c r="T628" s="6" t="s">
        <v>21</v>
      </c>
      <c r="U628" s="6">
        <f t="shared" si="74"/>
        <v>4151.7299999999996</v>
      </c>
      <c r="V628" s="6">
        <f t="shared" si="80"/>
        <v>4151.7299999999996</v>
      </c>
    </row>
    <row r="629" spans="1:22" hidden="1" x14ac:dyDescent="0.35">
      <c r="A629" s="6" t="s">
        <v>713</v>
      </c>
      <c r="B629" s="6" t="s">
        <v>696</v>
      </c>
      <c r="C629" s="6" t="s">
        <v>697</v>
      </c>
      <c r="D629" s="6">
        <f t="shared" si="76"/>
        <v>0.5</v>
      </c>
      <c r="E629" s="6" t="s">
        <v>19</v>
      </c>
      <c r="F629" s="6" t="str">
        <f>MID(A629,19,1)</f>
        <v>S</v>
      </c>
      <c r="G629" s="6">
        <v>-23.386593088677721</v>
      </c>
      <c r="H629" s="6">
        <v>-46.838233706581711</v>
      </c>
      <c r="I629" s="9">
        <v>2202.48</v>
      </c>
      <c r="K629" s="6">
        <v>18.100000000000001</v>
      </c>
      <c r="L629" s="6">
        <v>0</v>
      </c>
      <c r="N629" s="1">
        <f t="shared" si="73"/>
        <v>0</v>
      </c>
      <c r="Q629" s="6" t="s">
        <v>21</v>
      </c>
      <c r="R629" s="6" t="s">
        <v>21</v>
      </c>
      <c r="S629" s="6" t="s">
        <v>21</v>
      </c>
      <c r="T629" s="6" t="s">
        <v>21</v>
      </c>
      <c r="U629" s="6">
        <f t="shared" si="74"/>
        <v>0</v>
      </c>
      <c r="V629" s="6">
        <f t="shared" si="80"/>
        <v>0</v>
      </c>
    </row>
    <row r="630" spans="1:22" hidden="1" x14ac:dyDescent="0.35">
      <c r="A630" s="6" t="s">
        <v>714</v>
      </c>
      <c r="B630" s="6" t="s">
        <v>696</v>
      </c>
      <c r="C630" s="6" t="s">
        <v>697</v>
      </c>
      <c r="D630" s="6">
        <f t="shared" si="76"/>
        <v>0.5</v>
      </c>
      <c r="E630" s="6" t="s">
        <v>23</v>
      </c>
      <c r="F630" s="6" t="str">
        <f>MID(A630,19,1)</f>
        <v>C</v>
      </c>
      <c r="G630" s="6">
        <v>-23.356998303593159</v>
      </c>
      <c r="H630" s="6">
        <v>-46.788891811291357</v>
      </c>
      <c r="I630" s="7">
        <v>1767.81</v>
      </c>
      <c r="J630" s="9">
        <f>I630/500</f>
        <v>3.5356199999999998</v>
      </c>
      <c r="K630" s="6">
        <v>13.57</v>
      </c>
      <c r="L630" s="6">
        <v>50</v>
      </c>
      <c r="N630" s="1">
        <f t="shared" si="73"/>
        <v>0</v>
      </c>
      <c r="O630" s="6" t="s">
        <v>20</v>
      </c>
      <c r="Q630" s="6" t="s">
        <v>21</v>
      </c>
      <c r="R630" s="6" t="s">
        <v>21</v>
      </c>
      <c r="S630" s="6" t="s">
        <v>21</v>
      </c>
      <c r="T630" s="6" t="s">
        <v>21</v>
      </c>
      <c r="U630" s="6">
        <f t="shared" si="74"/>
        <v>883.90499999999997</v>
      </c>
      <c r="V630" s="6">
        <f t="shared" si="80"/>
        <v>883.90499999999997</v>
      </c>
    </row>
    <row r="631" spans="1:22" hidden="1" x14ac:dyDescent="0.35">
      <c r="A631" s="6" t="s">
        <v>715</v>
      </c>
      <c r="B631" s="6" t="s">
        <v>696</v>
      </c>
      <c r="C631" s="6" t="s">
        <v>697</v>
      </c>
      <c r="D631" s="6">
        <f t="shared" si="76"/>
        <v>0.5</v>
      </c>
      <c r="E631" s="6" t="s">
        <v>19</v>
      </c>
      <c r="F631" s="6" t="str">
        <f>MID(A631,19,1)</f>
        <v>S</v>
      </c>
      <c r="G631" s="6">
        <v>-23.380347862491419</v>
      </c>
      <c r="H631" s="6">
        <v>-46.838884788304547</v>
      </c>
      <c r="I631" s="9">
        <v>197.65</v>
      </c>
      <c r="K631" s="6">
        <v>14.19</v>
      </c>
      <c r="L631" s="6">
        <v>20</v>
      </c>
      <c r="N631" s="1">
        <f t="shared" si="73"/>
        <v>0</v>
      </c>
      <c r="O631" s="6" t="s">
        <v>20</v>
      </c>
      <c r="Q631" s="6" t="s">
        <v>21</v>
      </c>
      <c r="R631" s="6" t="s">
        <v>21</v>
      </c>
      <c r="S631" s="6" t="s">
        <v>21</v>
      </c>
      <c r="T631" s="6" t="s">
        <v>21</v>
      </c>
      <c r="U631" s="6">
        <f t="shared" si="74"/>
        <v>39.53</v>
      </c>
      <c r="V631" s="6">
        <f t="shared" si="80"/>
        <v>39.53</v>
      </c>
    </row>
    <row r="632" spans="1:22" x14ac:dyDescent="0.35">
      <c r="A632" s="8" t="s">
        <v>716</v>
      </c>
      <c r="B632" s="8" t="s">
        <v>696</v>
      </c>
      <c r="C632" s="8" t="s">
        <v>697</v>
      </c>
      <c r="D632" s="6">
        <f t="shared" si="76"/>
        <v>0.5</v>
      </c>
      <c r="E632" s="8" t="s">
        <v>19</v>
      </c>
      <c r="F632" s="6" t="str">
        <f>MID(A632,19,1)</f>
        <v>N</v>
      </c>
      <c r="G632" s="8">
        <v>-23.38652112280802</v>
      </c>
      <c r="H632" s="8">
        <v>-46.838082343534182</v>
      </c>
      <c r="I632" s="7">
        <v>463.17</v>
      </c>
      <c r="J632" s="7"/>
      <c r="K632" s="8">
        <v>12.56</v>
      </c>
      <c r="L632" s="8">
        <v>90</v>
      </c>
      <c r="M632" s="8"/>
      <c r="N632" s="11">
        <f t="shared" si="73"/>
        <v>416.85300000000001</v>
      </c>
      <c r="O632" s="8" t="s">
        <v>71</v>
      </c>
      <c r="P632" s="8"/>
      <c r="Q632" s="8" t="s">
        <v>21</v>
      </c>
      <c r="R632" s="8" t="s">
        <v>21</v>
      </c>
      <c r="S632" s="8" t="s">
        <v>26</v>
      </c>
      <c r="T632" s="8" t="s">
        <v>4072</v>
      </c>
      <c r="U632" s="6">
        <f t="shared" si="74"/>
        <v>0</v>
      </c>
    </row>
    <row r="633" spans="1:22" x14ac:dyDescent="0.35">
      <c r="A633" s="6" t="s">
        <v>717</v>
      </c>
      <c r="B633" s="6" t="s">
        <v>718</v>
      </c>
      <c r="C633" s="6" t="s">
        <v>719</v>
      </c>
      <c r="D633" s="6">
        <f t="shared" si="76"/>
        <v>0.5</v>
      </c>
      <c r="E633" s="6" t="s">
        <v>19</v>
      </c>
      <c r="F633" s="6" t="str">
        <f>MID(A633,19,1)</f>
        <v>N</v>
      </c>
      <c r="G633" s="6">
        <v>-23.352916238069671</v>
      </c>
      <c r="H633" s="6">
        <v>-46.795112004500233</v>
      </c>
      <c r="I633" s="9">
        <v>587.01</v>
      </c>
      <c r="K633" s="6">
        <v>7.14</v>
      </c>
      <c r="L633" s="6">
        <v>70</v>
      </c>
      <c r="N633" s="1">
        <f t="shared" si="73"/>
        <v>0</v>
      </c>
      <c r="O633" s="6" t="s">
        <v>20</v>
      </c>
      <c r="Q633" s="6" t="s">
        <v>21</v>
      </c>
      <c r="R633" s="6" t="s">
        <v>21</v>
      </c>
      <c r="S633" s="6" t="s">
        <v>21</v>
      </c>
      <c r="T633" s="6" t="s">
        <v>21</v>
      </c>
      <c r="U633" s="6">
        <f t="shared" si="74"/>
        <v>410.90699999999998</v>
      </c>
      <c r="V633" s="6">
        <f t="shared" ref="V633:V637" si="81">(I633*(L633/100))</f>
        <v>410.90699999999998</v>
      </c>
    </row>
    <row r="634" spans="1:22" x14ac:dyDescent="0.35">
      <c r="A634" s="6" t="s">
        <v>720</v>
      </c>
      <c r="B634" s="6" t="s">
        <v>718</v>
      </c>
      <c r="C634" s="6" t="s">
        <v>719</v>
      </c>
      <c r="D634" s="6">
        <f t="shared" si="76"/>
        <v>0.5</v>
      </c>
      <c r="E634" s="6" t="s">
        <v>19</v>
      </c>
      <c r="F634" s="6" t="str">
        <f>MID(A634,19,1)</f>
        <v>N</v>
      </c>
      <c r="G634" s="6">
        <v>-23.354727815032831</v>
      </c>
      <c r="H634" s="6">
        <v>-46.792727970415868</v>
      </c>
      <c r="I634" s="9">
        <v>1946.41</v>
      </c>
      <c r="K634" s="6">
        <v>13.3</v>
      </c>
      <c r="L634" s="6">
        <v>20</v>
      </c>
      <c r="N634" s="1">
        <f t="shared" si="73"/>
        <v>0</v>
      </c>
      <c r="O634" s="6" t="s">
        <v>20</v>
      </c>
      <c r="Q634" s="6" t="s">
        <v>21</v>
      </c>
      <c r="R634" s="6" t="s">
        <v>21</v>
      </c>
      <c r="S634" s="6" t="s">
        <v>21</v>
      </c>
      <c r="T634" s="6" t="s">
        <v>21</v>
      </c>
      <c r="U634" s="6">
        <f t="shared" si="74"/>
        <v>389.28200000000004</v>
      </c>
      <c r="V634" s="6">
        <f t="shared" si="81"/>
        <v>389.28200000000004</v>
      </c>
    </row>
    <row r="635" spans="1:22" hidden="1" x14ac:dyDescent="0.35">
      <c r="A635" s="6" t="s">
        <v>721</v>
      </c>
      <c r="B635" s="6" t="s">
        <v>718</v>
      </c>
      <c r="C635" s="6" t="s">
        <v>719</v>
      </c>
      <c r="D635" s="6">
        <f t="shared" si="76"/>
        <v>0.5</v>
      </c>
      <c r="E635" s="6" t="s">
        <v>23</v>
      </c>
      <c r="F635" s="6" t="str">
        <f>MID(A635,19,1)</f>
        <v>C</v>
      </c>
      <c r="G635" s="6">
        <v>-23.355239134529089</v>
      </c>
      <c r="H635" s="6">
        <v>-46.793056215008548</v>
      </c>
      <c r="I635" s="7">
        <v>2018.39</v>
      </c>
      <c r="J635" s="9">
        <f>I635/500</f>
        <v>4.0367800000000003</v>
      </c>
      <c r="K635" s="6">
        <v>13.07</v>
      </c>
      <c r="L635" s="6">
        <v>50</v>
      </c>
      <c r="N635" s="1">
        <f t="shared" si="73"/>
        <v>0</v>
      </c>
      <c r="O635" s="6" t="s">
        <v>20</v>
      </c>
      <c r="Q635" s="6" t="s">
        <v>21</v>
      </c>
      <c r="R635" s="6" t="s">
        <v>21</v>
      </c>
      <c r="S635" s="6" t="s">
        <v>21</v>
      </c>
      <c r="T635" s="6" t="s">
        <v>21</v>
      </c>
      <c r="U635" s="6">
        <f t="shared" si="74"/>
        <v>1009.1950000000001</v>
      </c>
      <c r="V635" s="6">
        <f t="shared" si="81"/>
        <v>1009.1950000000001</v>
      </c>
    </row>
    <row r="636" spans="1:22" x14ac:dyDescent="0.35">
      <c r="A636" s="6" t="s">
        <v>722</v>
      </c>
      <c r="B636" s="6" t="s">
        <v>718</v>
      </c>
      <c r="C636" s="6" t="s">
        <v>719</v>
      </c>
      <c r="D636" s="6">
        <f t="shared" si="76"/>
        <v>0.5</v>
      </c>
      <c r="E636" s="6" t="s">
        <v>19</v>
      </c>
      <c r="F636" s="6" t="str">
        <f>MID(A636,19,1)</f>
        <v>N</v>
      </c>
      <c r="G636" s="6">
        <v>-23.354918972856559</v>
      </c>
      <c r="H636" s="6">
        <v>-46.79309873745941</v>
      </c>
      <c r="I636" s="9">
        <v>6658.1</v>
      </c>
      <c r="K636" s="6">
        <v>7.79</v>
      </c>
      <c r="L636" s="6">
        <v>70</v>
      </c>
      <c r="N636" s="1">
        <f t="shared" si="73"/>
        <v>0</v>
      </c>
      <c r="O636" s="6" t="s">
        <v>185</v>
      </c>
      <c r="Q636" s="6" t="s">
        <v>21</v>
      </c>
      <c r="R636" s="6" t="s">
        <v>21</v>
      </c>
      <c r="S636" s="6" t="s">
        <v>21</v>
      </c>
      <c r="T636" s="6" t="s">
        <v>21</v>
      </c>
      <c r="U636" s="6">
        <f t="shared" si="74"/>
        <v>4660.67</v>
      </c>
      <c r="V636" s="6">
        <f t="shared" si="81"/>
        <v>4660.67</v>
      </c>
    </row>
    <row r="637" spans="1:22" hidden="1" x14ac:dyDescent="0.35">
      <c r="A637" s="6" t="s">
        <v>723</v>
      </c>
      <c r="B637" s="6" t="s">
        <v>718</v>
      </c>
      <c r="C637" s="6" t="s">
        <v>719</v>
      </c>
      <c r="D637" s="6">
        <f t="shared" si="76"/>
        <v>0.5</v>
      </c>
      <c r="E637" s="6" t="s">
        <v>23</v>
      </c>
      <c r="F637" s="6" t="str">
        <f>MID(A637,19,1)</f>
        <v>C</v>
      </c>
      <c r="G637" s="6">
        <v>-23.35254487767439</v>
      </c>
      <c r="H637" s="6">
        <v>-46.797070832721523</v>
      </c>
      <c r="I637" s="7">
        <v>1979.93</v>
      </c>
      <c r="J637" s="9">
        <f>I637/500</f>
        <v>3.9598599999999999</v>
      </c>
      <c r="K637" s="6">
        <v>5.73</v>
      </c>
      <c r="L637" s="6">
        <v>50</v>
      </c>
      <c r="N637" s="1">
        <f t="shared" si="73"/>
        <v>0</v>
      </c>
      <c r="O637" s="6" t="s">
        <v>20</v>
      </c>
      <c r="Q637" s="6" t="s">
        <v>21</v>
      </c>
      <c r="R637" s="6" t="s">
        <v>21</v>
      </c>
      <c r="S637" s="6" t="s">
        <v>21</v>
      </c>
      <c r="T637" s="6" t="s">
        <v>21</v>
      </c>
      <c r="U637" s="6">
        <f t="shared" si="74"/>
        <v>989.96500000000003</v>
      </c>
      <c r="V637" s="6">
        <f t="shared" si="81"/>
        <v>989.96500000000003</v>
      </c>
    </row>
    <row r="638" spans="1:22" hidden="1" x14ac:dyDescent="0.35">
      <c r="A638" s="8" t="s">
        <v>724</v>
      </c>
      <c r="B638" s="8" t="s">
        <v>718</v>
      </c>
      <c r="C638" s="8" t="s">
        <v>719</v>
      </c>
      <c r="D638" s="6">
        <f t="shared" si="76"/>
        <v>0.5</v>
      </c>
      <c r="E638" s="8" t="s">
        <v>19</v>
      </c>
      <c r="F638" s="6" t="str">
        <f>MID(A638,19,1)</f>
        <v>S</v>
      </c>
      <c r="G638" s="8">
        <v>-23.377583807271471</v>
      </c>
      <c r="H638" s="8">
        <v>-46.839569377048029</v>
      </c>
      <c r="I638" s="7">
        <v>1970.17</v>
      </c>
      <c r="J638" s="7"/>
      <c r="K638" s="8">
        <v>7.71</v>
      </c>
      <c r="L638" s="8">
        <v>60</v>
      </c>
      <c r="M638" s="8"/>
      <c r="N638" s="11">
        <f t="shared" si="73"/>
        <v>1182.1020000000001</v>
      </c>
      <c r="O638" s="8" t="s">
        <v>25</v>
      </c>
      <c r="P638" s="8"/>
      <c r="Q638" s="8" t="s">
        <v>21</v>
      </c>
      <c r="R638" s="8" t="s">
        <v>21</v>
      </c>
      <c r="S638" s="8" t="s">
        <v>21</v>
      </c>
      <c r="T638" s="8" t="s">
        <v>26</v>
      </c>
      <c r="U638" s="6">
        <f t="shared" si="74"/>
        <v>0</v>
      </c>
    </row>
    <row r="639" spans="1:22" hidden="1" x14ac:dyDescent="0.35">
      <c r="A639" s="6" t="s">
        <v>725</v>
      </c>
      <c r="B639" s="6" t="s">
        <v>718</v>
      </c>
      <c r="C639" s="6" t="s">
        <v>719</v>
      </c>
      <c r="D639" s="6">
        <f t="shared" si="76"/>
        <v>0.5</v>
      </c>
      <c r="E639" s="6" t="s">
        <v>23</v>
      </c>
      <c r="F639" s="6" t="str">
        <f>MID(A639,19,1)</f>
        <v>C</v>
      </c>
      <c r="G639" s="6">
        <v>-23.352356636900218</v>
      </c>
      <c r="H639" s="6">
        <v>-46.796838346231347</v>
      </c>
      <c r="I639" s="7">
        <v>7852.08</v>
      </c>
      <c r="J639" s="9">
        <f>I639/500</f>
        <v>15.70416</v>
      </c>
      <c r="K639" s="6">
        <v>4.72</v>
      </c>
      <c r="L639" s="6">
        <v>60</v>
      </c>
      <c r="N639" s="1">
        <f t="shared" si="73"/>
        <v>0</v>
      </c>
      <c r="O639" s="6" t="s">
        <v>185</v>
      </c>
      <c r="Q639" s="6" t="s">
        <v>21</v>
      </c>
      <c r="R639" s="6" t="s">
        <v>21</v>
      </c>
      <c r="S639" s="6" t="s">
        <v>21</v>
      </c>
      <c r="T639" s="6" t="s">
        <v>21</v>
      </c>
      <c r="U639" s="6">
        <f t="shared" si="74"/>
        <v>4711.2479999999996</v>
      </c>
      <c r="V639" s="6">
        <f>(I639*(L639/100))</f>
        <v>4711.2479999999996</v>
      </c>
    </row>
    <row r="640" spans="1:22" x14ac:dyDescent="0.35">
      <c r="A640" s="8" t="s">
        <v>726</v>
      </c>
      <c r="B640" s="8" t="s">
        <v>718</v>
      </c>
      <c r="C640" s="8" t="s">
        <v>719</v>
      </c>
      <c r="D640" s="6">
        <f t="shared" si="76"/>
        <v>0.5</v>
      </c>
      <c r="E640" s="8" t="s">
        <v>19</v>
      </c>
      <c r="F640" s="6" t="str">
        <f>MID(A640,19,1)</f>
        <v>N</v>
      </c>
      <c r="G640" s="8">
        <v>-23.377492410750989</v>
      </c>
      <c r="H640" s="8">
        <v>-46.839264059438101</v>
      </c>
      <c r="I640" s="7">
        <v>2023.59</v>
      </c>
      <c r="J640" s="7"/>
      <c r="K640" s="8">
        <v>13.28</v>
      </c>
      <c r="L640" s="8">
        <v>60</v>
      </c>
      <c r="M640" s="8"/>
      <c r="N640" s="11">
        <f t="shared" si="73"/>
        <v>1214.154</v>
      </c>
      <c r="O640" s="8" t="s">
        <v>25</v>
      </c>
      <c r="P640" s="8" t="s">
        <v>727</v>
      </c>
      <c r="Q640" s="8" t="s">
        <v>21</v>
      </c>
      <c r="R640" s="8" t="s">
        <v>21</v>
      </c>
      <c r="S640" s="8" t="s">
        <v>21</v>
      </c>
      <c r="T640" s="8" t="s">
        <v>26</v>
      </c>
      <c r="U640" s="6">
        <f t="shared" si="74"/>
        <v>0</v>
      </c>
    </row>
    <row r="641" spans="1:22" hidden="1" x14ac:dyDescent="0.35">
      <c r="A641" s="8" t="s">
        <v>728</v>
      </c>
      <c r="B641" s="8" t="s">
        <v>718</v>
      </c>
      <c r="C641" s="8" t="s">
        <v>719</v>
      </c>
      <c r="D641" s="6">
        <f t="shared" si="76"/>
        <v>0.5</v>
      </c>
      <c r="E641" s="8" t="s">
        <v>19</v>
      </c>
      <c r="F641" s="6" t="str">
        <f>MID(A641,19,1)</f>
        <v>S</v>
      </c>
      <c r="G641" s="8">
        <v>-23.374427710384971</v>
      </c>
      <c r="H641" s="8">
        <v>-46.842250889972348</v>
      </c>
      <c r="I641" s="7">
        <v>1707.6</v>
      </c>
      <c r="J641" s="7"/>
      <c r="K641" s="8">
        <v>8.1199999999999992</v>
      </c>
      <c r="L641" s="8">
        <v>60</v>
      </c>
      <c r="M641" s="8"/>
      <c r="N641" s="11">
        <f t="shared" si="73"/>
        <v>1024.56</v>
      </c>
      <c r="O641" s="8" t="s">
        <v>25</v>
      </c>
      <c r="P641" s="8"/>
      <c r="Q641" s="8" t="s">
        <v>21</v>
      </c>
      <c r="R641" s="8" t="s">
        <v>21</v>
      </c>
      <c r="S641" s="8" t="s">
        <v>21</v>
      </c>
      <c r="T641" s="8" t="s">
        <v>26</v>
      </c>
      <c r="U641" s="6">
        <f t="shared" si="74"/>
        <v>0</v>
      </c>
    </row>
    <row r="642" spans="1:22" x14ac:dyDescent="0.35">
      <c r="A642" s="6" t="s">
        <v>729</v>
      </c>
      <c r="B642" s="6" t="s">
        <v>718</v>
      </c>
      <c r="C642" s="6" t="s">
        <v>719</v>
      </c>
      <c r="D642" s="6">
        <f t="shared" si="76"/>
        <v>0.5</v>
      </c>
      <c r="E642" s="6" t="s">
        <v>19</v>
      </c>
      <c r="F642" s="6" t="str">
        <f>MID(A642,19,1)</f>
        <v>N</v>
      </c>
      <c r="G642" s="6">
        <v>-23.35611306426005</v>
      </c>
      <c r="H642" s="6">
        <v>-46.791056772836697</v>
      </c>
      <c r="I642" s="9">
        <v>612.55999999999995</v>
      </c>
      <c r="K642" s="6">
        <v>5.03</v>
      </c>
      <c r="L642" s="6">
        <v>70</v>
      </c>
      <c r="N642" s="1">
        <f t="shared" ref="N642:N705" si="82">IF(OR(R642="Sim",S642="Sim",T642="Sim"),(L642/100)*I642,0)</f>
        <v>0</v>
      </c>
      <c r="O642" s="6" t="s">
        <v>185</v>
      </c>
      <c r="Q642" s="6" t="s">
        <v>21</v>
      </c>
      <c r="R642" s="6" t="s">
        <v>21</v>
      </c>
      <c r="S642" s="6" t="s">
        <v>21</v>
      </c>
      <c r="T642" s="6" t="s">
        <v>21</v>
      </c>
      <c r="U642" s="6">
        <f t="shared" si="74"/>
        <v>428.79199999999992</v>
      </c>
      <c r="V642" s="6">
        <f t="shared" ref="V642:V645" si="83">(I642*(L642/100))</f>
        <v>428.79199999999992</v>
      </c>
    </row>
    <row r="643" spans="1:22" x14ac:dyDescent="0.35">
      <c r="A643" s="6" t="s">
        <v>730</v>
      </c>
      <c r="B643" s="6" t="s">
        <v>718</v>
      </c>
      <c r="C643" s="6" t="s">
        <v>719</v>
      </c>
      <c r="D643" s="6">
        <f t="shared" si="76"/>
        <v>0.5</v>
      </c>
      <c r="E643" s="6" t="s">
        <v>19</v>
      </c>
      <c r="F643" s="6" t="str">
        <f>MID(A643,19,1)</f>
        <v>N</v>
      </c>
      <c r="G643" s="6">
        <v>-23.35123529133298</v>
      </c>
      <c r="H643" s="6">
        <v>-46.798126266414613</v>
      </c>
      <c r="I643" s="9">
        <v>726.52</v>
      </c>
      <c r="K643" s="6">
        <v>5.99</v>
      </c>
      <c r="L643" s="6">
        <v>70</v>
      </c>
      <c r="N643" s="1">
        <f t="shared" si="82"/>
        <v>0</v>
      </c>
      <c r="O643" s="6" t="s">
        <v>20</v>
      </c>
      <c r="Q643" s="6" t="s">
        <v>21</v>
      </c>
      <c r="R643" s="6" t="s">
        <v>21</v>
      </c>
      <c r="S643" s="6" t="s">
        <v>21</v>
      </c>
      <c r="T643" s="6" t="s">
        <v>21</v>
      </c>
      <c r="U643" s="6">
        <f t="shared" ref="U643:U706" si="84">IF(N643=0,(I643*(L643/100)),0)</f>
        <v>508.56399999999996</v>
      </c>
      <c r="V643" s="6">
        <f t="shared" si="83"/>
        <v>508.56399999999996</v>
      </c>
    </row>
    <row r="644" spans="1:22" x14ac:dyDescent="0.35">
      <c r="A644" s="6" t="s">
        <v>731</v>
      </c>
      <c r="B644" s="6" t="s">
        <v>718</v>
      </c>
      <c r="C644" s="6" t="s">
        <v>719</v>
      </c>
      <c r="D644" s="6">
        <f t="shared" si="76"/>
        <v>0.5</v>
      </c>
      <c r="E644" s="6" t="s">
        <v>19</v>
      </c>
      <c r="F644" s="6" t="str">
        <f>MID(A644,19,1)</f>
        <v>N</v>
      </c>
      <c r="G644" s="6">
        <v>-23.351824942435929</v>
      </c>
      <c r="H644" s="6">
        <v>-46.79674393123824</v>
      </c>
      <c r="I644" s="9">
        <v>8229.82</v>
      </c>
      <c r="K644" s="6">
        <v>5.48</v>
      </c>
      <c r="L644" s="6">
        <v>70</v>
      </c>
      <c r="N644" s="1">
        <f t="shared" si="82"/>
        <v>0</v>
      </c>
      <c r="O644" s="6" t="s">
        <v>20</v>
      </c>
      <c r="Q644" s="6" t="s">
        <v>21</v>
      </c>
      <c r="R644" s="6" t="s">
        <v>21</v>
      </c>
      <c r="S644" s="6" t="s">
        <v>21</v>
      </c>
      <c r="T644" s="6" t="s">
        <v>21</v>
      </c>
      <c r="U644" s="6">
        <f t="shared" si="84"/>
        <v>5760.8739999999998</v>
      </c>
      <c r="V644" s="6">
        <f t="shared" si="83"/>
        <v>5760.8739999999998</v>
      </c>
    </row>
    <row r="645" spans="1:22" hidden="1" x14ac:dyDescent="0.35">
      <c r="A645" s="6" t="s">
        <v>732</v>
      </c>
      <c r="B645" s="6" t="s">
        <v>718</v>
      </c>
      <c r="C645" s="6" t="s">
        <v>719</v>
      </c>
      <c r="D645" s="6">
        <f t="shared" si="76"/>
        <v>0.5</v>
      </c>
      <c r="E645" s="6" t="s">
        <v>19</v>
      </c>
      <c r="F645" s="6" t="str">
        <f>MID(A645,19,1)</f>
        <v>S</v>
      </c>
      <c r="G645" s="6">
        <v>-23.379524772586489</v>
      </c>
      <c r="H645" s="6">
        <v>-46.838815651358523</v>
      </c>
      <c r="I645" s="9">
        <v>436.05</v>
      </c>
      <c r="K645" s="6">
        <v>9</v>
      </c>
      <c r="L645" s="6">
        <v>80</v>
      </c>
      <c r="N645" s="1">
        <f t="shared" si="82"/>
        <v>0</v>
      </c>
      <c r="O645" s="6" t="s">
        <v>20</v>
      </c>
      <c r="Q645" s="6" t="s">
        <v>21</v>
      </c>
      <c r="R645" s="6" t="s">
        <v>21</v>
      </c>
      <c r="S645" s="6" t="s">
        <v>21</v>
      </c>
      <c r="T645" s="6" t="s">
        <v>21</v>
      </c>
      <c r="U645" s="6">
        <f t="shared" si="84"/>
        <v>348.84000000000003</v>
      </c>
      <c r="V645" s="6">
        <f t="shared" si="83"/>
        <v>348.84000000000003</v>
      </c>
    </row>
    <row r="646" spans="1:22" x14ac:dyDescent="0.35">
      <c r="A646" s="8" t="s">
        <v>733</v>
      </c>
      <c r="B646" s="8" t="s">
        <v>718</v>
      </c>
      <c r="C646" s="8" t="s">
        <v>719</v>
      </c>
      <c r="D646" s="6">
        <f t="shared" si="76"/>
        <v>0.5</v>
      </c>
      <c r="E646" s="8" t="s">
        <v>19</v>
      </c>
      <c r="F646" s="6" t="str">
        <f>MID(A646,19,1)</f>
        <v>N</v>
      </c>
      <c r="G646" s="8">
        <v>-23.37428969461644</v>
      </c>
      <c r="H646" s="8">
        <v>-46.841995087625953</v>
      </c>
      <c r="I646" s="7">
        <v>1713.79</v>
      </c>
      <c r="J646" s="7"/>
      <c r="K646" s="8">
        <v>11.44</v>
      </c>
      <c r="L646" s="8">
        <v>60</v>
      </c>
      <c r="M646" s="8"/>
      <c r="N646" s="11">
        <f t="shared" si="82"/>
        <v>1028.2739999999999</v>
      </c>
      <c r="O646" s="8" t="s">
        <v>25</v>
      </c>
      <c r="P646" s="8"/>
      <c r="Q646" s="8" t="s">
        <v>21</v>
      </c>
      <c r="R646" s="8" t="s">
        <v>21</v>
      </c>
      <c r="S646" s="8" t="s">
        <v>21</v>
      </c>
      <c r="T646" s="8" t="s">
        <v>26</v>
      </c>
      <c r="U646" s="6">
        <f t="shared" si="84"/>
        <v>0</v>
      </c>
    </row>
    <row r="647" spans="1:22" hidden="1" x14ac:dyDescent="0.35">
      <c r="A647" s="6" t="s">
        <v>734</v>
      </c>
      <c r="B647" s="6" t="s">
        <v>735</v>
      </c>
      <c r="C647" s="6" t="s">
        <v>736</v>
      </c>
      <c r="D647" s="6">
        <f t="shared" si="76"/>
        <v>0.5</v>
      </c>
      <c r="E647" s="6" t="s">
        <v>19</v>
      </c>
      <c r="F647" s="6" t="str">
        <f>MID(A647,19,1)</f>
        <v>S</v>
      </c>
      <c r="G647" s="6">
        <v>-23.35135557386235</v>
      </c>
      <c r="H647" s="6">
        <v>-46.801826911606383</v>
      </c>
      <c r="I647" s="9">
        <v>1920.64</v>
      </c>
      <c r="K647" s="6">
        <v>6.89</v>
      </c>
      <c r="L647" s="6">
        <v>50</v>
      </c>
      <c r="N647" s="1">
        <f t="shared" si="82"/>
        <v>0</v>
      </c>
      <c r="O647" s="6" t="s">
        <v>20</v>
      </c>
      <c r="Q647" s="6" t="s">
        <v>21</v>
      </c>
      <c r="R647" s="6" t="s">
        <v>21</v>
      </c>
      <c r="S647" s="6" t="s">
        <v>21</v>
      </c>
      <c r="T647" s="6" t="s">
        <v>21</v>
      </c>
      <c r="U647" s="6">
        <f t="shared" si="84"/>
        <v>960.32</v>
      </c>
      <c r="V647" s="6">
        <f t="shared" ref="V647:V653" si="85">(I647*(L647/100))</f>
        <v>960.32</v>
      </c>
    </row>
    <row r="648" spans="1:22" hidden="1" x14ac:dyDescent="0.35">
      <c r="A648" s="6" t="s">
        <v>737</v>
      </c>
      <c r="B648" s="6" t="s">
        <v>735</v>
      </c>
      <c r="C648" s="6" t="s">
        <v>736</v>
      </c>
      <c r="D648" s="6">
        <f t="shared" si="76"/>
        <v>0.5</v>
      </c>
      <c r="E648" s="6" t="s">
        <v>19</v>
      </c>
      <c r="F648" s="6" t="str">
        <f>MID(A648,19,1)</f>
        <v>S</v>
      </c>
      <c r="G648" s="6">
        <v>-23.369838953442908</v>
      </c>
      <c r="H648" s="6">
        <v>-46.845026642450691</v>
      </c>
      <c r="I648" s="9">
        <v>360.53</v>
      </c>
      <c r="K648" s="6">
        <v>14.44</v>
      </c>
      <c r="L648" s="6">
        <v>0</v>
      </c>
      <c r="N648" s="1">
        <f t="shared" si="82"/>
        <v>0</v>
      </c>
      <c r="Q648" s="6" t="s">
        <v>21</v>
      </c>
      <c r="R648" s="6" t="s">
        <v>21</v>
      </c>
      <c r="S648" s="6" t="s">
        <v>21</v>
      </c>
      <c r="T648" s="6" t="s">
        <v>21</v>
      </c>
      <c r="U648" s="6">
        <f t="shared" si="84"/>
        <v>0</v>
      </c>
      <c r="V648" s="6">
        <f t="shared" si="85"/>
        <v>0</v>
      </c>
    </row>
    <row r="649" spans="1:22" hidden="1" x14ac:dyDescent="0.35">
      <c r="A649" s="6" t="s">
        <v>738</v>
      </c>
      <c r="B649" s="6" t="s">
        <v>735</v>
      </c>
      <c r="C649" s="6" t="s">
        <v>736</v>
      </c>
      <c r="D649" s="6">
        <f t="shared" si="76"/>
        <v>0.5</v>
      </c>
      <c r="E649" s="6" t="s">
        <v>19</v>
      </c>
      <c r="F649" s="6" t="str">
        <f>MID(A649,19,1)</f>
        <v>S</v>
      </c>
      <c r="G649" s="6">
        <v>-23.350657111506731</v>
      </c>
      <c r="H649" s="6">
        <v>-46.806971308622053</v>
      </c>
      <c r="I649" s="9">
        <v>2317</v>
      </c>
      <c r="K649" s="6">
        <v>7.06</v>
      </c>
      <c r="L649" s="6">
        <v>50</v>
      </c>
      <c r="N649" s="1">
        <f t="shared" si="82"/>
        <v>0</v>
      </c>
      <c r="O649" s="6" t="s">
        <v>20</v>
      </c>
      <c r="Q649" s="6" t="s">
        <v>21</v>
      </c>
      <c r="R649" s="6" t="s">
        <v>21</v>
      </c>
      <c r="S649" s="6" t="s">
        <v>21</v>
      </c>
      <c r="T649" s="6" t="s">
        <v>21</v>
      </c>
      <c r="U649" s="6">
        <f t="shared" si="84"/>
        <v>1158.5</v>
      </c>
      <c r="V649" s="6">
        <f t="shared" si="85"/>
        <v>1158.5</v>
      </c>
    </row>
    <row r="650" spans="1:22" hidden="1" x14ac:dyDescent="0.35">
      <c r="A650" s="6" t="s">
        <v>739</v>
      </c>
      <c r="B650" s="6" t="s">
        <v>735</v>
      </c>
      <c r="C650" s="6" t="s">
        <v>736</v>
      </c>
      <c r="D650" s="6">
        <f t="shared" si="76"/>
        <v>0.5</v>
      </c>
      <c r="E650" s="6" t="s">
        <v>19</v>
      </c>
      <c r="F650" s="6" t="str">
        <f>MID(A650,19,1)</f>
        <v>S</v>
      </c>
      <c r="G650" s="6">
        <v>-23.366411562903341</v>
      </c>
      <c r="H650" s="6">
        <v>-46.846111277980647</v>
      </c>
      <c r="I650" s="9">
        <v>2280.39</v>
      </c>
      <c r="K650" s="6">
        <v>10.6</v>
      </c>
      <c r="L650" s="6">
        <v>0</v>
      </c>
      <c r="N650" s="1">
        <f t="shared" si="82"/>
        <v>0</v>
      </c>
      <c r="Q650" s="6" t="s">
        <v>21</v>
      </c>
      <c r="R650" s="6" t="s">
        <v>21</v>
      </c>
      <c r="S650" s="6" t="s">
        <v>21</v>
      </c>
      <c r="T650" s="6" t="s">
        <v>21</v>
      </c>
      <c r="U650" s="6">
        <f t="shared" si="84"/>
        <v>0</v>
      </c>
      <c r="V650" s="6">
        <f t="shared" si="85"/>
        <v>0</v>
      </c>
    </row>
    <row r="651" spans="1:22" x14ac:dyDescent="0.35">
      <c r="A651" s="6" t="s">
        <v>740</v>
      </c>
      <c r="B651" s="6" t="s">
        <v>735</v>
      </c>
      <c r="C651" s="6" t="s">
        <v>736</v>
      </c>
      <c r="D651" s="6">
        <f t="shared" si="76"/>
        <v>0.5</v>
      </c>
      <c r="E651" s="6" t="s">
        <v>19</v>
      </c>
      <c r="F651" s="6" t="str">
        <f>MID(A651,19,1)</f>
        <v>N</v>
      </c>
      <c r="G651" s="6">
        <v>-23.350790810275971</v>
      </c>
      <c r="H651" s="6">
        <v>-46.801516285184768</v>
      </c>
      <c r="I651" s="9">
        <v>2076.5100000000002</v>
      </c>
      <c r="K651" s="6">
        <v>7.99</v>
      </c>
      <c r="L651" s="6">
        <v>70</v>
      </c>
      <c r="N651" s="1">
        <f t="shared" si="82"/>
        <v>0</v>
      </c>
      <c r="O651" s="6" t="s">
        <v>20</v>
      </c>
      <c r="Q651" s="6" t="s">
        <v>21</v>
      </c>
      <c r="R651" s="6" t="s">
        <v>21</v>
      </c>
      <c r="S651" s="6" t="s">
        <v>21</v>
      </c>
      <c r="T651" s="6" t="s">
        <v>21</v>
      </c>
      <c r="U651" s="6">
        <f t="shared" si="84"/>
        <v>1453.557</v>
      </c>
      <c r="V651" s="6">
        <f t="shared" si="85"/>
        <v>1453.557</v>
      </c>
    </row>
    <row r="652" spans="1:22" hidden="1" x14ac:dyDescent="0.35">
      <c r="A652" s="6" t="s">
        <v>741</v>
      </c>
      <c r="B652" s="6" t="s">
        <v>735</v>
      </c>
      <c r="C652" s="6" t="s">
        <v>736</v>
      </c>
      <c r="D652" s="6">
        <f t="shared" si="76"/>
        <v>0.5</v>
      </c>
      <c r="E652" s="6" t="s">
        <v>23</v>
      </c>
      <c r="F652" s="6" t="str">
        <f>MID(A652,19,1)</f>
        <v>C</v>
      </c>
      <c r="G652" s="6">
        <v>-23.350374303084021</v>
      </c>
      <c r="H652" s="6">
        <v>-46.806805278417087</v>
      </c>
      <c r="I652" s="7">
        <v>7837.38</v>
      </c>
      <c r="J652" s="9">
        <f t="shared" ref="J652:J653" si="86">I652/500</f>
        <v>15.674760000000001</v>
      </c>
      <c r="K652" s="6">
        <v>5.18</v>
      </c>
      <c r="L652" s="6">
        <v>70</v>
      </c>
      <c r="N652" s="1">
        <f t="shared" si="82"/>
        <v>0</v>
      </c>
      <c r="O652" s="6" t="s">
        <v>185</v>
      </c>
      <c r="Q652" s="6" t="s">
        <v>21</v>
      </c>
      <c r="R652" s="6" t="s">
        <v>21</v>
      </c>
      <c r="S652" s="6" t="s">
        <v>21</v>
      </c>
      <c r="T652" s="6" t="s">
        <v>21</v>
      </c>
      <c r="U652" s="6">
        <f t="shared" si="84"/>
        <v>5486.1660000000002</v>
      </c>
      <c r="V652" s="6">
        <f t="shared" si="85"/>
        <v>5486.1660000000002</v>
      </c>
    </row>
    <row r="653" spans="1:22" hidden="1" x14ac:dyDescent="0.35">
      <c r="A653" s="6" t="s">
        <v>742</v>
      </c>
      <c r="B653" s="6" t="s">
        <v>735</v>
      </c>
      <c r="C653" s="6" t="s">
        <v>736</v>
      </c>
      <c r="D653" s="6">
        <f t="shared" si="76"/>
        <v>0.5</v>
      </c>
      <c r="E653" s="6" t="s">
        <v>23</v>
      </c>
      <c r="F653" s="6" t="str">
        <f>MID(A653,19,1)</f>
        <v>C</v>
      </c>
      <c r="G653" s="6">
        <v>-23.351090374476559</v>
      </c>
      <c r="H653" s="6">
        <v>-46.801604846558632</v>
      </c>
      <c r="I653" s="7">
        <v>7587.16</v>
      </c>
      <c r="J653" s="9">
        <f t="shared" si="86"/>
        <v>15.17432</v>
      </c>
      <c r="K653" s="6">
        <v>4.8499999999999996</v>
      </c>
      <c r="L653" s="6">
        <v>60</v>
      </c>
      <c r="N653" s="1">
        <f t="shared" si="82"/>
        <v>0</v>
      </c>
      <c r="O653" s="6" t="s">
        <v>185</v>
      </c>
      <c r="Q653" s="6" t="s">
        <v>21</v>
      </c>
      <c r="R653" s="6" t="s">
        <v>21</v>
      </c>
      <c r="S653" s="6" t="s">
        <v>21</v>
      </c>
      <c r="T653" s="6" t="s">
        <v>21</v>
      </c>
      <c r="U653" s="6">
        <f t="shared" si="84"/>
        <v>4552.2959999999994</v>
      </c>
      <c r="V653" s="6">
        <f t="shared" si="85"/>
        <v>4552.2959999999994</v>
      </c>
    </row>
    <row r="654" spans="1:22" x14ac:dyDescent="0.35">
      <c r="A654" s="8" t="s">
        <v>743</v>
      </c>
      <c r="B654" s="8" t="s">
        <v>735</v>
      </c>
      <c r="C654" s="8" t="s">
        <v>736</v>
      </c>
      <c r="D654" s="6">
        <f t="shared" ref="D654:D717" si="87">C654-B654</f>
        <v>0.5</v>
      </c>
      <c r="E654" s="8" t="s">
        <v>19</v>
      </c>
      <c r="F654" s="6" t="str">
        <f>MID(A654,19,1)</f>
        <v>N</v>
      </c>
      <c r="G654" s="8">
        <v>-23.370879721912509</v>
      </c>
      <c r="H654" s="8">
        <v>-46.844330353891777</v>
      </c>
      <c r="I654" s="7">
        <v>2028.73</v>
      </c>
      <c r="J654" s="7"/>
      <c r="K654" s="8">
        <v>9.5399999999999991</v>
      </c>
      <c r="L654" s="8">
        <v>65</v>
      </c>
      <c r="M654" s="8"/>
      <c r="N654" s="11">
        <f t="shared" si="82"/>
        <v>1318.6745000000001</v>
      </c>
      <c r="O654" s="8" t="s">
        <v>25</v>
      </c>
      <c r="P654" s="8"/>
      <c r="Q654" s="8" t="s">
        <v>21</v>
      </c>
      <c r="R654" s="8" t="s">
        <v>21</v>
      </c>
      <c r="S654" s="8" t="s">
        <v>21</v>
      </c>
      <c r="T654" s="8" t="s">
        <v>26</v>
      </c>
      <c r="U654" s="6">
        <f t="shared" si="84"/>
        <v>0</v>
      </c>
    </row>
    <row r="655" spans="1:22" hidden="1" x14ac:dyDescent="0.35">
      <c r="A655" s="6" t="s">
        <v>744</v>
      </c>
      <c r="B655" s="6" t="s">
        <v>735</v>
      </c>
      <c r="C655" s="6" t="s">
        <v>736</v>
      </c>
      <c r="D655" s="6">
        <f t="shared" si="87"/>
        <v>0.5</v>
      </c>
      <c r="E655" s="6" t="s">
        <v>19</v>
      </c>
      <c r="F655" s="6" t="str">
        <f>MID(A655,19,1)</f>
        <v>S</v>
      </c>
      <c r="G655" s="6">
        <v>-23.3694219678036</v>
      </c>
      <c r="H655" s="6">
        <v>-46.845308020622149</v>
      </c>
      <c r="I655" s="9">
        <v>572.74</v>
      </c>
      <c r="K655" s="6">
        <v>8.85</v>
      </c>
      <c r="L655" s="6">
        <v>0</v>
      </c>
      <c r="N655" s="1">
        <f t="shared" si="82"/>
        <v>0</v>
      </c>
      <c r="Q655" s="6" t="s">
        <v>21</v>
      </c>
      <c r="R655" s="6" t="s">
        <v>21</v>
      </c>
      <c r="S655" s="6" t="s">
        <v>21</v>
      </c>
      <c r="T655" s="6" t="s">
        <v>21</v>
      </c>
      <c r="U655" s="6">
        <f t="shared" si="84"/>
        <v>0</v>
      </c>
      <c r="V655" s="6">
        <f t="shared" ref="V655:V698" si="88">(I655*(L655/100))</f>
        <v>0</v>
      </c>
    </row>
    <row r="656" spans="1:22" x14ac:dyDescent="0.35">
      <c r="A656" s="6" t="s">
        <v>745</v>
      </c>
      <c r="B656" s="6" t="s">
        <v>735</v>
      </c>
      <c r="C656" s="6" t="s">
        <v>736</v>
      </c>
      <c r="D656" s="6">
        <f t="shared" si="87"/>
        <v>0.5</v>
      </c>
      <c r="E656" s="6" t="s">
        <v>19</v>
      </c>
      <c r="F656" s="6" t="str">
        <f>MID(A656,19,1)</f>
        <v>N</v>
      </c>
      <c r="G656" s="6">
        <v>-23.350082842027948</v>
      </c>
      <c r="H656" s="6">
        <v>-46.806732754902797</v>
      </c>
      <c r="I656" s="9">
        <v>2244.3000000000002</v>
      </c>
      <c r="K656" s="6">
        <v>5.38</v>
      </c>
      <c r="L656" s="6">
        <v>60</v>
      </c>
      <c r="N656" s="1">
        <f t="shared" si="82"/>
        <v>0</v>
      </c>
      <c r="O656" s="6" t="s">
        <v>20</v>
      </c>
      <c r="Q656" s="6" t="s">
        <v>21</v>
      </c>
      <c r="R656" s="6" t="s">
        <v>21</v>
      </c>
      <c r="S656" s="6" t="s">
        <v>21</v>
      </c>
      <c r="T656" s="6" t="s">
        <v>21</v>
      </c>
      <c r="U656" s="6">
        <f t="shared" si="84"/>
        <v>1346.5800000000002</v>
      </c>
      <c r="V656" s="6">
        <f t="shared" si="88"/>
        <v>1346.5800000000002</v>
      </c>
    </row>
    <row r="657" spans="1:22" x14ac:dyDescent="0.35">
      <c r="A657" s="6" t="s">
        <v>746</v>
      </c>
      <c r="B657" s="6" t="s">
        <v>735</v>
      </c>
      <c r="C657" s="6" t="s">
        <v>736</v>
      </c>
      <c r="D657" s="6">
        <f t="shared" si="87"/>
        <v>0.5</v>
      </c>
      <c r="E657" s="6" t="s">
        <v>19</v>
      </c>
      <c r="F657" s="6" t="str">
        <f>MID(A657,19,1)</f>
        <v>N</v>
      </c>
      <c r="G657" s="6">
        <v>-23.366288878284841</v>
      </c>
      <c r="H657" s="6">
        <v>-46.845884437494803</v>
      </c>
      <c r="I657" s="9">
        <v>2277.1999999999998</v>
      </c>
      <c r="K657" s="6">
        <v>15.03</v>
      </c>
      <c r="L657" s="6">
        <v>0</v>
      </c>
      <c r="N657" s="1">
        <f t="shared" si="82"/>
        <v>0</v>
      </c>
      <c r="Q657" s="6" t="s">
        <v>21</v>
      </c>
      <c r="R657" s="6" t="s">
        <v>21</v>
      </c>
      <c r="S657" s="6" t="s">
        <v>21</v>
      </c>
      <c r="T657" s="6" t="s">
        <v>21</v>
      </c>
      <c r="U657" s="6">
        <f t="shared" si="84"/>
        <v>0</v>
      </c>
      <c r="V657" s="6">
        <f t="shared" si="88"/>
        <v>0</v>
      </c>
    </row>
    <row r="658" spans="1:22" hidden="1" x14ac:dyDescent="0.35">
      <c r="A658" s="6" t="s">
        <v>747</v>
      </c>
      <c r="B658" s="6" t="s">
        <v>735</v>
      </c>
      <c r="C658" s="6" t="s">
        <v>736</v>
      </c>
      <c r="D658" s="6">
        <f t="shared" si="87"/>
        <v>0.5</v>
      </c>
      <c r="E658" s="6" t="s">
        <v>19</v>
      </c>
      <c r="F658" s="6" t="str">
        <f>MID(A658,19,1)</f>
        <v>S</v>
      </c>
      <c r="G658" s="6">
        <v>-23.371351095562339</v>
      </c>
      <c r="H658" s="6">
        <v>-46.844470515312118</v>
      </c>
      <c r="I658" s="9">
        <v>1731.49</v>
      </c>
      <c r="K658" s="6">
        <v>14.92</v>
      </c>
      <c r="L658" s="6">
        <v>0</v>
      </c>
      <c r="N658" s="1">
        <f t="shared" si="82"/>
        <v>0</v>
      </c>
      <c r="Q658" s="6" t="s">
        <v>21</v>
      </c>
      <c r="R658" s="6" t="s">
        <v>21</v>
      </c>
      <c r="S658" s="6" t="s">
        <v>21</v>
      </c>
      <c r="T658" s="6" t="s">
        <v>21</v>
      </c>
      <c r="U658" s="6">
        <f t="shared" si="84"/>
        <v>0</v>
      </c>
      <c r="V658" s="6">
        <f t="shared" si="88"/>
        <v>0</v>
      </c>
    </row>
    <row r="659" spans="1:22" hidden="1" x14ac:dyDescent="0.35">
      <c r="A659" s="6" t="s">
        <v>748</v>
      </c>
      <c r="B659" s="6" t="s">
        <v>749</v>
      </c>
      <c r="C659" s="6" t="s">
        <v>750</v>
      </c>
      <c r="D659" s="6">
        <f t="shared" si="87"/>
        <v>0.5</v>
      </c>
      <c r="E659" s="6" t="s">
        <v>19</v>
      </c>
      <c r="F659" s="6" t="str">
        <f>MID(A659,19,1)</f>
        <v>S</v>
      </c>
      <c r="G659" s="6">
        <v>-23.34834472708803</v>
      </c>
      <c r="H659" s="6">
        <v>-46.813558008005913</v>
      </c>
      <c r="I659" s="9">
        <v>39.229999999999997</v>
      </c>
      <c r="K659" s="6">
        <v>6.7</v>
      </c>
      <c r="N659" s="1">
        <f t="shared" si="82"/>
        <v>0</v>
      </c>
      <c r="Q659" s="6" t="s">
        <v>21</v>
      </c>
      <c r="R659" s="6" t="s">
        <v>21</v>
      </c>
      <c r="S659" s="6" t="s">
        <v>21</v>
      </c>
      <c r="T659" s="6" t="s">
        <v>21</v>
      </c>
      <c r="U659" s="6">
        <f t="shared" si="84"/>
        <v>0</v>
      </c>
      <c r="V659" s="6">
        <f t="shared" si="88"/>
        <v>0</v>
      </c>
    </row>
    <row r="660" spans="1:22" hidden="1" x14ac:dyDescent="0.35">
      <c r="A660" s="6" t="s">
        <v>751</v>
      </c>
      <c r="B660" s="6" t="s">
        <v>749</v>
      </c>
      <c r="C660" s="6" t="s">
        <v>750</v>
      </c>
      <c r="D660" s="6">
        <f t="shared" si="87"/>
        <v>0.5</v>
      </c>
      <c r="E660" s="6" t="s">
        <v>19</v>
      </c>
      <c r="F660" s="6" t="str">
        <f>MID(A660,19,1)</f>
        <v>S</v>
      </c>
      <c r="G660" s="6">
        <v>-23.3576487877034</v>
      </c>
      <c r="H660" s="6">
        <v>-46.848288405469859</v>
      </c>
      <c r="I660" s="9">
        <v>2096.2199999999998</v>
      </c>
      <c r="K660" s="6">
        <v>2.5299999999999998</v>
      </c>
      <c r="L660" s="6">
        <v>0</v>
      </c>
      <c r="N660" s="1">
        <f t="shared" si="82"/>
        <v>0</v>
      </c>
      <c r="Q660" s="6" t="s">
        <v>21</v>
      </c>
      <c r="R660" s="6" t="s">
        <v>21</v>
      </c>
      <c r="S660" s="6" t="s">
        <v>21</v>
      </c>
      <c r="T660" s="6" t="s">
        <v>21</v>
      </c>
      <c r="U660" s="6">
        <f t="shared" si="84"/>
        <v>0</v>
      </c>
      <c r="V660" s="6">
        <f t="shared" si="88"/>
        <v>0</v>
      </c>
    </row>
    <row r="661" spans="1:22" x14ac:dyDescent="0.35">
      <c r="A661" s="6" t="s">
        <v>752</v>
      </c>
      <c r="B661" s="6" t="s">
        <v>749</v>
      </c>
      <c r="C661" s="6" t="s">
        <v>750</v>
      </c>
      <c r="D661" s="6">
        <f t="shared" si="87"/>
        <v>0.5</v>
      </c>
      <c r="E661" s="6" t="s">
        <v>19</v>
      </c>
      <c r="F661" s="6" t="str">
        <f>MID(A661,19,1)</f>
        <v>N</v>
      </c>
      <c r="G661" s="6">
        <v>-23.362057373078979</v>
      </c>
      <c r="H661" s="6">
        <v>-46.847935188262113</v>
      </c>
      <c r="I661" s="9">
        <v>421.78</v>
      </c>
      <c r="K661" s="6">
        <v>3.92</v>
      </c>
      <c r="L661" s="6">
        <v>0</v>
      </c>
      <c r="N661" s="1">
        <f t="shared" si="82"/>
        <v>0</v>
      </c>
      <c r="Q661" s="6" t="s">
        <v>21</v>
      </c>
      <c r="R661" s="6" t="s">
        <v>21</v>
      </c>
      <c r="S661" s="6" t="s">
        <v>21</v>
      </c>
      <c r="T661" s="6" t="s">
        <v>21</v>
      </c>
      <c r="U661" s="6">
        <f t="shared" si="84"/>
        <v>0</v>
      </c>
      <c r="V661" s="6">
        <f t="shared" si="88"/>
        <v>0</v>
      </c>
    </row>
    <row r="662" spans="1:22" x14ac:dyDescent="0.35">
      <c r="A662" s="6" t="s">
        <v>753</v>
      </c>
      <c r="B662" s="6" t="s">
        <v>749</v>
      </c>
      <c r="C662" s="6" t="s">
        <v>750</v>
      </c>
      <c r="D662" s="6">
        <f t="shared" si="87"/>
        <v>0.5</v>
      </c>
      <c r="E662" s="6" t="s">
        <v>19</v>
      </c>
      <c r="F662" s="6" t="str">
        <f>MID(A662,19,1)</f>
        <v>N</v>
      </c>
      <c r="G662" s="6">
        <v>-23.357281116232031</v>
      </c>
      <c r="H662" s="6">
        <v>-46.847950767198888</v>
      </c>
      <c r="I662" s="9">
        <v>607.14</v>
      </c>
      <c r="K662" s="6">
        <v>1.0900000000000001</v>
      </c>
      <c r="L662" s="6">
        <v>0</v>
      </c>
      <c r="N662" s="1">
        <f t="shared" si="82"/>
        <v>0</v>
      </c>
      <c r="Q662" s="6" t="s">
        <v>21</v>
      </c>
      <c r="R662" s="6" t="s">
        <v>21</v>
      </c>
      <c r="S662" s="6" t="s">
        <v>21</v>
      </c>
      <c r="T662" s="6" t="s">
        <v>21</v>
      </c>
      <c r="U662" s="6">
        <f t="shared" si="84"/>
        <v>0</v>
      </c>
      <c r="V662" s="6">
        <f t="shared" si="88"/>
        <v>0</v>
      </c>
    </row>
    <row r="663" spans="1:22" x14ac:dyDescent="0.35">
      <c r="A663" s="6" t="s">
        <v>754</v>
      </c>
      <c r="B663" s="6" t="s">
        <v>749</v>
      </c>
      <c r="C663" s="6" t="s">
        <v>750</v>
      </c>
      <c r="D663" s="6">
        <f t="shared" si="87"/>
        <v>0.5</v>
      </c>
      <c r="E663" s="6" t="s">
        <v>19</v>
      </c>
      <c r="F663" s="6" t="str">
        <f>MID(A663,19,1)</f>
        <v>N</v>
      </c>
      <c r="G663" s="6">
        <v>-23.355877538317181</v>
      </c>
      <c r="H663" s="6">
        <v>-46.847564421412798</v>
      </c>
      <c r="I663" s="9">
        <v>751.9</v>
      </c>
      <c r="K663" s="6">
        <v>2.94</v>
      </c>
      <c r="L663" s="6">
        <v>0</v>
      </c>
      <c r="N663" s="1">
        <f t="shared" si="82"/>
        <v>0</v>
      </c>
      <c r="Q663" s="6" t="s">
        <v>21</v>
      </c>
      <c r="R663" s="6" t="s">
        <v>21</v>
      </c>
      <c r="S663" s="6" t="s">
        <v>21</v>
      </c>
      <c r="T663" s="6" t="s">
        <v>21</v>
      </c>
      <c r="U663" s="6">
        <f t="shared" si="84"/>
        <v>0</v>
      </c>
      <c r="V663" s="6">
        <f t="shared" si="88"/>
        <v>0</v>
      </c>
    </row>
    <row r="664" spans="1:22" hidden="1" x14ac:dyDescent="0.35">
      <c r="A664" s="6" t="s">
        <v>755</v>
      </c>
      <c r="B664" s="6" t="s">
        <v>749</v>
      </c>
      <c r="C664" s="6" t="s">
        <v>750</v>
      </c>
      <c r="D664" s="6">
        <f t="shared" si="87"/>
        <v>0.5</v>
      </c>
      <c r="E664" s="6" t="s">
        <v>23</v>
      </c>
      <c r="F664" s="6" t="str">
        <f>MID(A664,19,1)</f>
        <v>C</v>
      </c>
      <c r="G664" s="6">
        <v>-23.344941694175581</v>
      </c>
      <c r="H664" s="6">
        <v>-46.815119890895389</v>
      </c>
      <c r="I664" s="7">
        <v>3314.47</v>
      </c>
      <c r="J664" s="9">
        <f>I664/500</f>
        <v>6.6289399999999992</v>
      </c>
      <c r="K664" s="6">
        <v>7.53</v>
      </c>
      <c r="L664" s="6">
        <v>0</v>
      </c>
      <c r="N664" s="1">
        <f t="shared" si="82"/>
        <v>0</v>
      </c>
      <c r="Q664" s="6" t="s">
        <v>21</v>
      </c>
      <c r="R664" s="6" t="s">
        <v>21</v>
      </c>
      <c r="S664" s="6" t="s">
        <v>21</v>
      </c>
      <c r="T664" s="6" t="s">
        <v>21</v>
      </c>
      <c r="U664" s="6">
        <f t="shared" si="84"/>
        <v>0</v>
      </c>
      <c r="V664" s="6">
        <f t="shared" si="88"/>
        <v>0</v>
      </c>
    </row>
    <row r="665" spans="1:22" x14ac:dyDescent="0.35">
      <c r="A665" s="6" t="s">
        <v>756</v>
      </c>
      <c r="B665" s="6" t="s">
        <v>749</v>
      </c>
      <c r="C665" s="6" t="s">
        <v>750</v>
      </c>
      <c r="D665" s="6">
        <f t="shared" si="87"/>
        <v>0.5</v>
      </c>
      <c r="E665" s="6" t="s">
        <v>19</v>
      </c>
      <c r="F665" s="6" t="str">
        <f>MID(A665,19,1)</f>
        <v>N</v>
      </c>
      <c r="G665" s="6">
        <v>-23.36182977264993</v>
      </c>
      <c r="H665" s="6">
        <v>-46.848033865797788</v>
      </c>
      <c r="I665" s="9">
        <v>7310.99</v>
      </c>
      <c r="K665" s="6">
        <v>2.4500000000000002</v>
      </c>
      <c r="L665" s="6">
        <v>85</v>
      </c>
      <c r="N665" s="1">
        <f t="shared" si="82"/>
        <v>0</v>
      </c>
      <c r="O665" s="6" t="s">
        <v>20</v>
      </c>
      <c r="Q665" s="6" t="s">
        <v>21</v>
      </c>
      <c r="R665" s="6" t="s">
        <v>21</v>
      </c>
      <c r="S665" s="6" t="s">
        <v>21</v>
      </c>
      <c r="T665" s="6" t="s">
        <v>21</v>
      </c>
      <c r="U665" s="6">
        <f t="shared" si="84"/>
        <v>6214.3414999999995</v>
      </c>
      <c r="V665" s="6">
        <f t="shared" si="88"/>
        <v>6214.3414999999995</v>
      </c>
    </row>
    <row r="666" spans="1:22" x14ac:dyDescent="0.35">
      <c r="A666" s="6" t="s">
        <v>757</v>
      </c>
      <c r="B666" s="6" t="s">
        <v>749</v>
      </c>
      <c r="C666" s="6" t="s">
        <v>750</v>
      </c>
      <c r="D666" s="6">
        <f t="shared" si="87"/>
        <v>0.5</v>
      </c>
      <c r="E666" s="6" t="s">
        <v>19</v>
      </c>
      <c r="F666" s="6" t="str">
        <f>MID(A666,19,1)</f>
        <v>N</v>
      </c>
      <c r="G666" s="6">
        <v>-23.34814912845933</v>
      </c>
      <c r="H666" s="6">
        <v>-46.811136789628947</v>
      </c>
      <c r="I666" s="9">
        <v>1819.04</v>
      </c>
      <c r="K666" s="6">
        <v>12.77</v>
      </c>
      <c r="L666" s="6">
        <v>60</v>
      </c>
      <c r="N666" s="1">
        <f t="shared" si="82"/>
        <v>0</v>
      </c>
      <c r="O666" s="6" t="s">
        <v>20</v>
      </c>
      <c r="Q666" s="6" t="s">
        <v>21</v>
      </c>
      <c r="R666" s="6" t="s">
        <v>21</v>
      </c>
      <c r="S666" s="6" t="s">
        <v>21</v>
      </c>
      <c r="T666" s="6" t="s">
        <v>21</v>
      </c>
      <c r="U666" s="6">
        <f t="shared" si="84"/>
        <v>1091.424</v>
      </c>
      <c r="V666" s="6">
        <f t="shared" si="88"/>
        <v>1091.424</v>
      </c>
    </row>
    <row r="667" spans="1:22" hidden="1" x14ac:dyDescent="0.35">
      <c r="A667" s="6" t="s">
        <v>758</v>
      </c>
      <c r="B667" s="6" t="s">
        <v>749</v>
      </c>
      <c r="C667" s="6" t="s">
        <v>750</v>
      </c>
      <c r="D667" s="6">
        <f t="shared" si="87"/>
        <v>0.5</v>
      </c>
      <c r="E667" s="6" t="s">
        <v>19</v>
      </c>
      <c r="F667" s="6" t="str">
        <f>MID(A667,19,1)</f>
        <v>S</v>
      </c>
      <c r="G667" s="6">
        <v>-23.3458456979609</v>
      </c>
      <c r="H667" s="6">
        <v>-46.814972558905389</v>
      </c>
      <c r="I667" s="9">
        <v>1832.97</v>
      </c>
      <c r="K667" s="6">
        <v>8.9499999999999993</v>
      </c>
      <c r="L667" s="6">
        <v>0</v>
      </c>
      <c r="N667" s="1">
        <f t="shared" si="82"/>
        <v>0</v>
      </c>
      <c r="Q667" s="6" t="s">
        <v>21</v>
      </c>
      <c r="R667" s="6" t="s">
        <v>21</v>
      </c>
      <c r="S667" s="6" t="s">
        <v>21</v>
      </c>
      <c r="T667" s="6" t="s">
        <v>21</v>
      </c>
      <c r="U667" s="6">
        <f t="shared" si="84"/>
        <v>0</v>
      </c>
      <c r="V667" s="6">
        <f t="shared" si="88"/>
        <v>0</v>
      </c>
    </row>
    <row r="668" spans="1:22" x14ac:dyDescent="0.35">
      <c r="A668" s="6" t="s">
        <v>759</v>
      </c>
      <c r="B668" s="6" t="s">
        <v>749</v>
      </c>
      <c r="C668" s="6" t="s">
        <v>750</v>
      </c>
      <c r="D668" s="6">
        <f t="shared" si="87"/>
        <v>0.5</v>
      </c>
      <c r="E668" s="6" t="s">
        <v>19</v>
      </c>
      <c r="F668" s="6" t="str">
        <f>MID(A668,19,1)</f>
        <v>N</v>
      </c>
      <c r="G668" s="6">
        <v>-23.359925534392239</v>
      </c>
      <c r="H668" s="6">
        <v>-46.848291828036373</v>
      </c>
      <c r="I668" s="9">
        <v>54.25</v>
      </c>
      <c r="K668" s="6">
        <v>3.23</v>
      </c>
      <c r="L668" s="6">
        <v>0</v>
      </c>
      <c r="N668" s="1">
        <f t="shared" si="82"/>
        <v>0</v>
      </c>
      <c r="Q668" s="6" t="s">
        <v>21</v>
      </c>
      <c r="R668" s="6" t="s">
        <v>21</v>
      </c>
      <c r="S668" s="6" t="s">
        <v>21</v>
      </c>
      <c r="T668" s="6" t="s">
        <v>21</v>
      </c>
      <c r="U668" s="6">
        <f t="shared" si="84"/>
        <v>0</v>
      </c>
      <c r="V668" s="6">
        <f t="shared" si="88"/>
        <v>0</v>
      </c>
    </row>
    <row r="669" spans="1:22" x14ac:dyDescent="0.35">
      <c r="A669" s="6" t="s">
        <v>760</v>
      </c>
      <c r="B669" s="6" t="s">
        <v>749</v>
      </c>
      <c r="C669" s="6" t="s">
        <v>750</v>
      </c>
      <c r="D669" s="6">
        <f t="shared" si="87"/>
        <v>0.5</v>
      </c>
      <c r="E669" s="6" t="s">
        <v>19</v>
      </c>
      <c r="F669" s="6" t="str">
        <f>MID(A669,19,1)</f>
        <v>N</v>
      </c>
      <c r="G669" s="6">
        <v>-23.34528968236808</v>
      </c>
      <c r="H669" s="6">
        <v>-46.814312744259269</v>
      </c>
      <c r="I669" s="9">
        <v>1784.33</v>
      </c>
      <c r="K669" s="6">
        <v>8.7100000000000009</v>
      </c>
      <c r="L669" s="6">
        <v>30</v>
      </c>
      <c r="N669" s="1">
        <f t="shared" si="82"/>
        <v>0</v>
      </c>
      <c r="O669" s="6" t="s">
        <v>20</v>
      </c>
      <c r="Q669" s="6" t="s">
        <v>21</v>
      </c>
      <c r="R669" s="6" t="s">
        <v>21</v>
      </c>
      <c r="S669" s="6" t="s">
        <v>21</v>
      </c>
      <c r="T669" s="6" t="s">
        <v>21</v>
      </c>
      <c r="U669" s="6">
        <f t="shared" si="84"/>
        <v>535.29899999999998</v>
      </c>
      <c r="V669" s="6">
        <f t="shared" si="88"/>
        <v>535.29899999999998</v>
      </c>
    </row>
    <row r="670" spans="1:22" x14ac:dyDescent="0.35">
      <c r="A670" s="6" t="s">
        <v>761</v>
      </c>
      <c r="B670" s="6" t="s">
        <v>749</v>
      </c>
      <c r="C670" s="6" t="s">
        <v>750</v>
      </c>
      <c r="D670" s="6">
        <f t="shared" si="87"/>
        <v>0.5</v>
      </c>
      <c r="E670" s="6" t="s">
        <v>19</v>
      </c>
      <c r="F670" s="6" t="str">
        <f>MID(A670,19,1)</f>
        <v>N</v>
      </c>
      <c r="G670" s="6">
        <v>-23.355318456327652</v>
      </c>
      <c r="H670" s="6">
        <v>-46.84755829024737</v>
      </c>
      <c r="I670" s="9">
        <v>22.68</v>
      </c>
      <c r="K670" s="6">
        <v>2.62</v>
      </c>
      <c r="L670" s="6">
        <v>0</v>
      </c>
      <c r="N670" s="1">
        <f t="shared" si="82"/>
        <v>0</v>
      </c>
      <c r="Q670" s="6" t="s">
        <v>21</v>
      </c>
      <c r="R670" s="6" t="s">
        <v>21</v>
      </c>
      <c r="S670" s="6" t="s">
        <v>21</v>
      </c>
      <c r="T670" s="6" t="s">
        <v>21</v>
      </c>
      <c r="U670" s="6">
        <f t="shared" si="84"/>
        <v>0</v>
      </c>
      <c r="V670" s="6">
        <f t="shared" si="88"/>
        <v>0</v>
      </c>
    </row>
    <row r="671" spans="1:22" hidden="1" x14ac:dyDescent="0.35">
      <c r="A671" s="6" t="s">
        <v>762</v>
      </c>
      <c r="B671" s="6" t="s">
        <v>749</v>
      </c>
      <c r="C671" s="6" t="s">
        <v>750</v>
      </c>
      <c r="D671" s="6">
        <f t="shared" si="87"/>
        <v>0.5</v>
      </c>
      <c r="E671" s="6" t="s">
        <v>19</v>
      </c>
      <c r="F671" s="6" t="str">
        <f>MID(A671,19,1)</f>
        <v>S</v>
      </c>
      <c r="G671" s="6">
        <v>-23.348789912927611</v>
      </c>
      <c r="H671" s="6">
        <v>-46.811698461820733</v>
      </c>
      <c r="I671" s="9">
        <v>1970.85</v>
      </c>
      <c r="K671" s="6">
        <v>5.56</v>
      </c>
      <c r="L671" s="6">
        <v>0</v>
      </c>
      <c r="N671" s="1">
        <f t="shared" si="82"/>
        <v>0</v>
      </c>
      <c r="Q671" s="6" t="s">
        <v>21</v>
      </c>
      <c r="R671" s="6" t="s">
        <v>21</v>
      </c>
      <c r="S671" s="6" t="s">
        <v>21</v>
      </c>
      <c r="T671" s="6" t="s">
        <v>21</v>
      </c>
      <c r="U671" s="6">
        <f t="shared" si="84"/>
        <v>0</v>
      </c>
      <c r="V671" s="6">
        <f t="shared" si="88"/>
        <v>0</v>
      </c>
    </row>
    <row r="672" spans="1:22" hidden="1" x14ac:dyDescent="0.35">
      <c r="A672" s="6" t="s">
        <v>763</v>
      </c>
      <c r="B672" s="6" t="s">
        <v>749</v>
      </c>
      <c r="C672" s="6" t="s">
        <v>750</v>
      </c>
      <c r="D672" s="6">
        <f t="shared" si="87"/>
        <v>0.5</v>
      </c>
      <c r="E672" s="6" t="s">
        <v>23</v>
      </c>
      <c r="F672" s="6" t="str">
        <f>MID(A672,19,1)</f>
        <v>C</v>
      </c>
      <c r="G672" s="6">
        <v>-23.34930638462556</v>
      </c>
      <c r="H672" s="6">
        <v>-46.810053870693721</v>
      </c>
      <c r="I672" s="7">
        <v>1714</v>
      </c>
      <c r="J672" s="9">
        <f>I672/500</f>
        <v>3.4279999999999999</v>
      </c>
      <c r="K672" s="6">
        <v>9.6999999999999993</v>
      </c>
      <c r="L672" s="6">
        <v>0</v>
      </c>
      <c r="N672" s="1">
        <f t="shared" si="82"/>
        <v>0</v>
      </c>
      <c r="Q672" s="6" t="s">
        <v>21</v>
      </c>
      <c r="R672" s="6" t="s">
        <v>21</v>
      </c>
      <c r="S672" s="6" t="s">
        <v>21</v>
      </c>
      <c r="T672" s="6" t="s">
        <v>21</v>
      </c>
      <c r="U672" s="6">
        <f t="shared" si="84"/>
        <v>0</v>
      </c>
      <c r="V672" s="6">
        <f t="shared" si="88"/>
        <v>0</v>
      </c>
    </row>
    <row r="673" spans="1:22" x14ac:dyDescent="0.35">
      <c r="A673" s="6" t="s">
        <v>764</v>
      </c>
      <c r="B673" s="6" t="s">
        <v>749</v>
      </c>
      <c r="C673" s="6" t="s">
        <v>750</v>
      </c>
      <c r="D673" s="6">
        <f t="shared" si="87"/>
        <v>0.5</v>
      </c>
      <c r="E673" s="6" t="s">
        <v>19</v>
      </c>
      <c r="F673" s="6" t="str">
        <f>MID(A673,19,1)</f>
        <v>N</v>
      </c>
      <c r="G673" s="6">
        <v>-23.35917990805137</v>
      </c>
      <c r="H673" s="6">
        <v>-46.847921183347047</v>
      </c>
      <c r="I673" s="9">
        <v>670.95</v>
      </c>
      <c r="K673" s="6">
        <v>2.58</v>
      </c>
      <c r="L673" s="6">
        <v>0</v>
      </c>
      <c r="N673" s="1">
        <f t="shared" si="82"/>
        <v>0</v>
      </c>
      <c r="Q673" s="6" t="s">
        <v>21</v>
      </c>
      <c r="R673" s="6" t="s">
        <v>21</v>
      </c>
      <c r="S673" s="6" t="s">
        <v>21</v>
      </c>
      <c r="T673" s="6" t="s">
        <v>21</v>
      </c>
      <c r="U673" s="6">
        <f t="shared" si="84"/>
        <v>0</v>
      </c>
      <c r="V673" s="6">
        <f t="shared" si="88"/>
        <v>0</v>
      </c>
    </row>
    <row r="674" spans="1:22" hidden="1" x14ac:dyDescent="0.35">
      <c r="A674" s="6" t="s">
        <v>765</v>
      </c>
      <c r="B674" s="6" t="s">
        <v>749</v>
      </c>
      <c r="C674" s="6" t="s">
        <v>750</v>
      </c>
      <c r="D674" s="6">
        <f t="shared" si="87"/>
        <v>0.5</v>
      </c>
      <c r="E674" s="6" t="s">
        <v>19</v>
      </c>
      <c r="F674" s="6" t="str">
        <f>MID(A674,19,1)</f>
        <v>S</v>
      </c>
      <c r="G674" s="6">
        <v>-23.364161680485498</v>
      </c>
      <c r="H674" s="6">
        <v>-46.84720917273458</v>
      </c>
      <c r="I674" s="9">
        <v>161.26</v>
      </c>
      <c r="K674" s="6">
        <v>9.57</v>
      </c>
      <c r="L674" s="6">
        <v>0</v>
      </c>
      <c r="N674" s="1">
        <f t="shared" si="82"/>
        <v>0</v>
      </c>
      <c r="Q674" s="6" t="s">
        <v>21</v>
      </c>
      <c r="R674" s="6" t="s">
        <v>21</v>
      </c>
      <c r="S674" s="6" t="s">
        <v>21</v>
      </c>
      <c r="T674" s="6" t="s">
        <v>21</v>
      </c>
      <c r="U674" s="6">
        <f t="shared" si="84"/>
        <v>0</v>
      </c>
      <c r="V674" s="6">
        <f t="shared" si="88"/>
        <v>0</v>
      </c>
    </row>
    <row r="675" spans="1:22" hidden="1" x14ac:dyDescent="0.35">
      <c r="A675" s="6" t="s">
        <v>766</v>
      </c>
      <c r="B675" s="6" t="s">
        <v>749</v>
      </c>
      <c r="C675" s="6" t="s">
        <v>750</v>
      </c>
      <c r="D675" s="6">
        <f t="shared" si="87"/>
        <v>0.5</v>
      </c>
      <c r="E675" s="6" t="s">
        <v>19</v>
      </c>
      <c r="F675" s="6" t="str">
        <f>MID(A675,19,1)</f>
        <v>S</v>
      </c>
      <c r="G675" s="6">
        <v>-23.363906622893332</v>
      </c>
      <c r="H675" s="6">
        <v>-46.847325914028723</v>
      </c>
      <c r="I675" s="9">
        <v>1586.89</v>
      </c>
      <c r="K675" s="6">
        <v>6.41</v>
      </c>
      <c r="L675" s="6">
        <v>0</v>
      </c>
      <c r="N675" s="1">
        <f t="shared" si="82"/>
        <v>0</v>
      </c>
      <c r="Q675" s="6" t="s">
        <v>21</v>
      </c>
      <c r="R675" s="6" t="s">
        <v>21</v>
      </c>
      <c r="S675" s="6" t="s">
        <v>21</v>
      </c>
      <c r="T675" s="6" t="s">
        <v>21</v>
      </c>
      <c r="U675" s="6">
        <f t="shared" si="84"/>
        <v>0</v>
      </c>
      <c r="V675" s="6">
        <f t="shared" si="88"/>
        <v>0</v>
      </c>
    </row>
    <row r="676" spans="1:22" hidden="1" x14ac:dyDescent="0.35">
      <c r="A676" s="6" t="s">
        <v>767</v>
      </c>
      <c r="B676" s="6" t="s">
        <v>749</v>
      </c>
      <c r="C676" s="6" t="s">
        <v>750</v>
      </c>
      <c r="D676" s="6">
        <f t="shared" si="87"/>
        <v>0.5</v>
      </c>
      <c r="E676" s="6" t="s">
        <v>23</v>
      </c>
      <c r="F676" s="6" t="str">
        <f>MID(A676,19,1)</f>
        <v>C</v>
      </c>
      <c r="G676" s="6">
        <v>-23.355657521866259</v>
      </c>
      <c r="H676" s="6">
        <v>-46.847682533361997</v>
      </c>
      <c r="I676" s="9">
        <v>593.29999999999995</v>
      </c>
      <c r="J676" s="9">
        <f>I676/500</f>
        <v>1.1865999999999999</v>
      </c>
      <c r="K676" s="6">
        <v>3.84</v>
      </c>
      <c r="L676" s="6">
        <v>70</v>
      </c>
      <c r="N676" s="1">
        <f t="shared" si="82"/>
        <v>0</v>
      </c>
      <c r="O676" s="6" t="s">
        <v>185</v>
      </c>
      <c r="Q676" s="6" t="s">
        <v>21</v>
      </c>
      <c r="R676" s="6" t="s">
        <v>21</v>
      </c>
      <c r="S676" s="6" t="s">
        <v>21</v>
      </c>
      <c r="T676" s="6" t="s">
        <v>21</v>
      </c>
      <c r="U676" s="6">
        <f t="shared" si="84"/>
        <v>415.30999999999995</v>
      </c>
      <c r="V676" s="6">
        <f t="shared" si="88"/>
        <v>415.30999999999995</v>
      </c>
    </row>
    <row r="677" spans="1:22" x14ac:dyDescent="0.35">
      <c r="A677" s="6" t="s">
        <v>768</v>
      </c>
      <c r="B677" s="6" t="s">
        <v>749</v>
      </c>
      <c r="C677" s="6" t="s">
        <v>750</v>
      </c>
      <c r="D677" s="6">
        <f t="shared" si="87"/>
        <v>0.5</v>
      </c>
      <c r="E677" s="6" t="s">
        <v>19</v>
      </c>
      <c r="F677" s="6" t="str">
        <f>MID(A677,19,1)</f>
        <v>N</v>
      </c>
      <c r="G677" s="6">
        <v>-23.359994035931091</v>
      </c>
      <c r="H677" s="6">
        <v>-46.84827716269578</v>
      </c>
      <c r="I677" s="9">
        <v>114.34</v>
      </c>
      <c r="K677" s="6">
        <v>3.23</v>
      </c>
      <c r="L677" s="6">
        <v>0</v>
      </c>
      <c r="N677" s="1">
        <f t="shared" si="82"/>
        <v>0</v>
      </c>
      <c r="Q677" s="6" t="s">
        <v>21</v>
      </c>
      <c r="R677" s="6" t="s">
        <v>21</v>
      </c>
      <c r="S677" s="6" t="s">
        <v>21</v>
      </c>
      <c r="T677" s="6" t="s">
        <v>21</v>
      </c>
      <c r="U677" s="6">
        <f t="shared" si="84"/>
        <v>0</v>
      </c>
      <c r="V677" s="6">
        <f t="shared" si="88"/>
        <v>0</v>
      </c>
    </row>
    <row r="678" spans="1:22" x14ac:dyDescent="0.35">
      <c r="A678" s="6" t="s">
        <v>769</v>
      </c>
      <c r="B678" s="6" t="s">
        <v>749</v>
      </c>
      <c r="C678" s="6" t="s">
        <v>750</v>
      </c>
      <c r="D678" s="6">
        <f t="shared" si="87"/>
        <v>0.5</v>
      </c>
      <c r="E678" s="6" t="s">
        <v>19</v>
      </c>
      <c r="F678" s="6" t="str">
        <f>MID(A678,19,1)</f>
        <v>N</v>
      </c>
      <c r="G678" s="6">
        <v>-23.363599412295532</v>
      </c>
      <c r="H678" s="6">
        <v>-46.847075033572509</v>
      </c>
      <c r="I678" s="9">
        <v>449.08</v>
      </c>
      <c r="K678" s="6">
        <v>3.65</v>
      </c>
      <c r="L678" s="6">
        <v>0</v>
      </c>
      <c r="N678" s="1">
        <f t="shared" si="82"/>
        <v>0</v>
      </c>
      <c r="Q678" s="6" t="s">
        <v>21</v>
      </c>
      <c r="R678" s="6" t="s">
        <v>21</v>
      </c>
      <c r="S678" s="6" t="s">
        <v>21</v>
      </c>
      <c r="T678" s="6" t="s">
        <v>21</v>
      </c>
      <c r="U678" s="6">
        <f t="shared" si="84"/>
        <v>0</v>
      </c>
      <c r="V678" s="6">
        <f t="shared" si="88"/>
        <v>0</v>
      </c>
    </row>
    <row r="679" spans="1:22" x14ac:dyDescent="0.35">
      <c r="A679" s="6" t="s">
        <v>770</v>
      </c>
      <c r="B679" s="6" t="s">
        <v>749</v>
      </c>
      <c r="C679" s="6" t="s">
        <v>750</v>
      </c>
      <c r="D679" s="6">
        <f t="shared" si="87"/>
        <v>0.5</v>
      </c>
      <c r="E679" s="6" t="s">
        <v>19</v>
      </c>
      <c r="F679" s="6" t="str">
        <f>MID(A679,19,1)</f>
        <v>N</v>
      </c>
      <c r="G679" s="6">
        <v>-23.363938653838701</v>
      </c>
      <c r="H679" s="6">
        <v>-46.846726162863732</v>
      </c>
      <c r="I679" s="9">
        <v>13.58</v>
      </c>
      <c r="K679" s="6">
        <v>7.62</v>
      </c>
      <c r="L679" s="6">
        <v>0</v>
      </c>
      <c r="N679" s="1">
        <f t="shared" si="82"/>
        <v>0</v>
      </c>
      <c r="Q679" s="6" t="s">
        <v>21</v>
      </c>
      <c r="R679" s="6" t="s">
        <v>21</v>
      </c>
      <c r="S679" s="6" t="s">
        <v>21</v>
      </c>
      <c r="T679" s="6" t="s">
        <v>21</v>
      </c>
      <c r="U679" s="6">
        <f t="shared" si="84"/>
        <v>0</v>
      </c>
      <c r="V679" s="6">
        <f t="shared" si="88"/>
        <v>0</v>
      </c>
    </row>
    <row r="680" spans="1:22" hidden="1" x14ac:dyDescent="0.35">
      <c r="A680" s="6" t="s">
        <v>771</v>
      </c>
      <c r="B680" s="6" t="s">
        <v>749</v>
      </c>
      <c r="C680" s="6" t="s">
        <v>750</v>
      </c>
      <c r="D680" s="6">
        <f t="shared" si="87"/>
        <v>0.5</v>
      </c>
      <c r="E680" s="6" t="s">
        <v>19</v>
      </c>
      <c r="F680" s="6" t="str">
        <f>MID(A680,19,1)</f>
        <v>S</v>
      </c>
      <c r="G680" s="6">
        <v>-23.362021598326361</v>
      </c>
      <c r="H680" s="6">
        <v>-46.84845986399624</v>
      </c>
      <c r="I680" s="9">
        <v>1854.64</v>
      </c>
      <c r="K680" s="6">
        <v>1.86</v>
      </c>
      <c r="L680" s="6">
        <v>0</v>
      </c>
      <c r="N680" s="1">
        <f t="shared" si="82"/>
        <v>0</v>
      </c>
      <c r="Q680" s="6" t="s">
        <v>21</v>
      </c>
      <c r="R680" s="6" t="s">
        <v>21</v>
      </c>
      <c r="S680" s="6" t="s">
        <v>21</v>
      </c>
      <c r="T680" s="6" t="s">
        <v>21</v>
      </c>
      <c r="U680" s="6">
        <f t="shared" si="84"/>
        <v>0</v>
      </c>
      <c r="V680" s="6">
        <f t="shared" si="88"/>
        <v>0</v>
      </c>
    </row>
    <row r="681" spans="1:22" hidden="1" x14ac:dyDescent="0.35">
      <c r="A681" s="6" t="s">
        <v>772</v>
      </c>
      <c r="B681" s="6" t="s">
        <v>749</v>
      </c>
      <c r="C681" s="6" t="s">
        <v>750</v>
      </c>
      <c r="D681" s="6">
        <f t="shared" si="87"/>
        <v>0.5</v>
      </c>
      <c r="E681" s="6" t="s">
        <v>19</v>
      </c>
      <c r="F681" s="6" t="str">
        <f>MID(A681,19,1)</f>
        <v>S</v>
      </c>
      <c r="G681" s="6">
        <v>-23.36296720266991</v>
      </c>
      <c r="H681" s="6">
        <v>-46.848090473567673</v>
      </c>
      <c r="I681" s="9">
        <v>4798.66</v>
      </c>
      <c r="K681" s="6">
        <v>1.93</v>
      </c>
      <c r="L681" s="6">
        <v>0</v>
      </c>
      <c r="N681" s="1">
        <f t="shared" si="82"/>
        <v>0</v>
      </c>
      <c r="Q681" s="6" t="s">
        <v>21</v>
      </c>
      <c r="R681" s="6" t="s">
        <v>21</v>
      </c>
      <c r="S681" s="6" t="s">
        <v>21</v>
      </c>
      <c r="T681" s="6" t="s">
        <v>21</v>
      </c>
      <c r="U681" s="6">
        <f t="shared" si="84"/>
        <v>0</v>
      </c>
      <c r="V681" s="6">
        <f t="shared" si="88"/>
        <v>0</v>
      </c>
    </row>
    <row r="682" spans="1:22" hidden="1" x14ac:dyDescent="0.35">
      <c r="A682" s="6" t="s">
        <v>773</v>
      </c>
      <c r="B682" s="6" t="s">
        <v>749</v>
      </c>
      <c r="C682" s="6" t="s">
        <v>750</v>
      </c>
      <c r="D682" s="6">
        <f t="shared" si="87"/>
        <v>0.5</v>
      </c>
      <c r="E682" s="6" t="s">
        <v>19</v>
      </c>
      <c r="F682" s="6" t="str">
        <f>MID(A682,19,1)</f>
        <v>S</v>
      </c>
      <c r="G682" s="6">
        <v>-23.364023394397819</v>
      </c>
      <c r="H682" s="6">
        <v>-46.847548714168539</v>
      </c>
      <c r="I682" s="9">
        <v>85.84</v>
      </c>
      <c r="K682" s="6">
        <v>6.87</v>
      </c>
      <c r="L682" s="6">
        <v>0</v>
      </c>
      <c r="N682" s="1">
        <f t="shared" si="82"/>
        <v>0</v>
      </c>
      <c r="Q682" s="6" t="s">
        <v>21</v>
      </c>
      <c r="R682" s="6" t="s">
        <v>21</v>
      </c>
      <c r="S682" s="6" t="s">
        <v>21</v>
      </c>
      <c r="T682" s="6" t="s">
        <v>21</v>
      </c>
      <c r="U682" s="6">
        <f t="shared" si="84"/>
        <v>0</v>
      </c>
      <c r="V682" s="6">
        <f t="shared" si="88"/>
        <v>0</v>
      </c>
    </row>
    <row r="683" spans="1:22" x14ac:dyDescent="0.35">
      <c r="A683" s="6" t="s">
        <v>774</v>
      </c>
      <c r="B683" s="6" t="s">
        <v>749</v>
      </c>
      <c r="C683" s="6" t="s">
        <v>750</v>
      </c>
      <c r="D683" s="6">
        <f t="shared" si="87"/>
        <v>0.5</v>
      </c>
      <c r="E683" s="6" t="s">
        <v>19</v>
      </c>
      <c r="F683" s="6" t="str">
        <f>MID(A683,19,1)</f>
        <v>N</v>
      </c>
      <c r="G683" s="6">
        <v>-23.35828980735371</v>
      </c>
      <c r="H683" s="6">
        <v>-46.84796860561751</v>
      </c>
      <c r="I683" s="9">
        <v>7174.45</v>
      </c>
      <c r="K683" s="6">
        <v>2.17</v>
      </c>
      <c r="L683" s="6">
        <v>80</v>
      </c>
      <c r="N683" s="1">
        <f t="shared" si="82"/>
        <v>0</v>
      </c>
      <c r="O683" s="6" t="s">
        <v>20</v>
      </c>
      <c r="Q683" s="6" t="s">
        <v>21</v>
      </c>
      <c r="R683" s="6" t="s">
        <v>21</v>
      </c>
      <c r="S683" s="6" t="s">
        <v>21</v>
      </c>
      <c r="T683" s="6" t="s">
        <v>21</v>
      </c>
      <c r="U683" s="6">
        <f t="shared" si="84"/>
        <v>5739.56</v>
      </c>
      <c r="V683" s="6">
        <f t="shared" si="88"/>
        <v>5739.56</v>
      </c>
    </row>
    <row r="684" spans="1:22" x14ac:dyDescent="0.35">
      <c r="A684" s="6" t="s">
        <v>775</v>
      </c>
      <c r="B684" s="6" t="s">
        <v>749</v>
      </c>
      <c r="C684" s="6" t="s">
        <v>750</v>
      </c>
      <c r="D684" s="6">
        <f t="shared" si="87"/>
        <v>0.5</v>
      </c>
      <c r="E684" s="6" t="s">
        <v>19</v>
      </c>
      <c r="F684" s="6" t="str">
        <f>MID(A684,19,1)</f>
        <v>N</v>
      </c>
      <c r="G684" s="6">
        <v>-23.36084533726299</v>
      </c>
      <c r="H684" s="6">
        <v>-46.848116509703409</v>
      </c>
      <c r="I684" s="9">
        <v>818.86</v>
      </c>
      <c r="K684" s="6">
        <v>3.16</v>
      </c>
      <c r="L684" s="6">
        <v>0</v>
      </c>
      <c r="N684" s="1">
        <f t="shared" si="82"/>
        <v>0</v>
      </c>
      <c r="Q684" s="6" t="s">
        <v>21</v>
      </c>
      <c r="R684" s="6" t="s">
        <v>21</v>
      </c>
      <c r="S684" s="6" t="s">
        <v>21</v>
      </c>
      <c r="T684" s="6" t="s">
        <v>21</v>
      </c>
      <c r="U684" s="6">
        <f t="shared" si="84"/>
        <v>0</v>
      </c>
      <c r="V684" s="6">
        <f t="shared" si="88"/>
        <v>0</v>
      </c>
    </row>
    <row r="685" spans="1:22" hidden="1" x14ac:dyDescent="0.35">
      <c r="A685" s="6" t="s">
        <v>776</v>
      </c>
      <c r="B685" s="6" t="s">
        <v>777</v>
      </c>
      <c r="C685" s="6" t="s">
        <v>778</v>
      </c>
      <c r="D685" s="6">
        <f t="shared" si="87"/>
        <v>0.5</v>
      </c>
      <c r="E685" s="6" t="s">
        <v>23</v>
      </c>
      <c r="F685" s="6" t="str">
        <f>MID(A685,19,1)</f>
        <v>C</v>
      </c>
      <c r="G685" s="6">
        <v>-23.354011669430712</v>
      </c>
      <c r="H685" s="6">
        <v>-46.84718703620873</v>
      </c>
      <c r="I685" s="9">
        <v>697</v>
      </c>
      <c r="J685" s="9">
        <f t="shared" ref="J685:J686" si="89">I685/500</f>
        <v>1.3939999999999999</v>
      </c>
      <c r="K685" s="6">
        <v>3.75</v>
      </c>
      <c r="L685" s="6">
        <v>0</v>
      </c>
      <c r="N685" s="1">
        <f t="shared" si="82"/>
        <v>0</v>
      </c>
      <c r="Q685" s="6" t="s">
        <v>21</v>
      </c>
      <c r="R685" s="6" t="s">
        <v>21</v>
      </c>
      <c r="S685" s="6" t="s">
        <v>21</v>
      </c>
      <c r="T685" s="6" t="s">
        <v>21</v>
      </c>
      <c r="U685" s="6">
        <f t="shared" si="84"/>
        <v>0</v>
      </c>
      <c r="V685" s="6">
        <f t="shared" si="88"/>
        <v>0</v>
      </c>
    </row>
    <row r="686" spans="1:22" hidden="1" x14ac:dyDescent="0.35">
      <c r="A686" s="6" t="s">
        <v>779</v>
      </c>
      <c r="B686" s="6" t="s">
        <v>777</v>
      </c>
      <c r="C686" s="6" t="s">
        <v>778</v>
      </c>
      <c r="D686" s="6">
        <f t="shared" si="87"/>
        <v>0.5</v>
      </c>
      <c r="E686" s="6" t="s">
        <v>23</v>
      </c>
      <c r="F686" s="6" t="str">
        <f>MID(A686,19,1)</f>
        <v>C</v>
      </c>
      <c r="G686" s="6">
        <v>-23.338558998537181</v>
      </c>
      <c r="H686" s="6">
        <v>-46.821132195083592</v>
      </c>
      <c r="I686" s="7">
        <v>8717.69</v>
      </c>
      <c r="J686" s="9">
        <f t="shared" si="89"/>
        <v>17.435380000000002</v>
      </c>
      <c r="K686" s="6">
        <v>6.72</v>
      </c>
      <c r="L686" s="6">
        <v>70</v>
      </c>
      <c r="N686" s="1">
        <f t="shared" si="82"/>
        <v>0</v>
      </c>
      <c r="O686" s="6" t="s">
        <v>185</v>
      </c>
      <c r="Q686" s="6" t="s">
        <v>21</v>
      </c>
      <c r="R686" s="6" t="s">
        <v>21</v>
      </c>
      <c r="S686" s="6" t="s">
        <v>21</v>
      </c>
      <c r="T686" s="6" t="s">
        <v>21</v>
      </c>
      <c r="U686" s="6">
        <f t="shared" si="84"/>
        <v>6102.3829999999998</v>
      </c>
      <c r="V686" s="6">
        <f t="shared" si="88"/>
        <v>6102.3829999999998</v>
      </c>
    </row>
    <row r="687" spans="1:22" hidden="1" x14ac:dyDescent="0.35">
      <c r="A687" s="6" t="s">
        <v>780</v>
      </c>
      <c r="B687" s="6" t="s">
        <v>777</v>
      </c>
      <c r="C687" s="6" t="s">
        <v>778</v>
      </c>
      <c r="D687" s="6">
        <f t="shared" si="87"/>
        <v>0.5</v>
      </c>
      <c r="E687" s="6" t="s">
        <v>19</v>
      </c>
      <c r="F687" s="6" t="str">
        <f>MID(A687,19,1)</f>
        <v>S</v>
      </c>
      <c r="G687" s="6">
        <v>-23.341494389509869</v>
      </c>
      <c r="H687" s="6">
        <v>-46.819220793955147</v>
      </c>
      <c r="I687" s="9">
        <v>518.89</v>
      </c>
      <c r="K687" s="6">
        <v>5.57</v>
      </c>
      <c r="L687" s="6">
        <v>0</v>
      </c>
      <c r="N687" s="1">
        <f t="shared" si="82"/>
        <v>0</v>
      </c>
      <c r="Q687" s="6" t="s">
        <v>21</v>
      </c>
      <c r="R687" s="6" t="s">
        <v>21</v>
      </c>
      <c r="S687" s="6" t="s">
        <v>21</v>
      </c>
      <c r="T687" s="6" t="s">
        <v>21</v>
      </c>
      <c r="U687" s="6">
        <f t="shared" si="84"/>
        <v>0</v>
      </c>
      <c r="V687" s="6">
        <f t="shared" si="88"/>
        <v>0</v>
      </c>
    </row>
    <row r="688" spans="1:22" x14ac:dyDescent="0.35">
      <c r="A688" s="6" t="s">
        <v>781</v>
      </c>
      <c r="B688" s="6" t="s">
        <v>777</v>
      </c>
      <c r="C688" s="6" t="s">
        <v>778</v>
      </c>
      <c r="D688" s="6">
        <f t="shared" si="87"/>
        <v>0.5</v>
      </c>
      <c r="E688" s="6" t="s">
        <v>19</v>
      </c>
      <c r="F688" s="6" t="str">
        <f>MID(A688,19,1)</f>
        <v>N</v>
      </c>
      <c r="G688" s="6">
        <v>-23.338279179562221</v>
      </c>
      <c r="H688" s="6">
        <v>-46.820878818260788</v>
      </c>
      <c r="I688" s="9">
        <v>2910.49</v>
      </c>
      <c r="K688" s="6">
        <v>10.62</v>
      </c>
      <c r="L688" s="6">
        <v>0</v>
      </c>
      <c r="N688" s="1">
        <f t="shared" si="82"/>
        <v>0</v>
      </c>
      <c r="Q688" s="6" t="s">
        <v>21</v>
      </c>
      <c r="R688" s="6" t="s">
        <v>21</v>
      </c>
      <c r="S688" s="6" t="s">
        <v>21</v>
      </c>
      <c r="T688" s="6" t="s">
        <v>21</v>
      </c>
      <c r="U688" s="6">
        <f t="shared" si="84"/>
        <v>0</v>
      </c>
      <c r="V688" s="6">
        <f t="shared" si="88"/>
        <v>0</v>
      </c>
    </row>
    <row r="689" spans="1:22" x14ac:dyDescent="0.35">
      <c r="A689" s="6" t="s">
        <v>782</v>
      </c>
      <c r="B689" s="6" t="s">
        <v>777</v>
      </c>
      <c r="C689" s="6" t="s">
        <v>778</v>
      </c>
      <c r="D689" s="6">
        <f t="shared" si="87"/>
        <v>0.5</v>
      </c>
      <c r="E689" s="6" t="s">
        <v>19</v>
      </c>
      <c r="F689" s="6" t="str">
        <f>MID(A689,19,1)</f>
        <v>N</v>
      </c>
      <c r="G689" s="6">
        <v>-23.342575744821669</v>
      </c>
      <c r="H689" s="6">
        <v>-46.817094206062883</v>
      </c>
      <c r="I689" s="9">
        <v>2881.61</v>
      </c>
      <c r="K689" s="6">
        <v>2.2599999999999998</v>
      </c>
      <c r="L689" s="6">
        <v>30</v>
      </c>
      <c r="N689" s="1">
        <f t="shared" si="82"/>
        <v>0</v>
      </c>
      <c r="O689" s="6" t="s">
        <v>20</v>
      </c>
      <c r="Q689" s="6" t="s">
        <v>21</v>
      </c>
      <c r="R689" s="6" t="s">
        <v>21</v>
      </c>
      <c r="S689" s="6" t="s">
        <v>21</v>
      </c>
      <c r="T689" s="6" t="s">
        <v>21</v>
      </c>
      <c r="U689" s="6">
        <f t="shared" si="84"/>
        <v>864.48300000000006</v>
      </c>
      <c r="V689" s="6">
        <f t="shared" si="88"/>
        <v>864.48300000000006</v>
      </c>
    </row>
    <row r="690" spans="1:22" x14ac:dyDescent="0.35">
      <c r="A690" s="6" t="s">
        <v>783</v>
      </c>
      <c r="B690" s="6" t="s">
        <v>777</v>
      </c>
      <c r="C690" s="6" t="s">
        <v>778</v>
      </c>
      <c r="D690" s="6">
        <f t="shared" si="87"/>
        <v>0.5</v>
      </c>
      <c r="E690" s="6" t="s">
        <v>19</v>
      </c>
      <c r="F690" s="6" t="str">
        <f>MID(A690,19,1)</f>
        <v>N</v>
      </c>
      <c r="G690" s="6">
        <v>-23.342876622432492</v>
      </c>
      <c r="H690" s="6">
        <v>-46.816591070057129</v>
      </c>
      <c r="I690" s="9">
        <v>1082.8900000000001</v>
      </c>
      <c r="K690" s="6">
        <v>1.96</v>
      </c>
      <c r="L690" s="6">
        <v>30</v>
      </c>
      <c r="N690" s="1">
        <f t="shared" si="82"/>
        <v>0</v>
      </c>
      <c r="O690" s="6" t="s">
        <v>20</v>
      </c>
      <c r="Q690" s="6" t="s">
        <v>21</v>
      </c>
      <c r="R690" s="6" t="s">
        <v>21</v>
      </c>
      <c r="S690" s="6" t="s">
        <v>21</v>
      </c>
      <c r="T690" s="6" t="s">
        <v>21</v>
      </c>
      <c r="U690" s="6">
        <f t="shared" si="84"/>
        <v>324.86700000000002</v>
      </c>
      <c r="V690" s="6">
        <f t="shared" si="88"/>
        <v>324.86700000000002</v>
      </c>
    </row>
    <row r="691" spans="1:22" hidden="1" x14ac:dyDescent="0.35">
      <c r="A691" s="6" t="s">
        <v>784</v>
      </c>
      <c r="B691" s="6" t="s">
        <v>777</v>
      </c>
      <c r="C691" s="6" t="s">
        <v>778</v>
      </c>
      <c r="D691" s="6">
        <f t="shared" si="87"/>
        <v>0.5</v>
      </c>
      <c r="E691" s="6" t="s">
        <v>19</v>
      </c>
      <c r="F691" s="6" t="str">
        <f>MID(A691,19,1)</f>
        <v>S</v>
      </c>
      <c r="G691" s="6">
        <v>-23.343632753190739</v>
      </c>
      <c r="H691" s="6">
        <v>-46.816966408686163</v>
      </c>
      <c r="I691" s="9">
        <v>751.59</v>
      </c>
      <c r="K691" s="6">
        <v>18.34</v>
      </c>
      <c r="L691" s="6">
        <v>0</v>
      </c>
      <c r="N691" s="1">
        <f t="shared" si="82"/>
        <v>0</v>
      </c>
      <c r="Q691" s="6" t="s">
        <v>21</v>
      </c>
      <c r="R691" s="6" t="s">
        <v>21</v>
      </c>
      <c r="S691" s="6" t="s">
        <v>21</v>
      </c>
      <c r="T691" s="6" t="s">
        <v>21</v>
      </c>
      <c r="U691" s="6">
        <f t="shared" si="84"/>
        <v>0</v>
      </c>
      <c r="V691" s="6">
        <f t="shared" si="88"/>
        <v>0</v>
      </c>
    </row>
    <row r="692" spans="1:22" hidden="1" x14ac:dyDescent="0.35">
      <c r="A692" s="6" t="s">
        <v>785</v>
      </c>
      <c r="B692" s="6" t="s">
        <v>777</v>
      </c>
      <c r="C692" s="6" t="s">
        <v>778</v>
      </c>
      <c r="D692" s="6">
        <f t="shared" si="87"/>
        <v>0.5</v>
      </c>
      <c r="E692" s="6" t="s">
        <v>19</v>
      </c>
      <c r="F692" s="6" t="str">
        <f>MID(A692,19,1)</f>
        <v>S</v>
      </c>
      <c r="G692" s="6">
        <v>-23.35503061287428</v>
      </c>
      <c r="H692" s="6">
        <v>-46.847631971021478</v>
      </c>
      <c r="I692" s="9">
        <v>325.83999999999997</v>
      </c>
      <c r="K692" s="6">
        <v>3.76</v>
      </c>
      <c r="L692" s="6">
        <v>85</v>
      </c>
      <c r="N692" s="1">
        <f t="shared" si="82"/>
        <v>0</v>
      </c>
      <c r="O692" s="6" t="s">
        <v>185</v>
      </c>
      <c r="Q692" s="6" t="s">
        <v>21</v>
      </c>
      <c r="R692" s="6" t="s">
        <v>21</v>
      </c>
      <c r="S692" s="6" t="s">
        <v>21</v>
      </c>
      <c r="T692" s="6" t="s">
        <v>21</v>
      </c>
      <c r="U692" s="6">
        <f t="shared" si="84"/>
        <v>276.964</v>
      </c>
      <c r="V692" s="6">
        <f t="shared" si="88"/>
        <v>276.964</v>
      </c>
    </row>
    <row r="693" spans="1:22" x14ac:dyDescent="0.35">
      <c r="A693" s="6" t="s">
        <v>786</v>
      </c>
      <c r="B693" s="6" t="s">
        <v>777</v>
      </c>
      <c r="C693" s="6" t="s">
        <v>778</v>
      </c>
      <c r="D693" s="6">
        <f t="shared" si="87"/>
        <v>0.5</v>
      </c>
      <c r="E693" s="6" t="s">
        <v>19</v>
      </c>
      <c r="F693" s="6" t="str">
        <f>MID(A693,19,1)</f>
        <v>N</v>
      </c>
      <c r="G693" s="6">
        <v>-23.3536079836426</v>
      </c>
      <c r="H693" s="6">
        <v>-46.847236083215527</v>
      </c>
      <c r="I693" s="9">
        <v>266.47000000000003</v>
      </c>
      <c r="K693" s="6">
        <v>4.29</v>
      </c>
      <c r="L693" s="6">
        <v>0</v>
      </c>
      <c r="N693" s="1">
        <f t="shared" si="82"/>
        <v>0</v>
      </c>
      <c r="Q693" s="6" t="s">
        <v>21</v>
      </c>
      <c r="R693" s="6" t="s">
        <v>21</v>
      </c>
      <c r="S693" s="6" t="s">
        <v>21</v>
      </c>
      <c r="T693" s="6" t="s">
        <v>21</v>
      </c>
      <c r="U693" s="6">
        <f t="shared" si="84"/>
        <v>0</v>
      </c>
      <c r="V693" s="6">
        <f t="shared" si="88"/>
        <v>0</v>
      </c>
    </row>
    <row r="694" spans="1:22" x14ac:dyDescent="0.35">
      <c r="A694" s="6" t="s">
        <v>787</v>
      </c>
      <c r="B694" s="6" t="s">
        <v>777</v>
      </c>
      <c r="C694" s="6" t="s">
        <v>778</v>
      </c>
      <c r="D694" s="6">
        <f t="shared" si="87"/>
        <v>0.5</v>
      </c>
      <c r="E694" s="6" t="s">
        <v>19</v>
      </c>
      <c r="F694" s="6" t="str">
        <f>MID(A694,19,1)</f>
        <v>N</v>
      </c>
      <c r="G694" s="6">
        <v>-23.343280448386711</v>
      </c>
      <c r="H694" s="6">
        <v>-46.816407952625227</v>
      </c>
      <c r="I694" s="9">
        <v>228.69</v>
      </c>
      <c r="K694" s="6">
        <v>1.03</v>
      </c>
      <c r="L694" s="6">
        <v>30</v>
      </c>
      <c r="N694" s="1">
        <f t="shared" si="82"/>
        <v>0</v>
      </c>
      <c r="O694" s="6" t="s">
        <v>20</v>
      </c>
      <c r="Q694" s="6" t="s">
        <v>21</v>
      </c>
      <c r="R694" s="6" t="s">
        <v>21</v>
      </c>
      <c r="S694" s="6" t="s">
        <v>21</v>
      </c>
      <c r="T694" s="6" t="s">
        <v>21</v>
      </c>
      <c r="U694" s="6">
        <f t="shared" si="84"/>
        <v>68.606999999999999</v>
      </c>
      <c r="V694" s="6">
        <f t="shared" si="88"/>
        <v>68.606999999999999</v>
      </c>
    </row>
    <row r="695" spans="1:22" hidden="1" x14ac:dyDescent="0.35">
      <c r="A695" s="6" t="s">
        <v>788</v>
      </c>
      <c r="B695" s="6" t="s">
        <v>777</v>
      </c>
      <c r="C695" s="6" t="s">
        <v>778</v>
      </c>
      <c r="D695" s="6">
        <f t="shared" si="87"/>
        <v>0.5</v>
      </c>
      <c r="E695" s="6" t="s">
        <v>23</v>
      </c>
      <c r="F695" s="6" t="str">
        <f>MID(A695,19,1)</f>
        <v>C</v>
      </c>
      <c r="G695" s="6">
        <v>-23.33676670524634</v>
      </c>
      <c r="H695" s="6">
        <v>-46.822584829950443</v>
      </c>
      <c r="I695" s="7">
        <v>1719.77</v>
      </c>
      <c r="J695" s="9">
        <f t="shared" ref="J695:J697" si="90">I695/500</f>
        <v>3.43954</v>
      </c>
      <c r="K695" s="6">
        <v>7.7</v>
      </c>
      <c r="L695" s="6">
        <v>0</v>
      </c>
      <c r="N695" s="1">
        <f t="shared" si="82"/>
        <v>0</v>
      </c>
      <c r="Q695" s="6" t="s">
        <v>21</v>
      </c>
      <c r="R695" s="6" t="s">
        <v>21</v>
      </c>
      <c r="S695" s="6" t="s">
        <v>21</v>
      </c>
      <c r="T695" s="6" t="s">
        <v>21</v>
      </c>
      <c r="U695" s="6">
        <f t="shared" si="84"/>
        <v>0</v>
      </c>
      <c r="V695" s="6">
        <f t="shared" si="88"/>
        <v>0</v>
      </c>
    </row>
    <row r="696" spans="1:22" hidden="1" x14ac:dyDescent="0.35">
      <c r="A696" s="6" t="s">
        <v>789</v>
      </c>
      <c r="B696" s="6" t="s">
        <v>777</v>
      </c>
      <c r="C696" s="6" t="s">
        <v>778</v>
      </c>
      <c r="D696" s="6">
        <f t="shared" si="87"/>
        <v>0.5</v>
      </c>
      <c r="E696" s="6" t="s">
        <v>23</v>
      </c>
      <c r="F696" s="6" t="str">
        <f>MID(A696,19,1)</f>
        <v>C</v>
      </c>
      <c r="G696" s="6">
        <v>-23.352988612737281</v>
      </c>
      <c r="H696" s="6">
        <v>-46.846830729358928</v>
      </c>
      <c r="I696" s="9">
        <v>2438.27</v>
      </c>
      <c r="J696" s="9">
        <f t="shared" si="90"/>
        <v>4.8765400000000003</v>
      </c>
      <c r="K696" s="6">
        <v>4.47</v>
      </c>
      <c r="L696" s="6">
        <v>0</v>
      </c>
      <c r="N696" s="1">
        <f t="shared" si="82"/>
        <v>0</v>
      </c>
      <c r="Q696" s="6" t="s">
        <v>21</v>
      </c>
      <c r="R696" s="6" t="s">
        <v>21</v>
      </c>
      <c r="S696" s="6" t="s">
        <v>21</v>
      </c>
      <c r="T696" s="6" t="s">
        <v>21</v>
      </c>
      <c r="U696" s="6">
        <f t="shared" si="84"/>
        <v>0</v>
      </c>
      <c r="V696" s="6">
        <f t="shared" si="88"/>
        <v>0</v>
      </c>
    </row>
    <row r="697" spans="1:22" hidden="1" x14ac:dyDescent="0.35">
      <c r="A697" s="6" t="s">
        <v>790</v>
      </c>
      <c r="B697" s="6" t="s">
        <v>777</v>
      </c>
      <c r="C697" s="6" t="s">
        <v>778</v>
      </c>
      <c r="D697" s="6">
        <f t="shared" si="87"/>
        <v>0.5</v>
      </c>
      <c r="E697" s="6" t="s">
        <v>23</v>
      </c>
      <c r="F697" s="6" t="str">
        <f>MID(A697,19,1)</f>
        <v>C</v>
      </c>
      <c r="G697" s="6">
        <v>-23.34305523502767</v>
      </c>
      <c r="H697" s="6">
        <v>-46.81711212806362</v>
      </c>
      <c r="I697" s="7">
        <v>4131.33</v>
      </c>
      <c r="J697" s="9">
        <f t="shared" si="90"/>
        <v>8.2626600000000003</v>
      </c>
      <c r="K697" s="6">
        <v>4.67</v>
      </c>
      <c r="L697" s="6">
        <v>70</v>
      </c>
      <c r="N697" s="1">
        <f t="shared" si="82"/>
        <v>0</v>
      </c>
      <c r="O697" s="6" t="s">
        <v>185</v>
      </c>
      <c r="Q697" s="6" t="s">
        <v>21</v>
      </c>
      <c r="R697" s="6" t="s">
        <v>21</v>
      </c>
      <c r="S697" s="6" t="s">
        <v>21</v>
      </c>
      <c r="T697" s="6" t="s">
        <v>21</v>
      </c>
      <c r="U697" s="6">
        <f t="shared" si="84"/>
        <v>2891.9309999999996</v>
      </c>
      <c r="V697" s="6">
        <f t="shared" si="88"/>
        <v>2891.9309999999996</v>
      </c>
    </row>
    <row r="698" spans="1:22" hidden="1" x14ac:dyDescent="0.35">
      <c r="A698" s="6" t="s">
        <v>791</v>
      </c>
      <c r="B698" s="6" t="s">
        <v>777</v>
      </c>
      <c r="C698" s="6" t="s">
        <v>778</v>
      </c>
      <c r="D698" s="6">
        <f t="shared" si="87"/>
        <v>0.5</v>
      </c>
      <c r="E698" s="6" t="s">
        <v>19</v>
      </c>
      <c r="F698" s="6" t="str">
        <f>MID(A698,19,1)</f>
        <v>S</v>
      </c>
      <c r="G698" s="6">
        <v>-23.353932592501181</v>
      </c>
      <c r="H698" s="6">
        <v>-46.847760590100243</v>
      </c>
      <c r="I698" s="9">
        <v>1253.3399999999999</v>
      </c>
      <c r="K698" s="6">
        <v>3.64</v>
      </c>
      <c r="L698" s="6">
        <v>0</v>
      </c>
      <c r="N698" s="1">
        <f t="shared" si="82"/>
        <v>0</v>
      </c>
      <c r="Q698" s="6" t="s">
        <v>21</v>
      </c>
      <c r="R698" s="6" t="s">
        <v>21</v>
      </c>
      <c r="S698" s="6" t="s">
        <v>21</v>
      </c>
      <c r="T698" s="6" t="s">
        <v>21</v>
      </c>
      <c r="U698" s="6">
        <f t="shared" si="84"/>
        <v>0</v>
      </c>
      <c r="V698" s="6">
        <f t="shared" si="88"/>
        <v>0</v>
      </c>
    </row>
    <row r="699" spans="1:22" hidden="1" x14ac:dyDescent="0.35">
      <c r="A699" s="8" t="s">
        <v>792</v>
      </c>
      <c r="B699" s="8" t="s">
        <v>777</v>
      </c>
      <c r="C699" s="8" t="s">
        <v>778</v>
      </c>
      <c r="D699" s="6">
        <f t="shared" si="87"/>
        <v>0.5</v>
      </c>
      <c r="E699" s="8" t="s">
        <v>19</v>
      </c>
      <c r="F699" s="6" t="str">
        <f>MID(A699,19,1)</f>
        <v>S</v>
      </c>
      <c r="G699" s="8">
        <v>-23.348399848090221</v>
      </c>
      <c r="H699" s="8">
        <v>-46.845675784627453</v>
      </c>
      <c r="I699" s="7">
        <v>2006.18</v>
      </c>
      <c r="J699" s="7"/>
      <c r="K699" s="8">
        <v>8.27</v>
      </c>
      <c r="L699" s="8">
        <v>55</v>
      </c>
      <c r="M699" s="8"/>
      <c r="N699" s="11">
        <f t="shared" si="82"/>
        <v>1103.3990000000001</v>
      </c>
      <c r="O699" s="8" t="s">
        <v>25</v>
      </c>
      <c r="P699" s="8"/>
      <c r="Q699" s="8" t="s">
        <v>21</v>
      </c>
      <c r="R699" s="8" t="s">
        <v>21</v>
      </c>
      <c r="S699" s="8" t="s">
        <v>21</v>
      </c>
      <c r="T699" s="8" t="s">
        <v>26</v>
      </c>
      <c r="U699" s="6">
        <f t="shared" si="84"/>
        <v>0</v>
      </c>
    </row>
    <row r="700" spans="1:22" hidden="1" x14ac:dyDescent="0.35">
      <c r="A700" s="6" t="s">
        <v>793</v>
      </c>
      <c r="B700" s="6" t="s">
        <v>777</v>
      </c>
      <c r="C700" s="6" t="s">
        <v>778</v>
      </c>
      <c r="D700" s="6">
        <f t="shared" si="87"/>
        <v>0.5</v>
      </c>
      <c r="E700" s="6" t="s">
        <v>23</v>
      </c>
      <c r="F700" s="6" t="str">
        <f>MID(A700,19,1)</f>
        <v>C</v>
      </c>
      <c r="G700" s="6">
        <v>-23.341331039853809</v>
      </c>
      <c r="H700" s="6">
        <v>-46.818945650286842</v>
      </c>
      <c r="I700" s="7">
        <v>1984.1</v>
      </c>
      <c r="J700" s="9">
        <f>I700/500</f>
        <v>3.9681999999999999</v>
      </c>
      <c r="K700" s="6">
        <v>5.72</v>
      </c>
      <c r="L700" s="6">
        <v>70</v>
      </c>
      <c r="N700" s="1">
        <f t="shared" si="82"/>
        <v>0</v>
      </c>
      <c r="O700" s="6" t="s">
        <v>185</v>
      </c>
      <c r="Q700" s="6" t="s">
        <v>21</v>
      </c>
      <c r="R700" s="6" t="s">
        <v>21</v>
      </c>
      <c r="S700" s="6" t="s">
        <v>21</v>
      </c>
      <c r="T700" s="6" t="s">
        <v>21</v>
      </c>
      <c r="U700" s="6">
        <f t="shared" si="84"/>
        <v>1388.87</v>
      </c>
      <c r="V700" s="6">
        <f t="shared" ref="V700:V702" si="91">(I700*(L700/100))</f>
        <v>1388.87</v>
      </c>
    </row>
    <row r="701" spans="1:22" hidden="1" x14ac:dyDescent="0.35">
      <c r="A701" s="6" t="s">
        <v>794</v>
      </c>
      <c r="B701" s="6" t="s">
        <v>777</v>
      </c>
      <c r="C701" s="6" t="s">
        <v>778</v>
      </c>
      <c r="D701" s="6">
        <f t="shared" si="87"/>
        <v>0.5</v>
      </c>
      <c r="E701" s="6" t="s">
        <v>19</v>
      </c>
      <c r="F701" s="6" t="str">
        <f>MID(A701,19,1)</f>
        <v>S</v>
      </c>
      <c r="G701" s="6">
        <v>-23.342605646193821</v>
      </c>
      <c r="H701" s="6">
        <v>-46.81811202683128</v>
      </c>
      <c r="I701" s="9">
        <v>1673.13</v>
      </c>
      <c r="K701" s="6">
        <v>10.26</v>
      </c>
      <c r="L701" s="6">
        <v>0</v>
      </c>
      <c r="N701" s="1">
        <f t="shared" si="82"/>
        <v>0</v>
      </c>
      <c r="Q701" s="6" t="s">
        <v>21</v>
      </c>
      <c r="R701" s="6" t="s">
        <v>21</v>
      </c>
      <c r="S701" s="6" t="s">
        <v>21</v>
      </c>
      <c r="T701" s="6" t="s">
        <v>21</v>
      </c>
      <c r="U701" s="6">
        <f t="shared" si="84"/>
        <v>0</v>
      </c>
      <c r="V701" s="6">
        <f t="shared" si="91"/>
        <v>0</v>
      </c>
    </row>
    <row r="702" spans="1:22" hidden="1" x14ac:dyDescent="0.35">
      <c r="A702" s="6" t="s">
        <v>795</v>
      </c>
      <c r="B702" s="6" t="s">
        <v>777</v>
      </c>
      <c r="C702" s="6" t="s">
        <v>778</v>
      </c>
      <c r="D702" s="6">
        <f t="shared" si="87"/>
        <v>0.5</v>
      </c>
      <c r="E702" s="6" t="s">
        <v>19</v>
      </c>
      <c r="F702" s="6" t="str">
        <f>MID(A702,19,1)</f>
        <v>S</v>
      </c>
      <c r="G702" s="6">
        <v>-23.339177709934269</v>
      </c>
      <c r="H702" s="6">
        <v>-46.821180719744987</v>
      </c>
      <c r="I702" s="9">
        <v>2096.21</v>
      </c>
      <c r="K702" s="6">
        <v>7.46</v>
      </c>
      <c r="L702" s="6">
        <v>0</v>
      </c>
      <c r="N702" s="1">
        <f t="shared" si="82"/>
        <v>0</v>
      </c>
      <c r="Q702" s="6" t="s">
        <v>21</v>
      </c>
      <c r="R702" s="6" t="s">
        <v>21</v>
      </c>
      <c r="S702" s="6" t="s">
        <v>21</v>
      </c>
      <c r="T702" s="6" t="s">
        <v>21</v>
      </c>
      <c r="U702" s="6">
        <f t="shared" si="84"/>
        <v>0</v>
      </c>
      <c r="V702" s="6">
        <f t="shared" si="91"/>
        <v>0</v>
      </c>
    </row>
    <row r="703" spans="1:22" hidden="1" x14ac:dyDescent="0.35">
      <c r="A703" s="8" t="s">
        <v>796</v>
      </c>
      <c r="B703" s="8" t="s">
        <v>777</v>
      </c>
      <c r="C703" s="8" t="s">
        <v>778</v>
      </c>
      <c r="D703" s="6">
        <f t="shared" si="87"/>
        <v>0.5</v>
      </c>
      <c r="E703" s="8" t="s">
        <v>23</v>
      </c>
      <c r="F703" s="6" t="str">
        <f>MID(A703,19,1)</f>
        <v>C</v>
      </c>
      <c r="G703" s="8">
        <v>-23.352766083308371</v>
      </c>
      <c r="H703" s="8">
        <v>-46.847126537155923</v>
      </c>
      <c r="I703" s="7">
        <v>840.19</v>
      </c>
      <c r="J703" s="9">
        <f t="shared" ref="J703:J705" si="92">I703/500</f>
        <v>1.6803800000000002</v>
      </c>
      <c r="K703" s="8">
        <v>3.53</v>
      </c>
      <c r="L703" s="8">
        <v>85</v>
      </c>
      <c r="M703" s="8"/>
      <c r="N703" s="11">
        <f t="shared" si="82"/>
        <v>714.16150000000005</v>
      </c>
      <c r="O703" s="8" t="s">
        <v>71</v>
      </c>
      <c r="P703" s="8"/>
      <c r="Q703" s="8" t="s">
        <v>21</v>
      </c>
      <c r="R703" s="8" t="s">
        <v>21</v>
      </c>
      <c r="S703" s="8" t="s">
        <v>21</v>
      </c>
      <c r="T703" s="8" t="s">
        <v>26</v>
      </c>
      <c r="U703" s="6">
        <f t="shared" si="84"/>
        <v>0</v>
      </c>
    </row>
    <row r="704" spans="1:22" hidden="1" x14ac:dyDescent="0.35">
      <c r="A704" s="8" t="s">
        <v>797</v>
      </c>
      <c r="B704" s="8" t="s">
        <v>777</v>
      </c>
      <c r="C704" s="8" t="s">
        <v>778</v>
      </c>
      <c r="D704" s="6">
        <f t="shared" si="87"/>
        <v>0.5</v>
      </c>
      <c r="E704" s="8" t="s">
        <v>23</v>
      </c>
      <c r="F704" s="6" t="str">
        <f>MID(A704,19,1)</f>
        <v>C</v>
      </c>
      <c r="G704" s="8">
        <v>-23.354116280312979</v>
      </c>
      <c r="H704" s="8">
        <v>-46.847415256096298</v>
      </c>
      <c r="I704" s="7">
        <v>2394.58</v>
      </c>
      <c r="J704" s="9">
        <f t="shared" si="92"/>
        <v>4.7891599999999999</v>
      </c>
      <c r="K704" s="8">
        <v>3.39</v>
      </c>
      <c r="L704" s="8">
        <v>80</v>
      </c>
      <c r="M704" s="8"/>
      <c r="N704" s="11">
        <f t="shared" si="82"/>
        <v>1915.664</v>
      </c>
      <c r="O704" s="8" t="s">
        <v>71</v>
      </c>
      <c r="P704" s="8"/>
      <c r="Q704" s="8" t="s">
        <v>21</v>
      </c>
      <c r="R704" s="8" t="s">
        <v>21</v>
      </c>
      <c r="S704" s="8" t="s">
        <v>21</v>
      </c>
      <c r="T704" s="8" t="s">
        <v>26</v>
      </c>
      <c r="U704" s="6">
        <f t="shared" si="84"/>
        <v>0</v>
      </c>
    </row>
    <row r="705" spans="1:22" hidden="1" x14ac:dyDescent="0.35">
      <c r="A705" s="6" t="s">
        <v>798</v>
      </c>
      <c r="B705" s="6" t="s">
        <v>777</v>
      </c>
      <c r="C705" s="6" t="s">
        <v>778</v>
      </c>
      <c r="D705" s="6">
        <f t="shared" si="87"/>
        <v>0.5</v>
      </c>
      <c r="E705" s="6" t="s">
        <v>23</v>
      </c>
      <c r="F705" s="6" t="str">
        <f>MID(A705,19,1)</f>
        <v>C</v>
      </c>
      <c r="G705" s="6">
        <v>-23.354217505609899</v>
      </c>
      <c r="H705" s="6">
        <v>-46.847354232966502</v>
      </c>
      <c r="I705" s="9">
        <v>460.83</v>
      </c>
      <c r="J705" s="9">
        <f t="shared" si="92"/>
        <v>0.92165999999999992</v>
      </c>
      <c r="K705" s="6">
        <v>4.1500000000000004</v>
      </c>
      <c r="L705" s="6">
        <v>0</v>
      </c>
      <c r="N705" s="1">
        <f t="shared" si="82"/>
        <v>0</v>
      </c>
      <c r="Q705" s="6" t="s">
        <v>21</v>
      </c>
      <c r="R705" s="6" t="s">
        <v>21</v>
      </c>
      <c r="S705" s="6" t="s">
        <v>21</v>
      </c>
      <c r="T705" s="6" t="s">
        <v>21</v>
      </c>
      <c r="U705" s="6">
        <f t="shared" si="84"/>
        <v>0</v>
      </c>
      <c r="V705" s="6">
        <f t="shared" ref="V705:V715" si="93">(I705*(L705/100))</f>
        <v>0</v>
      </c>
    </row>
    <row r="706" spans="1:22" x14ac:dyDescent="0.35">
      <c r="A706" s="6" t="s">
        <v>799</v>
      </c>
      <c r="B706" s="6" t="s">
        <v>777</v>
      </c>
      <c r="C706" s="6" t="s">
        <v>778</v>
      </c>
      <c r="D706" s="6">
        <f t="shared" si="87"/>
        <v>0.5</v>
      </c>
      <c r="E706" s="6" t="s">
        <v>19</v>
      </c>
      <c r="F706" s="6" t="str">
        <f>MID(A706,19,1)</f>
        <v>N</v>
      </c>
      <c r="G706" s="6">
        <v>-23.341150629449292</v>
      </c>
      <c r="H706" s="6">
        <v>-46.818653335990547</v>
      </c>
      <c r="I706" s="9">
        <v>673.77</v>
      </c>
      <c r="K706" s="6">
        <v>5.52</v>
      </c>
      <c r="L706" s="6">
        <v>30</v>
      </c>
      <c r="N706" s="1">
        <f t="shared" ref="N706:N769" si="94">IF(OR(R706="Sim",S706="Sim",T706="Sim"),(L706/100)*I706,0)</f>
        <v>0</v>
      </c>
      <c r="O706" s="6" t="s">
        <v>20</v>
      </c>
      <c r="Q706" s="6" t="s">
        <v>21</v>
      </c>
      <c r="R706" s="6" t="s">
        <v>21</v>
      </c>
      <c r="S706" s="6" t="s">
        <v>21</v>
      </c>
      <c r="T706" s="6" t="s">
        <v>21</v>
      </c>
      <c r="U706" s="6">
        <f t="shared" si="84"/>
        <v>202.131</v>
      </c>
      <c r="V706" s="6">
        <f t="shared" si="93"/>
        <v>202.131</v>
      </c>
    </row>
    <row r="707" spans="1:22" x14ac:dyDescent="0.35">
      <c r="A707" s="6" t="s">
        <v>800</v>
      </c>
      <c r="B707" s="6" t="s">
        <v>777</v>
      </c>
      <c r="C707" s="6" t="s">
        <v>778</v>
      </c>
      <c r="D707" s="6">
        <f t="shared" si="87"/>
        <v>0.5</v>
      </c>
      <c r="E707" s="6" t="s">
        <v>19</v>
      </c>
      <c r="F707" s="6" t="str">
        <f>MID(A707,19,1)</f>
        <v>N</v>
      </c>
      <c r="G707" s="6">
        <v>-23.348490220567381</v>
      </c>
      <c r="H707" s="6">
        <v>-46.845410333552827</v>
      </c>
      <c r="I707" s="9">
        <v>1932.14</v>
      </c>
      <c r="K707" s="6">
        <v>12.59</v>
      </c>
      <c r="L707" s="6">
        <v>40</v>
      </c>
      <c r="N707" s="1">
        <f t="shared" si="94"/>
        <v>0</v>
      </c>
      <c r="O707" s="6" t="s">
        <v>801</v>
      </c>
      <c r="Q707" s="6" t="s">
        <v>21</v>
      </c>
      <c r="R707" s="6" t="s">
        <v>21</v>
      </c>
      <c r="S707" s="6" t="s">
        <v>21</v>
      </c>
      <c r="T707" s="6" t="s">
        <v>21</v>
      </c>
      <c r="U707" s="6">
        <f t="shared" ref="U707:U770" si="95">IF(N707=0,(I707*(L707/100)),0)</f>
        <v>772.85600000000011</v>
      </c>
      <c r="V707" s="6">
        <f t="shared" si="93"/>
        <v>772.85600000000011</v>
      </c>
    </row>
    <row r="708" spans="1:22" hidden="1" x14ac:dyDescent="0.35">
      <c r="A708" s="6" t="s">
        <v>802</v>
      </c>
      <c r="B708" s="6" t="s">
        <v>777</v>
      </c>
      <c r="C708" s="6" t="s">
        <v>778</v>
      </c>
      <c r="D708" s="6">
        <f t="shared" si="87"/>
        <v>0.5</v>
      </c>
      <c r="E708" s="6" t="s">
        <v>23</v>
      </c>
      <c r="F708" s="6" t="str">
        <f>MID(A708,19,1)</f>
        <v>C</v>
      </c>
      <c r="G708" s="6">
        <v>-23.351548894691611</v>
      </c>
      <c r="H708" s="6">
        <v>-46.847027228180593</v>
      </c>
      <c r="I708" s="9">
        <v>998.56</v>
      </c>
      <c r="J708" s="9">
        <f>I708/500</f>
        <v>1.9971199999999998</v>
      </c>
      <c r="K708" s="6">
        <v>4.6399999999999997</v>
      </c>
      <c r="L708" s="6">
        <v>0</v>
      </c>
      <c r="N708" s="1">
        <f t="shared" si="94"/>
        <v>0</v>
      </c>
      <c r="Q708" s="6" t="s">
        <v>21</v>
      </c>
      <c r="R708" s="6" t="s">
        <v>21</v>
      </c>
      <c r="S708" s="6" t="s">
        <v>21</v>
      </c>
      <c r="T708" s="6" t="s">
        <v>21</v>
      </c>
      <c r="U708" s="6">
        <f t="shared" si="95"/>
        <v>0</v>
      </c>
      <c r="V708" s="6">
        <f t="shared" si="93"/>
        <v>0</v>
      </c>
    </row>
    <row r="709" spans="1:22" x14ac:dyDescent="0.35">
      <c r="A709" s="6" t="s">
        <v>803</v>
      </c>
      <c r="B709" s="6" t="s">
        <v>804</v>
      </c>
      <c r="C709" s="6" t="s">
        <v>805</v>
      </c>
      <c r="D709" s="6">
        <f t="shared" si="87"/>
        <v>0.5</v>
      </c>
      <c r="E709" s="6" t="s">
        <v>19</v>
      </c>
      <c r="F709" s="6" t="str">
        <f>MID(A709,19,1)</f>
        <v>N</v>
      </c>
      <c r="G709" s="6">
        <v>-23.344294199555481</v>
      </c>
      <c r="H709" s="6">
        <v>-46.839242944734274</v>
      </c>
      <c r="I709" s="9">
        <v>2621.62</v>
      </c>
      <c r="K709" s="6">
        <v>8.25</v>
      </c>
      <c r="L709" s="6">
        <v>70</v>
      </c>
      <c r="N709" s="1">
        <f t="shared" si="94"/>
        <v>0</v>
      </c>
      <c r="O709" s="6" t="s">
        <v>20</v>
      </c>
      <c r="Q709" s="6" t="s">
        <v>21</v>
      </c>
      <c r="R709" s="6" t="s">
        <v>21</v>
      </c>
      <c r="S709" s="6" t="s">
        <v>21</v>
      </c>
      <c r="T709" s="6" t="s">
        <v>21</v>
      </c>
      <c r="U709" s="6">
        <f t="shared" si="95"/>
        <v>1835.1339999999998</v>
      </c>
      <c r="V709" s="6">
        <f t="shared" si="93"/>
        <v>1835.1339999999998</v>
      </c>
    </row>
    <row r="710" spans="1:22" hidden="1" x14ac:dyDescent="0.35">
      <c r="A710" s="6" t="s">
        <v>806</v>
      </c>
      <c r="B710" s="6" t="s">
        <v>804</v>
      </c>
      <c r="C710" s="6" t="s">
        <v>805</v>
      </c>
      <c r="D710" s="6">
        <f t="shared" si="87"/>
        <v>0.5</v>
      </c>
      <c r="E710" s="6" t="s">
        <v>19</v>
      </c>
      <c r="F710" s="6" t="str">
        <f>MID(A710,19,1)</f>
        <v>S</v>
      </c>
      <c r="G710" s="6">
        <v>-23.342950811406151</v>
      </c>
      <c r="H710" s="6">
        <v>-46.838982597799522</v>
      </c>
      <c r="I710" s="9">
        <v>8566.4699999999993</v>
      </c>
      <c r="K710" s="6">
        <v>3.01</v>
      </c>
      <c r="L710" s="6">
        <v>60</v>
      </c>
      <c r="N710" s="1">
        <f t="shared" si="94"/>
        <v>0</v>
      </c>
      <c r="O710" s="6" t="s">
        <v>20</v>
      </c>
      <c r="Q710" s="6" t="s">
        <v>21</v>
      </c>
      <c r="R710" s="6" t="s">
        <v>21</v>
      </c>
      <c r="S710" s="6" t="s">
        <v>21</v>
      </c>
      <c r="T710" s="6" t="s">
        <v>21</v>
      </c>
      <c r="U710" s="6">
        <f t="shared" si="95"/>
        <v>5139.8819999999996</v>
      </c>
      <c r="V710" s="6">
        <f t="shared" si="93"/>
        <v>5139.8819999999996</v>
      </c>
    </row>
    <row r="711" spans="1:22" x14ac:dyDescent="0.35">
      <c r="A711" s="6" t="s">
        <v>807</v>
      </c>
      <c r="B711" s="6" t="s">
        <v>804</v>
      </c>
      <c r="C711" s="6" t="s">
        <v>805</v>
      </c>
      <c r="D711" s="6">
        <f t="shared" si="87"/>
        <v>0.5</v>
      </c>
      <c r="E711" s="6" t="s">
        <v>19</v>
      </c>
      <c r="F711" s="6" t="str">
        <f>MID(A711,19,1)</f>
        <v>N</v>
      </c>
      <c r="G711" s="6">
        <v>-23.342471113205171</v>
      </c>
      <c r="H711" s="6">
        <v>-46.837942659090118</v>
      </c>
      <c r="I711" s="9">
        <v>1545.3</v>
      </c>
      <c r="K711" s="6">
        <v>12</v>
      </c>
      <c r="L711" s="6">
        <v>0</v>
      </c>
      <c r="N711" s="1">
        <f t="shared" si="94"/>
        <v>0</v>
      </c>
      <c r="Q711" s="6" t="s">
        <v>21</v>
      </c>
      <c r="R711" s="6" t="s">
        <v>21</v>
      </c>
      <c r="S711" s="6" t="s">
        <v>21</v>
      </c>
      <c r="T711" s="6" t="s">
        <v>21</v>
      </c>
      <c r="U711" s="6">
        <f t="shared" si="95"/>
        <v>0</v>
      </c>
      <c r="V711" s="6">
        <f t="shared" si="93"/>
        <v>0</v>
      </c>
    </row>
    <row r="712" spans="1:22" x14ac:dyDescent="0.35">
      <c r="A712" s="6" t="s">
        <v>808</v>
      </c>
      <c r="B712" s="6" t="s">
        <v>804</v>
      </c>
      <c r="C712" s="6" t="s">
        <v>805</v>
      </c>
      <c r="D712" s="6">
        <f t="shared" si="87"/>
        <v>0.5</v>
      </c>
      <c r="E712" s="6" t="s">
        <v>19</v>
      </c>
      <c r="F712" s="6" t="str">
        <f>MID(A712,19,1)</f>
        <v>N</v>
      </c>
      <c r="G712" s="6">
        <v>-23.344564981499889</v>
      </c>
      <c r="H712" s="6">
        <v>-46.839858589513852</v>
      </c>
      <c r="I712" s="9">
        <v>2457.2600000000002</v>
      </c>
      <c r="K712" s="6">
        <v>6.21</v>
      </c>
      <c r="L712" s="6">
        <v>30</v>
      </c>
      <c r="N712" s="1">
        <f t="shared" si="94"/>
        <v>0</v>
      </c>
      <c r="O712" s="6" t="s">
        <v>20</v>
      </c>
      <c r="Q712" s="6" t="s">
        <v>21</v>
      </c>
      <c r="R712" s="6" t="s">
        <v>21</v>
      </c>
      <c r="S712" s="6" t="s">
        <v>21</v>
      </c>
      <c r="T712" s="6" t="s">
        <v>21</v>
      </c>
      <c r="U712" s="6">
        <f t="shared" si="95"/>
        <v>737.178</v>
      </c>
      <c r="V712" s="6">
        <f t="shared" si="93"/>
        <v>737.178</v>
      </c>
    </row>
    <row r="713" spans="1:22" x14ac:dyDescent="0.35">
      <c r="A713" s="6" t="s">
        <v>809</v>
      </c>
      <c r="B713" s="6" t="s">
        <v>804</v>
      </c>
      <c r="C713" s="6" t="s">
        <v>805</v>
      </c>
      <c r="D713" s="6">
        <f t="shared" si="87"/>
        <v>0.5</v>
      </c>
      <c r="E713" s="6" t="s">
        <v>19</v>
      </c>
      <c r="F713" s="6" t="str">
        <f>MID(A713,19,1)</f>
        <v>N</v>
      </c>
      <c r="G713" s="6">
        <v>-23.34558400626398</v>
      </c>
      <c r="H713" s="6">
        <v>-46.842354530025773</v>
      </c>
      <c r="I713" s="9">
        <v>1911.44</v>
      </c>
      <c r="K713" s="6">
        <v>11.25</v>
      </c>
      <c r="L713" s="6">
        <v>40</v>
      </c>
      <c r="N713" s="1">
        <f t="shared" si="94"/>
        <v>0</v>
      </c>
      <c r="O713" s="6" t="s">
        <v>801</v>
      </c>
      <c r="Q713" s="6" t="s">
        <v>21</v>
      </c>
      <c r="R713" s="6" t="s">
        <v>21</v>
      </c>
      <c r="S713" s="6" t="s">
        <v>21</v>
      </c>
      <c r="T713" s="6" t="s">
        <v>21</v>
      </c>
      <c r="U713" s="6">
        <f t="shared" si="95"/>
        <v>764.57600000000002</v>
      </c>
      <c r="V713" s="6">
        <f t="shared" si="93"/>
        <v>764.57600000000002</v>
      </c>
    </row>
    <row r="714" spans="1:22" hidden="1" x14ac:dyDescent="0.35">
      <c r="A714" s="6" t="s">
        <v>810</v>
      </c>
      <c r="B714" s="6" t="s">
        <v>804</v>
      </c>
      <c r="C714" s="6" t="s">
        <v>805</v>
      </c>
      <c r="D714" s="6">
        <f t="shared" si="87"/>
        <v>0.5</v>
      </c>
      <c r="E714" s="6" t="s">
        <v>19</v>
      </c>
      <c r="F714" s="6" t="str">
        <f>MID(A714,19,1)</f>
        <v>S</v>
      </c>
      <c r="G714" s="6">
        <v>-23.34525825899339</v>
      </c>
      <c r="H714" s="6">
        <v>-46.84261867527907</v>
      </c>
      <c r="I714" s="9">
        <v>1926.58</v>
      </c>
      <c r="K714" s="6">
        <v>6.9</v>
      </c>
      <c r="L714" s="6">
        <v>0</v>
      </c>
      <c r="N714" s="1">
        <f t="shared" si="94"/>
        <v>0</v>
      </c>
      <c r="Q714" s="6" t="s">
        <v>21</v>
      </c>
      <c r="R714" s="6" t="s">
        <v>21</v>
      </c>
      <c r="S714" s="6" t="s">
        <v>21</v>
      </c>
      <c r="T714" s="6" t="s">
        <v>21</v>
      </c>
      <c r="U714" s="6">
        <f t="shared" si="95"/>
        <v>0</v>
      </c>
      <c r="V714" s="6">
        <f t="shared" si="93"/>
        <v>0</v>
      </c>
    </row>
    <row r="715" spans="1:22" x14ac:dyDescent="0.35">
      <c r="A715" s="6" t="s">
        <v>811</v>
      </c>
      <c r="B715" s="6" t="s">
        <v>804</v>
      </c>
      <c r="C715" s="6" t="s">
        <v>805</v>
      </c>
      <c r="D715" s="6">
        <f t="shared" si="87"/>
        <v>0.5</v>
      </c>
      <c r="E715" s="6" t="s">
        <v>19</v>
      </c>
      <c r="F715" s="6" t="str">
        <f>MID(A715,19,1)</f>
        <v>N</v>
      </c>
      <c r="G715" s="6">
        <v>-23.344710645387629</v>
      </c>
      <c r="H715" s="6">
        <v>-46.839394756968062</v>
      </c>
      <c r="I715" s="9">
        <v>651.26</v>
      </c>
      <c r="K715" s="6">
        <v>11.47</v>
      </c>
      <c r="L715" s="6">
        <v>0</v>
      </c>
      <c r="N715" s="1">
        <f t="shared" si="94"/>
        <v>0</v>
      </c>
      <c r="Q715" s="6" t="s">
        <v>21</v>
      </c>
      <c r="R715" s="6" t="s">
        <v>21</v>
      </c>
      <c r="S715" s="6" t="s">
        <v>21</v>
      </c>
      <c r="T715" s="6" t="s">
        <v>21</v>
      </c>
      <c r="U715" s="6">
        <f t="shared" si="95"/>
        <v>0</v>
      </c>
      <c r="V715" s="6">
        <f t="shared" si="93"/>
        <v>0</v>
      </c>
    </row>
    <row r="716" spans="1:22" x14ac:dyDescent="0.35">
      <c r="A716" s="8" t="s">
        <v>812</v>
      </c>
      <c r="B716" s="8" t="s">
        <v>804</v>
      </c>
      <c r="C716" s="8" t="s">
        <v>805</v>
      </c>
      <c r="D716" s="6">
        <f t="shared" si="87"/>
        <v>0.5</v>
      </c>
      <c r="E716" s="8" t="s">
        <v>19</v>
      </c>
      <c r="F716" s="6" t="str">
        <f>MID(A716,19,1)</f>
        <v>N</v>
      </c>
      <c r="G716" s="8">
        <v>-23.344237225240128</v>
      </c>
      <c r="H716" s="8">
        <v>-46.838344368689889</v>
      </c>
      <c r="I716" s="7">
        <v>1722.03</v>
      </c>
      <c r="J716" s="7"/>
      <c r="K716" s="8">
        <v>9.5</v>
      </c>
      <c r="L716" s="8">
        <v>90</v>
      </c>
      <c r="M716" s="8"/>
      <c r="N716" s="11">
        <f t="shared" si="94"/>
        <v>1549.827</v>
      </c>
      <c r="O716" s="8" t="s">
        <v>71</v>
      </c>
      <c r="P716" s="8"/>
      <c r="Q716" s="8" t="s">
        <v>21</v>
      </c>
      <c r="R716" s="8" t="s">
        <v>21</v>
      </c>
      <c r="S716" s="8" t="s">
        <v>21</v>
      </c>
      <c r="T716" s="8" t="s">
        <v>26</v>
      </c>
      <c r="U716" s="6">
        <f t="shared" si="95"/>
        <v>0</v>
      </c>
    </row>
    <row r="717" spans="1:22" x14ac:dyDescent="0.35">
      <c r="A717" s="6" t="s">
        <v>813</v>
      </c>
      <c r="B717" s="6" t="s">
        <v>804</v>
      </c>
      <c r="C717" s="6" t="s">
        <v>805</v>
      </c>
      <c r="D717" s="6">
        <f t="shared" si="87"/>
        <v>0.5</v>
      </c>
      <c r="E717" s="6" t="s">
        <v>19</v>
      </c>
      <c r="F717" s="6" t="str">
        <f>MID(A717,19,1)</f>
        <v>N</v>
      </c>
      <c r="G717" s="6">
        <v>-23.332397416264911</v>
      </c>
      <c r="H717" s="6">
        <v>-46.822810208494737</v>
      </c>
      <c r="I717" s="9">
        <v>578.94000000000005</v>
      </c>
      <c r="K717" s="6">
        <v>5.19</v>
      </c>
      <c r="L717" s="6">
        <v>0</v>
      </c>
      <c r="N717" s="1">
        <f t="shared" si="94"/>
        <v>0</v>
      </c>
      <c r="Q717" s="6" t="s">
        <v>21</v>
      </c>
      <c r="R717" s="6" t="s">
        <v>21</v>
      </c>
      <c r="S717" s="6" t="s">
        <v>21</v>
      </c>
      <c r="T717" s="6" t="s">
        <v>21</v>
      </c>
      <c r="U717" s="6">
        <f t="shared" si="95"/>
        <v>0</v>
      </c>
      <c r="V717" s="6">
        <f t="shared" ref="V717:V762" si="96">(I717*(L717/100))</f>
        <v>0</v>
      </c>
    </row>
    <row r="718" spans="1:22" x14ac:dyDescent="0.35">
      <c r="A718" s="6" t="s">
        <v>814</v>
      </c>
      <c r="B718" s="6" t="s">
        <v>804</v>
      </c>
      <c r="C718" s="6" t="s">
        <v>805</v>
      </c>
      <c r="D718" s="6">
        <f t="shared" ref="D718:D781" si="97">C718-B718</f>
        <v>0.5</v>
      </c>
      <c r="E718" s="6" t="s">
        <v>19</v>
      </c>
      <c r="F718" s="6" t="str">
        <f>MID(A718,19,1)</f>
        <v>N</v>
      </c>
      <c r="G718" s="6">
        <v>-23.344873811683009</v>
      </c>
      <c r="H718" s="6">
        <v>-46.840560675125133</v>
      </c>
      <c r="I718" s="9">
        <v>892.1</v>
      </c>
      <c r="K718" s="6">
        <v>5.86</v>
      </c>
      <c r="L718" s="6">
        <v>40</v>
      </c>
      <c r="N718" s="1">
        <f t="shared" si="94"/>
        <v>0</v>
      </c>
      <c r="O718" s="6" t="s">
        <v>801</v>
      </c>
      <c r="Q718" s="6" t="s">
        <v>21</v>
      </c>
      <c r="R718" s="6" t="s">
        <v>21</v>
      </c>
      <c r="S718" s="6" t="s">
        <v>21</v>
      </c>
      <c r="T718" s="6" t="s">
        <v>21</v>
      </c>
      <c r="U718" s="6">
        <f t="shared" si="95"/>
        <v>356.84000000000003</v>
      </c>
      <c r="V718" s="6">
        <f t="shared" si="96"/>
        <v>356.84000000000003</v>
      </c>
    </row>
    <row r="719" spans="1:22" hidden="1" x14ac:dyDescent="0.35">
      <c r="A719" s="6" t="s">
        <v>815</v>
      </c>
      <c r="B719" s="6" t="s">
        <v>804</v>
      </c>
      <c r="C719" s="6" t="s">
        <v>805</v>
      </c>
      <c r="D719" s="6">
        <f t="shared" si="97"/>
        <v>0.5</v>
      </c>
      <c r="E719" s="6" t="s">
        <v>23</v>
      </c>
      <c r="F719" s="6" t="str">
        <f>MID(A719,19,1)</f>
        <v>C</v>
      </c>
      <c r="G719" s="6">
        <v>-23.329411845033832</v>
      </c>
      <c r="H719" s="6">
        <v>-46.82323925079919</v>
      </c>
      <c r="I719" s="7">
        <v>6253.53</v>
      </c>
      <c r="J719" s="9">
        <f>I719/500</f>
        <v>12.507059999999999</v>
      </c>
      <c r="K719" s="6">
        <v>3.42</v>
      </c>
      <c r="L719" s="6">
        <v>70</v>
      </c>
      <c r="N719" s="1">
        <f t="shared" si="94"/>
        <v>0</v>
      </c>
      <c r="O719" s="6" t="s">
        <v>185</v>
      </c>
      <c r="Q719" s="6" t="s">
        <v>21</v>
      </c>
      <c r="R719" s="6" t="s">
        <v>21</v>
      </c>
      <c r="S719" s="6" t="s">
        <v>21</v>
      </c>
      <c r="T719" s="6" t="s">
        <v>21</v>
      </c>
      <c r="U719" s="6">
        <f t="shared" si="95"/>
        <v>4377.4709999999995</v>
      </c>
      <c r="V719" s="6">
        <f t="shared" si="96"/>
        <v>4377.4709999999995</v>
      </c>
    </row>
    <row r="720" spans="1:22" hidden="1" x14ac:dyDescent="0.35">
      <c r="A720" s="6" t="s">
        <v>816</v>
      </c>
      <c r="B720" s="6" t="s">
        <v>804</v>
      </c>
      <c r="C720" s="6" t="s">
        <v>805</v>
      </c>
      <c r="D720" s="6">
        <f t="shared" si="97"/>
        <v>0.5</v>
      </c>
      <c r="E720" s="6" t="s">
        <v>19</v>
      </c>
      <c r="F720" s="6" t="str">
        <f>MID(A720,19,1)</f>
        <v>S</v>
      </c>
      <c r="G720" s="6">
        <v>-23.331594207353191</v>
      </c>
      <c r="H720" s="6">
        <v>-46.823850805716873</v>
      </c>
      <c r="I720" s="9">
        <v>0.62</v>
      </c>
      <c r="K720" s="6">
        <v>2.64</v>
      </c>
      <c r="N720" s="1">
        <f t="shared" si="94"/>
        <v>0</v>
      </c>
      <c r="Q720" s="6" t="s">
        <v>21</v>
      </c>
      <c r="R720" s="6" t="s">
        <v>21</v>
      </c>
      <c r="S720" s="6" t="s">
        <v>21</v>
      </c>
      <c r="T720" s="6" t="s">
        <v>21</v>
      </c>
      <c r="U720" s="6">
        <f t="shared" si="95"/>
        <v>0</v>
      </c>
      <c r="V720" s="6">
        <f t="shared" si="96"/>
        <v>0</v>
      </c>
    </row>
    <row r="721" spans="1:22" hidden="1" x14ac:dyDescent="0.35">
      <c r="A721" s="6" t="s">
        <v>817</v>
      </c>
      <c r="B721" s="6" t="s">
        <v>804</v>
      </c>
      <c r="C721" s="6" t="s">
        <v>805</v>
      </c>
      <c r="D721" s="6">
        <f t="shared" si="97"/>
        <v>0.5</v>
      </c>
      <c r="E721" s="6" t="s">
        <v>23</v>
      </c>
      <c r="F721" s="6" t="str">
        <f>MID(A721,19,1)</f>
        <v>C</v>
      </c>
      <c r="G721" s="6">
        <v>-23.334736376907252</v>
      </c>
      <c r="H721" s="6">
        <v>-46.822819578602733</v>
      </c>
      <c r="I721" s="7">
        <v>3675.63</v>
      </c>
      <c r="J721" s="9">
        <f>I721/500</f>
        <v>7.3512599999999999</v>
      </c>
      <c r="K721" s="6">
        <v>3.8</v>
      </c>
      <c r="L721" s="6">
        <v>70</v>
      </c>
      <c r="N721" s="1">
        <f t="shared" si="94"/>
        <v>0</v>
      </c>
      <c r="O721" s="6" t="s">
        <v>185</v>
      </c>
      <c r="Q721" s="6" t="s">
        <v>21</v>
      </c>
      <c r="R721" s="6" t="s">
        <v>21</v>
      </c>
      <c r="S721" s="6" t="s">
        <v>21</v>
      </c>
      <c r="T721" s="6" t="s">
        <v>21</v>
      </c>
      <c r="U721" s="6">
        <f t="shared" si="95"/>
        <v>2572.9409999999998</v>
      </c>
      <c r="V721" s="6">
        <f t="shared" si="96"/>
        <v>2572.9409999999998</v>
      </c>
    </row>
    <row r="722" spans="1:22" x14ac:dyDescent="0.35">
      <c r="A722" s="6" t="s">
        <v>818</v>
      </c>
      <c r="B722" s="6" t="s">
        <v>804</v>
      </c>
      <c r="C722" s="6" t="s">
        <v>805</v>
      </c>
      <c r="D722" s="6">
        <f t="shared" si="97"/>
        <v>0.5</v>
      </c>
      <c r="E722" s="6" t="s">
        <v>19</v>
      </c>
      <c r="F722" s="6" t="str">
        <f>MID(A722,19,1)</f>
        <v>N</v>
      </c>
      <c r="G722" s="6">
        <v>-23.33078249000453</v>
      </c>
      <c r="H722" s="6">
        <v>-46.822166885429809</v>
      </c>
      <c r="I722" s="9">
        <v>5.58</v>
      </c>
      <c r="K722" s="6">
        <v>1.77</v>
      </c>
      <c r="N722" s="1">
        <f t="shared" si="94"/>
        <v>0</v>
      </c>
      <c r="Q722" s="6" t="s">
        <v>21</v>
      </c>
      <c r="R722" s="6" t="s">
        <v>21</v>
      </c>
      <c r="S722" s="6" t="s">
        <v>21</v>
      </c>
      <c r="T722" s="6" t="s">
        <v>21</v>
      </c>
      <c r="U722" s="6">
        <f t="shared" si="95"/>
        <v>0</v>
      </c>
      <c r="V722" s="6">
        <f t="shared" si="96"/>
        <v>0</v>
      </c>
    </row>
    <row r="723" spans="1:22" x14ac:dyDescent="0.35">
      <c r="A723" s="6" t="s">
        <v>819</v>
      </c>
      <c r="B723" s="6" t="s">
        <v>804</v>
      </c>
      <c r="C723" s="6" t="s">
        <v>805</v>
      </c>
      <c r="D723" s="6">
        <f t="shared" si="97"/>
        <v>0.5</v>
      </c>
      <c r="E723" s="6" t="s">
        <v>19</v>
      </c>
      <c r="F723" s="6" t="str">
        <f>MID(A723,19,1)</f>
        <v>N</v>
      </c>
      <c r="G723" s="6">
        <v>-23.33460186947574</v>
      </c>
      <c r="H723" s="6">
        <v>-46.822526808413812</v>
      </c>
      <c r="I723" s="9">
        <v>1072.55</v>
      </c>
      <c r="K723" s="6">
        <v>6.72</v>
      </c>
      <c r="L723" s="6">
        <v>0</v>
      </c>
      <c r="N723" s="1">
        <f t="shared" si="94"/>
        <v>0</v>
      </c>
      <c r="Q723" s="6" t="s">
        <v>21</v>
      </c>
      <c r="R723" s="6" t="s">
        <v>21</v>
      </c>
      <c r="S723" s="6" t="s">
        <v>21</v>
      </c>
      <c r="T723" s="6" t="s">
        <v>21</v>
      </c>
      <c r="U723" s="6">
        <f t="shared" si="95"/>
        <v>0</v>
      </c>
      <c r="V723" s="6">
        <f t="shared" si="96"/>
        <v>0</v>
      </c>
    </row>
    <row r="724" spans="1:22" x14ac:dyDescent="0.35">
      <c r="A724" s="6" t="s">
        <v>820</v>
      </c>
      <c r="B724" s="6" t="s">
        <v>804</v>
      </c>
      <c r="C724" s="6" t="s">
        <v>805</v>
      </c>
      <c r="D724" s="6">
        <f t="shared" si="97"/>
        <v>0.5</v>
      </c>
      <c r="E724" s="6" t="s">
        <v>19</v>
      </c>
      <c r="F724" s="6" t="str">
        <f>MID(A724,19,1)</f>
        <v>N</v>
      </c>
      <c r="G724" s="6">
        <v>-23.32949351439628</v>
      </c>
      <c r="H724" s="6">
        <v>-46.822906941758013</v>
      </c>
      <c r="I724" s="9">
        <v>2000.55</v>
      </c>
      <c r="K724" s="6">
        <v>4.6100000000000003</v>
      </c>
      <c r="L724" s="6">
        <v>0</v>
      </c>
      <c r="N724" s="1">
        <f t="shared" si="94"/>
        <v>0</v>
      </c>
      <c r="Q724" s="6" t="s">
        <v>21</v>
      </c>
      <c r="R724" s="6" t="s">
        <v>21</v>
      </c>
      <c r="S724" s="6" t="s">
        <v>21</v>
      </c>
      <c r="T724" s="6" t="s">
        <v>21</v>
      </c>
      <c r="U724" s="6">
        <f t="shared" si="95"/>
        <v>0</v>
      </c>
      <c r="V724" s="6">
        <f t="shared" si="96"/>
        <v>0</v>
      </c>
    </row>
    <row r="725" spans="1:22" hidden="1" x14ac:dyDescent="0.35">
      <c r="A725" s="6" t="s">
        <v>821</v>
      </c>
      <c r="B725" s="6" t="s">
        <v>804</v>
      </c>
      <c r="C725" s="6" t="s">
        <v>805</v>
      </c>
      <c r="D725" s="6">
        <f t="shared" si="97"/>
        <v>0.5</v>
      </c>
      <c r="E725" s="6" t="s">
        <v>19</v>
      </c>
      <c r="F725" s="6" t="str">
        <f>MID(A725,19,1)</f>
        <v>S</v>
      </c>
      <c r="G725" s="6">
        <v>-23.32942207043827</v>
      </c>
      <c r="H725" s="6">
        <v>-46.823570617543062</v>
      </c>
      <c r="I725" s="9">
        <v>2014.25</v>
      </c>
      <c r="K725" s="6">
        <v>3.63</v>
      </c>
      <c r="L725" s="6">
        <v>0</v>
      </c>
      <c r="N725" s="1">
        <f t="shared" si="94"/>
        <v>0</v>
      </c>
      <c r="Q725" s="6" t="s">
        <v>21</v>
      </c>
      <c r="R725" s="6" t="s">
        <v>21</v>
      </c>
      <c r="S725" s="6" t="s">
        <v>21</v>
      </c>
      <c r="T725" s="6" t="s">
        <v>21</v>
      </c>
      <c r="U725" s="6">
        <f t="shared" si="95"/>
        <v>0</v>
      </c>
      <c r="V725" s="6">
        <f t="shared" si="96"/>
        <v>0</v>
      </c>
    </row>
    <row r="726" spans="1:22" hidden="1" x14ac:dyDescent="0.35">
      <c r="A726" s="6" t="s">
        <v>822</v>
      </c>
      <c r="B726" s="6" t="s">
        <v>804</v>
      </c>
      <c r="C726" s="6" t="s">
        <v>805</v>
      </c>
      <c r="D726" s="6">
        <f t="shared" si="97"/>
        <v>0.5</v>
      </c>
      <c r="E726" s="6" t="s">
        <v>19</v>
      </c>
      <c r="F726" s="6" t="str">
        <f>MID(A726,19,1)</f>
        <v>S</v>
      </c>
      <c r="G726" s="6">
        <v>-23.332395467075798</v>
      </c>
      <c r="H726" s="6">
        <v>-46.823475957375777</v>
      </c>
      <c r="I726" s="9">
        <v>620.64</v>
      </c>
      <c r="K726" s="6">
        <v>4.9400000000000004</v>
      </c>
      <c r="L726" s="6">
        <v>0</v>
      </c>
      <c r="N726" s="1">
        <f t="shared" si="94"/>
        <v>0</v>
      </c>
      <c r="Q726" s="6" t="s">
        <v>21</v>
      </c>
      <c r="R726" s="6" t="s">
        <v>21</v>
      </c>
      <c r="S726" s="6" t="s">
        <v>21</v>
      </c>
      <c r="T726" s="6" t="s">
        <v>21</v>
      </c>
      <c r="U726" s="6">
        <f t="shared" si="95"/>
        <v>0</v>
      </c>
      <c r="V726" s="6">
        <f t="shared" si="96"/>
        <v>0</v>
      </c>
    </row>
    <row r="727" spans="1:22" hidden="1" x14ac:dyDescent="0.35">
      <c r="A727" s="6" t="s">
        <v>823</v>
      </c>
      <c r="B727" s="6" t="s">
        <v>804</v>
      </c>
      <c r="C727" s="6" t="s">
        <v>805</v>
      </c>
      <c r="D727" s="6">
        <f t="shared" si="97"/>
        <v>0.5</v>
      </c>
      <c r="E727" s="6" t="s">
        <v>19</v>
      </c>
      <c r="F727" s="6" t="str">
        <f>MID(A727,19,1)</f>
        <v>S</v>
      </c>
      <c r="G727" s="6">
        <v>-23.33398306235798</v>
      </c>
      <c r="H727" s="6">
        <v>-46.8234146037504</v>
      </c>
      <c r="I727" s="9">
        <v>381.46</v>
      </c>
      <c r="K727" s="6">
        <v>4.38</v>
      </c>
      <c r="L727" s="6">
        <v>0</v>
      </c>
      <c r="N727" s="1">
        <f t="shared" si="94"/>
        <v>0</v>
      </c>
      <c r="Q727" s="6" t="s">
        <v>21</v>
      </c>
      <c r="R727" s="6" t="s">
        <v>21</v>
      </c>
      <c r="S727" s="6" t="s">
        <v>21</v>
      </c>
      <c r="T727" s="6" t="s">
        <v>21</v>
      </c>
      <c r="U727" s="6">
        <f t="shared" si="95"/>
        <v>0</v>
      </c>
      <c r="V727" s="6">
        <f t="shared" si="96"/>
        <v>0</v>
      </c>
    </row>
    <row r="728" spans="1:22" x14ac:dyDescent="0.35">
      <c r="A728" s="6" t="s">
        <v>824</v>
      </c>
      <c r="B728" s="6" t="s">
        <v>804</v>
      </c>
      <c r="C728" s="6" t="s">
        <v>805</v>
      </c>
      <c r="D728" s="6">
        <f t="shared" si="97"/>
        <v>0.5</v>
      </c>
      <c r="E728" s="6" t="s">
        <v>19</v>
      </c>
      <c r="F728" s="6" t="str">
        <f>MID(A728,19,1)</f>
        <v>N</v>
      </c>
      <c r="G728" s="6">
        <v>-23.343175949459962</v>
      </c>
      <c r="H728" s="6">
        <v>-46.838436538023259</v>
      </c>
      <c r="I728" s="9">
        <v>8797.02</v>
      </c>
      <c r="K728" s="6">
        <v>5.83</v>
      </c>
      <c r="L728" s="6">
        <v>70</v>
      </c>
      <c r="N728" s="1">
        <f t="shared" si="94"/>
        <v>0</v>
      </c>
      <c r="O728" s="6" t="s">
        <v>20</v>
      </c>
      <c r="Q728" s="6" t="s">
        <v>21</v>
      </c>
      <c r="R728" s="6" t="s">
        <v>21</v>
      </c>
      <c r="S728" s="6" t="s">
        <v>21</v>
      </c>
      <c r="T728" s="6" t="s">
        <v>21</v>
      </c>
      <c r="U728" s="6">
        <f t="shared" si="95"/>
        <v>6157.9139999999998</v>
      </c>
      <c r="V728" s="6">
        <f t="shared" si="96"/>
        <v>6157.9139999999998</v>
      </c>
    </row>
    <row r="729" spans="1:22" hidden="1" x14ac:dyDescent="0.35">
      <c r="A729" s="6" t="s">
        <v>825</v>
      </c>
      <c r="B729" s="6" t="s">
        <v>804</v>
      </c>
      <c r="C729" s="6" t="s">
        <v>805</v>
      </c>
      <c r="D729" s="6">
        <f t="shared" si="97"/>
        <v>0.5</v>
      </c>
      <c r="E729" s="6" t="s">
        <v>19</v>
      </c>
      <c r="F729" s="6" t="str">
        <f>MID(A729,19,1)</f>
        <v>S</v>
      </c>
      <c r="G729" s="6">
        <v>-23.34463292120736</v>
      </c>
      <c r="H729" s="6">
        <v>-46.840894942007033</v>
      </c>
      <c r="I729" s="9">
        <v>2121.65</v>
      </c>
      <c r="K729" s="6">
        <v>3.04</v>
      </c>
      <c r="L729" s="6">
        <v>0</v>
      </c>
      <c r="N729" s="1">
        <f t="shared" si="94"/>
        <v>0</v>
      </c>
      <c r="Q729" s="6" t="s">
        <v>21</v>
      </c>
      <c r="R729" s="6" t="s">
        <v>21</v>
      </c>
      <c r="S729" s="6" t="s">
        <v>21</v>
      </c>
      <c r="T729" s="6" t="s">
        <v>21</v>
      </c>
      <c r="U729" s="6">
        <f t="shared" si="95"/>
        <v>0</v>
      </c>
      <c r="V729" s="6">
        <f t="shared" si="96"/>
        <v>0</v>
      </c>
    </row>
    <row r="730" spans="1:22" hidden="1" x14ac:dyDescent="0.35">
      <c r="A730" s="6" t="s">
        <v>826</v>
      </c>
      <c r="B730" s="6" t="s">
        <v>804</v>
      </c>
      <c r="C730" s="6" t="s">
        <v>805</v>
      </c>
      <c r="D730" s="6">
        <f t="shared" si="97"/>
        <v>0.5</v>
      </c>
      <c r="E730" s="6" t="s">
        <v>19</v>
      </c>
      <c r="F730" s="6" t="str">
        <f>MID(A730,19,1)</f>
        <v>S</v>
      </c>
      <c r="G730" s="6">
        <v>-23.344201153927081</v>
      </c>
      <c r="H730" s="6">
        <v>-46.840156092758633</v>
      </c>
      <c r="I730" s="9">
        <v>2398.1</v>
      </c>
      <c r="K730" s="6">
        <v>3.65</v>
      </c>
      <c r="L730" s="6">
        <v>20</v>
      </c>
      <c r="N730" s="1">
        <f t="shared" si="94"/>
        <v>0</v>
      </c>
      <c r="O730" s="6" t="s">
        <v>20</v>
      </c>
      <c r="Q730" s="6" t="s">
        <v>21</v>
      </c>
      <c r="R730" s="6" t="s">
        <v>21</v>
      </c>
      <c r="S730" s="6" t="s">
        <v>21</v>
      </c>
      <c r="T730" s="6" t="s">
        <v>21</v>
      </c>
      <c r="U730" s="6">
        <f t="shared" si="95"/>
        <v>479.62</v>
      </c>
      <c r="V730" s="6">
        <f t="shared" si="96"/>
        <v>479.62</v>
      </c>
    </row>
    <row r="731" spans="1:22" hidden="1" x14ac:dyDescent="0.35">
      <c r="A731" s="6" t="s">
        <v>827</v>
      </c>
      <c r="B731" s="6" t="s">
        <v>804</v>
      </c>
      <c r="C731" s="6" t="s">
        <v>805</v>
      </c>
      <c r="D731" s="6">
        <f t="shared" si="97"/>
        <v>0.5</v>
      </c>
      <c r="E731" s="6" t="s">
        <v>19</v>
      </c>
      <c r="F731" s="6" t="str">
        <f>MID(A731,19,1)</f>
        <v>S</v>
      </c>
      <c r="G731" s="6">
        <v>-23.343652286801021</v>
      </c>
      <c r="H731" s="6">
        <v>-46.839973210506571</v>
      </c>
      <c r="I731" s="9">
        <v>284.2</v>
      </c>
      <c r="K731" s="6">
        <v>4.1399999999999997</v>
      </c>
      <c r="L731" s="6">
        <v>20</v>
      </c>
      <c r="N731" s="1">
        <f t="shared" si="94"/>
        <v>0</v>
      </c>
      <c r="O731" s="6" t="s">
        <v>20</v>
      </c>
      <c r="Q731" s="6" t="s">
        <v>21</v>
      </c>
      <c r="R731" s="6" t="s">
        <v>21</v>
      </c>
      <c r="S731" s="6" t="s">
        <v>21</v>
      </c>
      <c r="T731" s="6" t="s">
        <v>21</v>
      </c>
      <c r="U731" s="6">
        <f t="shared" si="95"/>
        <v>56.84</v>
      </c>
      <c r="V731" s="6">
        <f t="shared" si="96"/>
        <v>56.84</v>
      </c>
    </row>
    <row r="732" spans="1:22" hidden="1" x14ac:dyDescent="0.35">
      <c r="A732" s="6" t="s">
        <v>828</v>
      </c>
      <c r="B732" s="6" t="s">
        <v>804</v>
      </c>
      <c r="C732" s="6" t="s">
        <v>805</v>
      </c>
      <c r="D732" s="6">
        <f t="shared" si="97"/>
        <v>0.5</v>
      </c>
      <c r="E732" s="6" t="s">
        <v>19</v>
      </c>
      <c r="F732" s="6" t="str">
        <f>MID(A732,19,1)</f>
        <v>S</v>
      </c>
      <c r="G732" s="6">
        <v>-23.343905439755101</v>
      </c>
      <c r="H732" s="6">
        <v>-46.840018750185237</v>
      </c>
      <c r="I732" s="9">
        <v>644.5</v>
      </c>
      <c r="K732" s="6">
        <v>3.73</v>
      </c>
      <c r="L732" s="6">
        <v>20</v>
      </c>
      <c r="N732" s="1">
        <f t="shared" si="94"/>
        <v>0</v>
      </c>
      <c r="O732" s="6" t="s">
        <v>20</v>
      </c>
      <c r="Q732" s="6" t="s">
        <v>21</v>
      </c>
      <c r="R732" s="6" t="s">
        <v>21</v>
      </c>
      <c r="S732" s="6" t="s">
        <v>21</v>
      </c>
      <c r="T732" s="6" t="s">
        <v>21</v>
      </c>
      <c r="U732" s="6">
        <f t="shared" si="95"/>
        <v>128.9</v>
      </c>
      <c r="V732" s="6">
        <f t="shared" si="96"/>
        <v>128.9</v>
      </c>
    </row>
    <row r="733" spans="1:22" hidden="1" x14ac:dyDescent="0.35">
      <c r="A733" s="6" t="s">
        <v>829</v>
      </c>
      <c r="B733" s="6" t="s">
        <v>804</v>
      </c>
      <c r="C733" s="6" t="s">
        <v>805</v>
      </c>
      <c r="D733" s="6">
        <f t="shared" si="97"/>
        <v>0.5</v>
      </c>
      <c r="E733" s="6" t="s">
        <v>19</v>
      </c>
      <c r="F733" s="6" t="str">
        <f>MID(A733,19,1)</f>
        <v>S</v>
      </c>
      <c r="G733" s="6">
        <v>-23.34390031453864</v>
      </c>
      <c r="H733" s="6">
        <v>-46.840386781983767</v>
      </c>
      <c r="I733" s="9">
        <v>311.77999999999997</v>
      </c>
      <c r="K733" s="6">
        <v>2.58</v>
      </c>
      <c r="L733" s="6">
        <v>20</v>
      </c>
      <c r="N733" s="1">
        <f t="shared" si="94"/>
        <v>0</v>
      </c>
      <c r="O733" s="6" t="s">
        <v>20</v>
      </c>
      <c r="Q733" s="6" t="s">
        <v>21</v>
      </c>
      <c r="R733" s="6" t="s">
        <v>21</v>
      </c>
      <c r="S733" s="6" t="s">
        <v>21</v>
      </c>
      <c r="T733" s="6" t="s">
        <v>21</v>
      </c>
      <c r="U733" s="6">
        <f t="shared" si="95"/>
        <v>62.355999999999995</v>
      </c>
      <c r="V733" s="6">
        <f t="shared" si="96"/>
        <v>62.355999999999995</v>
      </c>
    </row>
    <row r="734" spans="1:22" hidden="1" x14ac:dyDescent="0.35">
      <c r="A734" s="6" t="s">
        <v>830</v>
      </c>
      <c r="B734" s="6" t="s">
        <v>804</v>
      </c>
      <c r="C734" s="6" t="s">
        <v>805</v>
      </c>
      <c r="D734" s="6">
        <f t="shared" si="97"/>
        <v>0.5</v>
      </c>
      <c r="E734" s="6" t="s">
        <v>19</v>
      </c>
      <c r="F734" s="6" t="str">
        <f>MID(A734,19,1)</f>
        <v>S</v>
      </c>
      <c r="G734" s="6">
        <v>-23.34221766628303</v>
      </c>
      <c r="H734" s="6">
        <v>-46.838768581879577</v>
      </c>
      <c r="I734" s="9">
        <v>1577.07</v>
      </c>
      <c r="K734" s="6">
        <v>3.58</v>
      </c>
      <c r="L734" s="6">
        <v>20</v>
      </c>
      <c r="N734" s="1">
        <f t="shared" si="94"/>
        <v>0</v>
      </c>
      <c r="O734" s="6" t="s">
        <v>20</v>
      </c>
      <c r="Q734" s="6" t="s">
        <v>21</v>
      </c>
      <c r="R734" s="6" t="s">
        <v>21</v>
      </c>
      <c r="S734" s="6" t="s">
        <v>21</v>
      </c>
      <c r="T734" s="6" t="s">
        <v>21</v>
      </c>
      <c r="U734" s="6">
        <f t="shared" si="95"/>
        <v>315.41399999999999</v>
      </c>
      <c r="V734" s="6">
        <f t="shared" si="96"/>
        <v>315.41399999999999</v>
      </c>
    </row>
    <row r="735" spans="1:22" hidden="1" x14ac:dyDescent="0.35">
      <c r="A735" s="6" t="s">
        <v>831</v>
      </c>
      <c r="B735" s="6" t="s">
        <v>804</v>
      </c>
      <c r="C735" s="6" t="s">
        <v>805</v>
      </c>
      <c r="D735" s="6">
        <f t="shared" si="97"/>
        <v>0.5</v>
      </c>
      <c r="E735" s="6" t="s">
        <v>19</v>
      </c>
      <c r="F735" s="6" t="str">
        <f>MID(A735,19,1)</f>
        <v>S</v>
      </c>
      <c r="G735" s="6">
        <v>-23.332410802509639</v>
      </c>
      <c r="H735" s="6">
        <v>-46.823134595902282</v>
      </c>
      <c r="I735" s="9">
        <v>1964.05</v>
      </c>
      <c r="K735" s="6">
        <v>4.49</v>
      </c>
      <c r="L735" s="6">
        <v>70</v>
      </c>
      <c r="N735" s="1">
        <f t="shared" si="94"/>
        <v>0</v>
      </c>
      <c r="O735" s="6" t="s">
        <v>185</v>
      </c>
      <c r="Q735" s="6" t="s">
        <v>21</v>
      </c>
      <c r="R735" s="6" t="s">
        <v>21</v>
      </c>
      <c r="S735" s="6" t="s">
        <v>21</v>
      </c>
      <c r="T735" s="6" t="s">
        <v>21</v>
      </c>
      <c r="U735" s="6">
        <f t="shared" si="95"/>
        <v>1374.8349999999998</v>
      </c>
      <c r="V735" s="6">
        <f t="shared" si="96"/>
        <v>1374.8349999999998</v>
      </c>
    </row>
    <row r="736" spans="1:22" hidden="1" x14ac:dyDescent="0.35">
      <c r="A736" s="6" t="s">
        <v>832</v>
      </c>
      <c r="B736" s="6" t="s">
        <v>804</v>
      </c>
      <c r="C736" s="6" t="s">
        <v>805</v>
      </c>
      <c r="D736" s="6">
        <f t="shared" si="97"/>
        <v>0.5</v>
      </c>
      <c r="E736" s="6" t="s">
        <v>23</v>
      </c>
      <c r="F736" s="6" t="str">
        <f>MID(A736,19,1)</f>
        <v>C</v>
      </c>
      <c r="G736" s="6">
        <v>-23.33520521514254</v>
      </c>
      <c r="H736" s="6">
        <v>-46.823112527645897</v>
      </c>
      <c r="I736" s="7">
        <v>2935.83</v>
      </c>
      <c r="J736" s="9">
        <f t="shared" ref="J736:J737" si="98">I736/500</f>
        <v>5.8716599999999994</v>
      </c>
      <c r="K736" s="6">
        <v>5.29</v>
      </c>
      <c r="L736" s="6">
        <v>0</v>
      </c>
      <c r="N736" s="1">
        <f t="shared" si="94"/>
        <v>0</v>
      </c>
      <c r="Q736" s="6" t="s">
        <v>21</v>
      </c>
      <c r="R736" s="6" t="s">
        <v>21</v>
      </c>
      <c r="S736" s="6" t="s">
        <v>21</v>
      </c>
      <c r="T736" s="6" t="s">
        <v>21</v>
      </c>
      <c r="U736" s="6">
        <f t="shared" si="95"/>
        <v>0</v>
      </c>
      <c r="V736" s="6">
        <f t="shared" si="96"/>
        <v>0</v>
      </c>
    </row>
    <row r="737" spans="1:22" hidden="1" x14ac:dyDescent="0.35">
      <c r="A737" s="6" t="s">
        <v>833</v>
      </c>
      <c r="B737" s="6" t="s">
        <v>834</v>
      </c>
      <c r="C737" s="6" t="s">
        <v>835</v>
      </c>
      <c r="D737" s="6">
        <f t="shared" si="97"/>
        <v>0.5</v>
      </c>
      <c r="E737" s="6" t="s">
        <v>23</v>
      </c>
      <c r="F737" s="6" t="str">
        <f>MID(A737,19,1)</f>
        <v>C</v>
      </c>
      <c r="G737" s="6">
        <v>-23.326094768725749</v>
      </c>
      <c r="H737" s="6">
        <v>-46.823380463543771</v>
      </c>
      <c r="I737" s="7">
        <v>2849.06</v>
      </c>
      <c r="J737" s="9">
        <f t="shared" si="98"/>
        <v>5.6981200000000003</v>
      </c>
      <c r="K737" s="6">
        <v>7.5</v>
      </c>
      <c r="L737" s="6">
        <v>0</v>
      </c>
      <c r="N737" s="1">
        <f t="shared" si="94"/>
        <v>0</v>
      </c>
      <c r="Q737" s="6" t="s">
        <v>21</v>
      </c>
      <c r="R737" s="6" t="s">
        <v>21</v>
      </c>
      <c r="S737" s="6" t="s">
        <v>21</v>
      </c>
      <c r="T737" s="6" t="s">
        <v>21</v>
      </c>
      <c r="U737" s="6">
        <f t="shared" si="95"/>
        <v>0</v>
      </c>
      <c r="V737" s="6">
        <f t="shared" si="96"/>
        <v>0</v>
      </c>
    </row>
    <row r="738" spans="1:22" hidden="1" x14ac:dyDescent="0.35">
      <c r="A738" s="6" t="s">
        <v>836</v>
      </c>
      <c r="B738" s="6" t="s">
        <v>834</v>
      </c>
      <c r="C738" s="6" t="s">
        <v>835</v>
      </c>
      <c r="D738" s="6">
        <f t="shared" si="97"/>
        <v>0.5</v>
      </c>
      <c r="E738" s="6" t="s">
        <v>19</v>
      </c>
      <c r="F738" s="6" t="str">
        <f>MID(A738,19,1)</f>
        <v>S</v>
      </c>
      <c r="G738" s="6">
        <v>-23.33369378508829</v>
      </c>
      <c r="H738" s="6">
        <v>-46.837561943944969</v>
      </c>
      <c r="I738" s="9">
        <v>2366.4299999999998</v>
      </c>
      <c r="K738" s="6">
        <v>4.91</v>
      </c>
      <c r="L738" s="6">
        <v>0</v>
      </c>
      <c r="N738" s="1">
        <f t="shared" si="94"/>
        <v>0</v>
      </c>
      <c r="Q738" s="6" t="s">
        <v>21</v>
      </c>
      <c r="R738" s="6" t="s">
        <v>21</v>
      </c>
      <c r="S738" s="6" t="s">
        <v>21</v>
      </c>
      <c r="T738" s="6" t="s">
        <v>21</v>
      </c>
      <c r="U738" s="6">
        <f t="shared" si="95"/>
        <v>0</v>
      </c>
      <c r="V738" s="6">
        <f t="shared" si="96"/>
        <v>0</v>
      </c>
    </row>
    <row r="739" spans="1:22" x14ac:dyDescent="0.35">
      <c r="A739" s="6" t="s">
        <v>837</v>
      </c>
      <c r="B739" s="6" t="s">
        <v>834</v>
      </c>
      <c r="C739" s="6" t="s">
        <v>835</v>
      </c>
      <c r="D739" s="6">
        <f t="shared" si="97"/>
        <v>0.5</v>
      </c>
      <c r="E739" s="6" t="s">
        <v>19</v>
      </c>
      <c r="F739" s="6" t="str">
        <f>MID(A739,19,1)</f>
        <v>N</v>
      </c>
      <c r="G739" s="6">
        <v>-23.334544664476141</v>
      </c>
      <c r="H739" s="6">
        <v>-46.83683022158062</v>
      </c>
      <c r="I739" s="9">
        <v>810.76</v>
      </c>
      <c r="K739" s="6">
        <v>5.09</v>
      </c>
      <c r="L739" s="6">
        <v>0</v>
      </c>
      <c r="N739" s="1">
        <f t="shared" si="94"/>
        <v>0</v>
      </c>
      <c r="Q739" s="6" t="s">
        <v>21</v>
      </c>
      <c r="R739" s="6" t="s">
        <v>21</v>
      </c>
      <c r="S739" s="6" t="s">
        <v>21</v>
      </c>
      <c r="T739" s="6" t="s">
        <v>21</v>
      </c>
      <c r="U739" s="6">
        <f t="shared" si="95"/>
        <v>0</v>
      </c>
      <c r="V739" s="6">
        <f t="shared" si="96"/>
        <v>0</v>
      </c>
    </row>
    <row r="740" spans="1:22" hidden="1" x14ac:dyDescent="0.35">
      <c r="A740" s="6" t="s">
        <v>838</v>
      </c>
      <c r="B740" s="6" t="s">
        <v>834</v>
      </c>
      <c r="C740" s="6" t="s">
        <v>835</v>
      </c>
      <c r="D740" s="6">
        <f t="shared" si="97"/>
        <v>0.5</v>
      </c>
      <c r="E740" s="6" t="s">
        <v>19</v>
      </c>
      <c r="F740" s="6" t="str">
        <f>MID(A740,19,1)</f>
        <v>S</v>
      </c>
      <c r="G740" s="6">
        <v>-23.336368524992</v>
      </c>
      <c r="H740" s="6">
        <v>-46.836779679686707</v>
      </c>
      <c r="I740" s="9">
        <v>555.29</v>
      </c>
      <c r="K740" s="6">
        <v>4.49</v>
      </c>
      <c r="L740" s="6">
        <v>0</v>
      </c>
      <c r="N740" s="1">
        <f t="shared" si="94"/>
        <v>0</v>
      </c>
      <c r="Q740" s="6" t="s">
        <v>21</v>
      </c>
      <c r="R740" s="6" t="s">
        <v>21</v>
      </c>
      <c r="S740" s="6" t="s">
        <v>21</v>
      </c>
      <c r="T740" s="6" t="s">
        <v>21</v>
      </c>
      <c r="U740" s="6">
        <f t="shared" si="95"/>
        <v>0</v>
      </c>
      <c r="V740" s="6">
        <f t="shared" si="96"/>
        <v>0</v>
      </c>
    </row>
    <row r="741" spans="1:22" x14ac:dyDescent="0.35">
      <c r="A741" s="6" t="s">
        <v>839</v>
      </c>
      <c r="B741" s="6" t="s">
        <v>834</v>
      </c>
      <c r="C741" s="6" t="s">
        <v>835</v>
      </c>
      <c r="D741" s="6">
        <f t="shared" si="97"/>
        <v>0.5</v>
      </c>
      <c r="E741" s="6" t="s">
        <v>19</v>
      </c>
      <c r="F741" s="6" t="str">
        <f>MID(A741,19,1)</f>
        <v>N</v>
      </c>
      <c r="G741" s="6">
        <v>-23.33682172447136</v>
      </c>
      <c r="H741" s="6">
        <v>-46.836234326658797</v>
      </c>
      <c r="I741" s="9">
        <v>230.93</v>
      </c>
      <c r="K741" s="6">
        <v>4.13</v>
      </c>
      <c r="L741" s="6">
        <v>0</v>
      </c>
      <c r="N741" s="1">
        <f t="shared" si="94"/>
        <v>0</v>
      </c>
      <c r="Q741" s="6" t="s">
        <v>21</v>
      </c>
      <c r="R741" s="6" t="s">
        <v>21</v>
      </c>
      <c r="S741" s="6" t="s">
        <v>21</v>
      </c>
      <c r="T741" s="6" t="s">
        <v>21</v>
      </c>
      <c r="U741" s="6">
        <f t="shared" si="95"/>
        <v>0</v>
      </c>
      <c r="V741" s="6">
        <f t="shared" si="96"/>
        <v>0</v>
      </c>
    </row>
    <row r="742" spans="1:22" hidden="1" x14ac:dyDescent="0.35">
      <c r="A742" s="6" t="s">
        <v>840</v>
      </c>
      <c r="B742" s="6" t="s">
        <v>834</v>
      </c>
      <c r="C742" s="6" t="s">
        <v>835</v>
      </c>
      <c r="D742" s="6">
        <f t="shared" si="97"/>
        <v>0.5</v>
      </c>
      <c r="E742" s="6" t="s">
        <v>19</v>
      </c>
      <c r="F742" s="6" t="str">
        <f>MID(A742,19,1)</f>
        <v>S</v>
      </c>
      <c r="G742" s="6">
        <v>-23.32136629304761</v>
      </c>
      <c r="H742" s="6">
        <v>-46.823956622550888</v>
      </c>
      <c r="I742" s="9">
        <v>1321.76</v>
      </c>
      <c r="K742" s="6">
        <v>6.74</v>
      </c>
      <c r="L742" s="6">
        <v>0</v>
      </c>
      <c r="N742" s="1">
        <f t="shared" si="94"/>
        <v>0</v>
      </c>
      <c r="Q742" s="6" t="s">
        <v>21</v>
      </c>
      <c r="R742" s="6" t="s">
        <v>21</v>
      </c>
      <c r="S742" s="6" t="s">
        <v>21</v>
      </c>
      <c r="T742" s="6" t="s">
        <v>21</v>
      </c>
      <c r="U742" s="6">
        <f t="shared" si="95"/>
        <v>0</v>
      </c>
      <c r="V742" s="6">
        <f t="shared" si="96"/>
        <v>0</v>
      </c>
    </row>
    <row r="743" spans="1:22" hidden="1" x14ac:dyDescent="0.35">
      <c r="A743" s="6" t="s">
        <v>841</v>
      </c>
      <c r="B743" s="6" t="s">
        <v>834</v>
      </c>
      <c r="C743" s="6" t="s">
        <v>835</v>
      </c>
      <c r="D743" s="6">
        <f t="shared" si="97"/>
        <v>0.5</v>
      </c>
      <c r="E743" s="6" t="s">
        <v>19</v>
      </c>
      <c r="F743" s="6" t="str">
        <f>MID(A743,19,1)</f>
        <v>S</v>
      </c>
      <c r="G743" s="6">
        <v>-23.334677310651021</v>
      </c>
      <c r="H743" s="6">
        <v>-46.837196398040817</v>
      </c>
      <c r="I743" s="9">
        <v>764.23</v>
      </c>
      <c r="K743" s="6">
        <v>2.85</v>
      </c>
      <c r="L743" s="6">
        <v>0</v>
      </c>
      <c r="N743" s="1">
        <f t="shared" si="94"/>
        <v>0</v>
      </c>
      <c r="Q743" s="6" t="s">
        <v>21</v>
      </c>
      <c r="R743" s="6" t="s">
        <v>21</v>
      </c>
      <c r="S743" s="6" t="s">
        <v>21</v>
      </c>
      <c r="T743" s="6" t="s">
        <v>21</v>
      </c>
      <c r="U743" s="6">
        <f t="shared" si="95"/>
        <v>0</v>
      </c>
      <c r="V743" s="6">
        <f t="shared" si="96"/>
        <v>0</v>
      </c>
    </row>
    <row r="744" spans="1:22" x14ac:dyDescent="0.35">
      <c r="A744" s="6" t="s">
        <v>842</v>
      </c>
      <c r="B744" s="6" t="s">
        <v>834</v>
      </c>
      <c r="C744" s="6" t="s">
        <v>835</v>
      </c>
      <c r="D744" s="6">
        <f t="shared" si="97"/>
        <v>0.5</v>
      </c>
      <c r="E744" s="6" t="s">
        <v>19</v>
      </c>
      <c r="F744" s="6" t="str">
        <f>MID(A744,19,1)</f>
        <v>N</v>
      </c>
      <c r="G744" s="6">
        <v>-23.32055904819309</v>
      </c>
      <c r="H744" s="6">
        <v>-46.823092176214153</v>
      </c>
      <c r="I744" s="9">
        <v>1433.74</v>
      </c>
      <c r="K744" s="6">
        <v>7.08</v>
      </c>
      <c r="L744" s="6">
        <v>0</v>
      </c>
      <c r="N744" s="1">
        <f t="shared" si="94"/>
        <v>0</v>
      </c>
      <c r="Q744" s="6" t="s">
        <v>21</v>
      </c>
      <c r="R744" s="6" t="s">
        <v>21</v>
      </c>
      <c r="S744" s="6" t="s">
        <v>21</v>
      </c>
      <c r="T744" s="6" t="s">
        <v>21</v>
      </c>
      <c r="U744" s="6">
        <f t="shared" si="95"/>
        <v>0</v>
      </c>
      <c r="V744" s="6">
        <f t="shared" si="96"/>
        <v>0</v>
      </c>
    </row>
    <row r="745" spans="1:22" x14ac:dyDescent="0.35">
      <c r="A745" s="6" t="s">
        <v>843</v>
      </c>
      <c r="B745" s="6" t="s">
        <v>834</v>
      </c>
      <c r="C745" s="6" t="s">
        <v>835</v>
      </c>
      <c r="D745" s="6">
        <f t="shared" si="97"/>
        <v>0.5</v>
      </c>
      <c r="E745" s="6" t="s">
        <v>19</v>
      </c>
      <c r="F745" s="6" t="str">
        <f>MID(A745,19,1)</f>
        <v>N</v>
      </c>
      <c r="G745" s="6">
        <v>-23.318889206476062</v>
      </c>
      <c r="H745" s="6">
        <v>-46.823241133848313</v>
      </c>
      <c r="I745" s="9">
        <v>52.15</v>
      </c>
      <c r="K745" s="6">
        <v>7.45</v>
      </c>
      <c r="L745" s="6">
        <v>0</v>
      </c>
      <c r="N745" s="1">
        <f t="shared" si="94"/>
        <v>0</v>
      </c>
      <c r="Q745" s="6" t="s">
        <v>21</v>
      </c>
      <c r="R745" s="6" t="s">
        <v>21</v>
      </c>
      <c r="S745" s="6" t="s">
        <v>21</v>
      </c>
      <c r="T745" s="6" t="s">
        <v>21</v>
      </c>
      <c r="U745" s="6">
        <f t="shared" si="95"/>
        <v>0</v>
      </c>
      <c r="V745" s="6">
        <f t="shared" si="96"/>
        <v>0</v>
      </c>
    </row>
    <row r="746" spans="1:22" hidden="1" x14ac:dyDescent="0.35">
      <c r="A746" s="6" t="s">
        <v>844</v>
      </c>
      <c r="B746" s="6" t="s">
        <v>834</v>
      </c>
      <c r="C746" s="6" t="s">
        <v>835</v>
      </c>
      <c r="D746" s="6">
        <f t="shared" si="97"/>
        <v>0.5</v>
      </c>
      <c r="E746" s="6" t="s">
        <v>19</v>
      </c>
      <c r="F746" s="6" t="str">
        <f>MID(A746,19,1)</f>
        <v>S</v>
      </c>
      <c r="G746" s="6">
        <v>-23.33402331065491</v>
      </c>
      <c r="H746" s="6">
        <v>-46.837325495086773</v>
      </c>
      <c r="I746" s="9">
        <v>50.55</v>
      </c>
      <c r="K746" s="6">
        <v>2.81</v>
      </c>
      <c r="L746" s="6">
        <v>0</v>
      </c>
      <c r="N746" s="1">
        <f t="shared" si="94"/>
        <v>0</v>
      </c>
      <c r="Q746" s="6" t="s">
        <v>21</v>
      </c>
      <c r="R746" s="6" t="s">
        <v>21</v>
      </c>
      <c r="S746" s="6" t="s">
        <v>21</v>
      </c>
      <c r="T746" s="6" t="s">
        <v>21</v>
      </c>
      <c r="U746" s="6">
        <f t="shared" si="95"/>
        <v>0</v>
      </c>
      <c r="V746" s="6">
        <f t="shared" si="96"/>
        <v>0</v>
      </c>
    </row>
    <row r="747" spans="1:22" hidden="1" x14ac:dyDescent="0.35">
      <c r="A747" s="6" t="s">
        <v>845</v>
      </c>
      <c r="B747" s="6" t="s">
        <v>834</v>
      </c>
      <c r="C747" s="6" t="s">
        <v>835</v>
      </c>
      <c r="D747" s="6">
        <f t="shared" si="97"/>
        <v>0.5</v>
      </c>
      <c r="E747" s="6" t="s">
        <v>19</v>
      </c>
      <c r="F747" s="6" t="str">
        <f>MID(A747,19,1)</f>
        <v>S</v>
      </c>
      <c r="G747" s="6">
        <v>-23.335706660977358</v>
      </c>
      <c r="H747" s="6">
        <v>-46.836966837383812</v>
      </c>
      <c r="I747" s="9">
        <v>1667.8</v>
      </c>
      <c r="K747" s="6">
        <v>5.42</v>
      </c>
      <c r="L747" s="6">
        <v>0</v>
      </c>
      <c r="N747" s="1">
        <f t="shared" si="94"/>
        <v>0</v>
      </c>
      <c r="Q747" s="6" t="s">
        <v>21</v>
      </c>
      <c r="R747" s="6" t="s">
        <v>21</v>
      </c>
      <c r="S747" s="6" t="s">
        <v>21</v>
      </c>
      <c r="T747" s="6" t="s">
        <v>21</v>
      </c>
      <c r="U747" s="6">
        <f t="shared" si="95"/>
        <v>0</v>
      </c>
      <c r="V747" s="6">
        <f t="shared" si="96"/>
        <v>0</v>
      </c>
    </row>
    <row r="748" spans="1:22" x14ac:dyDescent="0.35">
      <c r="A748" s="6" t="s">
        <v>846</v>
      </c>
      <c r="B748" s="6" t="s">
        <v>834</v>
      </c>
      <c r="C748" s="6" t="s">
        <v>835</v>
      </c>
      <c r="D748" s="6">
        <f t="shared" si="97"/>
        <v>0.5</v>
      </c>
      <c r="E748" s="6" t="s">
        <v>19</v>
      </c>
      <c r="F748" s="6" t="str">
        <f>MID(A748,19,1)</f>
        <v>N</v>
      </c>
      <c r="G748" s="6">
        <v>-23.33277118748612</v>
      </c>
      <c r="H748" s="6">
        <v>-46.837372626055107</v>
      </c>
      <c r="I748" s="9">
        <v>793.55</v>
      </c>
      <c r="K748" s="6">
        <v>3.92</v>
      </c>
      <c r="L748" s="6">
        <v>0</v>
      </c>
      <c r="N748" s="1">
        <f t="shared" si="94"/>
        <v>0</v>
      </c>
      <c r="Q748" s="6" t="s">
        <v>21</v>
      </c>
      <c r="R748" s="6" t="s">
        <v>21</v>
      </c>
      <c r="S748" s="6" t="s">
        <v>21</v>
      </c>
      <c r="T748" s="6" t="s">
        <v>21</v>
      </c>
      <c r="U748" s="6">
        <f t="shared" si="95"/>
        <v>0</v>
      </c>
      <c r="V748" s="6">
        <f t="shared" si="96"/>
        <v>0</v>
      </c>
    </row>
    <row r="749" spans="1:22" x14ac:dyDescent="0.35">
      <c r="A749" s="6" t="s">
        <v>847</v>
      </c>
      <c r="B749" s="6" t="s">
        <v>834</v>
      </c>
      <c r="C749" s="6" t="s">
        <v>835</v>
      </c>
      <c r="D749" s="6">
        <f t="shared" si="97"/>
        <v>0.5</v>
      </c>
      <c r="E749" s="6" t="s">
        <v>19</v>
      </c>
      <c r="F749" s="6" t="str">
        <f>MID(A749,19,1)</f>
        <v>N</v>
      </c>
      <c r="G749" s="6">
        <v>-23.33610735382155</v>
      </c>
      <c r="H749" s="6">
        <v>-46.836447959371917</v>
      </c>
      <c r="I749" s="9">
        <v>850.68</v>
      </c>
      <c r="K749" s="6">
        <v>6.28</v>
      </c>
      <c r="L749" s="6">
        <v>0</v>
      </c>
      <c r="N749" s="1">
        <f t="shared" si="94"/>
        <v>0</v>
      </c>
      <c r="Q749" s="6" t="s">
        <v>21</v>
      </c>
      <c r="R749" s="6" t="s">
        <v>21</v>
      </c>
      <c r="S749" s="6" t="s">
        <v>21</v>
      </c>
      <c r="T749" s="6" t="s">
        <v>21</v>
      </c>
      <c r="U749" s="6">
        <f t="shared" si="95"/>
        <v>0</v>
      </c>
      <c r="V749" s="6">
        <f t="shared" si="96"/>
        <v>0</v>
      </c>
    </row>
    <row r="750" spans="1:22" x14ac:dyDescent="0.35">
      <c r="A750" s="6" t="s">
        <v>848</v>
      </c>
      <c r="B750" s="6" t="s">
        <v>834</v>
      </c>
      <c r="C750" s="6" t="s">
        <v>835</v>
      </c>
      <c r="D750" s="6">
        <f t="shared" si="97"/>
        <v>0.5</v>
      </c>
      <c r="E750" s="6" t="s">
        <v>19</v>
      </c>
      <c r="F750" s="6" t="str">
        <f>MID(A750,19,1)</f>
        <v>N</v>
      </c>
      <c r="G750" s="6">
        <v>-23.318904230431212</v>
      </c>
      <c r="H750" s="6">
        <v>-46.823543248536687</v>
      </c>
      <c r="I750" s="9">
        <v>38.700000000000003</v>
      </c>
      <c r="K750" s="6">
        <v>4.87</v>
      </c>
      <c r="L750" s="6">
        <v>70</v>
      </c>
      <c r="N750" s="1">
        <f t="shared" si="94"/>
        <v>0</v>
      </c>
      <c r="O750" s="6" t="s">
        <v>185</v>
      </c>
      <c r="Q750" s="6" t="s">
        <v>21</v>
      </c>
      <c r="R750" s="6" t="s">
        <v>21</v>
      </c>
      <c r="S750" s="6" t="s">
        <v>21</v>
      </c>
      <c r="T750" s="6" t="s">
        <v>21</v>
      </c>
      <c r="U750" s="6">
        <f t="shared" si="95"/>
        <v>27.09</v>
      </c>
      <c r="V750" s="6">
        <f t="shared" si="96"/>
        <v>27.09</v>
      </c>
    </row>
    <row r="751" spans="1:22" x14ac:dyDescent="0.35">
      <c r="A751" s="6" t="s">
        <v>849</v>
      </c>
      <c r="B751" s="6" t="s">
        <v>834</v>
      </c>
      <c r="C751" s="6" t="s">
        <v>835</v>
      </c>
      <c r="D751" s="6">
        <f t="shared" si="97"/>
        <v>0.5</v>
      </c>
      <c r="E751" s="6" t="s">
        <v>19</v>
      </c>
      <c r="F751" s="6" t="str">
        <f>MID(A751,19,1)</f>
        <v>N</v>
      </c>
      <c r="G751" s="6">
        <v>-23.338945287192931</v>
      </c>
      <c r="H751" s="6">
        <v>-46.836828384360551</v>
      </c>
      <c r="I751" s="9">
        <v>1732.19</v>
      </c>
      <c r="K751" s="6">
        <v>8.07</v>
      </c>
      <c r="L751" s="6">
        <v>0</v>
      </c>
      <c r="N751" s="1">
        <f t="shared" si="94"/>
        <v>0</v>
      </c>
      <c r="Q751" s="6" t="s">
        <v>21</v>
      </c>
      <c r="R751" s="6" t="s">
        <v>21</v>
      </c>
      <c r="S751" s="6" t="s">
        <v>21</v>
      </c>
      <c r="T751" s="6" t="s">
        <v>21</v>
      </c>
      <c r="U751" s="6">
        <f t="shared" si="95"/>
        <v>0</v>
      </c>
      <c r="V751" s="6">
        <f t="shared" si="96"/>
        <v>0</v>
      </c>
    </row>
    <row r="752" spans="1:22" hidden="1" x14ac:dyDescent="0.35">
      <c r="A752" s="6" t="s">
        <v>850</v>
      </c>
      <c r="B752" s="6" t="s">
        <v>834</v>
      </c>
      <c r="C752" s="6" t="s">
        <v>835</v>
      </c>
      <c r="D752" s="6">
        <f t="shared" si="97"/>
        <v>0.5</v>
      </c>
      <c r="E752" s="6" t="s">
        <v>23</v>
      </c>
      <c r="F752" s="6" t="str">
        <f>MID(A752,19,1)</f>
        <v>C</v>
      </c>
      <c r="G752" s="6">
        <v>-23.319930221691472</v>
      </c>
      <c r="H752" s="6">
        <v>-46.823591121047578</v>
      </c>
      <c r="I752" s="7">
        <v>4172.49</v>
      </c>
      <c r="J752" s="9">
        <f>I752/500</f>
        <v>8.3449799999999996</v>
      </c>
      <c r="K752" s="6">
        <v>8.17</v>
      </c>
      <c r="L752" s="6">
        <v>70</v>
      </c>
      <c r="N752" s="1">
        <f t="shared" si="94"/>
        <v>0</v>
      </c>
      <c r="O752" s="6" t="s">
        <v>185</v>
      </c>
      <c r="Q752" s="6" t="s">
        <v>21</v>
      </c>
      <c r="R752" s="6" t="s">
        <v>21</v>
      </c>
      <c r="S752" s="6" t="s">
        <v>21</v>
      </c>
      <c r="T752" s="6" t="s">
        <v>21</v>
      </c>
      <c r="U752" s="6">
        <f t="shared" si="95"/>
        <v>2920.7429999999995</v>
      </c>
      <c r="V752" s="6">
        <f t="shared" si="96"/>
        <v>2920.7429999999995</v>
      </c>
    </row>
    <row r="753" spans="1:22" hidden="1" x14ac:dyDescent="0.35">
      <c r="A753" s="6" t="s">
        <v>851</v>
      </c>
      <c r="B753" s="6" t="s">
        <v>834</v>
      </c>
      <c r="C753" s="6" t="s">
        <v>835</v>
      </c>
      <c r="D753" s="6">
        <f t="shared" si="97"/>
        <v>0.5</v>
      </c>
      <c r="E753" s="6" t="s">
        <v>19</v>
      </c>
      <c r="F753" s="6" t="str">
        <f>MID(A753,19,1)</f>
        <v>S</v>
      </c>
      <c r="G753" s="6">
        <v>-23.332599109536179</v>
      </c>
      <c r="H753" s="6">
        <v>-46.837707220843768</v>
      </c>
      <c r="I753" s="9">
        <v>608.54</v>
      </c>
      <c r="K753" s="6">
        <v>4.33</v>
      </c>
      <c r="L753" s="6">
        <v>75</v>
      </c>
      <c r="N753" s="1">
        <f t="shared" si="94"/>
        <v>0</v>
      </c>
      <c r="O753" s="6" t="s">
        <v>20</v>
      </c>
      <c r="Q753" s="6" t="s">
        <v>21</v>
      </c>
      <c r="R753" s="6" t="s">
        <v>21</v>
      </c>
      <c r="S753" s="6" t="s">
        <v>21</v>
      </c>
      <c r="T753" s="6" t="s">
        <v>21</v>
      </c>
      <c r="U753" s="6">
        <f t="shared" si="95"/>
        <v>456.40499999999997</v>
      </c>
      <c r="V753" s="6">
        <f t="shared" si="96"/>
        <v>456.40499999999997</v>
      </c>
    </row>
    <row r="754" spans="1:22" x14ac:dyDescent="0.35">
      <c r="A754" s="6" t="s">
        <v>852</v>
      </c>
      <c r="B754" s="6" t="s">
        <v>834</v>
      </c>
      <c r="C754" s="6" t="s">
        <v>835</v>
      </c>
      <c r="D754" s="6">
        <f t="shared" si="97"/>
        <v>0.5</v>
      </c>
      <c r="E754" s="6" t="s">
        <v>19</v>
      </c>
      <c r="F754" s="6" t="str">
        <f>MID(A754,19,1)</f>
        <v>N</v>
      </c>
      <c r="G754" s="6">
        <v>-23.322831627256711</v>
      </c>
      <c r="H754" s="6">
        <v>-46.822776030402864</v>
      </c>
      <c r="I754" s="9">
        <v>52.21</v>
      </c>
      <c r="K754" s="6">
        <v>9.7799999999999994</v>
      </c>
      <c r="L754" s="6">
        <v>0</v>
      </c>
      <c r="N754" s="1">
        <f t="shared" si="94"/>
        <v>0</v>
      </c>
      <c r="Q754" s="6" t="s">
        <v>21</v>
      </c>
      <c r="R754" s="6" t="s">
        <v>21</v>
      </c>
      <c r="S754" s="6" t="s">
        <v>21</v>
      </c>
      <c r="T754" s="6" t="s">
        <v>21</v>
      </c>
      <c r="U754" s="6">
        <f t="shared" si="95"/>
        <v>0</v>
      </c>
      <c r="V754" s="6">
        <f t="shared" si="96"/>
        <v>0</v>
      </c>
    </row>
    <row r="755" spans="1:22" hidden="1" x14ac:dyDescent="0.35">
      <c r="A755" s="6" t="s">
        <v>853</v>
      </c>
      <c r="B755" s="6" t="s">
        <v>834</v>
      </c>
      <c r="C755" s="6" t="s">
        <v>835</v>
      </c>
      <c r="D755" s="6">
        <f t="shared" si="97"/>
        <v>0.5</v>
      </c>
      <c r="E755" s="6" t="s">
        <v>19</v>
      </c>
      <c r="F755" s="6" t="str">
        <f>MID(A755,19,1)</f>
        <v>S</v>
      </c>
      <c r="G755" s="6">
        <v>-23.324130103683739</v>
      </c>
      <c r="H755" s="6">
        <v>-46.824513332938707</v>
      </c>
      <c r="I755" s="9">
        <v>0.96</v>
      </c>
      <c r="K755" s="6">
        <v>8.94</v>
      </c>
      <c r="N755" s="1">
        <f t="shared" si="94"/>
        <v>0</v>
      </c>
      <c r="Q755" s="6" t="s">
        <v>21</v>
      </c>
      <c r="R755" s="6" t="s">
        <v>21</v>
      </c>
      <c r="S755" s="6" t="s">
        <v>21</v>
      </c>
      <c r="T755" s="6" t="s">
        <v>21</v>
      </c>
      <c r="U755" s="6">
        <f t="shared" si="95"/>
        <v>0</v>
      </c>
      <c r="V755" s="6">
        <f t="shared" si="96"/>
        <v>0</v>
      </c>
    </row>
    <row r="756" spans="1:22" hidden="1" x14ac:dyDescent="0.35">
      <c r="A756" s="6" t="s">
        <v>854</v>
      </c>
      <c r="B756" s="6" t="s">
        <v>834</v>
      </c>
      <c r="C756" s="6" t="s">
        <v>835</v>
      </c>
      <c r="D756" s="6">
        <f t="shared" si="97"/>
        <v>0.5</v>
      </c>
      <c r="E756" s="6" t="s">
        <v>19</v>
      </c>
      <c r="F756" s="6" t="str">
        <f>MID(A756,19,1)</f>
        <v>S</v>
      </c>
      <c r="G756" s="6">
        <v>-23.325002770243628</v>
      </c>
      <c r="H756" s="6">
        <v>-46.823790466069362</v>
      </c>
      <c r="I756" s="9">
        <v>1905.74</v>
      </c>
      <c r="K756" s="6">
        <v>7.46</v>
      </c>
      <c r="L756" s="6">
        <v>0</v>
      </c>
      <c r="N756" s="1">
        <f t="shared" si="94"/>
        <v>0</v>
      </c>
      <c r="Q756" s="6" t="s">
        <v>21</v>
      </c>
      <c r="R756" s="6" t="s">
        <v>21</v>
      </c>
      <c r="S756" s="6" t="s">
        <v>21</v>
      </c>
      <c r="T756" s="6" t="s">
        <v>21</v>
      </c>
      <c r="U756" s="6">
        <f t="shared" si="95"/>
        <v>0</v>
      </c>
      <c r="V756" s="6">
        <f t="shared" si="96"/>
        <v>0</v>
      </c>
    </row>
    <row r="757" spans="1:22" x14ac:dyDescent="0.35">
      <c r="A757" s="6" t="s">
        <v>855</v>
      </c>
      <c r="B757" s="6" t="s">
        <v>834</v>
      </c>
      <c r="C757" s="6" t="s">
        <v>835</v>
      </c>
      <c r="D757" s="6">
        <f t="shared" si="97"/>
        <v>0.5</v>
      </c>
      <c r="E757" s="6" t="s">
        <v>19</v>
      </c>
      <c r="F757" s="6" t="str">
        <f>MID(A757,19,1)</f>
        <v>N</v>
      </c>
      <c r="G757" s="6">
        <v>-23.333899338372909</v>
      </c>
      <c r="H757" s="6">
        <v>-46.836914059398879</v>
      </c>
      <c r="I757" s="9">
        <v>263.18</v>
      </c>
      <c r="K757" s="6">
        <v>3.89</v>
      </c>
      <c r="L757" s="6">
        <v>0</v>
      </c>
      <c r="N757" s="1">
        <f t="shared" si="94"/>
        <v>0</v>
      </c>
      <c r="Q757" s="6" t="s">
        <v>21</v>
      </c>
      <c r="R757" s="6" t="s">
        <v>21</v>
      </c>
      <c r="S757" s="6" t="s">
        <v>21</v>
      </c>
      <c r="T757" s="6" t="s">
        <v>21</v>
      </c>
      <c r="U757" s="6">
        <f t="shared" si="95"/>
        <v>0</v>
      </c>
      <c r="V757" s="6">
        <f t="shared" si="96"/>
        <v>0</v>
      </c>
    </row>
    <row r="758" spans="1:22" hidden="1" x14ac:dyDescent="0.35">
      <c r="A758" s="6" t="s">
        <v>856</v>
      </c>
      <c r="B758" s="6" t="s">
        <v>834</v>
      </c>
      <c r="C758" s="6" t="s">
        <v>835</v>
      </c>
      <c r="D758" s="6">
        <f t="shared" si="97"/>
        <v>0.5</v>
      </c>
      <c r="E758" s="6" t="s">
        <v>19</v>
      </c>
      <c r="F758" s="6" t="str">
        <f>MID(A758,19,1)</f>
        <v>S</v>
      </c>
      <c r="G758" s="6">
        <v>-23.33886326199675</v>
      </c>
      <c r="H758" s="6">
        <v>-46.837089987334373</v>
      </c>
      <c r="I758" s="9">
        <v>1733.19</v>
      </c>
      <c r="K758" s="6">
        <v>6.99</v>
      </c>
      <c r="L758" s="6">
        <v>55</v>
      </c>
      <c r="N758" s="1">
        <f t="shared" si="94"/>
        <v>0</v>
      </c>
      <c r="O758" s="6" t="s">
        <v>20</v>
      </c>
      <c r="Q758" s="6" t="s">
        <v>21</v>
      </c>
      <c r="R758" s="6" t="s">
        <v>21</v>
      </c>
      <c r="S758" s="6" t="s">
        <v>21</v>
      </c>
      <c r="T758" s="6" t="s">
        <v>21</v>
      </c>
      <c r="U758" s="6">
        <f t="shared" si="95"/>
        <v>953.25450000000012</v>
      </c>
      <c r="V758" s="6">
        <f t="shared" si="96"/>
        <v>953.25450000000012</v>
      </c>
    </row>
    <row r="759" spans="1:22" x14ac:dyDescent="0.35">
      <c r="A759" s="6" t="s">
        <v>857</v>
      </c>
      <c r="B759" s="6" t="s">
        <v>834</v>
      </c>
      <c r="C759" s="6" t="s">
        <v>835</v>
      </c>
      <c r="D759" s="6">
        <f t="shared" si="97"/>
        <v>0.5</v>
      </c>
      <c r="E759" s="6" t="s">
        <v>19</v>
      </c>
      <c r="F759" s="6" t="str">
        <f>MID(A759,19,1)</f>
        <v>N</v>
      </c>
      <c r="G759" s="6">
        <v>-23.325062160383531</v>
      </c>
      <c r="H759" s="6">
        <v>-46.822923494606123</v>
      </c>
      <c r="I759" s="9">
        <v>1930.52</v>
      </c>
      <c r="K759" s="6">
        <v>10.87</v>
      </c>
      <c r="L759" s="6">
        <v>0</v>
      </c>
      <c r="N759" s="1">
        <f t="shared" si="94"/>
        <v>0</v>
      </c>
      <c r="Q759" s="6" t="s">
        <v>21</v>
      </c>
      <c r="R759" s="6" t="s">
        <v>21</v>
      </c>
      <c r="S759" s="6" t="s">
        <v>21</v>
      </c>
      <c r="T759" s="6" t="s">
        <v>21</v>
      </c>
      <c r="U759" s="6">
        <f t="shared" si="95"/>
        <v>0</v>
      </c>
      <c r="V759" s="6">
        <f t="shared" si="96"/>
        <v>0</v>
      </c>
    </row>
    <row r="760" spans="1:22" hidden="1" x14ac:dyDescent="0.35">
      <c r="A760" s="6" t="s">
        <v>858</v>
      </c>
      <c r="B760" s="6" t="s">
        <v>859</v>
      </c>
      <c r="C760" s="6" t="s">
        <v>860</v>
      </c>
      <c r="D760" s="6">
        <f t="shared" si="97"/>
        <v>0.5</v>
      </c>
      <c r="E760" s="6" t="s">
        <v>19</v>
      </c>
      <c r="F760" s="6" t="str">
        <f>MID(A760,19,1)</f>
        <v>S</v>
      </c>
      <c r="G760" s="6">
        <v>-23.312754812169491</v>
      </c>
      <c r="H760" s="6">
        <v>-46.826768339048201</v>
      </c>
      <c r="I760" s="9">
        <v>2222.09</v>
      </c>
      <c r="K760" s="6">
        <v>11.34</v>
      </c>
      <c r="L760" s="6">
        <v>50</v>
      </c>
      <c r="N760" s="1">
        <f t="shared" si="94"/>
        <v>0</v>
      </c>
      <c r="O760" s="6" t="s">
        <v>20</v>
      </c>
      <c r="Q760" s="6" t="s">
        <v>21</v>
      </c>
      <c r="R760" s="6" t="s">
        <v>21</v>
      </c>
      <c r="S760" s="6" t="s">
        <v>21</v>
      </c>
      <c r="T760" s="6" t="s">
        <v>21</v>
      </c>
      <c r="U760" s="6">
        <f t="shared" si="95"/>
        <v>1111.0450000000001</v>
      </c>
      <c r="V760" s="6">
        <f t="shared" si="96"/>
        <v>1111.0450000000001</v>
      </c>
    </row>
    <row r="761" spans="1:22" hidden="1" x14ac:dyDescent="0.35">
      <c r="A761" s="6" t="s">
        <v>861</v>
      </c>
      <c r="B761" s="6" t="s">
        <v>859</v>
      </c>
      <c r="C761" s="6" t="s">
        <v>860</v>
      </c>
      <c r="D761" s="6">
        <f t="shared" si="97"/>
        <v>0.5</v>
      </c>
      <c r="E761" s="6" t="s">
        <v>23</v>
      </c>
      <c r="F761" s="6" t="str">
        <f>MID(A761,19,1)</f>
        <v>C</v>
      </c>
      <c r="G761" s="6">
        <v>-23.316299478309929</v>
      </c>
      <c r="H761" s="6">
        <v>-46.823854078496197</v>
      </c>
      <c r="I761" s="7">
        <v>9557.51</v>
      </c>
      <c r="J761" s="9">
        <f>I761/500</f>
        <v>19.115020000000001</v>
      </c>
      <c r="K761" s="6">
        <v>4.32</v>
      </c>
      <c r="L761" s="6">
        <v>70</v>
      </c>
      <c r="N761" s="1">
        <f t="shared" si="94"/>
        <v>0</v>
      </c>
      <c r="O761" s="6" t="s">
        <v>185</v>
      </c>
      <c r="Q761" s="6" t="s">
        <v>21</v>
      </c>
      <c r="R761" s="6" t="s">
        <v>21</v>
      </c>
      <c r="S761" s="6" t="s">
        <v>21</v>
      </c>
      <c r="T761" s="6" t="s">
        <v>21</v>
      </c>
      <c r="U761" s="6">
        <f t="shared" si="95"/>
        <v>6690.2569999999996</v>
      </c>
      <c r="V761" s="6">
        <f t="shared" si="96"/>
        <v>6690.2569999999996</v>
      </c>
    </row>
    <row r="762" spans="1:22" x14ac:dyDescent="0.35">
      <c r="A762" s="6" t="s">
        <v>862</v>
      </c>
      <c r="B762" s="6" t="s">
        <v>859</v>
      </c>
      <c r="C762" s="6" t="s">
        <v>860</v>
      </c>
      <c r="D762" s="6">
        <f t="shared" si="97"/>
        <v>0.5</v>
      </c>
      <c r="E762" s="6" t="s">
        <v>19</v>
      </c>
      <c r="F762" s="6" t="str">
        <f>MID(A762,19,1)</f>
        <v>N</v>
      </c>
      <c r="G762" s="6">
        <v>-23.311369434327329</v>
      </c>
      <c r="H762" s="6">
        <v>-46.827933302997401</v>
      </c>
      <c r="I762" s="9">
        <v>622.58000000000004</v>
      </c>
      <c r="K762" s="6">
        <v>2.79</v>
      </c>
      <c r="L762" s="6">
        <v>0</v>
      </c>
      <c r="N762" s="1">
        <f t="shared" si="94"/>
        <v>0</v>
      </c>
      <c r="Q762" s="6" t="s">
        <v>21</v>
      </c>
      <c r="R762" s="6" t="s">
        <v>21</v>
      </c>
      <c r="S762" s="6" t="s">
        <v>21</v>
      </c>
      <c r="T762" s="6" t="s">
        <v>21</v>
      </c>
      <c r="U762" s="6">
        <f t="shared" si="95"/>
        <v>0</v>
      </c>
      <c r="V762" s="6">
        <f t="shared" si="96"/>
        <v>0</v>
      </c>
    </row>
    <row r="763" spans="1:22" x14ac:dyDescent="0.35">
      <c r="A763" s="8" t="s">
        <v>863</v>
      </c>
      <c r="B763" s="8" t="s">
        <v>859</v>
      </c>
      <c r="C763" s="8" t="s">
        <v>860</v>
      </c>
      <c r="D763" s="6">
        <f t="shared" si="97"/>
        <v>0.5</v>
      </c>
      <c r="E763" s="8" t="s">
        <v>19</v>
      </c>
      <c r="F763" s="6" t="str">
        <f>MID(A763,19,1)</f>
        <v>N</v>
      </c>
      <c r="G763" s="8">
        <v>-23.32996275028616</v>
      </c>
      <c r="H763" s="8">
        <v>-46.838224380457483</v>
      </c>
      <c r="I763" s="7">
        <v>1793.13</v>
      </c>
      <c r="J763" s="7"/>
      <c r="K763" s="8">
        <v>8.0299999999999994</v>
      </c>
      <c r="L763" s="8">
        <v>55</v>
      </c>
      <c r="M763" s="8"/>
      <c r="N763" s="11">
        <f t="shared" si="94"/>
        <v>986.22150000000011</v>
      </c>
      <c r="O763" s="8" t="s">
        <v>25</v>
      </c>
      <c r="P763" s="8"/>
      <c r="Q763" s="8" t="s">
        <v>21</v>
      </c>
      <c r="R763" s="8" t="s">
        <v>21</v>
      </c>
      <c r="S763" s="8" t="s">
        <v>21</v>
      </c>
      <c r="T763" s="8" t="s">
        <v>26</v>
      </c>
      <c r="U763" s="6">
        <f t="shared" si="95"/>
        <v>0</v>
      </c>
    </row>
    <row r="764" spans="1:22" x14ac:dyDescent="0.35">
      <c r="A764" s="6" t="s">
        <v>864</v>
      </c>
      <c r="B764" s="6" t="s">
        <v>859</v>
      </c>
      <c r="C764" s="6" t="s">
        <v>860</v>
      </c>
      <c r="D764" s="6">
        <f t="shared" si="97"/>
        <v>0.5</v>
      </c>
      <c r="E764" s="6" t="s">
        <v>19</v>
      </c>
      <c r="F764" s="6" t="str">
        <f>MID(A764,19,1)</f>
        <v>N</v>
      </c>
      <c r="G764" s="6">
        <v>-23.312039054991541</v>
      </c>
      <c r="H764" s="6">
        <v>-46.826519196482899</v>
      </c>
      <c r="I764" s="9">
        <v>2489.8000000000002</v>
      </c>
      <c r="K764" s="6">
        <v>3.48</v>
      </c>
      <c r="L764" s="6">
        <v>0</v>
      </c>
      <c r="N764" s="1">
        <f t="shared" si="94"/>
        <v>0</v>
      </c>
      <c r="Q764" s="6" t="s">
        <v>21</v>
      </c>
      <c r="R764" s="6" t="s">
        <v>21</v>
      </c>
      <c r="S764" s="6" t="s">
        <v>21</v>
      </c>
      <c r="T764" s="6" t="s">
        <v>21</v>
      </c>
      <c r="U764" s="6">
        <f t="shared" si="95"/>
        <v>0</v>
      </c>
      <c r="V764" s="6">
        <f>(I764*(L764/100))</f>
        <v>0</v>
      </c>
    </row>
    <row r="765" spans="1:22" hidden="1" x14ac:dyDescent="0.35">
      <c r="A765" s="8" t="s">
        <v>865</v>
      </c>
      <c r="B765" s="8" t="s">
        <v>859</v>
      </c>
      <c r="C765" s="8" t="s">
        <v>860</v>
      </c>
      <c r="D765" s="6">
        <f t="shared" si="97"/>
        <v>0.5</v>
      </c>
      <c r="E765" s="8" t="s">
        <v>19</v>
      </c>
      <c r="F765" s="6" t="str">
        <f>MID(A765,19,1)</f>
        <v>S</v>
      </c>
      <c r="G765" s="8">
        <v>-23.32998961622561</v>
      </c>
      <c r="H765" s="8">
        <v>-46.83848913238046</v>
      </c>
      <c r="I765" s="7">
        <v>1794.23</v>
      </c>
      <c r="J765" s="7"/>
      <c r="K765" s="8">
        <v>13.7</v>
      </c>
      <c r="L765" s="8">
        <v>55</v>
      </c>
      <c r="M765" s="8"/>
      <c r="N765" s="11">
        <f t="shared" si="94"/>
        <v>986.82650000000012</v>
      </c>
      <c r="O765" s="8" t="s">
        <v>25</v>
      </c>
      <c r="P765" s="8"/>
      <c r="Q765" s="8" t="s">
        <v>21</v>
      </c>
      <c r="R765" s="8" t="s">
        <v>21</v>
      </c>
      <c r="S765" s="8" t="s">
        <v>21</v>
      </c>
      <c r="T765" s="8" t="s">
        <v>26</v>
      </c>
      <c r="U765" s="6">
        <f t="shared" si="95"/>
        <v>0</v>
      </c>
    </row>
    <row r="766" spans="1:22" hidden="1" x14ac:dyDescent="0.35">
      <c r="A766" s="8" t="s">
        <v>866</v>
      </c>
      <c r="B766" s="8" t="s">
        <v>859</v>
      </c>
      <c r="C766" s="8" t="s">
        <v>860</v>
      </c>
      <c r="D766" s="6">
        <f t="shared" si="97"/>
        <v>0.5</v>
      </c>
      <c r="E766" s="8" t="s">
        <v>19</v>
      </c>
      <c r="F766" s="6" t="str">
        <f>MID(A766,19,1)</f>
        <v>S</v>
      </c>
      <c r="G766" s="8">
        <v>-23.326871050923</v>
      </c>
      <c r="H766" s="8">
        <v>-46.840939377930589</v>
      </c>
      <c r="I766" s="7">
        <v>1763.17</v>
      </c>
      <c r="J766" s="7"/>
      <c r="K766" s="8">
        <v>8.69</v>
      </c>
      <c r="L766" s="8">
        <v>75</v>
      </c>
      <c r="M766" s="8"/>
      <c r="N766" s="11">
        <f t="shared" si="94"/>
        <v>1322.3775000000001</v>
      </c>
      <c r="O766" s="8" t="s">
        <v>25</v>
      </c>
      <c r="P766" s="8"/>
      <c r="Q766" s="8" t="s">
        <v>21</v>
      </c>
      <c r="R766" s="8" t="s">
        <v>21</v>
      </c>
      <c r="S766" s="8" t="s">
        <v>21</v>
      </c>
      <c r="T766" s="8" t="s">
        <v>26</v>
      </c>
      <c r="U766" s="6">
        <f t="shared" si="95"/>
        <v>0</v>
      </c>
    </row>
    <row r="767" spans="1:22" x14ac:dyDescent="0.35">
      <c r="A767" s="6" t="s">
        <v>867</v>
      </c>
      <c r="B767" s="6" t="s">
        <v>859</v>
      </c>
      <c r="C767" s="6" t="s">
        <v>860</v>
      </c>
      <c r="D767" s="6">
        <f t="shared" si="97"/>
        <v>0.5</v>
      </c>
      <c r="E767" s="6" t="s">
        <v>19</v>
      </c>
      <c r="F767" s="6" t="str">
        <f>MID(A767,19,1)</f>
        <v>N</v>
      </c>
      <c r="G767" s="6">
        <v>-23.31268668940923</v>
      </c>
      <c r="H767" s="6">
        <v>-46.825452220365449</v>
      </c>
      <c r="I767" s="9">
        <v>1463.71</v>
      </c>
      <c r="K767" s="6">
        <v>4.12</v>
      </c>
      <c r="L767" s="6">
        <v>0</v>
      </c>
      <c r="N767" s="1">
        <f t="shared" si="94"/>
        <v>0</v>
      </c>
      <c r="Q767" s="6" t="s">
        <v>21</v>
      </c>
      <c r="R767" s="6" t="s">
        <v>21</v>
      </c>
      <c r="S767" s="6" t="s">
        <v>21</v>
      </c>
      <c r="T767" s="6" t="s">
        <v>21</v>
      </c>
      <c r="U767" s="6">
        <f t="shared" si="95"/>
        <v>0</v>
      </c>
      <c r="V767" s="6">
        <f t="shared" ref="V767:V768" si="99">(I767*(L767/100))</f>
        <v>0</v>
      </c>
    </row>
    <row r="768" spans="1:22" x14ac:dyDescent="0.35">
      <c r="A768" s="6" t="s">
        <v>868</v>
      </c>
      <c r="B768" s="6" t="s">
        <v>859</v>
      </c>
      <c r="C768" s="6" t="s">
        <v>860</v>
      </c>
      <c r="D768" s="6">
        <f t="shared" si="97"/>
        <v>0.5</v>
      </c>
      <c r="E768" s="6" t="s">
        <v>19</v>
      </c>
      <c r="F768" s="6" t="str">
        <f>MID(A768,19,1)</f>
        <v>N</v>
      </c>
      <c r="G768" s="6">
        <v>-23.315908288738459</v>
      </c>
      <c r="H768" s="6">
        <v>-46.823564235279342</v>
      </c>
      <c r="I768" s="9">
        <v>1873.53</v>
      </c>
      <c r="K768" s="6">
        <v>3.3</v>
      </c>
      <c r="L768" s="6">
        <v>0</v>
      </c>
      <c r="N768" s="1">
        <f t="shared" si="94"/>
        <v>0</v>
      </c>
      <c r="Q768" s="6" t="s">
        <v>21</v>
      </c>
      <c r="R768" s="6" t="s">
        <v>21</v>
      </c>
      <c r="S768" s="6" t="s">
        <v>21</v>
      </c>
      <c r="T768" s="6" t="s">
        <v>21</v>
      </c>
      <c r="U768" s="6">
        <f t="shared" si="95"/>
        <v>0</v>
      </c>
      <c r="V768" s="6">
        <f t="shared" si="99"/>
        <v>0</v>
      </c>
    </row>
    <row r="769" spans="1:22" x14ac:dyDescent="0.35">
      <c r="A769" s="8" t="s">
        <v>869</v>
      </c>
      <c r="B769" s="8" t="s">
        <v>859</v>
      </c>
      <c r="C769" s="8" t="s">
        <v>860</v>
      </c>
      <c r="D769" s="6">
        <f t="shared" si="97"/>
        <v>0.5</v>
      </c>
      <c r="E769" s="8" t="s">
        <v>19</v>
      </c>
      <c r="F769" s="6" t="str">
        <f>MID(A769,19,1)</f>
        <v>N</v>
      </c>
      <c r="G769" s="8">
        <v>-23.326727062041861</v>
      </c>
      <c r="H769" s="8">
        <v>-46.840753987396397</v>
      </c>
      <c r="I769" s="7">
        <v>1888.22</v>
      </c>
      <c r="J769" s="7"/>
      <c r="K769" s="8">
        <v>9.3699999999999992</v>
      </c>
      <c r="L769" s="8">
        <v>40</v>
      </c>
      <c r="M769" s="8"/>
      <c r="N769" s="11">
        <f t="shared" si="94"/>
        <v>755.28800000000001</v>
      </c>
      <c r="O769" s="8" t="s">
        <v>25</v>
      </c>
      <c r="P769" s="8"/>
      <c r="Q769" s="8" t="s">
        <v>21</v>
      </c>
      <c r="R769" s="8" t="s">
        <v>21</v>
      </c>
      <c r="S769" s="8" t="s">
        <v>21</v>
      </c>
      <c r="T769" s="8" t="s">
        <v>26</v>
      </c>
      <c r="U769" s="6">
        <f t="shared" si="95"/>
        <v>0</v>
      </c>
    </row>
    <row r="770" spans="1:22" hidden="1" x14ac:dyDescent="0.35">
      <c r="A770" s="6" t="s">
        <v>870</v>
      </c>
      <c r="B770" s="6" t="s">
        <v>859</v>
      </c>
      <c r="C770" s="6" t="s">
        <v>860</v>
      </c>
      <c r="D770" s="6">
        <f t="shared" si="97"/>
        <v>0.5</v>
      </c>
      <c r="E770" s="6" t="s">
        <v>19</v>
      </c>
      <c r="F770" s="6" t="str">
        <f>MID(A770,19,1)</f>
        <v>S</v>
      </c>
      <c r="G770" s="6">
        <v>-23.316327580504911</v>
      </c>
      <c r="H770" s="6">
        <v>-46.824223252117463</v>
      </c>
      <c r="I770" s="9">
        <v>2068.88</v>
      </c>
      <c r="K770" s="6">
        <v>6.6</v>
      </c>
      <c r="L770" s="6">
        <v>0</v>
      </c>
      <c r="N770" s="1">
        <f t="shared" ref="N770:N833" si="100">IF(OR(R770="Sim",S770="Sim",T770="Sim"),(L770/100)*I770,0)</f>
        <v>0</v>
      </c>
      <c r="Q770" s="6" t="s">
        <v>21</v>
      </c>
      <c r="R770" s="6" t="s">
        <v>21</v>
      </c>
      <c r="S770" s="6" t="s">
        <v>21</v>
      </c>
      <c r="T770" s="6" t="s">
        <v>21</v>
      </c>
      <c r="U770" s="6">
        <f t="shared" si="95"/>
        <v>0</v>
      </c>
      <c r="V770" s="6">
        <f t="shared" ref="V770:V777" si="101">(I770*(L770/100))</f>
        <v>0</v>
      </c>
    </row>
    <row r="771" spans="1:22" hidden="1" x14ac:dyDescent="0.35">
      <c r="A771" s="6" t="s">
        <v>871</v>
      </c>
      <c r="B771" s="6" t="s">
        <v>859</v>
      </c>
      <c r="C771" s="6" t="s">
        <v>860</v>
      </c>
      <c r="D771" s="6">
        <f t="shared" si="97"/>
        <v>0.5</v>
      </c>
      <c r="E771" s="6" t="s">
        <v>23</v>
      </c>
      <c r="F771" s="6" t="str">
        <f>MID(A771,19,1)</f>
        <v>C</v>
      </c>
      <c r="G771" s="6">
        <v>-23.31256738214293</v>
      </c>
      <c r="H771" s="6">
        <v>-46.8265174214254</v>
      </c>
      <c r="I771" s="7">
        <v>7852.42</v>
      </c>
      <c r="J771" s="9">
        <f t="shared" ref="J771:J772" si="102">I771/500</f>
        <v>15.704840000000001</v>
      </c>
      <c r="K771" s="6">
        <v>6.22</v>
      </c>
      <c r="L771" s="6">
        <v>60</v>
      </c>
      <c r="N771" s="1">
        <f t="shared" si="100"/>
        <v>0</v>
      </c>
      <c r="O771" s="6" t="s">
        <v>185</v>
      </c>
      <c r="Q771" s="6" t="s">
        <v>21</v>
      </c>
      <c r="R771" s="6" t="s">
        <v>21</v>
      </c>
      <c r="S771" s="6" t="s">
        <v>21</v>
      </c>
      <c r="T771" s="6" t="s">
        <v>21</v>
      </c>
      <c r="U771" s="6">
        <f t="shared" ref="U771:U834" si="103">IF(N771=0,(I771*(L771/100)),0)</f>
        <v>4711.4520000000002</v>
      </c>
      <c r="V771" s="6">
        <f t="shared" si="101"/>
        <v>4711.4520000000002</v>
      </c>
    </row>
    <row r="772" spans="1:22" hidden="1" x14ac:dyDescent="0.35">
      <c r="A772" s="6" t="s">
        <v>872</v>
      </c>
      <c r="B772" s="6" t="s">
        <v>873</v>
      </c>
      <c r="C772" s="6" t="s">
        <v>874</v>
      </c>
      <c r="D772" s="6">
        <f t="shared" si="97"/>
        <v>0.5</v>
      </c>
      <c r="E772" s="6" t="s">
        <v>23</v>
      </c>
      <c r="F772" s="6" t="str">
        <f>MID(A772,19,1)</f>
        <v>C</v>
      </c>
      <c r="G772" s="6">
        <v>-23.30832038177623</v>
      </c>
      <c r="H772" s="6">
        <v>-46.834490838507122</v>
      </c>
      <c r="I772" s="7">
        <v>1916.82</v>
      </c>
      <c r="J772" s="9">
        <f t="shared" si="102"/>
        <v>3.8336399999999999</v>
      </c>
      <c r="K772" s="6">
        <v>15.9</v>
      </c>
      <c r="L772" s="6">
        <v>0</v>
      </c>
      <c r="N772" s="1">
        <f t="shared" si="100"/>
        <v>0</v>
      </c>
      <c r="Q772" s="6" t="s">
        <v>21</v>
      </c>
      <c r="R772" s="6" t="s">
        <v>21</v>
      </c>
      <c r="S772" s="6" t="s">
        <v>21</v>
      </c>
      <c r="T772" s="6" t="s">
        <v>21</v>
      </c>
      <c r="U772" s="6">
        <f t="shared" si="103"/>
        <v>0</v>
      </c>
      <c r="V772" s="6">
        <f t="shared" si="101"/>
        <v>0</v>
      </c>
    </row>
    <row r="773" spans="1:22" x14ac:dyDescent="0.35">
      <c r="A773" s="6" t="s">
        <v>875</v>
      </c>
      <c r="B773" s="6" t="s">
        <v>873</v>
      </c>
      <c r="C773" s="6" t="s">
        <v>874</v>
      </c>
      <c r="D773" s="6">
        <f t="shared" si="97"/>
        <v>0.5</v>
      </c>
      <c r="E773" s="6" t="s">
        <v>19</v>
      </c>
      <c r="F773" s="6" t="str">
        <f>MID(A773,19,1)</f>
        <v>N</v>
      </c>
      <c r="G773" s="6">
        <v>-23.308560066606791</v>
      </c>
      <c r="H773" s="6">
        <v>-46.832925317449877</v>
      </c>
      <c r="I773" s="9">
        <v>12.21</v>
      </c>
      <c r="K773" s="6">
        <v>25.23</v>
      </c>
      <c r="N773" s="1">
        <f t="shared" si="100"/>
        <v>0</v>
      </c>
      <c r="Q773" s="6" t="s">
        <v>21</v>
      </c>
      <c r="R773" s="6" t="s">
        <v>21</v>
      </c>
      <c r="S773" s="6" t="s">
        <v>21</v>
      </c>
      <c r="T773" s="6" t="s">
        <v>21</v>
      </c>
      <c r="U773" s="6">
        <f t="shared" si="103"/>
        <v>0</v>
      </c>
      <c r="V773" s="6">
        <f t="shared" si="101"/>
        <v>0</v>
      </c>
    </row>
    <row r="774" spans="1:22" hidden="1" x14ac:dyDescent="0.35">
      <c r="A774" s="6" t="s">
        <v>876</v>
      </c>
      <c r="B774" s="6" t="s">
        <v>873</v>
      </c>
      <c r="C774" s="6" t="s">
        <v>874</v>
      </c>
      <c r="D774" s="6">
        <f t="shared" si="97"/>
        <v>0.5</v>
      </c>
      <c r="E774" s="6" t="s">
        <v>23</v>
      </c>
      <c r="F774" s="6" t="str">
        <f>MID(A774,19,1)</f>
        <v>C</v>
      </c>
      <c r="G774" s="6">
        <v>-23.3109461287527</v>
      </c>
      <c r="H774" s="6">
        <v>-46.83107220977179</v>
      </c>
      <c r="I774" s="7">
        <v>1841.08</v>
      </c>
      <c r="J774" s="9">
        <f t="shared" ref="J774:J776" si="104">I774/500</f>
        <v>3.6821599999999997</v>
      </c>
      <c r="K774" s="6">
        <v>11.51</v>
      </c>
      <c r="L774" s="6">
        <v>50</v>
      </c>
      <c r="N774" s="1">
        <f t="shared" si="100"/>
        <v>0</v>
      </c>
      <c r="O774" s="6" t="s">
        <v>20</v>
      </c>
      <c r="Q774" s="6" t="s">
        <v>21</v>
      </c>
      <c r="R774" s="6" t="s">
        <v>21</v>
      </c>
      <c r="S774" s="6" t="s">
        <v>21</v>
      </c>
      <c r="T774" s="6" t="s">
        <v>21</v>
      </c>
      <c r="U774" s="6">
        <f t="shared" si="103"/>
        <v>920.54</v>
      </c>
      <c r="V774" s="6">
        <f t="shared" si="101"/>
        <v>920.54</v>
      </c>
    </row>
    <row r="775" spans="1:22" hidden="1" x14ac:dyDescent="0.35">
      <c r="A775" s="6" t="s">
        <v>877</v>
      </c>
      <c r="B775" s="6" t="s">
        <v>873</v>
      </c>
      <c r="C775" s="6" t="s">
        <v>874</v>
      </c>
      <c r="D775" s="6">
        <f t="shared" si="97"/>
        <v>0.5</v>
      </c>
      <c r="E775" s="6" t="s">
        <v>23</v>
      </c>
      <c r="F775" s="6" t="str">
        <f>MID(A775,19,1)</f>
        <v>C</v>
      </c>
      <c r="G775" s="6">
        <v>-23.308532272702539</v>
      </c>
      <c r="H775" s="6">
        <v>-46.834751769074153</v>
      </c>
      <c r="I775" s="7">
        <v>6686.05</v>
      </c>
      <c r="J775" s="9">
        <f t="shared" si="104"/>
        <v>13.3721</v>
      </c>
      <c r="K775" s="6">
        <v>9.58</v>
      </c>
      <c r="L775" s="6">
        <v>40</v>
      </c>
      <c r="N775" s="1">
        <f t="shared" si="100"/>
        <v>0</v>
      </c>
      <c r="O775" s="6" t="s">
        <v>185</v>
      </c>
      <c r="Q775" s="6" t="s">
        <v>21</v>
      </c>
      <c r="R775" s="6" t="s">
        <v>21</v>
      </c>
      <c r="S775" s="6" t="s">
        <v>21</v>
      </c>
      <c r="T775" s="6" t="s">
        <v>21</v>
      </c>
      <c r="U775" s="6">
        <f t="shared" si="103"/>
        <v>2674.42</v>
      </c>
      <c r="V775" s="6">
        <f t="shared" si="101"/>
        <v>2674.42</v>
      </c>
    </row>
    <row r="776" spans="1:22" hidden="1" x14ac:dyDescent="0.35">
      <c r="A776" s="6" t="s">
        <v>878</v>
      </c>
      <c r="B776" s="6" t="s">
        <v>873</v>
      </c>
      <c r="C776" s="6" t="s">
        <v>874</v>
      </c>
      <c r="D776" s="6">
        <f t="shared" si="97"/>
        <v>0.5</v>
      </c>
      <c r="E776" s="6" t="s">
        <v>23</v>
      </c>
      <c r="F776" s="6" t="str">
        <f>MID(A776,19,1)</f>
        <v>C</v>
      </c>
      <c r="G776" s="6">
        <v>-23.310716631768489</v>
      </c>
      <c r="H776" s="6">
        <v>-46.830865265440089</v>
      </c>
      <c r="I776" s="7">
        <v>6270.51</v>
      </c>
      <c r="J776" s="9">
        <f t="shared" si="104"/>
        <v>12.54102</v>
      </c>
      <c r="K776" s="6">
        <v>6.46</v>
      </c>
      <c r="L776" s="6">
        <v>60</v>
      </c>
      <c r="N776" s="1">
        <f t="shared" si="100"/>
        <v>0</v>
      </c>
      <c r="O776" s="6" t="s">
        <v>185</v>
      </c>
      <c r="Q776" s="6" t="s">
        <v>21</v>
      </c>
      <c r="R776" s="6" t="s">
        <v>21</v>
      </c>
      <c r="S776" s="6" t="s">
        <v>21</v>
      </c>
      <c r="T776" s="6" t="s">
        <v>21</v>
      </c>
      <c r="U776" s="6">
        <f t="shared" si="103"/>
        <v>3762.306</v>
      </c>
      <c r="V776" s="6">
        <f t="shared" si="101"/>
        <v>3762.306</v>
      </c>
    </row>
    <row r="777" spans="1:22" x14ac:dyDescent="0.35">
      <c r="A777" s="6" t="s">
        <v>879</v>
      </c>
      <c r="B777" s="6" t="s">
        <v>873</v>
      </c>
      <c r="C777" s="6" t="s">
        <v>874</v>
      </c>
      <c r="D777" s="6">
        <f t="shared" si="97"/>
        <v>0.5</v>
      </c>
      <c r="E777" s="6" t="s">
        <v>19</v>
      </c>
      <c r="F777" s="6" t="str">
        <f>MID(A777,19,1)</f>
        <v>N</v>
      </c>
      <c r="G777" s="6">
        <v>-23.325368283799989</v>
      </c>
      <c r="H777" s="6">
        <v>-46.842976781676803</v>
      </c>
      <c r="I777" s="9">
        <v>345.21</v>
      </c>
      <c r="K777" s="6">
        <v>6.67</v>
      </c>
      <c r="L777" s="6">
        <v>0</v>
      </c>
      <c r="N777" s="1">
        <f t="shared" si="100"/>
        <v>0</v>
      </c>
      <c r="Q777" s="6" t="s">
        <v>21</v>
      </c>
      <c r="R777" s="6" t="s">
        <v>21</v>
      </c>
      <c r="S777" s="6" t="s">
        <v>21</v>
      </c>
      <c r="T777" s="6" t="s">
        <v>21</v>
      </c>
      <c r="U777" s="6">
        <f t="shared" si="103"/>
        <v>0</v>
      </c>
      <c r="V777" s="6">
        <f t="shared" si="101"/>
        <v>0</v>
      </c>
    </row>
    <row r="778" spans="1:22" x14ac:dyDescent="0.35">
      <c r="A778" s="8" t="s">
        <v>880</v>
      </c>
      <c r="B778" s="8" t="s">
        <v>873</v>
      </c>
      <c r="C778" s="8" t="s">
        <v>874</v>
      </c>
      <c r="D778" s="6">
        <f t="shared" si="97"/>
        <v>0.5</v>
      </c>
      <c r="E778" s="8" t="s">
        <v>19</v>
      </c>
      <c r="F778" s="6" t="str">
        <f>MID(A778,19,1)</f>
        <v>N</v>
      </c>
      <c r="G778" s="8">
        <v>-23.32446738462583</v>
      </c>
      <c r="H778" s="8">
        <v>-46.844806604643047</v>
      </c>
      <c r="I778" s="7">
        <v>1710.02</v>
      </c>
      <c r="J778" s="7"/>
      <c r="K778" s="8">
        <v>10.8</v>
      </c>
      <c r="L778" s="8">
        <v>55</v>
      </c>
      <c r="M778" s="8"/>
      <c r="N778" s="11">
        <f t="shared" si="100"/>
        <v>940.51100000000008</v>
      </c>
      <c r="O778" s="8" t="s">
        <v>25</v>
      </c>
      <c r="P778" s="8"/>
      <c r="Q778" s="8" t="s">
        <v>21</v>
      </c>
      <c r="R778" s="8" t="s">
        <v>21</v>
      </c>
      <c r="S778" s="8" t="s">
        <v>21</v>
      </c>
      <c r="T778" s="8" t="s">
        <v>26</v>
      </c>
      <c r="U778" s="6">
        <f t="shared" si="103"/>
        <v>0</v>
      </c>
    </row>
    <row r="779" spans="1:22" x14ac:dyDescent="0.35">
      <c r="A779" s="6" t="s">
        <v>881</v>
      </c>
      <c r="B779" s="6" t="s">
        <v>873</v>
      </c>
      <c r="C779" s="6" t="s">
        <v>874</v>
      </c>
      <c r="D779" s="6">
        <f t="shared" si="97"/>
        <v>0.5</v>
      </c>
      <c r="E779" s="6" t="s">
        <v>19</v>
      </c>
      <c r="F779" s="6" t="str">
        <f>MID(A779,19,1)</f>
        <v>N</v>
      </c>
      <c r="G779" s="6">
        <v>-23.322075535821881</v>
      </c>
      <c r="H779" s="6">
        <v>-46.847885658689613</v>
      </c>
      <c r="I779" s="9">
        <v>1752.58</v>
      </c>
      <c r="K779" s="6">
        <v>9.5399999999999991</v>
      </c>
      <c r="L779" s="6">
        <v>0</v>
      </c>
      <c r="N779" s="1">
        <f t="shared" si="100"/>
        <v>0</v>
      </c>
      <c r="Q779" s="6" t="s">
        <v>21</v>
      </c>
      <c r="R779" s="6" t="s">
        <v>21</v>
      </c>
      <c r="S779" s="6" t="s">
        <v>21</v>
      </c>
      <c r="T779" s="6" t="s">
        <v>21</v>
      </c>
      <c r="U779" s="6">
        <f t="shared" si="103"/>
        <v>0</v>
      </c>
      <c r="V779" s="6">
        <f>(I779*(L779/100))</f>
        <v>0</v>
      </c>
    </row>
    <row r="780" spans="1:22" hidden="1" x14ac:dyDescent="0.35">
      <c r="A780" s="8" t="s">
        <v>882</v>
      </c>
      <c r="B780" s="8" t="s">
        <v>873</v>
      </c>
      <c r="C780" s="8" t="s">
        <v>874</v>
      </c>
      <c r="D780" s="6">
        <f t="shared" si="97"/>
        <v>0.5</v>
      </c>
      <c r="E780" s="8" t="s">
        <v>19</v>
      </c>
      <c r="F780" s="6" t="str">
        <f>MID(A780,19,1)</f>
        <v>S</v>
      </c>
      <c r="G780" s="8">
        <v>-23.324795039359941</v>
      </c>
      <c r="H780" s="8">
        <v>-46.844781724546799</v>
      </c>
      <c r="I780" s="7">
        <v>1885.53</v>
      </c>
      <c r="J780" s="7"/>
      <c r="K780" s="8">
        <v>19.940000000000001</v>
      </c>
      <c r="L780" s="8">
        <v>70</v>
      </c>
      <c r="M780" s="8"/>
      <c r="N780" s="11">
        <f t="shared" si="100"/>
        <v>1319.8709999999999</v>
      </c>
      <c r="O780" s="8" t="s">
        <v>25</v>
      </c>
      <c r="P780" s="8"/>
      <c r="Q780" s="8" t="s">
        <v>21</v>
      </c>
      <c r="R780" s="8" t="s">
        <v>21</v>
      </c>
      <c r="S780" s="8" t="s">
        <v>21</v>
      </c>
      <c r="T780" s="8" t="s">
        <v>26</v>
      </c>
      <c r="U780" s="6">
        <f t="shared" si="103"/>
        <v>0</v>
      </c>
    </row>
    <row r="781" spans="1:22" hidden="1" x14ac:dyDescent="0.35">
      <c r="A781" s="6" t="s">
        <v>883</v>
      </c>
      <c r="B781" s="6" t="s">
        <v>873</v>
      </c>
      <c r="C781" s="6" t="s">
        <v>874</v>
      </c>
      <c r="D781" s="6">
        <f t="shared" si="97"/>
        <v>0.5</v>
      </c>
      <c r="E781" s="6" t="s">
        <v>23</v>
      </c>
      <c r="F781" s="6" t="str">
        <f>MID(A781,19,1)</f>
        <v>C</v>
      </c>
      <c r="G781" s="6">
        <v>-23.30874469037246</v>
      </c>
      <c r="H781" s="6">
        <v>-46.834989485207387</v>
      </c>
      <c r="I781" s="7">
        <v>1955.12</v>
      </c>
      <c r="J781" s="9">
        <f>I781/500</f>
        <v>3.9102399999999999</v>
      </c>
      <c r="K781" s="6">
        <v>6.97</v>
      </c>
      <c r="L781" s="6">
        <v>50</v>
      </c>
      <c r="N781" s="1">
        <f t="shared" si="100"/>
        <v>0</v>
      </c>
      <c r="O781" s="6" t="s">
        <v>20</v>
      </c>
      <c r="Q781" s="6" t="s">
        <v>21</v>
      </c>
      <c r="R781" s="6" t="s">
        <v>21</v>
      </c>
      <c r="S781" s="6" t="s">
        <v>21</v>
      </c>
      <c r="T781" s="6" t="s">
        <v>21</v>
      </c>
      <c r="U781" s="6">
        <f t="shared" si="103"/>
        <v>977.56</v>
      </c>
      <c r="V781" s="6">
        <f t="shared" ref="V781:V785" si="105">(I781*(L781/100))</f>
        <v>977.56</v>
      </c>
    </row>
    <row r="782" spans="1:22" x14ac:dyDescent="0.35">
      <c r="A782" s="6" t="s">
        <v>884</v>
      </c>
      <c r="B782" s="6" t="s">
        <v>873</v>
      </c>
      <c r="C782" s="6" t="s">
        <v>874</v>
      </c>
      <c r="D782" s="6">
        <f t="shared" ref="D782:D845" si="106">C782-B782</f>
        <v>0.5</v>
      </c>
      <c r="E782" s="6" t="s">
        <v>19</v>
      </c>
      <c r="F782" s="6" t="str">
        <f>MID(A782,19,1)</f>
        <v>N</v>
      </c>
      <c r="G782" s="6">
        <v>-23.32354089320696</v>
      </c>
      <c r="H782" s="6">
        <v>-46.846397436416268</v>
      </c>
      <c r="I782" s="9">
        <v>232.18</v>
      </c>
      <c r="K782" s="6">
        <v>4.67</v>
      </c>
      <c r="L782" s="6">
        <v>0</v>
      </c>
      <c r="N782" s="1">
        <f t="shared" si="100"/>
        <v>0</v>
      </c>
      <c r="Q782" s="6" t="s">
        <v>21</v>
      </c>
      <c r="R782" s="6" t="s">
        <v>21</v>
      </c>
      <c r="S782" s="6" t="s">
        <v>21</v>
      </c>
      <c r="T782" s="6" t="s">
        <v>21</v>
      </c>
      <c r="U782" s="6">
        <f t="shared" si="103"/>
        <v>0</v>
      </c>
      <c r="V782" s="6">
        <f t="shared" si="105"/>
        <v>0</v>
      </c>
    </row>
    <row r="783" spans="1:22" x14ac:dyDescent="0.35">
      <c r="A783" s="6" t="s">
        <v>885</v>
      </c>
      <c r="B783" s="6" t="s">
        <v>873</v>
      </c>
      <c r="C783" s="6" t="s">
        <v>874</v>
      </c>
      <c r="D783" s="6">
        <f t="shared" si="106"/>
        <v>0.5</v>
      </c>
      <c r="E783" s="6" t="s">
        <v>19</v>
      </c>
      <c r="F783" s="6" t="str">
        <f>MID(A783,19,1)</f>
        <v>N</v>
      </c>
      <c r="G783" s="6">
        <v>-23.310196877368259</v>
      </c>
      <c r="H783" s="6">
        <v>-46.831395451296878</v>
      </c>
      <c r="I783" s="9">
        <v>1126.3499999999999</v>
      </c>
      <c r="K783" s="6">
        <v>6.05</v>
      </c>
      <c r="L783" s="6">
        <v>0</v>
      </c>
      <c r="N783" s="1">
        <f t="shared" si="100"/>
        <v>0</v>
      </c>
      <c r="Q783" s="6" t="s">
        <v>21</v>
      </c>
      <c r="R783" s="6" t="s">
        <v>21</v>
      </c>
      <c r="S783" s="6" t="s">
        <v>21</v>
      </c>
      <c r="T783" s="6" t="s">
        <v>21</v>
      </c>
      <c r="U783" s="6">
        <f t="shared" si="103"/>
        <v>0</v>
      </c>
      <c r="V783" s="6">
        <f t="shared" si="105"/>
        <v>0</v>
      </c>
    </row>
    <row r="784" spans="1:22" x14ac:dyDescent="0.35">
      <c r="A784" s="6" t="s">
        <v>886</v>
      </c>
      <c r="B784" s="6" t="s">
        <v>873</v>
      </c>
      <c r="C784" s="6" t="s">
        <v>874</v>
      </c>
      <c r="D784" s="6">
        <f t="shared" si="106"/>
        <v>0.5</v>
      </c>
      <c r="E784" s="6" t="s">
        <v>19</v>
      </c>
      <c r="F784" s="6" t="str">
        <f>MID(A784,19,1)</f>
        <v>N</v>
      </c>
      <c r="G784" s="6">
        <v>-23.320264953959551</v>
      </c>
      <c r="H784" s="6">
        <v>-46.848564347419988</v>
      </c>
      <c r="I784" s="9">
        <v>395.15</v>
      </c>
      <c r="K784" s="6">
        <v>10.36</v>
      </c>
      <c r="L784" s="6">
        <v>0</v>
      </c>
      <c r="N784" s="1">
        <f t="shared" si="100"/>
        <v>0</v>
      </c>
      <c r="Q784" s="6" t="s">
        <v>21</v>
      </c>
      <c r="R784" s="6" t="s">
        <v>21</v>
      </c>
      <c r="S784" s="6" t="s">
        <v>21</v>
      </c>
      <c r="T784" s="6" t="s">
        <v>21</v>
      </c>
      <c r="U784" s="6">
        <f t="shared" si="103"/>
        <v>0</v>
      </c>
      <c r="V784" s="6">
        <f t="shared" si="105"/>
        <v>0</v>
      </c>
    </row>
    <row r="785" spans="1:22" x14ac:dyDescent="0.35">
      <c r="A785" s="6" t="s">
        <v>887</v>
      </c>
      <c r="B785" s="6" t="s">
        <v>873</v>
      </c>
      <c r="C785" s="6" t="s">
        <v>874</v>
      </c>
      <c r="D785" s="6">
        <f t="shared" si="106"/>
        <v>0.5</v>
      </c>
      <c r="E785" s="6" t="s">
        <v>19</v>
      </c>
      <c r="F785" s="6" t="str">
        <f>MID(A785,19,1)</f>
        <v>N</v>
      </c>
      <c r="G785" s="6">
        <v>-23.31101764973852</v>
      </c>
      <c r="H785" s="6">
        <v>-46.829130364375906</v>
      </c>
      <c r="I785" s="9">
        <v>243.47</v>
      </c>
      <c r="K785" s="6">
        <v>4.1100000000000003</v>
      </c>
      <c r="L785" s="6">
        <v>0</v>
      </c>
      <c r="N785" s="1">
        <f t="shared" si="100"/>
        <v>0</v>
      </c>
      <c r="Q785" s="6" t="s">
        <v>21</v>
      </c>
      <c r="R785" s="6" t="s">
        <v>21</v>
      </c>
      <c r="S785" s="6" t="s">
        <v>21</v>
      </c>
      <c r="T785" s="6" t="s">
        <v>21</v>
      </c>
      <c r="U785" s="6">
        <f t="shared" si="103"/>
        <v>0</v>
      </c>
      <c r="V785" s="6">
        <f t="shared" si="105"/>
        <v>0</v>
      </c>
    </row>
    <row r="786" spans="1:22" hidden="1" x14ac:dyDescent="0.35">
      <c r="A786" s="8" t="s">
        <v>888</v>
      </c>
      <c r="B786" s="8" t="s">
        <v>873</v>
      </c>
      <c r="C786" s="8" t="s">
        <v>874</v>
      </c>
      <c r="D786" s="6">
        <f t="shared" si="106"/>
        <v>0.5</v>
      </c>
      <c r="E786" s="8" t="s">
        <v>19</v>
      </c>
      <c r="F786" s="6" t="str">
        <f>MID(A786,19,1)</f>
        <v>S</v>
      </c>
      <c r="G786" s="8">
        <v>-23.322021716837039</v>
      </c>
      <c r="H786" s="8">
        <v>-46.84819521391988</v>
      </c>
      <c r="I786" s="7">
        <v>1999.29</v>
      </c>
      <c r="J786" s="7"/>
      <c r="K786" s="8">
        <v>14.05</v>
      </c>
      <c r="L786" s="8">
        <v>60</v>
      </c>
      <c r="M786" s="8"/>
      <c r="N786" s="11">
        <f t="shared" si="100"/>
        <v>1199.5739999999998</v>
      </c>
      <c r="O786" s="8" t="s">
        <v>25</v>
      </c>
      <c r="P786" s="8"/>
      <c r="Q786" s="8" t="s">
        <v>21</v>
      </c>
      <c r="R786" s="8" t="s">
        <v>21</v>
      </c>
      <c r="S786" s="8" t="s">
        <v>21</v>
      </c>
      <c r="T786" s="8" t="s">
        <v>26</v>
      </c>
      <c r="U786" s="6">
        <f t="shared" si="103"/>
        <v>0</v>
      </c>
    </row>
    <row r="787" spans="1:22" x14ac:dyDescent="0.35">
      <c r="A787" s="6" t="s">
        <v>889</v>
      </c>
      <c r="B787" s="6" t="s">
        <v>890</v>
      </c>
      <c r="C787" s="6" t="s">
        <v>891</v>
      </c>
      <c r="D787" s="6">
        <f t="shared" si="106"/>
        <v>0.5</v>
      </c>
      <c r="E787" s="6" t="s">
        <v>19</v>
      </c>
      <c r="F787" s="6" t="str">
        <f>MID(A787,19,1)</f>
        <v>N</v>
      </c>
      <c r="G787" s="6">
        <v>-23.305036950470889</v>
      </c>
      <c r="H787" s="6">
        <v>-46.837856427130163</v>
      </c>
      <c r="I787" s="9">
        <v>2092.37</v>
      </c>
      <c r="K787" s="6">
        <v>4.3899999999999997</v>
      </c>
      <c r="L787" s="6">
        <v>0</v>
      </c>
      <c r="N787" s="1">
        <f t="shared" si="100"/>
        <v>0</v>
      </c>
      <c r="Q787" s="6" t="s">
        <v>21</v>
      </c>
      <c r="R787" s="6" t="s">
        <v>21</v>
      </c>
      <c r="S787" s="6" t="s">
        <v>21</v>
      </c>
      <c r="T787" s="6" t="s">
        <v>21</v>
      </c>
      <c r="U787" s="6">
        <f t="shared" si="103"/>
        <v>0</v>
      </c>
      <c r="V787" s="6">
        <f t="shared" ref="V787:V789" si="107">(I787*(L787/100))</f>
        <v>0</v>
      </c>
    </row>
    <row r="788" spans="1:22" hidden="1" x14ac:dyDescent="0.35">
      <c r="A788" s="6" t="s">
        <v>892</v>
      </c>
      <c r="B788" s="6" t="s">
        <v>890</v>
      </c>
      <c r="C788" s="6" t="s">
        <v>891</v>
      </c>
      <c r="D788" s="6">
        <f t="shared" si="106"/>
        <v>0.5</v>
      </c>
      <c r="E788" s="6" t="s">
        <v>23</v>
      </c>
      <c r="F788" s="6" t="str">
        <f>MID(A788,19,1)</f>
        <v>C</v>
      </c>
      <c r="G788" s="6">
        <v>-23.30521869712133</v>
      </c>
      <c r="H788" s="6">
        <v>-46.838123539797067</v>
      </c>
      <c r="I788" s="7">
        <v>7506.72</v>
      </c>
      <c r="J788" s="9">
        <f t="shared" ref="J788:J789" si="108">I788/500</f>
        <v>15.013440000000001</v>
      </c>
      <c r="K788" s="6">
        <v>6.61</v>
      </c>
      <c r="L788" s="6">
        <v>40</v>
      </c>
      <c r="N788" s="1">
        <f t="shared" si="100"/>
        <v>0</v>
      </c>
      <c r="O788" s="6" t="s">
        <v>185</v>
      </c>
      <c r="Q788" s="6" t="s">
        <v>21</v>
      </c>
      <c r="R788" s="6" t="s">
        <v>21</v>
      </c>
      <c r="S788" s="6" t="s">
        <v>21</v>
      </c>
      <c r="T788" s="6" t="s">
        <v>21</v>
      </c>
      <c r="U788" s="6">
        <f t="shared" si="103"/>
        <v>3002.6880000000001</v>
      </c>
      <c r="V788" s="6">
        <f t="shared" si="107"/>
        <v>3002.6880000000001</v>
      </c>
    </row>
    <row r="789" spans="1:22" hidden="1" x14ac:dyDescent="0.35">
      <c r="A789" s="6" t="s">
        <v>893</v>
      </c>
      <c r="B789" s="6" t="s">
        <v>890</v>
      </c>
      <c r="C789" s="6" t="s">
        <v>891</v>
      </c>
      <c r="D789" s="6">
        <f t="shared" si="106"/>
        <v>0.5</v>
      </c>
      <c r="E789" s="6" t="s">
        <v>23</v>
      </c>
      <c r="F789" s="6" t="str">
        <f>MID(A789,19,1)</f>
        <v>C</v>
      </c>
      <c r="G789" s="6">
        <v>-23.299117464729878</v>
      </c>
      <c r="H789" s="6">
        <v>-46.841047135583722</v>
      </c>
      <c r="I789" s="7">
        <v>455.82</v>
      </c>
      <c r="J789" s="9">
        <f t="shared" si="108"/>
        <v>0.91164000000000001</v>
      </c>
      <c r="K789" s="6">
        <v>4.88</v>
      </c>
      <c r="L789" s="6">
        <v>60</v>
      </c>
      <c r="N789" s="1">
        <f t="shared" si="100"/>
        <v>0</v>
      </c>
      <c r="O789" s="6" t="s">
        <v>185</v>
      </c>
      <c r="Q789" s="6" t="s">
        <v>21</v>
      </c>
      <c r="R789" s="6" t="s">
        <v>21</v>
      </c>
      <c r="S789" s="6" t="s">
        <v>21</v>
      </c>
      <c r="T789" s="6" t="s">
        <v>21</v>
      </c>
      <c r="U789" s="6">
        <f t="shared" si="103"/>
        <v>273.49199999999996</v>
      </c>
      <c r="V789" s="6">
        <f t="shared" si="107"/>
        <v>273.49199999999996</v>
      </c>
    </row>
    <row r="790" spans="1:22" x14ac:dyDescent="0.35">
      <c r="A790" s="8" t="s">
        <v>894</v>
      </c>
      <c r="B790" s="8" t="s">
        <v>890</v>
      </c>
      <c r="C790" s="8" t="s">
        <v>891</v>
      </c>
      <c r="D790" s="6">
        <f t="shared" si="106"/>
        <v>0.5</v>
      </c>
      <c r="E790" s="8" t="s">
        <v>19</v>
      </c>
      <c r="F790" s="6" t="str">
        <f>MID(A790,19,1)</f>
        <v>N</v>
      </c>
      <c r="G790" s="8">
        <v>-23.318342977653121</v>
      </c>
      <c r="H790" s="8">
        <v>-46.850879109577207</v>
      </c>
      <c r="I790" s="7">
        <v>2261.5300000000002</v>
      </c>
      <c r="J790" s="7"/>
      <c r="K790" s="8">
        <v>10.23</v>
      </c>
      <c r="L790" s="8">
        <v>30</v>
      </c>
      <c r="M790" s="8"/>
      <c r="N790" s="11">
        <f t="shared" si="100"/>
        <v>678.45900000000006</v>
      </c>
      <c r="O790" s="8" t="s">
        <v>25</v>
      </c>
      <c r="P790" s="8"/>
      <c r="Q790" s="8" t="s">
        <v>21</v>
      </c>
      <c r="R790" s="8" t="s">
        <v>21</v>
      </c>
      <c r="S790" s="8" t="s">
        <v>21</v>
      </c>
      <c r="T790" s="8" t="s">
        <v>26</v>
      </c>
      <c r="U790" s="6">
        <f t="shared" si="103"/>
        <v>0</v>
      </c>
    </row>
    <row r="791" spans="1:22" hidden="1" x14ac:dyDescent="0.35">
      <c r="A791" s="6" t="s">
        <v>895</v>
      </c>
      <c r="B791" s="6" t="s">
        <v>890</v>
      </c>
      <c r="C791" s="6" t="s">
        <v>891</v>
      </c>
      <c r="D791" s="6">
        <f t="shared" si="106"/>
        <v>0.5</v>
      </c>
      <c r="E791" s="6" t="s">
        <v>19</v>
      </c>
      <c r="F791" s="6" t="str">
        <f>MID(A791,19,1)</f>
        <v>S</v>
      </c>
      <c r="G791" s="6">
        <v>-23.318517970587848</v>
      </c>
      <c r="H791" s="6">
        <v>-46.851066596188581</v>
      </c>
      <c r="I791" s="9">
        <v>2126.63</v>
      </c>
      <c r="K791" s="6">
        <v>20.13</v>
      </c>
      <c r="L791" s="6">
        <v>60</v>
      </c>
      <c r="N791" s="1">
        <f t="shared" si="100"/>
        <v>0</v>
      </c>
      <c r="O791" s="6" t="s">
        <v>25</v>
      </c>
      <c r="Q791" s="6" t="s">
        <v>21</v>
      </c>
      <c r="R791" s="6" t="s">
        <v>21</v>
      </c>
      <c r="S791" s="6" t="s">
        <v>21</v>
      </c>
      <c r="T791" s="6" t="s">
        <v>21</v>
      </c>
      <c r="U791" s="6">
        <f t="shared" si="103"/>
        <v>1275.9780000000001</v>
      </c>
      <c r="V791" s="6">
        <f t="shared" ref="V791:V799" si="109">(I791*(L791/100))</f>
        <v>1275.9780000000001</v>
      </c>
    </row>
    <row r="792" spans="1:22" x14ac:dyDescent="0.35">
      <c r="A792" s="6" t="s">
        <v>896</v>
      </c>
      <c r="B792" s="6" t="s">
        <v>890</v>
      </c>
      <c r="C792" s="6" t="s">
        <v>891</v>
      </c>
      <c r="D792" s="6">
        <f t="shared" si="106"/>
        <v>0.5</v>
      </c>
      <c r="E792" s="6" t="s">
        <v>19</v>
      </c>
      <c r="F792" s="6" t="str">
        <f>MID(A792,19,1)</f>
        <v>N</v>
      </c>
      <c r="G792" s="6">
        <v>-23.299104117770959</v>
      </c>
      <c r="H792" s="6">
        <v>-46.840724948865223</v>
      </c>
      <c r="I792" s="9">
        <v>121.56</v>
      </c>
      <c r="K792" s="6">
        <v>5.57</v>
      </c>
      <c r="L792" s="6">
        <v>70</v>
      </c>
      <c r="N792" s="1">
        <f t="shared" si="100"/>
        <v>0</v>
      </c>
      <c r="O792" s="6" t="s">
        <v>20</v>
      </c>
      <c r="Q792" s="6" t="s">
        <v>21</v>
      </c>
      <c r="R792" s="6" t="s">
        <v>21</v>
      </c>
      <c r="S792" s="6" t="s">
        <v>21</v>
      </c>
      <c r="T792" s="6" t="s">
        <v>21</v>
      </c>
      <c r="U792" s="6">
        <f t="shared" si="103"/>
        <v>85.091999999999999</v>
      </c>
      <c r="V792" s="6">
        <f t="shared" si="109"/>
        <v>85.091999999999999</v>
      </c>
    </row>
    <row r="793" spans="1:22" hidden="1" x14ac:dyDescent="0.35">
      <c r="A793" s="6" t="s">
        <v>897</v>
      </c>
      <c r="B793" s="6" t="s">
        <v>890</v>
      </c>
      <c r="C793" s="6" t="s">
        <v>891</v>
      </c>
      <c r="D793" s="6">
        <f t="shared" si="106"/>
        <v>0.5</v>
      </c>
      <c r="E793" s="6" t="s">
        <v>23</v>
      </c>
      <c r="F793" s="6" t="str">
        <f>MID(A793,19,1)</f>
        <v>C</v>
      </c>
      <c r="G793" s="6">
        <v>-23.301528401475991</v>
      </c>
      <c r="H793" s="6">
        <v>-46.840601927548917</v>
      </c>
      <c r="I793" s="7">
        <v>6485.69</v>
      </c>
      <c r="J793" s="9">
        <f>I793/500</f>
        <v>12.97138</v>
      </c>
      <c r="K793" s="6">
        <v>8.91</v>
      </c>
      <c r="L793" s="6">
        <v>60</v>
      </c>
      <c r="N793" s="1">
        <f t="shared" si="100"/>
        <v>0</v>
      </c>
      <c r="O793" s="6" t="s">
        <v>185</v>
      </c>
      <c r="Q793" s="6" t="s">
        <v>21</v>
      </c>
      <c r="R793" s="6" t="s">
        <v>21</v>
      </c>
      <c r="S793" s="6" t="s">
        <v>21</v>
      </c>
      <c r="T793" s="6" t="s">
        <v>21</v>
      </c>
      <c r="U793" s="6">
        <f t="shared" si="103"/>
        <v>3891.4139999999998</v>
      </c>
      <c r="V793" s="6">
        <f t="shared" si="109"/>
        <v>3891.4139999999998</v>
      </c>
    </row>
    <row r="794" spans="1:22" x14ac:dyDescent="0.35">
      <c r="A794" s="6" t="s">
        <v>898</v>
      </c>
      <c r="B794" s="6" t="s">
        <v>890</v>
      </c>
      <c r="C794" s="6" t="s">
        <v>891</v>
      </c>
      <c r="D794" s="6">
        <f t="shared" si="106"/>
        <v>0.5</v>
      </c>
      <c r="E794" s="6" t="s">
        <v>19</v>
      </c>
      <c r="F794" s="6" t="str">
        <f>MID(A794,19,1)</f>
        <v>N</v>
      </c>
      <c r="G794" s="6">
        <v>-23.31614441709155</v>
      </c>
      <c r="H794" s="6">
        <v>-46.854682252641339</v>
      </c>
      <c r="I794" s="9">
        <v>1441.82</v>
      </c>
      <c r="K794" s="6">
        <v>12.69</v>
      </c>
      <c r="L794" s="6">
        <v>0</v>
      </c>
      <c r="N794" s="1">
        <f t="shared" si="100"/>
        <v>0</v>
      </c>
      <c r="Q794" s="6" t="s">
        <v>21</v>
      </c>
      <c r="R794" s="6" t="s">
        <v>21</v>
      </c>
      <c r="S794" s="6" t="s">
        <v>21</v>
      </c>
      <c r="T794" s="6" t="s">
        <v>21</v>
      </c>
      <c r="U794" s="6">
        <f t="shared" si="103"/>
        <v>0</v>
      </c>
      <c r="V794" s="6">
        <f t="shared" si="109"/>
        <v>0</v>
      </c>
    </row>
    <row r="795" spans="1:22" hidden="1" x14ac:dyDescent="0.35">
      <c r="A795" s="6" t="s">
        <v>899</v>
      </c>
      <c r="B795" s="6" t="s">
        <v>890</v>
      </c>
      <c r="C795" s="6" t="s">
        <v>891</v>
      </c>
      <c r="D795" s="6">
        <f t="shared" si="106"/>
        <v>0.5</v>
      </c>
      <c r="E795" s="6" t="s">
        <v>19</v>
      </c>
      <c r="F795" s="6" t="str">
        <f>MID(A795,19,1)</f>
        <v>S</v>
      </c>
      <c r="G795" s="6">
        <v>-23.301648691059079</v>
      </c>
      <c r="H795" s="6">
        <v>-46.84091088610905</v>
      </c>
      <c r="I795" s="9">
        <v>1900.99</v>
      </c>
      <c r="K795" s="6">
        <v>5.62</v>
      </c>
      <c r="L795" s="6">
        <v>0</v>
      </c>
      <c r="N795" s="1">
        <f t="shared" si="100"/>
        <v>0</v>
      </c>
      <c r="Q795" s="6" t="s">
        <v>21</v>
      </c>
      <c r="R795" s="6" t="s">
        <v>21</v>
      </c>
      <c r="S795" s="6" t="s">
        <v>21</v>
      </c>
      <c r="T795" s="6" t="s">
        <v>21</v>
      </c>
      <c r="U795" s="6">
        <f t="shared" si="103"/>
        <v>0</v>
      </c>
      <c r="V795" s="6">
        <f t="shared" si="109"/>
        <v>0</v>
      </c>
    </row>
    <row r="796" spans="1:22" hidden="1" x14ac:dyDescent="0.35">
      <c r="A796" s="6" t="s">
        <v>900</v>
      </c>
      <c r="B796" s="6" t="s">
        <v>890</v>
      </c>
      <c r="C796" s="6" t="s">
        <v>891</v>
      </c>
      <c r="D796" s="6">
        <f t="shared" si="106"/>
        <v>0.5</v>
      </c>
      <c r="E796" s="6" t="s">
        <v>19</v>
      </c>
      <c r="F796" s="6" t="str">
        <f>MID(A796,19,1)</f>
        <v>S</v>
      </c>
      <c r="G796" s="6">
        <v>-23.3053946687528</v>
      </c>
      <c r="H796" s="6">
        <v>-46.838370830946531</v>
      </c>
      <c r="I796" s="9">
        <v>2104.5300000000002</v>
      </c>
      <c r="K796" s="6">
        <v>14.89</v>
      </c>
      <c r="L796" s="6">
        <v>50</v>
      </c>
      <c r="N796" s="1">
        <f t="shared" si="100"/>
        <v>0</v>
      </c>
      <c r="O796" s="6" t="s">
        <v>20</v>
      </c>
      <c r="Q796" s="6" t="s">
        <v>21</v>
      </c>
      <c r="R796" s="6" t="s">
        <v>21</v>
      </c>
      <c r="S796" s="6" t="s">
        <v>21</v>
      </c>
      <c r="T796" s="6" t="s">
        <v>21</v>
      </c>
      <c r="U796" s="6">
        <f t="shared" si="103"/>
        <v>1052.2650000000001</v>
      </c>
      <c r="V796" s="6">
        <f t="shared" si="109"/>
        <v>1052.2650000000001</v>
      </c>
    </row>
    <row r="797" spans="1:22" x14ac:dyDescent="0.35">
      <c r="A797" s="6" t="s">
        <v>901</v>
      </c>
      <c r="B797" s="6" t="s">
        <v>890</v>
      </c>
      <c r="C797" s="6" t="s">
        <v>891</v>
      </c>
      <c r="D797" s="6">
        <f t="shared" si="106"/>
        <v>0.5</v>
      </c>
      <c r="E797" s="6" t="s">
        <v>19</v>
      </c>
      <c r="F797" s="6" t="str">
        <f>MID(A797,19,1)</f>
        <v>N</v>
      </c>
      <c r="G797" s="6">
        <v>-23.315166620487759</v>
      </c>
      <c r="H797" s="6">
        <v>-46.856291577173216</v>
      </c>
      <c r="I797" s="9">
        <v>591.26</v>
      </c>
      <c r="K797" s="6">
        <v>10.99</v>
      </c>
      <c r="L797" s="6">
        <v>0</v>
      </c>
      <c r="N797" s="1">
        <f t="shared" si="100"/>
        <v>0</v>
      </c>
      <c r="Q797" s="6" t="s">
        <v>21</v>
      </c>
      <c r="R797" s="6" t="s">
        <v>21</v>
      </c>
      <c r="S797" s="6" t="s">
        <v>21</v>
      </c>
      <c r="T797" s="6" t="s">
        <v>21</v>
      </c>
      <c r="U797" s="6">
        <f t="shared" si="103"/>
        <v>0</v>
      </c>
      <c r="V797" s="6">
        <f t="shared" si="109"/>
        <v>0</v>
      </c>
    </row>
    <row r="798" spans="1:22" x14ac:dyDescent="0.35">
      <c r="A798" s="6" t="s">
        <v>902</v>
      </c>
      <c r="B798" s="6" t="s">
        <v>890</v>
      </c>
      <c r="C798" s="6" t="s">
        <v>891</v>
      </c>
      <c r="D798" s="6">
        <f t="shared" si="106"/>
        <v>0.5</v>
      </c>
      <c r="E798" s="6" t="s">
        <v>19</v>
      </c>
      <c r="F798" s="6" t="str">
        <f>MID(A798,19,1)</f>
        <v>N</v>
      </c>
      <c r="G798" s="6">
        <v>-23.299104117770959</v>
      </c>
      <c r="H798" s="6">
        <v>-46.840724948865223</v>
      </c>
      <c r="I798" s="9">
        <v>121.56</v>
      </c>
      <c r="K798" s="6">
        <v>5.57</v>
      </c>
      <c r="N798" s="1">
        <f t="shared" si="100"/>
        <v>0</v>
      </c>
      <c r="Q798" s="6" t="s">
        <v>21</v>
      </c>
      <c r="R798" s="6" t="s">
        <v>21</v>
      </c>
      <c r="S798" s="6" t="s">
        <v>21</v>
      </c>
      <c r="T798" s="6" t="s">
        <v>21</v>
      </c>
      <c r="U798" s="6">
        <f t="shared" si="103"/>
        <v>0</v>
      </c>
      <c r="V798" s="6">
        <f t="shared" si="109"/>
        <v>0</v>
      </c>
    </row>
    <row r="799" spans="1:22" x14ac:dyDescent="0.35">
      <c r="A799" s="6" t="s">
        <v>903</v>
      </c>
      <c r="B799" s="6" t="s">
        <v>890</v>
      </c>
      <c r="C799" s="6" t="s">
        <v>891</v>
      </c>
      <c r="D799" s="6">
        <f t="shared" si="106"/>
        <v>0.5</v>
      </c>
      <c r="E799" s="6" t="s">
        <v>19</v>
      </c>
      <c r="F799" s="6" t="str">
        <f>MID(A799,19,1)</f>
        <v>N</v>
      </c>
      <c r="G799" s="6">
        <v>-23.301411752939579</v>
      </c>
      <c r="H799" s="6">
        <v>-46.840288197603407</v>
      </c>
      <c r="I799" s="9">
        <v>1844.76</v>
      </c>
      <c r="K799" s="6">
        <v>15.15</v>
      </c>
      <c r="L799" s="6">
        <v>70</v>
      </c>
      <c r="N799" s="1">
        <f t="shared" si="100"/>
        <v>0</v>
      </c>
      <c r="O799" s="6" t="s">
        <v>20</v>
      </c>
      <c r="Q799" s="6" t="s">
        <v>21</v>
      </c>
      <c r="R799" s="6" t="s">
        <v>21</v>
      </c>
      <c r="S799" s="6" t="s">
        <v>21</v>
      </c>
      <c r="T799" s="6" t="s">
        <v>21</v>
      </c>
      <c r="U799" s="6">
        <f t="shared" si="103"/>
        <v>1291.3319999999999</v>
      </c>
      <c r="V799" s="6">
        <f t="shared" si="109"/>
        <v>1291.3319999999999</v>
      </c>
    </row>
    <row r="800" spans="1:22" hidden="1" x14ac:dyDescent="0.35">
      <c r="A800" s="8" t="s">
        <v>904</v>
      </c>
      <c r="B800" s="8" t="s">
        <v>890</v>
      </c>
      <c r="C800" s="8" t="s">
        <v>891</v>
      </c>
      <c r="D800" s="6">
        <f t="shared" si="106"/>
        <v>0.5</v>
      </c>
      <c r="E800" s="8" t="s">
        <v>19</v>
      </c>
      <c r="F800" s="6" t="str">
        <f>MID(A800,19,1)</f>
        <v>S</v>
      </c>
      <c r="G800" s="8">
        <v>-23.316196127028771</v>
      </c>
      <c r="H800" s="8">
        <v>-46.855176052102678</v>
      </c>
      <c r="I800" s="7">
        <v>1833.69</v>
      </c>
      <c r="J800" s="7"/>
      <c r="K800" s="8">
        <v>25.15</v>
      </c>
      <c r="L800" s="8">
        <v>60</v>
      </c>
      <c r="M800" s="8"/>
      <c r="N800" s="11">
        <f t="shared" si="100"/>
        <v>1100.2139999999999</v>
      </c>
      <c r="O800" s="8" t="s">
        <v>25</v>
      </c>
      <c r="P800" s="8"/>
      <c r="Q800" s="8" t="s">
        <v>21</v>
      </c>
      <c r="R800" s="8" t="s">
        <v>21</v>
      </c>
      <c r="S800" s="8" t="s">
        <v>21</v>
      </c>
      <c r="T800" s="8" t="s">
        <v>26</v>
      </c>
      <c r="U800" s="6">
        <f t="shared" si="103"/>
        <v>0</v>
      </c>
    </row>
    <row r="801" spans="1:22" hidden="1" x14ac:dyDescent="0.35">
      <c r="A801" s="6" t="s">
        <v>905</v>
      </c>
      <c r="B801" s="6" t="s">
        <v>906</v>
      </c>
      <c r="C801" s="6" t="s">
        <v>907</v>
      </c>
      <c r="D801" s="6">
        <f t="shared" si="106"/>
        <v>0.5</v>
      </c>
      <c r="E801" s="6" t="s">
        <v>19</v>
      </c>
      <c r="F801" s="6" t="str">
        <f>MID(A801,19,1)</f>
        <v>S</v>
      </c>
      <c r="G801" s="6">
        <v>-23.296932963147441</v>
      </c>
      <c r="H801" s="6">
        <v>-46.841686784650477</v>
      </c>
      <c r="I801" s="9">
        <v>1831.67</v>
      </c>
      <c r="K801" s="6">
        <v>5.96</v>
      </c>
      <c r="L801" s="6">
        <v>50</v>
      </c>
      <c r="N801" s="1">
        <f t="shared" si="100"/>
        <v>0</v>
      </c>
      <c r="O801" s="6" t="s">
        <v>20</v>
      </c>
      <c r="Q801" s="6" t="s">
        <v>21</v>
      </c>
      <c r="R801" s="6" t="s">
        <v>21</v>
      </c>
      <c r="S801" s="6" t="s">
        <v>21</v>
      </c>
      <c r="T801" s="6" t="s">
        <v>21</v>
      </c>
      <c r="U801" s="6">
        <f t="shared" si="103"/>
        <v>915.83500000000004</v>
      </c>
      <c r="V801" s="6">
        <f t="shared" ref="V801:V806" si="110">(I801*(L801/100))</f>
        <v>915.83500000000004</v>
      </c>
    </row>
    <row r="802" spans="1:22" hidden="1" x14ac:dyDescent="0.35">
      <c r="A802" s="6" t="s">
        <v>908</v>
      </c>
      <c r="B802" s="6" t="s">
        <v>906</v>
      </c>
      <c r="C802" s="6" t="s">
        <v>907</v>
      </c>
      <c r="D802" s="6">
        <f t="shared" si="106"/>
        <v>0.5</v>
      </c>
      <c r="E802" s="6" t="s">
        <v>23</v>
      </c>
      <c r="F802" s="6" t="str">
        <f>MID(A802,19,1)</f>
        <v>C</v>
      </c>
      <c r="G802" s="6">
        <v>-23.296672869591319</v>
      </c>
      <c r="H802" s="6">
        <v>-46.841418787994733</v>
      </c>
      <c r="I802" s="7">
        <v>6952.08</v>
      </c>
      <c r="J802" s="9">
        <f>I802/500</f>
        <v>13.904159999999999</v>
      </c>
      <c r="K802" s="6">
        <v>10.17</v>
      </c>
      <c r="L802" s="6">
        <v>60</v>
      </c>
      <c r="N802" s="1">
        <f t="shared" si="100"/>
        <v>0</v>
      </c>
      <c r="O802" s="6" t="s">
        <v>185</v>
      </c>
      <c r="Q802" s="6" t="s">
        <v>21</v>
      </c>
      <c r="R802" s="6" t="s">
        <v>21</v>
      </c>
      <c r="S802" s="6" t="s">
        <v>21</v>
      </c>
      <c r="T802" s="6" t="s">
        <v>21</v>
      </c>
      <c r="U802" s="6">
        <f t="shared" si="103"/>
        <v>4171.2479999999996</v>
      </c>
      <c r="V802" s="6">
        <f t="shared" si="110"/>
        <v>4171.2479999999996</v>
      </c>
    </row>
    <row r="803" spans="1:22" x14ac:dyDescent="0.35">
      <c r="A803" s="6" t="s">
        <v>909</v>
      </c>
      <c r="B803" s="6" t="s">
        <v>906</v>
      </c>
      <c r="C803" s="6" t="s">
        <v>907</v>
      </c>
      <c r="D803" s="6">
        <f t="shared" si="106"/>
        <v>0.5</v>
      </c>
      <c r="E803" s="6" t="s">
        <v>19</v>
      </c>
      <c r="F803" s="6" t="str">
        <f>MID(A803,19,1)</f>
        <v>N</v>
      </c>
      <c r="G803" s="6">
        <v>-23.292763923620701</v>
      </c>
      <c r="H803" s="6">
        <v>-46.843432721695287</v>
      </c>
      <c r="I803" s="9">
        <v>2044.27</v>
      </c>
      <c r="K803" s="6">
        <v>15.52</v>
      </c>
      <c r="L803" s="6">
        <v>70</v>
      </c>
      <c r="N803" s="1">
        <f t="shared" si="100"/>
        <v>0</v>
      </c>
      <c r="O803" s="6" t="s">
        <v>20</v>
      </c>
      <c r="Q803" s="6" t="s">
        <v>21</v>
      </c>
      <c r="R803" s="6" t="s">
        <v>21</v>
      </c>
      <c r="S803" s="6" t="s">
        <v>21</v>
      </c>
      <c r="T803" s="6" t="s">
        <v>21</v>
      </c>
      <c r="U803" s="6">
        <f t="shared" si="103"/>
        <v>1430.9889999999998</v>
      </c>
      <c r="V803" s="6">
        <f t="shared" si="110"/>
        <v>1430.9889999999998</v>
      </c>
    </row>
    <row r="804" spans="1:22" hidden="1" x14ac:dyDescent="0.35">
      <c r="A804" s="6" t="s">
        <v>910</v>
      </c>
      <c r="B804" s="6" t="s">
        <v>906</v>
      </c>
      <c r="C804" s="6" t="s">
        <v>907</v>
      </c>
      <c r="D804" s="6">
        <f t="shared" si="106"/>
        <v>0.5</v>
      </c>
      <c r="E804" s="6" t="s">
        <v>19</v>
      </c>
      <c r="F804" s="6" t="str">
        <f>MID(A804,19,1)</f>
        <v>S</v>
      </c>
      <c r="G804" s="6">
        <v>-23.299131268365731</v>
      </c>
      <c r="H804" s="6">
        <v>-46.841373886859401</v>
      </c>
      <c r="I804" s="9">
        <v>139.07</v>
      </c>
      <c r="K804" s="6">
        <v>4.37</v>
      </c>
      <c r="N804" s="1">
        <f t="shared" si="100"/>
        <v>0</v>
      </c>
      <c r="Q804" s="6" t="s">
        <v>21</v>
      </c>
      <c r="R804" s="6" t="s">
        <v>21</v>
      </c>
      <c r="S804" s="6" t="s">
        <v>21</v>
      </c>
      <c r="T804" s="6" t="s">
        <v>21</v>
      </c>
      <c r="U804" s="6">
        <f t="shared" si="103"/>
        <v>0</v>
      </c>
      <c r="V804" s="6">
        <f t="shared" si="110"/>
        <v>0</v>
      </c>
    </row>
    <row r="805" spans="1:22" hidden="1" x14ac:dyDescent="0.35">
      <c r="A805" s="6" t="s">
        <v>911</v>
      </c>
      <c r="B805" s="6" t="s">
        <v>906</v>
      </c>
      <c r="C805" s="6" t="s">
        <v>907</v>
      </c>
      <c r="D805" s="6">
        <f t="shared" si="106"/>
        <v>0.5</v>
      </c>
      <c r="E805" s="6" t="s">
        <v>19</v>
      </c>
      <c r="F805" s="6" t="str">
        <f>MID(A805,19,1)</f>
        <v>S</v>
      </c>
      <c r="G805" s="6">
        <v>-23.293029343664049</v>
      </c>
      <c r="H805" s="6">
        <v>-46.844045767349371</v>
      </c>
      <c r="I805" s="9">
        <v>1980.65</v>
      </c>
      <c r="K805" s="6">
        <v>10.96</v>
      </c>
      <c r="L805" s="6">
        <v>50</v>
      </c>
      <c r="N805" s="1">
        <f t="shared" si="100"/>
        <v>0</v>
      </c>
      <c r="O805" s="6" t="s">
        <v>20</v>
      </c>
      <c r="Q805" s="6" t="s">
        <v>21</v>
      </c>
      <c r="R805" s="6" t="s">
        <v>21</v>
      </c>
      <c r="S805" s="6" t="s">
        <v>21</v>
      </c>
      <c r="T805" s="6" t="s">
        <v>21</v>
      </c>
      <c r="U805" s="6">
        <f t="shared" si="103"/>
        <v>990.32500000000005</v>
      </c>
      <c r="V805" s="6">
        <f t="shared" si="110"/>
        <v>990.32500000000005</v>
      </c>
    </row>
    <row r="806" spans="1:22" x14ac:dyDescent="0.35">
      <c r="A806" s="6" t="s">
        <v>912</v>
      </c>
      <c r="B806" s="6" t="s">
        <v>906</v>
      </c>
      <c r="C806" s="6" t="s">
        <v>907</v>
      </c>
      <c r="D806" s="6">
        <f t="shared" si="106"/>
        <v>0.5</v>
      </c>
      <c r="E806" s="6" t="s">
        <v>19</v>
      </c>
      <c r="F806" s="6" t="str">
        <f>MID(A806,19,1)</f>
        <v>N</v>
      </c>
      <c r="G806" s="6">
        <v>-23.309907265771368</v>
      </c>
      <c r="H806" s="6">
        <v>-46.856682467176149</v>
      </c>
      <c r="I806" s="9">
        <v>490.49</v>
      </c>
      <c r="K806" s="6">
        <v>12.44</v>
      </c>
      <c r="L806" s="6">
        <v>0</v>
      </c>
      <c r="N806" s="1">
        <f t="shared" si="100"/>
        <v>0</v>
      </c>
      <c r="Q806" s="6" t="s">
        <v>21</v>
      </c>
      <c r="R806" s="6" t="s">
        <v>21</v>
      </c>
      <c r="S806" s="6" t="s">
        <v>21</v>
      </c>
      <c r="T806" s="6" t="s">
        <v>21</v>
      </c>
      <c r="U806" s="6">
        <f t="shared" si="103"/>
        <v>0</v>
      </c>
      <c r="V806" s="6">
        <f t="shared" si="110"/>
        <v>0</v>
      </c>
    </row>
    <row r="807" spans="1:22" hidden="1" x14ac:dyDescent="0.35">
      <c r="A807" s="8" t="s">
        <v>913</v>
      </c>
      <c r="B807" s="8" t="s">
        <v>906</v>
      </c>
      <c r="C807" s="8" t="s">
        <v>907</v>
      </c>
      <c r="D807" s="6">
        <f t="shared" si="106"/>
        <v>0.5</v>
      </c>
      <c r="E807" s="8" t="s">
        <v>19</v>
      </c>
      <c r="F807" s="6" t="s">
        <v>4074</v>
      </c>
      <c r="G807" s="8">
        <v>-23.30806482194637</v>
      </c>
      <c r="H807" s="8">
        <v>-46.856274713709972</v>
      </c>
      <c r="I807" s="7">
        <v>2098.25</v>
      </c>
      <c r="J807" s="7"/>
      <c r="K807" s="8">
        <v>10.07</v>
      </c>
      <c r="L807" s="8">
        <v>60</v>
      </c>
      <c r="M807" s="8"/>
      <c r="N807" s="11">
        <f t="shared" si="100"/>
        <v>1258.95</v>
      </c>
      <c r="O807" s="8" t="s">
        <v>25</v>
      </c>
      <c r="P807" s="8"/>
      <c r="Q807" s="8" t="s">
        <v>21</v>
      </c>
      <c r="R807" s="8" t="s">
        <v>21</v>
      </c>
      <c r="S807" s="8" t="s">
        <v>21</v>
      </c>
      <c r="T807" s="8" t="s">
        <v>26</v>
      </c>
      <c r="U807" s="6">
        <f t="shared" si="103"/>
        <v>0</v>
      </c>
    </row>
    <row r="808" spans="1:22" hidden="1" x14ac:dyDescent="0.35">
      <c r="A808" s="6" t="s">
        <v>914</v>
      </c>
      <c r="B808" s="6" t="s">
        <v>906</v>
      </c>
      <c r="C808" s="6" t="s">
        <v>907</v>
      </c>
      <c r="D808" s="6">
        <f t="shared" si="106"/>
        <v>0.5</v>
      </c>
      <c r="E808" s="6" t="s">
        <v>19</v>
      </c>
      <c r="F808" s="6" t="str">
        <f>MID(A808,19,1)</f>
        <v>S</v>
      </c>
      <c r="G808" s="6">
        <v>-23.31082475091813</v>
      </c>
      <c r="H808" s="6">
        <v>-46.857759794737653</v>
      </c>
      <c r="I808" s="9">
        <v>683.79</v>
      </c>
      <c r="K808" s="6">
        <v>6.24</v>
      </c>
      <c r="L808" s="6">
        <v>0</v>
      </c>
      <c r="N808" s="1">
        <f t="shared" si="100"/>
        <v>0</v>
      </c>
      <c r="Q808" s="6" t="s">
        <v>21</v>
      </c>
      <c r="R808" s="6" t="s">
        <v>21</v>
      </c>
      <c r="S808" s="6" t="s">
        <v>21</v>
      </c>
      <c r="T808" s="6" t="s">
        <v>21</v>
      </c>
      <c r="U808" s="6">
        <f t="shared" si="103"/>
        <v>0</v>
      </c>
      <c r="V808" s="6">
        <f t="shared" ref="V808:V810" si="111">(I808*(L808/100))</f>
        <v>0</v>
      </c>
    </row>
    <row r="809" spans="1:22" x14ac:dyDescent="0.35">
      <c r="A809" s="6" t="s">
        <v>915</v>
      </c>
      <c r="B809" s="6" t="s">
        <v>906</v>
      </c>
      <c r="C809" s="6" t="s">
        <v>907</v>
      </c>
      <c r="D809" s="6">
        <f t="shared" si="106"/>
        <v>0.5</v>
      </c>
      <c r="E809" s="6" t="s">
        <v>19</v>
      </c>
      <c r="F809" s="6" t="str">
        <f>MID(A809,19,1)</f>
        <v>N</v>
      </c>
      <c r="G809" s="6">
        <v>-23.30642125996933</v>
      </c>
      <c r="H809" s="6">
        <v>-46.85552685323551</v>
      </c>
      <c r="I809" s="9">
        <v>566.25</v>
      </c>
      <c r="K809" s="6">
        <v>4.91</v>
      </c>
      <c r="L809" s="6">
        <v>0</v>
      </c>
      <c r="N809" s="1">
        <f t="shared" si="100"/>
        <v>0</v>
      </c>
      <c r="Q809" s="6" t="s">
        <v>21</v>
      </c>
      <c r="R809" s="6" t="s">
        <v>21</v>
      </c>
      <c r="S809" s="6" t="s">
        <v>21</v>
      </c>
      <c r="T809" s="6" t="s">
        <v>21</v>
      </c>
      <c r="U809" s="6">
        <f t="shared" si="103"/>
        <v>0</v>
      </c>
      <c r="V809" s="6">
        <f t="shared" si="111"/>
        <v>0</v>
      </c>
    </row>
    <row r="810" spans="1:22" x14ac:dyDescent="0.35">
      <c r="A810" s="6" t="s">
        <v>916</v>
      </c>
      <c r="B810" s="6" t="s">
        <v>906</v>
      </c>
      <c r="C810" s="6" t="s">
        <v>907</v>
      </c>
      <c r="D810" s="6">
        <f t="shared" si="106"/>
        <v>0.5</v>
      </c>
      <c r="E810" s="6" t="s">
        <v>19</v>
      </c>
      <c r="F810" s="6" t="str">
        <f>MID(A810,19,1)</f>
        <v>N</v>
      </c>
      <c r="G810" s="6">
        <v>-23.307113303390441</v>
      </c>
      <c r="H810" s="6">
        <v>-46.855673234913233</v>
      </c>
      <c r="I810" s="9">
        <v>73.650000000000006</v>
      </c>
      <c r="K810" s="6">
        <v>11.22</v>
      </c>
      <c r="L810" s="6">
        <v>0</v>
      </c>
      <c r="N810" s="1">
        <f t="shared" si="100"/>
        <v>0</v>
      </c>
      <c r="Q810" s="6" t="s">
        <v>21</v>
      </c>
      <c r="R810" s="6" t="s">
        <v>21</v>
      </c>
      <c r="S810" s="6" t="s">
        <v>21</v>
      </c>
      <c r="T810" s="6" t="s">
        <v>21</v>
      </c>
      <c r="U810" s="6">
        <f t="shared" si="103"/>
        <v>0</v>
      </c>
      <c r="V810" s="6">
        <f t="shared" si="111"/>
        <v>0</v>
      </c>
    </row>
    <row r="811" spans="1:22" x14ac:dyDescent="0.35">
      <c r="A811" s="8" t="s">
        <v>917</v>
      </c>
      <c r="B811" s="8" t="s">
        <v>906</v>
      </c>
      <c r="C811" s="8" t="s">
        <v>907</v>
      </c>
      <c r="D811" s="6">
        <f t="shared" si="106"/>
        <v>0.5</v>
      </c>
      <c r="E811" s="8" t="s">
        <v>19</v>
      </c>
      <c r="F811" s="6" t="str">
        <f>MID(A811,19,1)</f>
        <v>N</v>
      </c>
      <c r="G811" s="8">
        <v>-23.312573583074009</v>
      </c>
      <c r="H811" s="8">
        <v>-46.857614545449117</v>
      </c>
      <c r="I811" s="7">
        <v>2248.66</v>
      </c>
      <c r="J811" s="7"/>
      <c r="K811" s="8">
        <v>8.43</v>
      </c>
      <c r="L811" s="8">
        <v>30</v>
      </c>
      <c r="M811" s="8"/>
      <c r="N811" s="11">
        <f t="shared" si="100"/>
        <v>674.59799999999996</v>
      </c>
      <c r="O811" s="8" t="s">
        <v>25</v>
      </c>
      <c r="P811" s="8"/>
      <c r="Q811" s="8" t="s">
        <v>21</v>
      </c>
      <c r="R811" s="8" t="s">
        <v>21</v>
      </c>
      <c r="S811" s="8" t="s">
        <v>21</v>
      </c>
      <c r="T811" s="8" t="s">
        <v>26</v>
      </c>
      <c r="U811" s="6">
        <f t="shared" si="103"/>
        <v>0</v>
      </c>
    </row>
    <row r="812" spans="1:22" hidden="1" x14ac:dyDescent="0.35">
      <c r="A812" s="6" t="s">
        <v>918</v>
      </c>
      <c r="B812" s="6" t="s">
        <v>906</v>
      </c>
      <c r="C812" s="6" t="s">
        <v>907</v>
      </c>
      <c r="D812" s="6">
        <f t="shared" si="106"/>
        <v>0.5</v>
      </c>
      <c r="E812" s="6" t="s">
        <v>19</v>
      </c>
      <c r="F812" s="6" t="str">
        <f>MID(A812,19,1)</f>
        <v>S</v>
      </c>
      <c r="G812" s="6">
        <v>-23.299131268365731</v>
      </c>
      <c r="H812" s="6">
        <v>-46.841373886859401</v>
      </c>
      <c r="I812" s="9">
        <v>139.07</v>
      </c>
      <c r="K812" s="6">
        <v>4.37</v>
      </c>
      <c r="L812" s="6">
        <v>0</v>
      </c>
      <c r="N812" s="1">
        <f t="shared" si="100"/>
        <v>0</v>
      </c>
      <c r="Q812" s="6" t="s">
        <v>21</v>
      </c>
      <c r="R812" s="6" t="s">
        <v>21</v>
      </c>
      <c r="S812" s="6" t="s">
        <v>21</v>
      </c>
      <c r="T812" s="6" t="s">
        <v>21</v>
      </c>
      <c r="U812" s="6">
        <f t="shared" si="103"/>
        <v>0</v>
      </c>
      <c r="V812" s="6">
        <f t="shared" ref="V812:V816" si="112">(I812*(L812/100))</f>
        <v>0</v>
      </c>
    </row>
    <row r="813" spans="1:22" x14ac:dyDescent="0.35">
      <c r="A813" s="6" t="s">
        <v>919</v>
      </c>
      <c r="B813" s="6" t="s">
        <v>906</v>
      </c>
      <c r="C813" s="6" t="s">
        <v>907</v>
      </c>
      <c r="D813" s="6">
        <f t="shared" si="106"/>
        <v>0.5</v>
      </c>
      <c r="E813" s="6" t="s">
        <v>19</v>
      </c>
      <c r="F813" s="6" t="str">
        <f>MID(A813,19,1)</f>
        <v>N</v>
      </c>
      <c r="G813" s="6">
        <v>-23.29697610852698</v>
      </c>
      <c r="H813" s="6">
        <v>-46.841007020912947</v>
      </c>
      <c r="I813" s="9">
        <v>1780.71</v>
      </c>
      <c r="K813" s="6">
        <v>15.11</v>
      </c>
      <c r="L813" s="6">
        <v>70</v>
      </c>
      <c r="N813" s="1">
        <f t="shared" si="100"/>
        <v>0</v>
      </c>
      <c r="O813" s="6" t="s">
        <v>20</v>
      </c>
      <c r="Q813" s="6" t="s">
        <v>21</v>
      </c>
      <c r="R813" s="6" t="s">
        <v>21</v>
      </c>
      <c r="S813" s="6" t="s">
        <v>21</v>
      </c>
      <c r="T813" s="6" t="s">
        <v>21</v>
      </c>
      <c r="U813" s="6">
        <f t="shared" si="103"/>
        <v>1246.4969999999998</v>
      </c>
      <c r="V813" s="6">
        <f t="shared" si="112"/>
        <v>1246.4969999999998</v>
      </c>
    </row>
    <row r="814" spans="1:22" x14ac:dyDescent="0.35">
      <c r="A814" s="6" t="s">
        <v>920</v>
      </c>
      <c r="B814" s="6" t="s">
        <v>906</v>
      </c>
      <c r="C814" s="6" t="s">
        <v>907</v>
      </c>
      <c r="D814" s="6">
        <f t="shared" si="106"/>
        <v>0.5</v>
      </c>
      <c r="E814" s="6" t="s">
        <v>19</v>
      </c>
      <c r="F814" s="6" t="str">
        <f>MID(A814,19,1)</f>
        <v>N</v>
      </c>
      <c r="G814" s="6">
        <v>-23.296701083237739</v>
      </c>
      <c r="H814" s="6">
        <v>-46.841083131886073</v>
      </c>
      <c r="I814" s="9">
        <v>2032.57</v>
      </c>
      <c r="K814" s="6">
        <v>16.170000000000002</v>
      </c>
      <c r="L814" s="6">
        <v>70</v>
      </c>
      <c r="N814" s="1">
        <f t="shared" si="100"/>
        <v>0</v>
      </c>
      <c r="O814" s="6" t="s">
        <v>20</v>
      </c>
      <c r="Q814" s="6" t="s">
        <v>21</v>
      </c>
      <c r="R814" s="6" t="s">
        <v>21</v>
      </c>
      <c r="S814" s="6" t="s">
        <v>21</v>
      </c>
      <c r="T814" s="6" t="s">
        <v>21</v>
      </c>
      <c r="U814" s="6">
        <f t="shared" si="103"/>
        <v>1422.799</v>
      </c>
      <c r="V814" s="6">
        <f t="shared" si="112"/>
        <v>1422.799</v>
      </c>
    </row>
    <row r="815" spans="1:22" x14ac:dyDescent="0.35">
      <c r="A815" s="6" t="s">
        <v>921</v>
      </c>
      <c r="B815" s="6" t="s">
        <v>906</v>
      </c>
      <c r="C815" s="6" t="s">
        <v>907</v>
      </c>
      <c r="D815" s="6">
        <f t="shared" si="106"/>
        <v>0.5</v>
      </c>
      <c r="E815" s="6" t="s">
        <v>19</v>
      </c>
      <c r="F815" s="6" t="str">
        <f>MID(A815,19,1)</f>
        <v>N</v>
      </c>
      <c r="G815" s="6">
        <v>-23.308250859188998</v>
      </c>
      <c r="H815" s="6">
        <v>-46.855948439909</v>
      </c>
      <c r="I815" s="9">
        <v>981.01</v>
      </c>
      <c r="K815" s="6">
        <v>7.26</v>
      </c>
      <c r="L815" s="6">
        <v>0</v>
      </c>
      <c r="N815" s="1">
        <f t="shared" si="100"/>
        <v>0</v>
      </c>
      <c r="Q815" s="6" t="s">
        <v>21</v>
      </c>
      <c r="R815" s="6" t="s">
        <v>21</v>
      </c>
      <c r="S815" s="6" t="s">
        <v>21</v>
      </c>
      <c r="T815" s="6" t="s">
        <v>21</v>
      </c>
      <c r="U815" s="6">
        <f t="shared" si="103"/>
        <v>0</v>
      </c>
      <c r="V815" s="6">
        <f t="shared" si="112"/>
        <v>0</v>
      </c>
    </row>
    <row r="816" spans="1:22" hidden="1" x14ac:dyDescent="0.35">
      <c r="A816" s="6" t="s">
        <v>922</v>
      </c>
      <c r="B816" s="6" t="s">
        <v>906</v>
      </c>
      <c r="C816" s="6" t="s">
        <v>907</v>
      </c>
      <c r="D816" s="6">
        <f t="shared" si="106"/>
        <v>0.5</v>
      </c>
      <c r="E816" s="6" t="s">
        <v>23</v>
      </c>
      <c r="F816" s="6" t="str">
        <f>MID(A816,19,1)</f>
        <v>C</v>
      </c>
      <c r="G816" s="6">
        <v>-23.292883537671571</v>
      </c>
      <c r="H816" s="6">
        <v>-46.843743564490033</v>
      </c>
      <c r="I816" s="7">
        <v>7499.15</v>
      </c>
      <c r="J816" s="9">
        <f>I816/500</f>
        <v>14.998299999999999</v>
      </c>
      <c r="K816" s="6">
        <v>7.62</v>
      </c>
      <c r="L816" s="6">
        <v>40</v>
      </c>
      <c r="N816" s="1">
        <f t="shared" si="100"/>
        <v>0</v>
      </c>
      <c r="O816" s="6" t="s">
        <v>185</v>
      </c>
      <c r="Q816" s="6" t="s">
        <v>21</v>
      </c>
      <c r="R816" s="6" t="s">
        <v>21</v>
      </c>
      <c r="S816" s="6" t="s">
        <v>21</v>
      </c>
      <c r="T816" s="6" t="s">
        <v>21</v>
      </c>
      <c r="U816" s="6">
        <f t="shared" si="103"/>
        <v>2999.66</v>
      </c>
      <c r="V816" s="6">
        <f t="shared" si="112"/>
        <v>2999.66</v>
      </c>
    </row>
    <row r="817" spans="1:22" hidden="1" x14ac:dyDescent="0.35">
      <c r="A817" s="8" t="s">
        <v>923</v>
      </c>
      <c r="B817" s="8" t="s">
        <v>906</v>
      </c>
      <c r="C817" s="8" t="s">
        <v>907</v>
      </c>
      <c r="D817" s="6">
        <f t="shared" si="106"/>
        <v>0.5</v>
      </c>
      <c r="E817" s="8" t="s">
        <v>19</v>
      </c>
      <c r="F817" s="6" t="str">
        <f>MID(A817,19,1)</f>
        <v>S</v>
      </c>
      <c r="G817" s="8">
        <v>-23.313291976811119</v>
      </c>
      <c r="H817" s="8">
        <v>-46.857920269507908</v>
      </c>
      <c r="I817" s="7">
        <v>1765.86</v>
      </c>
      <c r="J817" s="7"/>
      <c r="K817" s="8">
        <v>14.9</v>
      </c>
      <c r="L817" s="8">
        <v>65</v>
      </c>
      <c r="M817" s="8"/>
      <c r="N817" s="11">
        <f t="shared" si="100"/>
        <v>1147.809</v>
      </c>
      <c r="O817" s="8" t="s">
        <v>25</v>
      </c>
      <c r="P817" s="8"/>
      <c r="Q817" s="8" t="s">
        <v>21</v>
      </c>
      <c r="R817" s="8" t="s">
        <v>21</v>
      </c>
      <c r="S817" s="8" t="s">
        <v>21</v>
      </c>
      <c r="T817" s="8" t="s">
        <v>26</v>
      </c>
      <c r="U817" s="6">
        <f t="shared" si="103"/>
        <v>0</v>
      </c>
    </row>
    <row r="818" spans="1:22" hidden="1" x14ac:dyDescent="0.35">
      <c r="A818" s="6" t="s">
        <v>924</v>
      </c>
      <c r="B818" s="6" t="s">
        <v>906</v>
      </c>
      <c r="C818" s="6" t="s">
        <v>907</v>
      </c>
      <c r="D818" s="6">
        <f t="shared" si="106"/>
        <v>0.5</v>
      </c>
      <c r="E818" s="6" t="s">
        <v>19</v>
      </c>
      <c r="F818" s="6" t="str">
        <f>MID(A818,19,1)</f>
        <v>S</v>
      </c>
      <c r="G818" s="6">
        <v>-23.296776312227109</v>
      </c>
      <c r="H818" s="6">
        <v>-46.841732297136218</v>
      </c>
      <c r="I818" s="9">
        <v>1976.69</v>
      </c>
      <c r="K818" s="6">
        <v>6.13</v>
      </c>
      <c r="L818" s="6">
        <v>0</v>
      </c>
      <c r="N818" s="1">
        <f t="shared" si="100"/>
        <v>0</v>
      </c>
      <c r="Q818" s="6" t="s">
        <v>21</v>
      </c>
      <c r="R818" s="6" t="s">
        <v>21</v>
      </c>
      <c r="S818" s="6" t="s">
        <v>21</v>
      </c>
      <c r="T818" s="6" t="s">
        <v>21</v>
      </c>
      <c r="U818" s="6">
        <f t="shared" si="103"/>
        <v>0</v>
      </c>
      <c r="V818" s="6">
        <f t="shared" ref="V818:V821" si="113">(I818*(L818/100))</f>
        <v>0</v>
      </c>
    </row>
    <row r="819" spans="1:22" x14ac:dyDescent="0.35">
      <c r="A819" s="6" t="s">
        <v>925</v>
      </c>
      <c r="B819" s="6" t="s">
        <v>926</v>
      </c>
      <c r="C819" s="6" t="s">
        <v>927</v>
      </c>
      <c r="D819" s="6">
        <f t="shared" si="106"/>
        <v>0.5</v>
      </c>
      <c r="E819" s="6" t="s">
        <v>19</v>
      </c>
      <c r="F819" s="6" t="str">
        <f>MID(A819,19,1)</f>
        <v>N</v>
      </c>
      <c r="G819" s="6">
        <v>-23.289679849786971</v>
      </c>
      <c r="H819" s="6">
        <v>-46.846416120020343</v>
      </c>
      <c r="I819" s="9">
        <v>1645.86</v>
      </c>
      <c r="K819" s="6">
        <v>11.84</v>
      </c>
      <c r="L819" s="6">
        <v>70</v>
      </c>
      <c r="N819" s="1">
        <f t="shared" si="100"/>
        <v>0</v>
      </c>
      <c r="O819" s="6" t="s">
        <v>20</v>
      </c>
      <c r="Q819" s="6" t="s">
        <v>21</v>
      </c>
      <c r="R819" s="6" t="s">
        <v>21</v>
      </c>
      <c r="S819" s="6" t="s">
        <v>21</v>
      </c>
      <c r="T819" s="6" t="s">
        <v>21</v>
      </c>
      <c r="U819" s="6">
        <f t="shared" si="103"/>
        <v>1152.1019999999999</v>
      </c>
      <c r="V819" s="6">
        <f t="shared" si="113"/>
        <v>1152.1019999999999</v>
      </c>
    </row>
    <row r="820" spans="1:22" hidden="1" x14ac:dyDescent="0.35">
      <c r="A820" s="6" t="s">
        <v>928</v>
      </c>
      <c r="B820" s="6" t="s">
        <v>926</v>
      </c>
      <c r="C820" s="6" t="s">
        <v>927</v>
      </c>
      <c r="D820" s="6">
        <f t="shared" si="106"/>
        <v>0.5</v>
      </c>
      <c r="E820" s="6" t="s">
        <v>19</v>
      </c>
      <c r="F820" s="6" t="str">
        <f>MID(A820,19,1)</f>
        <v>S</v>
      </c>
      <c r="G820" s="6">
        <v>-23.290973508057789</v>
      </c>
      <c r="H820" s="6">
        <v>-46.84653032813759</v>
      </c>
      <c r="I820" s="9">
        <v>768.62</v>
      </c>
      <c r="K820" s="6">
        <v>6.18</v>
      </c>
      <c r="L820" s="6">
        <v>50</v>
      </c>
      <c r="N820" s="1">
        <f t="shared" si="100"/>
        <v>0</v>
      </c>
      <c r="O820" s="6" t="s">
        <v>20</v>
      </c>
      <c r="Q820" s="6" t="s">
        <v>21</v>
      </c>
      <c r="R820" s="6" t="s">
        <v>21</v>
      </c>
      <c r="S820" s="6" t="s">
        <v>21</v>
      </c>
      <c r="T820" s="6" t="s">
        <v>21</v>
      </c>
      <c r="U820" s="6">
        <f t="shared" si="103"/>
        <v>384.31</v>
      </c>
      <c r="V820" s="6">
        <f t="shared" si="113"/>
        <v>384.31</v>
      </c>
    </row>
    <row r="821" spans="1:22" hidden="1" x14ac:dyDescent="0.35">
      <c r="A821" s="6" t="s">
        <v>929</v>
      </c>
      <c r="B821" s="6" t="s">
        <v>926</v>
      </c>
      <c r="C821" s="6" t="s">
        <v>927</v>
      </c>
      <c r="D821" s="6">
        <f t="shared" si="106"/>
        <v>0.5</v>
      </c>
      <c r="E821" s="6" t="s">
        <v>19</v>
      </c>
      <c r="F821" s="6" t="str">
        <f>MID(A821,19,1)</f>
        <v>S</v>
      </c>
      <c r="G821" s="6">
        <v>-23.29006756726821</v>
      </c>
      <c r="H821" s="6">
        <v>-46.847329391000692</v>
      </c>
      <c r="I821" s="9">
        <v>8818.8799999999992</v>
      </c>
      <c r="K821" s="6">
        <v>6.63</v>
      </c>
      <c r="L821" s="6">
        <v>50</v>
      </c>
      <c r="N821" s="1">
        <f t="shared" si="100"/>
        <v>0</v>
      </c>
      <c r="O821" s="6" t="s">
        <v>20</v>
      </c>
      <c r="Q821" s="6" t="s">
        <v>21</v>
      </c>
      <c r="R821" s="6" t="s">
        <v>21</v>
      </c>
      <c r="S821" s="6" t="s">
        <v>21</v>
      </c>
      <c r="T821" s="6" t="s">
        <v>21</v>
      </c>
      <c r="U821" s="6">
        <f t="shared" si="103"/>
        <v>4409.4399999999996</v>
      </c>
      <c r="V821" s="6">
        <f t="shared" si="113"/>
        <v>4409.4399999999996</v>
      </c>
    </row>
    <row r="822" spans="1:22" hidden="1" x14ac:dyDescent="0.35">
      <c r="A822" s="8" t="s">
        <v>930</v>
      </c>
      <c r="B822" s="8" t="s">
        <v>926</v>
      </c>
      <c r="C822" s="8" t="s">
        <v>927</v>
      </c>
      <c r="D822" s="6">
        <f t="shared" si="106"/>
        <v>0.5</v>
      </c>
      <c r="E822" s="8" t="s">
        <v>19</v>
      </c>
      <c r="F822" s="6" t="s">
        <v>4074</v>
      </c>
      <c r="G822" s="8">
        <v>-23.303966845353429</v>
      </c>
      <c r="H822" s="8">
        <v>-46.855946581980099</v>
      </c>
      <c r="I822" s="7">
        <v>1690.76</v>
      </c>
      <c r="J822" s="7"/>
      <c r="K822" s="8">
        <v>14.58</v>
      </c>
      <c r="L822" s="8">
        <v>60</v>
      </c>
      <c r="M822" s="8"/>
      <c r="N822" s="11">
        <f t="shared" si="100"/>
        <v>1014.4559999999999</v>
      </c>
      <c r="O822" s="8" t="s">
        <v>25</v>
      </c>
      <c r="P822" s="8"/>
      <c r="Q822" s="8" t="s">
        <v>21</v>
      </c>
      <c r="R822" s="8" t="s">
        <v>21</v>
      </c>
      <c r="S822" s="8" t="s">
        <v>21</v>
      </c>
      <c r="T822" s="8" t="s">
        <v>26</v>
      </c>
      <c r="U822" s="6">
        <f t="shared" si="103"/>
        <v>0</v>
      </c>
    </row>
    <row r="823" spans="1:22" hidden="1" x14ac:dyDescent="0.35">
      <c r="A823" s="6" t="s">
        <v>931</v>
      </c>
      <c r="B823" s="6" t="s">
        <v>926</v>
      </c>
      <c r="C823" s="6" t="s">
        <v>927</v>
      </c>
      <c r="D823" s="6">
        <f t="shared" si="106"/>
        <v>0.5</v>
      </c>
      <c r="E823" s="6" t="s">
        <v>19</v>
      </c>
      <c r="F823" s="6" t="str">
        <f>MID(A823,19,1)</f>
        <v>S</v>
      </c>
      <c r="G823" s="6">
        <v>-23.28554838530739</v>
      </c>
      <c r="H823" s="6">
        <v>-46.848182082190952</v>
      </c>
      <c r="I823" s="9">
        <v>2317.37</v>
      </c>
      <c r="K823" s="6">
        <v>12</v>
      </c>
      <c r="L823" s="6">
        <v>0</v>
      </c>
      <c r="N823" s="1">
        <f t="shared" si="100"/>
        <v>0</v>
      </c>
      <c r="Q823" s="6" t="s">
        <v>21</v>
      </c>
      <c r="R823" s="6" t="s">
        <v>21</v>
      </c>
      <c r="S823" s="6" t="s">
        <v>21</v>
      </c>
      <c r="T823" s="6" t="s">
        <v>21</v>
      </c>
      <c r="U823" s="6">
        <f t="shared" si="103"/>
        <v>0</v>
      </c>
      <c r="V823" s="6">
        <f>(I823*(L823/100))</f>
        <v>0</v>
      </c>
    </row>
    <row r="824" spans="1:22" x14ac:dyDescent="0.35">
      <c r="A824" s="8" t="s">
        <v>932</v>
      </c>
      <c r="B824" s="8" t="s">
        <v>926</v>
      </c>
      <c r="C824" s="8" t="s">
        <v>927</v>
      </c>
      <c r="D824" s="6">
        <f t="shared" si="106"/>
        <v>0.5</v>
      </c>
      <c r="E824" s="8" t="s">
        <v>19</v>
      </c>
      <c r="F824" s="6" t="str">
        <f>MID(A824,19,1)</f>
        <v>N</v>
      </c>
      <c r="G824" s="8">
        <v>-23.300909149078912</v>
      </c>
      <c r="H824" s="8">
        <v>-46.858554679757987</v>
      </c>
      <c r="I824" s="7">
        <v>1943.66</v>
      </c>
      <c r="J824" s="7"/>
      <c r="K824" s="8">
        <v>10.52</v>
      </c>
      <c r="L824" s="8">
        <v>65</v>
      </c>
      <c r="M824" s="8"/>
      <c r="N824" s="11">
        <f t="shared" si="100"/>
        <v>1263.3790000000001</v>
      </c>
      <c r="O824" s="8" t="s">
        <v>25</v>
      </c>
      <c r="P824" s="8"/>
      <c r="Q824" s="8" t="s">
        <v>21</v>
      </c>
      <c r="R824" s="8" t="s">
        <v>21</v>
      </c>
      <c r="S824" s="8" t="s">
        <v>21</v>
      </c>
      <c r="T824" s="8" t="s">
        <v>26</v>
      </c>
      <c r="U824" s="6">
        <f t="shared" si="103"/>
        <v>0</v>
      </c>
    </row>
    <row r="825" spans="1:22" hidden="1" x14ac:dyDescent="0.35">
      <c r="A825" s="6" t="s">
        <v>933</v>
      </c>
      <c r="B825" s="6" t="s">
        <v>926</v>
      </c>
      <c r="C825" s="6" t="s">
        <v>927</v>
      </c>
      <c r="D825" s="6">
        <f t="shared" si="106"/>
        <v>0.5</v>
      </c>
      <c r="E825" s="6" t="s">
        <v>19</v>
      </c>
      <c r="F825" s="6" t="str">
        <f>MID(A825,19,1)</f>
        <v>S</v>
      </c>
      <c r="G825" s="6">
        <v>-23.28903802396783</v>
      </c>
      <c r="H825" s="6">
        <v>-46.847775287362069</v>
      </c>
      <c r="I825" s="9">
        <v>810.29</v>
      </c>
      <c r="K825" s="6">
        <v>13.65</v>
      </c>
      <c r="L825" s="6">
        <v>50</v>
      </c>
      <c r="N825" s="1">
        <f t="shared" si="100"/>
        <v>0</v>
      </c>
      <c r="O825" s="6" t="s">
        <v>20</v>
      </c>
      <c r="Q825" s="6" t="s">
        <v>21</v>
      </c>
      <c r="R825" s="6" t="s">
        <v>21</v>
      </c>
      <c r="S825" s="6" t="s">
        <v>21</v>
      </c>
      <c r="T825" s="6" t="s">
        <v>21</v>
      </c>
      <c r="U825" s="6">
        <f t="shared" si="103"/>
        <v>405.14499999999998</v>
      </c>
      <c r="V825" s="6">
        <f t="shared" ref="V825:V827" si="114">(I825*(L825/100))</f>
        <v>405.14499999999998</v>
      </c>
    </row>
    <row r="826" spans="1:22" x14ac:dyDescent="0.35">
      <c r="A826" s="6" t="s">
        <v>934</v>
      </c>
      <c r="B826" s="6" t="s">
        <v>926</v>
      </c>
      <c r="C826" s="6" t="s">
        <v>927</v>
      </c>
      <c r="D826" s="6">
        <f t="shared" si="106"/>
        <v>0.5</v>
      </c>
      <c r="E826" s="6" t="s">
        <v>19</v>
      </c>
      <c r="F826" s="6" t="str">
        <f>MID(A826,19,1)</f>
        <v>N</v>
      </c>
      <c r="G826" s="6">
        <v>-23.285549281050091</v>
      </c>
      <c r="H826" s="6">
        <v>-46.847501550205493</v>
      </c>
      <c r="I826" s="9">
        <v>2182.08</v>
      </c>
      <c r="K826" s="6">
        <v>10.41</v>
      </c>
      <c r="L826" s="6">
        <v>50</v>
      </c>
      <c r="N826" s="1">
        <f t="shared" si="100"/>
        <v>0</v>
      </c>
      <c r="O826" s="6" t="s">
        <v>20</v>
      </c>
      <c r="Q826" s="6" t="s">
        <v>21</v>
      </c>
      <c r="R826" s="6" t="s">
        <v>21</v>
      </c>
      <c r="S826" s="6" t="s">
        <v>21</v>
      </c>
      <c r="T826" s="6" t="s">
        <v>21</v>
      </c>
      <c r="U826" s="6">
        <f t="shared" si="103"/>
        <v>1091.04</v>
      </c>
      <c r="V826" s="6">
        <f t="shared" si="114"/>
        <v>1091.04</v>
      </c>
    </row>
    <row r="827" spans="1:22" x14ac:dyDescent="0.35">
      <c r="A827" s="6" t="s">
        <v>935</v>
      </c>
      <c r="B827" s="6" t="s">
        <v>926</v>
      </c>
      <c r="C827" s="6" t="s">
        <v>927</v>
      </c>
      <c r="D827" s="6">
        <f t="shared" si="106"/>
        <v>0.5</v>
      </c>
      <c r="E827" s="6" t="s">
        <v>19</v>
      </c>
      <c r="F827" s="6" t="str">
        <f>MID(A827,19,1)</f>
        <v>N</v>
      </c>
      <c r="G827" s="6">
        <v>-23.303919539081321</v>
      </c>
      <c r="H827" s="6">
        <v>-46.855685191576548</v>
      </c>
      <c r="I827" s="9">
        <v>1745.13</v>
      </c>
      <c r="K827" s="6">
        <v>9.49</v>
      </c>
      <c r="L827" s="6">
        <v>0</v>
      </c>
      <c r="N827" s="1">
        <f t="shared" si="100"/>
        <v>0</v>
      </c>
      <c r="Q827" s="6" t="s">
        <v>21</v>
      </c>
      <c r="R827" s="6" t="s">
        <v>21</v>
      </c>
      <c r="S827" s="6" t="s">
        <v>21</v>
      </c>
      <c r="T827" s="6" t="s">
        <v>21</v>
      </c>
      <c r="U827" s="6">
        <f t="shared" si="103"/>
        <v>0</v>
      </c>
      <c r="V827" s="6">
        <f t="shared" si="114"/>
        <v>0</v>
      </c>
    </row>
    <row r="828" spans="1:22" hidden="1" x14ac:dyDescent="0.35">
      <c r="A828" s="8" t="s">
        <v>936</v>
      </c>
      <c r="B828" s="8" t="s">
        <v>926</v>
      </c>
      <c r="C828" s="8" t="s">
        <v>927</v>
      </c>
      <c r="D828" s="6">
        <f t="shared" si="106"/>
        <v>0.5</v>
      </c>
      <c r="E828" s="8" t="s">
        <v>19</v>
      </c>
      <c r="F828" s="6" t="s">
        <v>4074</v>
      </c>
      <c r="G828" s="8">
        <v>-23.300965133144071</v>
      </c>
      <c r="H828" s="8">
        <v>-46.858909345916167</v>
      </c>
      <c r="I828" s="7">
        <v>1911.16</v>
      </c>
      <c r="J828" s="7"/>
      <c r="K828" s="8">
        <v>16.78</v>
      </c>
      <c r="L828" s="8">
        <v>40</v>
      </c>
      <c r="M828" s="8"/>
      <c r="N828" s="11">
        <f t="shared" si="100"/>
        <v>764.46400000000006</v>
      </c>
      <c r="O828" s="8" t="s">
        <v>25</v>
      </c>
      <c r="P828" s="8"/>
      <c r="Q828" s="8" t="s">
        <v>21</v>
      </c>
      <c r="R828" s="8" t="s">
        <v>21</v>
      </c>
      <c r="S828" s="8" t="s">
        <v>21</v>
      </c>
      <c r="T828" s="8" t="s">
        <v>26</v>
      </c>
      <c r="U828" s="6">
        <f t="shared" si="103"/>
        <v>0</v>
      </c>
    </row>
    <row r="829" spans="1:22" hidden="1" x14ac:dyDescent="0.35">
      <c r="A829" s="6" t="s">
        <v>937</v>
      </c>
      <c r="B829" s="6" t="s">
        <v>926</v>
      </c>
      <c r="C829" s="6" t="s">
        <v>927</v>
      </c>
      <c r="D829" s="6">
        <f t="shared" si="106"/>
        <v>0.5</v>
      </c>
      <c r="E829" s="6" t="s">
        <v>23</v>
      </c>
      <c r="F829" s="6" t="str">
        <f>MID(A829,19,1)</f>
        <v>C</v>
      </c>
      <c r="G829" s="6">
        <v>-23.3024016461287</v>
      </c>
      <c r="H829" s="6">
        <v>-46.857160506859913</v>
      </c>
      <c r="I829" s="9">
        <v>142.01</v>
      </c>
      <c r="J829" s="9">
        <f t="shared" ref="J829:J832" si="115">I829/500</f>
        <v>0.28401999999999999</v>
      </c>
      <c r="K829" s="6">
        <v>5.97</v>
      </c>
      <c r="L829" s="6">
        <v>0</v>
      </c>
      <c r="N829" s="1">
        <f t="shared" si="100"/>
        <v>0</v>
      </c>
      <c r="Q829" s="6" t="s">
        <v>21</v>
      </c>
      <c r="R829" s="6" t="s">
        <v>21</v>
      </c>
      <c r="S829" s="6" t="s">
        <v>21</v>
      </c>
      <c r="T829" s="6" t="s">
        <v>21</v>
      </c>
      <c r="U829" s="6">
        <f t="shared" si="103"/>
        <v>0</v>
      </c>
      <c r="V829" s="6">
        <f t="shared" ref="V829:V833" si="116">(I829*(L829/100))</f>
        <v>0</v>
      </c>
    </row>
    <row r="830" spans="1:22" hidden="1" x14ac:dyDescent="0.35">
      <c r="A830" s="6" t="s">
        <v>938</v>
      </c>
      <c r="B830" s="6" t="s">
        <v>926</v>
      </c>
      <c r="C830" s="6" t="s">
        <v>927</v>
      </c>
      <c r="D830" s="6">
        <f t="shared" si="106"/>
        <v>0.5</v>
      </c>
      <c r="E830" s="6" t="s">
        <v>23</v>
      </c>
      <c r="F830" s="6" t="str">
        <f>MID(A830,19,1)</f>
        <v>C</v>
      </c>
      <c r="G830" s="6">
        <v>-23.289784415865959</v>
      </c>
      <c r="H830" s="6">
        <v>-46.84673621741176</v>
      </c>
      <c r="I830" s="7">
        <v>6440.3</v>
      </c>
      <c r="J830" s="9">
        <f t="shared" si="115"/>
        <v>12.880600000000001</v>
      </c>
      <c r="K830" s="6">
        <v>7.54</v>
      </c>
      <c r="N830" s="1">
        <f t="shared" si="100"/>
        <v>0</v>
      </c>
      <c r="Q830" s="6" t="s">
        <v>21</v>
      </c>
      <c r="R830" s="6" t="s">
        <v>21</v>
      </c>
      <c r="S830" s="6" t="s">
        <v>21</v>
      </c>
      <c r="T830" s="6" t="s">
        <v>21</v>
      </c>
      <c r="U830" s="6">
        <f t="shared" si="103"/>
        <v>0</v>
      </c>
      <c r="V830" s="6">
        <f t="shared" si="116"/>
        <v>0</v>
      </c>
    </row>
    <row r="831" spans="1:22" hidden="1" x14ac:dyDescent="0.35">
      <c r="A831" s="6" t="s">
        <v>939</v>
      </c>
      <c r="B831" s="6" t="s">
        <v>926</v>
      </c>
      <c r="C831" s="6" t="s">
        <v>927</v>
      </c>
      <c r="D831" s="6">
        <f t="shared" si="106"/>
        <v>0.5</v>
      </c>
      <c r="E831" s="6" t="s">
        <v>23</v>
      </c>
      <c r="F831" s="6" t="str">
        <f>MID(A831,19,1)</f>
        <v>C</v>
      </c>
      <c r="G831" s="6">
        <v>-23.285601120926081</v>
      </c>
      <c r="H831" s="6">
        <v>-46.847814150548189</v>
      </c>
      <c r="I831" s="7">
        <v>8729.0499999999993</v>
      </c>
      <c r="J831" s="9">
        <f t="shared" si="115"/>
        <v>17.458099999999998</v>
      </c>
      <c r="K831" s="6">
        <v>6.58</v>
      </c>
      <c r="L831" s="6">
        <v>40</v>
      </c>
      <c r="N831" s="1">
        <f t="shared" si="100"/>
        <v>0</v>
      </c>
      <c r="O831" s="6" t="s">
        <v>185</v>
      </c>
      <c r="Q831" s="6" t="s">
        <v>21</v>
      </c>
      <c r="R831" s="6" t="s">
        <v>21</v>
      </c>
      <c r="S831" s="6" t="s">
        <v>21</v>
      </c>
      <c r="T831" s="6" t="s">
        <v>21</v>
      </c>
      <c r="U831" s="6">
        <f t="shared" si="103"/>
        <v>3491.62</v>
      </c>
      <c r="V831" s="6">
        <f t="shared" si="116"/>
        <v>3491.62</v>
      </c>
    </row>
    <row r="832" spans="1:22" hidden="1" x14ac:dyDescent="0.35">
      <c r="A832" s="6" t="s">
        <v>940</v>
      </c>
      <c r="B832" s="6" t="s">
        <v>941</v>
      </c>
      <c r="C832" s="6" t="s">
        <v>942</v>
      </c>
      <c r="D832" s="6">
        <f t="shared" si="106"/>
        <v>0.5</v>
      </c>
      <c r="E832" s="6" t="s">
        <v>23</v>
      </c>
      <c r="F832" s="6" t="str">
        <f>MID(A832,19,1)</f>
        <v>C</v>
      </c>
      <c r="G832" s="6">
        <v>-23.277093201541469</v>
      </c>
      <c r="H832" s="6">
        <v>-46.849258889800453</v>
      </c>
      <c r="I832" s="7">
        <v>2239.1</v>
      </c>
      <c r="J832" s="9">
        <f t="shared" si="115"/>
        <v>4.4782000000000002</v>
      </c>
      <c r="K832" s="6">
        <v>14.35</v>
      </c>
      <c r="L832" s="6">
        <v>50</v>
      </c>
      <c r="N832" s="1">
        <f t="shared" si="100"/>
        <v>0</v>
      </c>
      <c r="O832" s="6" t="s">
        <v>20</v>
      </c>
      <c r="Q832" s="6" t="s">
        <v>21</v>
      </c>
      <c r="R832" s="6" t="s">
        <v>21</v>
      </c>
      <c r="S832" s="6" t="s">
        <v>21</v>
      </c>
      <c r="T832" s="6" t="s">
        <v>21</v>
      </c>
      <c r="U832" s="6">
        <f t="shared" si="103"/>
        <v>1119.55</v>
      </c>
      <c r="V832" s="6">
        <f t="shared" si="116"/>
        <v>1119.55</v>
      </c>
    </row>
    <row r="833" spans="1:22" hidden="1" x14ac:dyDescent="0.35">
      <c r="A833" s="6" t="s">
        <v>943</v>
      </c>
      <c r="B833" s="6" t="s">
        <v>941</v>
      </c>
      <c r="C833" s="6" t="s">
        <v>942</v>
      </c>
      <c r="D833" s="6">
        <f t="shared" si="106"/>
        <v>0.5</v>
      </c>
      <c r="E833" s="6" t="s">
        <v>19</v>
      </c>
      <c r="F833" s="6" t="str">
        <f>MID(A833,19,1)</f>
        <v>S</v>
      </c>
      <c r="G833" s="6">
        <v>-23.277390021623269</v>
      </c>
      <c r="H833" s="6">
        <v>-46.849815666997443</v>
      </c>
      <c r="I833" s="9">
        <v>2041.96</v>
      </c>
      <c r="K833" s="6">
        <v>9.1999999999999993</v>
      </c>
      <c r="L833" s="6">
        <v>0</v>
      </c>
      <c r="N833" s="1">
        <f t="shared" si="100"/>
        <v>0</v>
      </c>
      <c r="Q833" s="6" t="s">
        <v>21</v>
      </c>
      <c r="R833" s="6" t="s">
        <v>21</v>
      </c>
      <c r="S833" s="6" t="s">
        <v>21</v>
      </c>
      <c r="T833" s="6" t="s">
        <v>21</v>
      </c>
      <c r="U833" s="6">
        <f t="shared" si="103"/>
        <v>0</v>
      </c>
      <c r="V833" s="6">
        <f t="shared" si="116"/>
        <v>0</v>
      </c>
    </row>
    <row r="834" spans="1:22" hidden="1" x14ac:dyDescent="0.35">
      <c r="A834" s="8" t="s">
        <v>944</v>
      </c>
      <c r="B834" s="8" t="s">
        <v>941</v>
      </c>
      <c r="C834" s="8" t="s">
        <v>942</v>
      </c>
      <c r="D834" s="6">
        <f t="shared" si="106"/>
        <v>0.5</v>
      </c>
      <c r="E834" s="8" t="s">
        <v>19</v>
      </c>
      <c r="F834" s="6" t="str">
        <f>MID(A834,19,1)</f>
        <v>S</v>
      </c>
      <c r="G834" s="8">
        <v>-23.295876205644749</v>
      </c>
      <c r="H834" s="8">
        <v>-46.865020561023243</v>
      </c>
      <c r="I834" s="7">
        <v>1293.68</v>
      </c>
      <c r="J834" s="7"/>
      <c r="K834" s="8">
        <v>13.51</v>
      </c>
      <c r="L834" s="8">
        <v>50</v>
      </c>
      <c r="M834" s="8"/>
      <c r="N834" s="11">
        <f t="shared" ref="N834:N897" si="117">IF(OR(R834="Sim",S834="Sim",T834="Sim"),(L834/100)*I834,0)</f>
        <v>646.84</v>
      </c>
      <c r="O834" s="8" t="s">
        <v>25</v>
      </c>
      <c r="P834" s="8"/>
      <c r="Q834" s="8" t="s">
        <v>21</v>
      </c>
      <c r="R834" s="8" t="s">
        <v>21</v>
      </c>
      <c r="S834" s="8" t="s">
        <v>21</v>
      </c>
      <c r="T834" s="8" t="s">
        <v>26</v>
      </c>
      <c r="U834" s="6">
        <f t="shared" si="103"/>
        <v>0</v>
      </c>
    </row>
    <row r="835" spans="1:22" hidden="1" x14ac:dyDescent="0.35">
      <c r="A835" s="6" t="s">
        <v>945</v>
      </c>
      <c r="B835" s="6" t="s">
        <v>941</v>
      </c>
      <c r="C835" s="6" t="s">
        <v>942</v>
      </c>
      <c r="D835" s="6">
        <f t="shared" si="106"/>
        <v>0.5</v>
      </c>
      <c r="E835" s="6" t="s">
        <v>19</v>
      </c>
      <c r="F835" s="6" t="str">
        <f>MID(A835,19,1)</f>
        <v>S</v>
      </c>
      <c r="G835" s="6">
        <v>-23.294751203422361</v>
      </c>
      <c r="H835" s="6">
        <v>-46.865950785235313</v>
      </c>
      <c r="I835" s="9">
        <v>84.53</v>
      </c>
      <c r="K835" s="6">
        <v>6.74</v>
      </c>
      <c r="L835" s="6">
        <v>0</v>
      </c>
      <c r="N835" s="1">
        <f t="shared" si="117"/>
        <v>0</v>
      </c>
      <c r="Q835" s="6" t="s">
        <v>21</v>
      </c>
      <c r="R835" s="6" t="s">
        <v>21</v>
      </c>
      <c r="S835" s="6" t="s">
        <v>21</v>
      </c>
      <c r="T835" s="6" t="s">
        <v>21</v>
      </c>
      <c r="U835" s="6">
        <f t="shared" ref="U835:U898" si="118">IF(N835=0,(I835*(L835/100)),0)</f>
        <v>0</v>
      </c>
      <c r="V835" s="6">
        <f t="shared" ref="V835:V840" si="119">(I835*(L835/100))</f>
        <v>0</v>
      </c>
    </row>
    <row r="836" spans="1:22" hidden="1" x14ac:dyDescent="0.35">
      <c r="A836" s="6" t="s">
        <v>946</v>
      </c>
      <c r="B836" s="6" t="s">
        <v>941</v>
      </c>
      <c r="C836" s="6" t="s">
        <v>942</v>
      </c>
      <c r="D836" s="6">
        <f t="shared" si="106"/>
        <v>0.5</v>
      </c>
      <c r="E836" s="6" t="s">
        <v>19</v>
      </c>
      <c r="F836" s="6" t="str">
        <f>MID(A836,19,1)</f>
        <v>S</v>
      </c>
      <c r="G836" s="6">
        <v>-23.298049811125338</v>
      </c>
      <c r="H836" s="6">
        <v>-46.862107698936804</v>
      </c>
      <c r="I836" s="9">
        <v>1823.19</v>
      </c>
      <c r="K836" s="6">
        <v>11.77</v>
      </c>
      <c r="L836" s="6">
        <v>0</v>
      </c>
      <c r="N836" s="1">
        <f t="shared" si="117"/>
        <v>0</v>
      </c>
      <c r="Q836" s="6" t="s">
        <v>21</v>
      </c>
      <c r="R836" s="6" t="s">
        <v>21</v>
      </c>
      <c r="S836" s="6" t="s">
        <v>21</v>
      </c>
      <c r="T836" s="6" t="s">
        <v>21</v>
      </c>
      <c r="U836" s="6">
        <f t="shared" si="118"/>
        <v>0</v>
      </c>
      <c r="V836" s="6">
        <f t="shared" si="119"/>
        <v>0</v>
      </c>
    </row>
    <row r="837" spans="1:22" x14ac:dyDescent="0.35">
      <c r="A837" s="6" t="s">
        <v>947</v>
      </c>
      <c r="B837" s="6" t="s">
        <v>941</v>
      </c>
      <c r="C837" s="6" t="s">
        <v>942</v>
      </c>
      <c r="D837" s="6">
        <f t="shared" si="106"/>
        <v>0.5</v>
      </c>
      <c r="E837" s="6" t="s">
        <v>19</v>
      </c>
      <c r="F837" s="6" t="str">
        <f>MID(A837,19,1)</f>
        <v>N</v>
      </c>
      <c r="G837" s="6">
        <v>-23.294705130628259</v>
      </c>
      <c r="H837" s="6">
        <v>-46.865464535300859</v>
      </c>
      <c r="I837" s="9">
        <v>2290.5500000000002</v>
      </c>
      <c r="K837" s="6">
        <v>9.64</v>
      </c>
      <c r="L837" s="6">
        <v>80</v>
      </c>
      <c r="N837" s="1">
        <f t="shared" si="117"/>
        <v>0</v>
      </c>
      <c r="O837" s="6" t="s">
        <v>20</v>
      </c>
      <c r="Q837" s="6" t="s">
        <v>21</v>
      </c>
      <c r="R837" s="6" t="s">
        <v>21</v>
      </c>
      <c r="S837" s="6" t="s">
        <v>21</v>
      </c>
      <c r="T837" s="6" t="s">
        <v>21</v>
      </c>
      <c r="U837" s="6">
        <f t="shared" si="118"/>
        <v>1832.4400000000003</v>
      </c>
      <c r="V837" s="6">
        <f t="shared" si="119"/>
        <v>1832.4400000000003</v>
      </c>
    </row>
    <row r="838" spans="1:22" hidden="1" x14ac:dyDescent="0.35">
      <c r="A838" s="6" t="s">
        <v>948</v>
      </c>
      <c r="B838" s="6" t="s">
        <v>941</v>
      </c>
      <c r="C838" s="6" t="s">
        <v>942</v>
      </c>
      <c r="D838" s="6">
        <f t="shared" si="106"/>
        <v>0.5</v>
      </c>
      <c r="E838" s="6" t="s">
        <v>19</v>
      </c>
      <c r="F838" s="6" t="str">
        <f>MID(A838,19,1)</f>
        <v>S</v>
      </c>
      <c r="G838" s="6">
        <v>-23.277245408237551</v>
      </c>
      <c r="H838" s="6">
        <v>-46.849533631419447</v>
      </c>
      <c r="I838" s="9">
        <v>8192.2800000000007</v>
      </c>
      <c r="K838" s="6">
        <v>12.91</v>
      </c>
      <c r="L838" s="6">
        <v>40</v>
      </c>
      <c r="N838" s="1">
        <f t="shared" si="117"/>
        <v>0</v>
      </c>
      <c r="O838" s="6" t="s">
        <v>185</v>
      </c>
      <c r="Q838" s="6" t="s">
        <v>21</v>
      </c>
      <c r="R838" s="6" t="s">
        <v>21</v>
      </c>
      <c r="S838" s="6" t="s">
        <v>21</v>
      </c>
      <c r="T838" s="6" t="s">
        <v>21</v>
      </c>
      <c r="U838" s="6">
        <f t="shared" si="118"/>
        <v>3276.9120000000003</v>
      </c>
      <c r="V838" s="6">
        <f t="shared" si="119"/>
        <v>3276.9120000000003</v>
      </c>
    </row>
    <row r="839" spans="1:22" hidden="1" x14ac:dyDescent="0.35">
      <c r="A839" s="6" t="s">
        <v>949</v>
      </c>
      <c r="B839" s="6" t="s">
        <v>941</v>
      </c>
      <c r="C839" s="6" t="s">
        <v>942</v>
      </c>
      <c r="D839" s="6">
        <f t="shared" si="106"/>
        <v>0.5</v>
      </c>
      <c r="E839" s="6" t="s">
        <v>19</v>
      </c>
      <c r="F839" s="6" t="str">
        <f>MID(A839,19,1)</f>
        <v>S</v>
      </c>
      <c r="G839" s="6">
        <v>-23.281259733989231</v>
      </c>
      <c r="H839" s="6">
        <v>-46.848294697741807</v>
      </c>
      <c r="I839" s="9">
        <v>5929.33</v>
      </c>
      <c r="K839" s="6">
        <v>12.26</v>
      </c>
      <c r="L839" s="6">
        <v>40</v>
      </c>
      <c r="N839" s="1">
        <f t="shared" si="117"/>
        <v>0</v>
      </c>
      <c r="O839" s="6" t="s">
        <v>185</v>
      </c>
      <c r="Q839" s="6" t="s">
        <v>21</v>
      </c>
      <c r="R839" s="6" t="s">
        <v>21</v>
      </c>
      <c r="S839" s="6" t="s">
        <v>21</v>
      </c>
      <c r="T839" s="6" t="s">
        <v>21</v>
      </c>
      <c r="U839" s="6">
        <f t="shared" si="118"/>
        <v>2371.732</v>
      </c>
      <c r="V839" s="6">
        <f t="shared" si="119"/>
        <v>2371.732</v>
      </c>
    </row>
    <row r="840" spans="1:22" hidden="1" x14ac:dyDescent="0.35">
      <c r="A840" s="6" t="s">
        <v>950</v>
      </c>
      <c r="B840" s="6" t="s">
        <v>941</v>
      </c>
      <c r="C840" s="6" t="s">
        <v>942</v>
      </c>
      <c r="D840" s="6">
        <f t="shared" si="106"/>
        <v>0.5</v>
      </c>
      <c r="E840" s="6" t="s">
        <v>19</v>
      </c>
      <c r="F840" s="6" t="str">
        <f>MID(A840,19,1)</f>
        <v>S</v>
      </c>
      <c r="G840" s="6">
        <v>-23.293603649925888</v>
      </c>
      <c r="H840" s="6">
        <v>-46.866478316036897</v>
      </c>
      <c r="I840" s="9">
        <v>1116.3</v>
      </c>
      <c r="K840" s="6">
        <v>7.3</v>
      </c>
      <c r="L840" s="6">
        <v>0</v>
      </c>
      <c r="N840" s="1">
        <f t="shared" si="117"/>
        <v>0</v>
      </c>
      <c r="Q840" s="6" t="s">
        <v>21</v>
      </c>
      <c r="R840" s="6" t="s">
        <v>21</v>
      </c>
      <c r="S840" s="6" t="s">
        <v>21</v>
      </c>
      <c r="T840" s="6" t="s">
        <v>21</v>
      </c>
      <c r="U840" s="6">
        <f t="shared" si="118"/>
        <v>0</v>
      </c>
      <c r="V840" s="6">
        <f t="shared" si="119"/>
        <v>0</v>
      </c>
    </row>
    <row r="841" spans="1:22" x14ac:dyDescent="0.35">
      <c r="A841" s="8" t="s">
        <v>951</v>
      </c>
      <c r="B841" s="8" t="s">
        <v>941</v>
      </c>
      <c r="C841" s="8" t="s">
        <v>942</v>
      </c>
      <c r="D841" s="6">
        <f t="shared" si="106"/>
        <v>0.5</v>
      </c>
      <c r="E841" s="8" t="s">
        <v>19</v>
      </c>
      <c r="F841" s="6" t="str">
        <f>MID(A841,19,1)</f>
        <v>N</v>
      </c>
      <c r="G841" s="8">
        <v>-23.297900714087032</v>
      </c>
      <c r="H841" s="8">
        <v>-46.861864628527229</v>
      </c>
      <c r="I841" s="7">
        <v>1914.08</v>
      </c>
      <c r="J841" s="7"/>
      <c r="K841" s="8">
        <v>9.23</v>
      </c>
      <c r="L841" s="8">
        <v>55</v>
      </c>
      <c r="M841" s="8"/>
      <c r="N841" s="11">
        <f t="shared" si="117"/>
        <v>1052.7440000000001</v>
      </c>
      <c r="O841" s="8" t="s">
        <v>25</v>
      </c>
      <c r="P841" s="8"/>
      <c r="Q841" s="8" t="s">
        <v>21</v>
      </c>
      <c r="R841" s="8" t="s">
        <v>21</v>
      </c>
      <c r="S841" s="8" t="s">
        <v>21</v>
      </c>
      <c r="T841" s="8" t="s">
        <v>26</v>
      </c>
      <c r="U841" s="6">
        <f t="shared" si="118"/>
        <v>0</v>
      </c>
    </row>
    <row r="842" spans="1:22" x14ac:dyDescent="0.35">
      <c r="A842" s="6" t="s">
        <v>952</v>
      </c>
      <c r="B842" s="6" t="s">
        <v>941</v>
      </c>
      <c r="C842" s="6" t="s">
        <v>942</v>
      </c>
      <c r="D842" s="6">
        <f t="shared" si="106"/>
        <v>0.5</v>
      </c>
      <c r="E842" s="6" t="s">
        <v>19</v>
      </c>
      <c r="F842" s="6" t="str">
        <f>MID(A842,19,1)</f>
        <v>N</v>
      </c>
      <c r="G842" s="6">
        <v>-23.281231843485688</v>
      </c>
      <c r="H842" s="6">
        <v>-46.847972649311657</v>
      </c>
      <c r="I842" s="9">
        <v>1658.76</v>
      </c>
      <c r="K842" s="6">
        <v>18.28</v>
      </c>
      <c r="L842" s="6">
        <v>50</v>
      </c>
      <c r="N842" s="1">
        <f t="shared" si="117"/>
        <v>0</v>
      </c>
      <c r="O842" s="6" t="s">
        <v>20</v>
      </c>
      <c r="Q842" s="6" t="s">
        <v>21</v>
      </c>
      <c r="R842" s="6" t="s">
        <v>21</v>
      </c>
      <c r="S842" s="6" t="s">
        <v>21</v>
      </c>
      <c r="T842" s="6" t="s">
        <v>21</v>
      </c>
      <c r="U842" s="6">
        <f t="shared" si="118"/>
        <v>829.38</v>
      </c>
      <c r="V842" s="6">
        <f t="shared" ref="V842:V848" si="120">(I842*(L842/100))</f>
        <v>829.38</v>
      </c>
    </row>
    <row r="843" spans="1:22" hidden="1" x14ac:dyDescent="0.35">
      <c r="A843" s="6" t="s">
        <v>953</v>
      </c>
      <c r="B843" s="6" t="s">
        <v>941</v>
      </c>
      <c r="C843" s="6" t="s">
        <v>942</v>
      </c>
      <c r="D843" s="6">
        <f t="shared" si="106"/>
        <v>0.5</v>
      </c>
      <c r="E843" s="6" t="s">
        <v>19</v>
      </c>
      <c r="F843" s="6" t="str">
        <f>MID(A843,19,1)</f>
        <v>S</v>
      </c>
      <c r="G843" s="6">
        <v>-23.281202659015062</v>
      </c>
      <c r="H843" s="6">
        <v>-46.848649720285898</v>
      </c>
      <c r="I843" s="9">
        <v>1552.13</v>
      </c>
      <c r="K843" s="6">
        <v>11.68</v>
      </c>
      <c r="L843" s="6">
        <v>0</v>
      </c>
      <c r="N843" s="1">
        <f t="shared" si="117"/>
        <v>0</v>
      </c>
      <c r="Q843" s="6" t="s">
        <v>21</v>
      </c>
      <c r="R843" s="6" t="s">
        <v>21</v>
      </c>
      <c r="S843" s="6" t="s">
        <v>21</v>
      </c>
      <c r="T843" s="6" t="s">
        <v>21</v>
      </c>
      <c r="U843" s="6">
        <f t="shared" si="118"/>
        <v>0</v>
      </c>
      <c r="V843" s="6">
        <f t="shared" si="120"/>
        <v>0</v>
      </c>
    </row>
    <row r="844" spans="1:22" x14ac:dyDescent="0.35">
      <c r="A844" s="6" t="s">
        <v>954</v>
      </c>
      <c r="B844" s="6" t="s">
        <v>955</v>
      </c>
      <c r="C844" s="6" t="s">
        <v>956</v>
      </c>
      <c r="D844" s="6">
        <f t="shared" si="106"/>
        <v>0.5</v>
      </c>
      <c r="E844" s="6" t="s">
        <v>19</v>
      </c>
      <c r="F844" s="6" t="str">
        <f>MID(A844,19,1)</f>
        <v>N</v>
      </c>
      <c r="G844" s="6">
        <v>-23.272157982163581</v>
      </c>
      <c r="H844" s="6">
        <v>-46.85453350711574</v>
      </c>
      <c r="I844" s="9">
        <v>132.30000000000001</v>
      </c>
      <c r="K844" s="6">
        <v>20.62</v>
      </c>
      <c r="L844" s="6">
        <v>0</v>
      </c>
      <c r="N844" s="1">
        <f t="shared" si="117"/>
        <v>0</v>
      </c>
      <c r="Q844" s="6" t="s">
        <v>21</v>
      </c>
      <c r="R844" s="6" t="s">
        <v>21</v>
      </c>
      <c r="S844" s="6" t="s">
        <v>21</v>
      </c>
      <c r="T844" s="6" t="s">
        <v>21</v>
      </c>
      <c r="U844" s="6">
        <f t="shared" si="118"/>
        <v>0</v>
      </c>
      <c r="V844" s="6">
        <f t="shared" si="120"/>
        <v>0</v>
      </c>
    </row>
    <row r="845" spans="1:22" hidden="1" x14ac:dyDescent="0.35">
      <c r="A845" s="6" t="s">
        <v>957</v>
      </c>
      <c r="B845" s="6" t="s">
        <v>955</v>
      </c>
      <c r="C845" s="6" t="s">
        <v>956</v>
      </c>
      <c r="D845" s="6">
        <f t="shared" si="106"/>
        <v>0.5</v>
      </c>
      <c r="E845" s="6" t="s">
        <v>23</v>
      </c>
      <c r="F845" s="6" t="str">
        <f>MID(A845,19,1)</f>
        <v>C</v>
      </c>
      <c r="G845" s="6">
        <v>-23.274267316566991</v>
      </c>
      <c r="H845" s="6">
        <v>-46.852588089670569</v>
      </c>
      <c r="I845" s="7">
        <v>5625.46</v>
      </c>
      <c r="J845" s="9">
        <f>I845/500</f>
        <v>11.250920000000001</v>
      </c>
      <c r="K845" s="6">
        <v>9.18</v>
      </c>
      <c r="L845" s="6">
        <v>40</v>
      </c>
      <c r="N845" s="1">
        <f t="shared" si="117"/>
        <v>0</v>
      </c>
      <c r="O845" s="6" t="s">
        <v>185</v>
      </c>
      <c r="Q845" s="6" t="s">
        <v>21</v>
      </c>
      <c r="R845" s="6" t="s">
        <v>21</v>
      </c>
      <c r="S845" s="6" t="s">
        <v>21</v>
      </c>
      <c r="T845" s="6" t="s">
        <v>21</v>
      </c>
      <c r="U845" s="6">
        <f t="shared" si="118"/>
        <v>2250.1840000000002</v>
      </c>
      <c r="V845" s="6">
        <f t="shared" si="120"/>
        <v>2250.1840000000002</v>
      </c>
    </row>
    <row r="846" spans="1:22" hidden="1" x14ac:dyDescent="0.35">
      <c r="A846" s="6" t="s">
        <v>958</v>
      </c>
      <c r="B846" s="6" t="s">
        <v>955</v>
      </c>
      <c r="C846" s="6" t="s">
        <v>956</v>
      </c>
      <c r="D846" s="6">
        <f t="shared" ref="D846:D909" si="121">C846-B846</f>
        <v>0.5</v>
      </c>
      <c r="E846" s="6" t="s">
        <v>19</v>
      </c>
      <c r="F846" s="6" t="str">
        <f>MID(A846,19,1)</f>
        <v>S</v>
      </c>
      <c r="G846" s="6">
        <v>-23.270697241752458</v>
      </c>
      <c r="H846" s="6">
        <v>-46.856634465364323</v>
      </c>
      <c r="I846" s="9">
        <v>2088.81</v>
      </c>
      <c r="K846" s="6">
        <v>4.21</v>
      </c>
      <c r="L846" s="6">
        <v>30</v>
      </c>
      <c r="N846" s="1">
        <f t="shared" si="117"/>
        <v>0</v>
      </c>
      <c r="O846" s="6" t="s">
        <v>20</v>
      </c>
      <c r="Q846" s="6" t="s">
        <v>21</v>
      </c>
      <c r="R846" s="6" t="s">
        <v>21</v>
      </c>
      <c r="S846" s="6" t="s">
        <v>21</v>
      </c>
      <c r="T846" s="6" t="s">
        <v>21</v>
      </c>
      <c r="U846" s="6">
        <f t="shared" si="118"/>
        <v>626.64299999999992</v>
      </c>
      <c r="V846" s="6">
        <f t="shared" si="120"/>
        <v>626.64299999999992</v>
      </c>
    </row>
    <row r="847" spans="1:22" hidden="1" x14ac:dyDescent="0.35">
      <c r="A847" s="6" t="s">
        <v>959</v>
      </c>
      <c r="B847" s="6" t="s">
        <v>955</v>
      </c>
      <c r="C847" s="6" t="s">
        <v>956</v>
      </c>
      <c r="D847" s="6">
        <f t="shared" si="121"/>
        <v>0.5</v>
      </c>
      <c r="E847" s="6" t="s">
        <v>19</v>
      </c>
      <c r="F847" s="6" t="str">
        <f>MID(A847,19,1)</f>
        <v>S</v>
      </c>
      <c r="G847" s="6">
        <v>-23.290303508420479</v>
      </c>
      <c r="H847" s="6">
        <v>-46.866358619151448</v>
      </c>
      <c r="I847" s="9">
        <v>1867.14</v>
      </c>
      <c r="K847" s="6">
        <v>11.05</v>
      </c>
      <c r="L847" s="6">
        <v>0</v>
      </c>
      <c r="N847" s="1">
        <f t="shared" si="117"/>
        <v>0</v>
      </c>
      <c r="Q847" s="6" t="s">
        <v>21</v>
      </c>
      <c r="R847" s="6" t="s">
        <v>21</v>
      </c>
      <c r="S847" s="6" t="s">
        <v>21</v>
      </c>
      <c r="T847" s="6" t="s">
        <v>21</v>
      </c>
      <c r="U847" s="6">
        <f t="shared" si="118"/>
        <v>0</v>
      </c>
      <c r="V847" s="6">
        <f t="shared" si="120"/>
        <v>0</v>
      </c>
    </row>
    <row r="848" spans="1:22" hidden="1" x14ac:dyDescent="0.35">
      <c r="A848" s="6" t="s">
        <v>960</v>
      </c>
      <c r="B848" s="6" t="s">
        <v>955</v>
      </c>
      <c r="C848" s="6" t="s">
        <v>956</v>
      </c>
      <c r="D848" s="6">
        <f t="shared" si="121"/>
        <v>0.5</v>
      </c>
      <c r="E848" s="6" t="s">
        <v>19</v>
      </c>
      <c r="F848" s="6" t="str">
        <f>MID(A848,19,1)</f>
        <v>S</v>
      </c>
      <c r="G848" s="6">
        <v>-23.285343253001599</v>
      </c>
      <c r="H848" s="6">
        <v>-46.86947063451494</v>
      </c>
      <c r="I848" s="9">
        <v>768.62</v>
      </c>
      <c r="K848" s="6">
        <v>6.79</v>
      </c>
      <c r="L848" s="6">
        <v>10</v>
      </c>
      <c r="N848" s="1">
        <f t="shared" si="117"/>
        <v>0</v>
      </c>
      <c r="O848" s="6" t="s">
        <v>20</v>
      </c>
      <c r="Q848" s="6" t="s">
        <v>21</v>
      </c>
      <c r="R848" s="6" t="s">
        <v>21</v>
      </c>
      <c r="S848" s="6" t="s">
        <v>21</v>
      </c>
      <c r="T848" s="6" t="s">
        <v>21</v>
      </c>
      <c r="U848" s="6">
        <f t="shared" si="118"/>
        <v>76.862000000000009</v>
      </c>
      <c r="V848" s="6">
        <f t="shared" si="120"/>
        <v>76.862000000000009</v>
      </c>
    </row>
    <row r="849" spans="1:22" hidden="1" x14ac:dyDescent="0.35">
      <c r="A849" s="8" t="s">
        <v>961</v>
      </c>
      <c r="B849" s="8" t="s">
        <v>955</v>
      </c>
      <c r="C849" s="8" t="s">
        <v>956</v>
      </c>
      <c r="D849" s="6">
        <f t="shared" si="121"/>
        <v>0.5</v>
      </c>
      <c r="E849" s="8" t="s">
        <v>19</v>
      </c>
      <c r="F849" s="6" t="str">
        <f>MID(A849,19,1)</f>
        <v>S</v>
      </c>
      <c r="G849" s="8">
        <v>-23.286466768413121</v>
      </c>
      <c r="H849" s="8">
        <v>-46.867567051275223</v>
      </c>
      <c r="I849" s="7">
        <v>2032.81</v>
      </c>
      <c r="J849" s="7"/>
      <c r="K849" s="8">
        <v>10.29</v>
      </c>
      <c r="L849" s="8">
        <v>80</v>
      </c>
      <c r="M849" s="8"/>
      <c r="N849" s="11">
        <f t="shared" si="117"/>
        <v>1626.248</v>
      </c>
      <c r="O849" s="8" t="s">
        <v>25</v>
      </c>
      <c r="P849" s="8"/>
      <c r="Q849" s="8" t="s">
        <v>21</v>
      </c>
      <c r="R849" s="8" t="s">
        <v>21</v>
      </c>
      <c r="S849" s="8" t="s">
        <v>21</v>
      </c>
      <c r="T849" s="8" t="s">
        <v>26</v>
      </c>
      <c r="U849" s="6">
        <f t="shared" si="118"/>
        <v>0</v>
      </c>
    </row>
    <row r="850" spans="1:22" hidden="1" x14ac:dyDescent="0.35">
      <c r="A850" s="6" t="s">
        <v>962</v>
      </c>
      <c r="B850" s="6" t="s">
        <v>955</v>
      </c>
      <c r="C850" s="6" t="s">
        <v>956</v>
      </c>
      <c r="D850" s="6">
        <f t="shared" si="121"/>
        <v>0.5</v>
      </c>
      <c r="E850" s="6" t="s">
        <v>19</v>
      </c>
      <c r="F850" s="6" t="str">
        <f>MID(A850,19,1)</f>
        <v>S</v>
      </c>
      <c r="G850" s="6">
        <v>-23.272953956410479</v>
      </c>
      <c r="H850" s="6">
        <v>-46.854717291205681</v>
      </c>
      <c r="I850" s="9">
        <v>1192.68</v>
      </c>
      <c r="K850" s="6">
        <v>8.6300000000000008</v>
      </c>
      <c r="L850" s="6">
        <v>0</v>
      </c>
      <c r="N850" s="1">
        <f t="shared" si="117"/>
        <v>0</v>
      </c>
      <c r="Q850" s="6" t="s">
        <v>21</v>
      </c>
      <c r="R850" s="6" t="s">
        <v>21</v>
      </c>
      <c r="S850" s="6" t="s">
        <v>21</v>
      </c>
      <c r="T850" s="6" t="s">
        <v>21</v>
      </c>
      <c r="U850" s="6">
        <f t="shared" si="118"/>
        <v>0</v>
      </c>
      <c r="V850" s="6">
        <f t="shared" ref="V850:V862" si="122">(I850*(L850/100))</f>
        <v>0</v>
      </c>
    </row>
    <row r="851" spans="1:22" x14ac:dyDescent="0.35">
      <c r="A851" s="6" t="s">
        <v>963</v>
      </c>
      <c r="B851" s="6" t="s">
        <v>955</v>
      </c>
      <c r="C851" s="6" t="s">
        <v>956</v>
      </c>
      <c r="D851" s="6">
        <f t="shared" si="121"/>
        <v>0.5</v>
      </c>
      <c r="E851" s="6" t="s">
        <v>19</v>
      </c>
      <c r="F851" s="6" t="str">
        <f>MID(A851,19,1)</f>
        <v>N</v>
      </c>
      <c r="G851" s="6">
        <v>-23.286335698761501</v>
      </c>
      <c r="H851" s="6">
        <v>-46.867291817678591</v>
      </c>
      <c r="I851" s="9">
        <v>2091.37</v>
      </c>
      <c r="K851" s="6">
        <v>7.57</v>
      </c>
      <c r="L851" s="6">
        <v>0</v>
      </c>
      <c r="N851" s="1">
        <f t="shared" si="117"/>
        <v>0</v>
      </c>
      <c r="Q851" s="6" t="s">
        <v>21</v>
      </c>
      <c r="R851" s="6" t="s">
        <v>21</v>
      </c>
      <c r="S851" s="6" t="s">
        <v>21</v>
      </c>
      <c r="T851" s="6" t="s">
        <v>21</v>
      </c>
      <c r="U851" s="6">
        <f t="shared" si="118"/>
        <v>0</v>
      </c>
      <c r="V851" s="6">
        <f t="shared" si="122"/>
        <v>0</v>
      </c>
    </row>
    <row r="852" spans="1:22" x14ac:dyDescent="0.35">
      <c r="A852" s="6" t="s">
        <v>964</v>
      </c>
      <c r="B852" s="6" t="s">
        <v>955</v>
      </c>
      <c r="C852" s="6" t="s">
        <v>956</v>
      </c>
      <c r="D852" s="6">
        <f t="shared" si="121"/>
        <v>0.5</v>
      </c>
      <c r="E852" s="6" t="s">
        <v>19</v>
      </c>
      <c r="F852" s="6" t="str">
        <f>MID(A852,19,1)</f>
        <v>N</v>
      </c>
      <c r="G852" s="6">
        <v>-23.290291644051731</v>
      </c>
      <c r="H852" s="6">
        <v>-46.86609287743245</v>
      </c>
      <c r="I852" s="9">
        <v>1865.28</v>
      </c>
      <c r="K852" s="6">
        <v>6.09</v>
      </c>
      <c r="L852" s="6">
        <v>80</v>
      </c>
      <c r="N852" s="1">
        <f t="shared" si="117"/>
        <v>0</v>
      </c>
      <c r="O852" s="6" t="s">
        <v>20</v>
      </c>
      <c r="Q852" s="6" t="s">
        <v>21</v>
      </c>
      <c r="R852" s="6" t="s">
        <v>21</v>
      </c>
      <c r="S852" s="6" t="s">
        <v>21</v>
      </c>
      <c r="T852" s="6" t="s">
        <v>21</v>
      </c>
      <c r="U852" s="6">
        <f t="shared" si="118"/>
        <v>1492.2240000000002</v>
      </c>
      <c r="V852" s="6">
        <f t="shared" si="122"/>
        <v>1492.2240000000002</v>
      </c>
    </row>
    <row r="853" spans="1:22" x14ac:dyDescent="0.35">
      <c r="A853" s="6" t="s">
        <v>965</v>
      </c>
      <c r="B853" s="6" t="s">
        <v>955</v>
      </c>
      <c r="C853" s="6" t="s">
        <v>956</v>
      </c>
      <c r="D853" s="6">
        <f t="shared" si="121"/>
        <v>0.5</v>
      </c>
      <c r="E853" s="6" t="s">
        <v>19</v>
      </c>
      <c r="F853" s="6" t="str">
        <f>MID(A853,19,1)</f>
        <v>N</v>
      </c>
      <c r="G853" s="6">
        <v>-23.27021397696339</v>
      </c>
      <c r="H853" s="6">
        <v>-46.85608031752593</v>
      </c>
      <c r="I853" s="9">
        <v>1957.49</v>
      </c>
      <c r="K853" s="6">
        <v>11.23</v>
      </c>
      <c r="L853" s="6">
        <v>10</v>
      </c>
      <c r="N853" s="1">
        <f t="shared" si="117"/>
        <v>0</v>
      </c>
      <c r="O853" s="6" t="s">
        <v>20</v>
      </c>
      <c r="Q853" s="6" t="s">
        <v>21</v>
      </c>
      <c r="R853" s="6" t="s">
        <v>21</v>
      </c>
      <c r="S853" s="6" t="s">
        <v>21</v>
      </c>
      <c r="T853" s="6" t="s">
        <v>21</v>
      </c>
      <c r="U853" s="6">
        <f t="shared" si="118"/>
        <v>195.74900000000002</v>
      </c>
      <c r="V853" s="6">
        <f t="shared" si="122"/>
        <v>195.74900000000002</v>
      </c>
    </row>
    <row r="854" spans="1:22" hidden="1" x14ac:dyDescent="0.35">
      <c r="A854" s="6" t="s">
        <v>966</v>
      </c>
      <c r="B854" s="6" t="s">
        <v>955</v>
      </c>
      <c r="C854" s="6" t="s">
        <v>956</v>
      </c>
      <c r="D854" s="6">
        <f t="shared" si="121"/>
        <v>0.5</v>
      </c>
      <c r="E854" s="6" t="s">
        <v>23</v>
      </c>
      <c r="F854" s="6" t="str">
        <f>MID(A854,19,1)</f>
        <v>C</v>
      </c>
      <c r="G854" s="6">
        <v>-23.27050275468951</v>
      </c>
      <c r="H854" s="6">
        <v>-46.856286934548137</v>
      </c>
      <c r="I854" s="7">
        <v>7989.71</v>
      </c>
      <c r="J854" s="9">
        <f t="shared" ref="J854:J855" si="123">I854/500</f>
        <v>15.979419999999999</v>
      </c>
      <c r="K854" s="6">
        <v>6.8</v>
      </c>
      <c r="L854" s="6">
        <v>60</v>
      </c>
      <c r="N854" s="1">
        <f t="shared" si="117"/>
        <v>0</v>
      </c>
      <c r="O854" s="6" t="s">
        <v>185</v>
      </c>
      <c r="Q854" s="6" t="s">
        <v>21</v>
      </c>
      <c r="R854" s="6" t="s">
        <v>21</v>
      </c>
      <c r="S854" s="6" t="s">
        <v>21</v>
      </c>
      <c r="T854" s="6" t="s">
        <v>21</v>
      </c>
      <c r="U854" s="6">
        <f t="shared" si="118"/>
        <v>4793.826</v>
      </c>
      <c r="V854" s="6">
        <f t="shared" si="122"/>
        <v>4793.826</v>
      </c>
    </row>
    <row r="855" spans="1:22" hidden="1" x14ac:dyDescent="0.35">
      <c r="A855" s="6" t="s">
        <v>967</v>
      </c>
      <c r="B855" s="6" t="s">
        <v>955</v>
      </c>
      <c r="C855" s="6" t="s">
        <v>956</v>
      </c>
      <c r="D855" s="6">
        <f t="shared" si="121"/>
        <v>0.5</v>
      </c>
      <c r="E855" s="6" t="s">
        <v>23</v>
      </c>
      <c r="F855" s="6" t="str">
        <f>MID(A855,19,1)</f>
        <v>C</v>
      </c>
      <c r="G855" s="6">
        <v>-23.272670371793339</v>
      </c>
      <c r="H855" s="6">
        <v>-46.854477750151332</v>
      </c>
      <c r="I855" s="7">
        <v>1098.25</v>
      </c>
      <c r="J855" s="9">
        <f t="shared" si="123"/>
        <v>2.1964999999999999</v>
      </c>
      <c r="K855" s="6">
        <v>9.9700000000000006</v>
      </c>
      <c r="L855" s="6">
        <v>40</v>
      </c>
      <c r="N855" s="1">
        <f t="shared" si="117"/>
        <v>0</v>
      </c>
      <c r="O855" s="6" t="s">
        <v>185</v>
      </c>
      <c r="Q855" s="6" t="s">
        <v>21</v>
      </c>
      <c r="R855" s="6" t="s">
        <v>21</v>
      </c>
      <c r="S855" s="6" t="s">
        <v>21</v>
      </c>
      <c r="T855" s="6" t="s">
        <v>21</v>
      </c>
      <c r="U855" s="6">
        <f t="shared" si="118"/>
        <v>439.3</v>
      </c>
      <c r="V855" s="6">
        <f t="shared" si="122"/>
        <v>439.3</v>
      </c>
    </row>
    <row r="856" spans="1:22" x14ac:dyDescent="0.35">
      <c r="A856" s="6" t="s">
        <v>968</v>
      </c>
      <c r="B856" s="6" t="s">
        <v>955</v>
      </c>
      <c r="C856" s="6" t="s">
        <v>956</v>
      </c>
      <c r="D856" s="6">
        <f t="shared" si="121"/>
        <v>0.5</v>
      </c>
      <c r="E856" s="6" t="s">
        <v>19</v>
      </c>
      <c r="F856" s="6" t="str">
        <f>MID(A856,19,1)</f>
        <v>N</v>
      </c>
      <c r="G856" s="6">
        <v>-23.27401661338132</v>
      </c>
      <c r="H856" s="6">
        <v>-46.852366141681017</v>
      </c>
      <c r="I856" s="9">
        <v>1548.25</v>
      </c>
      <c r="K856" s="6">
        <v>10.89</v>
      </c>
      <c r="L856" s="6">
        <v>50</v>
      </c>
      <c r="N856" s="1">
        <f t="shared" si="117"/>
        <v>0</v>
      </c>
      <c r="O856" s="6" t="s">
        <v>20</v>
      </c>
      <c r="Q856" s="6" t="s">
        <v>21</v>
      </c>
      <c r="R856" s="6" t="s">
        <v>21</v>
      </c>
      <c r="S856" s="6" t="s">
        <v>21</v>
      </c>
      <c r="T856" s="6" t="s">
        <v>21</v>
      </c>
      <c r="U856" s="6">
        <f t="shared" si="118"/>
        <v>774.125</v>
      </c>
      <c r="V856" s="6">
        <f t="shared" si="122"/>
        <v>774.125</v>
      </c>
    </row>
    <row r="857" spans="1:22" x14ac:dyDescent="0.35">
      <c r="A857" s="6" t="s">
        <v>969</v>
      </c>
      <c r="B857" s="6" t="s">
        <v>955</v>
      </c>
      <c r="C857" s="6" t="s">
        <v>956</v>
      </c>
      <c r="D857" s="6">
        <f t="shared" si="121"/>
        <v>0.5</v>
      </c>
      <c r="E857" s="6" t="s">
        <v>19</v>
      </c>
      <c r="F857" s="6" t="str">
        <f>MID(A857,19,1)</f>
        <v>N</v>
      </c>
      <c r="G857" s="6">
        <v>-23.27239840526472</v>
      </c>
      <c r="H857" s="6">
        <v>-46.854219846788141</v>
      </c>
      <c r="I857" s="9">
        <v>1495.46</v>
      </c>
      <c r="K857" s="6">
        <v>16.13</v>
      </c>
      <c r="L857" s="6">
        <v>0</v>
      </c>
      <c r="N857" s="1">
        <f t="shared" si="117"/>
        <v>0</v>
      </c>
      <c r="Q857" s="6" t="s">
        <v>21</v>
      </c>
      <c r="R857" s="6" t="s">
        <v>21</v>
      </c>
      <c r="S857" s="6" t="s">
        <v>21</v>
      </c>
      <c r="T857" s="6" t="s">
        <v>21</v>
      </c>
      <c r="U857" s="6">
        <f t="shared" si="118"/>
        <v>0</v>
      </c>
      <c r="V857" s="6">
        <f t="shared" si="122"/>
        <v>0</v>
      </c>
    </row>
    <row r="858" spans="1:22" hidden="1" x14ac:dyDescent="0.35">
      <c r="A858" s="6" t="s">
        <v>970</v>
      </c>
      <c r="B858" s="6" t="s">
        <v>955</v>
      </c>
      <c r="C858" s="6" t="s">
        <v>956</v>
      </c>
      <c r="D858" s="6">
        <f t="shared" si="121"/>
        <v>0.5</v>
      </c>
      <c r="E858" s="6" t="s">
        <v>19</v>
      </c>
      <c r="F858" s="6" t="str">
        <f>MID(A858,19,1)</f>
        <v>S</v>
      </c>
      <c r="G858" s="6">
        <v>-23.274474971302261</v>
      </c>
      <c r="H858" s="6">
        <v>-46.852822815190798</v>
      </c>
      <c r="I858" s="9">
        <v>1574.67</v>
      </c>
      <c r="K858" s="6">
        <v>7.94</v>
      </c>
      <c r="L858" s="6">
        <v>0</v>
      </c>
      <c r="N858" s="1">
        <f t="shared" si="117"/>
        <v>0</v>
      </c>
      <c r="Q858" s="6" t="s">
        <v>21</v>
      </c>
      <c r="R858" s="6" t="s">
        <v>21</v>
      </c>
      <c r="S858" s="6" t="s">
        <v>21</v>
      </c>
      <c r="T858" s="6" t="s">
        <v>21</v>
      </c>
      <c r="U858" s="6">
        <f t="shared" si="118"/>
        <v>0</v>
      </c>
      <c r="V858" s="6">
        <f t="shared" si="122"/>
        <v>0</v>
      </c>
    </row>
    <row r="859" spans="1:22" hidden="1" x14ac:dyDescent="0.35">
      <c r="A859" s="6" t="s">
        <v>971</v>
      </c>
      <c r="B859" s="6" t="s">
        <v>955</v>
      </c>
      <c r="C859" s="6" t="s">
        <v>956</v>
      </c>
      <c r="D859" s="6">
        <f t="shared" si="121"/>
        <v>0.5</v>
      </c>
      <c r="E859" s="6" t="s">
        <v>19</v>
      </c>
      <c r="F859" s="6" t="str">
        <f>MID(A859,19,1)</f>
        <v>S</v>
      </c>
      <c r="G859" s="6">
        <v>-23.273232123769681</v>
      </c>
      <c r="H859" s="6">
        <v>-46.854828283055177</v>
      </c>
      <c r="I859" s="9">
        <v>1063.07</v>
      </c>
      <c r="K859" s="6">
        <v>9.08</v>
      </c>
      <c r="L859" s="6">
        <v>0</v>
      </c>
      <c r="N859" s="1">
        <f t="shared" si="117"/>
        <v>0</v>
      </c>
      <c r="Q859" s="6" t="s">
        <v>21</v>
      </c>
      <c r="R859" s="6" t="s">
        <v>21</v>
      </c>
      <c r="S859" s="6" t="s">
        <v>21</v>
      </c>
      <c r="T859" s="6" t="s">
        <v>21</v>
      </c>
      <c r="U859" s="6">
        <f t="shared" si="118"/>
        <v>0</v>
      </c>
      <c r="V859" s="6">
        <f t="shared" si="122"/>
        <v>0</v>
      </c>
    </row>
    <row r="860" spans="1:22" hidden="1" x14ac:dyDescent="0.35">
      <c r="A860" s="6" t="s">
        <v>972</v>
      </c>
      <c r="B860" s="6" t="s">
        <v>955</v>
      </c>
      <c r="C860" s="6" t="s">
        <v>956</v>
      </c>
      <c r="D860" s="6">
        <f t="shared" si="121"/>
        <v>0.5</v>
      </c>
      <c r="E860" s="6" t="s">
        <v>19</v>
      </c>
      <c r="F860" s="6" t="str">
        <f>MID(A860,19,1)</f>
        <v>S</v>
      </c>
      <c r="G860" s="6">
        <v>-23.27294769640714</v>
      </c>
      <c r="H860" s="6">
        <v>-46.855123166168887</v>
      </c>
      <c r="I860" s="9">
        <v>357.87</v>
      </c>
      <c r="K860" s="6">
        <v>5.35</v>
      </c>
      <c r="L860" s="6">
        <v>0</v>
      </c>
      <c r="N860" s="1">
        <f t="shared" si="117"/>
        <v>0</v>
      </c>
      <c r="Q860" s="6" t="s">
        <v>21</v>
      </c>
      <c r="R860" s="6" t="s">
        <v>21</v>
      </c>
      <c r="S860" s="6" t="s">
        <v>21</v>
      </c>
      <c r="T860" s="6" t="s">
        <v>21</v>
      </c>
      <c r="U860" s="6">
        <f t="shared" si="118"/>
        <v>0</v>
      </c>
      <c r="V860" s="6">
        <f t="shared" si="122"/>
        <v>0</v>
      </c>
    </row>
    <row r="861" spans="1:22" hidden="1" x14ac:dyDescent="0.35">
      <c r="A861" s="6" t="s">
        <v>973</v>
      </c>
      <c r="B861" s="6" t="s">
        <v>955</v>
      </c>
      <c r="C861" s="6" t="s">
        <v>956</v>
      </c>
      <c r="D861" s="6">
        <f t="shared" si="121"/>
        <v>0.5</v>
      </c>
      <c r="E861" s="6" t="s">
        <v>19</v>
      </c>
      <c r="F861" s="6" t="str">
        <f>MID(A861,19,1)</f>
        <v>S</v>
      </c>
      <c r="G861" s="6">
        <v>-23.272488787213529</v>
      </c>
      <c r="H861" s="6">
        <v>-46.855207486063193</v>
      </c>
      <c r="I861" s="9">
        <v>1036.0999999999999</v>
      </c>
      <c r="K861" s="6">
        <v>7.04</v>
      </c>
      <c r="L861" s="6">
        <v>0</v>
      </c>
      <c r="N861" s="1">
        <f t="shared" si="117"/>
        <v>0</v>
      </c>
      <c r="Q861" s="6" t="s">
        <v>21</v>
      </c>
      <c r="R861" s="6" t="s">
        <v>21</v>
      </c>
      <c r="S861" s="6" t="s">
        <v>21</v>
      </c>
      <c r="T861" s="6" t="s">
        <v>21</v>
      </c>
      <c r="U861" s="6">
        <f t="shared" si="118"/>
        <v>0</v>
      </c>
      <c r="V861" s="6">
        <f t="shared" si="122"/>
        <v>0</v>
      </c>
    </row>
    <row r="862" spans="1:22" hidden="1" x14ac:dyDescent="0.35">
      <c r="A862" s="6" t="s">
        <v>974</v>
      </c>
      <c r="B862" s="6" t="s">
        <v>955</v>
      </c>
      <c r="C862" s="6" t="s">
        <v>956</v>
      </c>
      <c r="D862" s="6">
        <f t="shared" si="121"/>
        <v>0.5</v>
      </c>
      <c r="E862" s="6" t="s">
        <v>19</v>
      </c>
      <c r="F862" s="6" t="str">
        <f>MID(A862,19,1)</f>
        <v>S</v>
      </c>
      <c r="G862" s="6">
        <v>-23.2727432324142</v>
      </c>
      <c r="H862" s="6">
        <v>-46.855289451119013</v>
      </c>
      <c r="I862" s="9">
        <v>617.89</v>
      </c>
      <c r="K862" s="6">
        <v>5.21</v>
      </c>
      <c r="L862" s="6">
        <v>0</v>
      </c>
      <c r="N862" s="1">
        <f t="shared" si="117"/>
        <v>0</v>
      </c>
      <c r="Q862" s="6" t="s">
        <v>21</v>
      </c>
      <c r="R862" s="6" t="s">
        <v>21</v>
      </c>
      <c r="S862" s="6" t="s">
        <v>21</v>
      </c>
      <c r="T862" s="6" t="s">
        <v>21</v>
      </c>
      <c r="U862" s="6">
        <f t="shared" si="118"/>
        <v>0</v>
      </c>
      <c r="V862" s="6">
        <f t="shared" si="122"/>
        <v>0</v>
      </c>
    </row>
    <row r="863" spans="1:22" x14ac:dyDescent="0.35">
      <c r="A863" s="8" t="s">
        <v>975</v>
      </c>
      <c r="B863" s="8" t="s">
        <v>976</v>
      </c>
      <c r="C863" s="8" t="s">
        <v>977</v>
      </c>
      <c r="D863" s="6">
        <f t="shared" si="121"/>
        <v>0.5</v>
      </c>
      <c r="E863" s="8" t="s">
        <v>19</v>
      </c>
      <c r="F863" s="6" t="str">
        <f>MID(A863,19,1)</f>
        <v>N</v>
      </c>
      <c r="G863" s="8">
        <v>-23.28388579696977</v>
      </c>
      <c r="H863" s="8">
        <v>-46.871202231920059</v>
      </c>
      <c r="I863" s="7">
        <v>1864.29</v>
      </c>
      <c r="J863" s="7"/>
      <c r="K863" s="8">
        <v>8.92</v>
      </c>
      <c r="L863" s="8">
        <v>70</v>
      </c>
      <c r="M863" s="8"/>
      <c r="N863" s="11">
        <f t="shared" si="117"/>
        <v>1305.0029999999999</v>
      </c>
      <c r="O863" s="8" t="s">
        <v>25</v>
      </c>
      <c r="P863" s="8"/>
      <c r="Q863" s="8" t="s">
        <v>21</v>
      </c>
      <c r="R863" s="8" t="s">
        <v>21</v>
      </c>
      <c r="S863" s="8" t="s">
        <v>21</v>
      </c>
      <c r="T863" s="8" t="s">
        <v>26</v>
      </c>
      <c r="U863" s="6">
        <f t="shared" si="118"/>
        <v>0</v>
      </c>
    </row>
    <row r="864" spans="1:22" x14ac:dyDescent="0.35">
      <c r="A864" s="6" t="s">
        <v>978</v>
      </c>
      <c r="B864" s="6" t="s">
        <v>976</v>
      </c>
      <c r="C864" s="6" t="s">
        <v>977</v>
      </c>
      <c r="D864" s="6">
        <f t="shared" si="121"/>
        <v>0.5</v>
      </c>
      <c r="E864" s="6" t="s">
        <v>19</v>
      </c>
      <c r="F864" s="6" t="str">
        <f>MID(A864,19,1)</f>
        <v>N</v>
      </c>
      <c r="G864" s="6">
        <v>-23.279783975019289</v>
      </c>
      <c r="H864" s="6">
        <v>-46.87251279535699</v>
      </c>
      <c r="I864" s="9">
        <v>2321.9299999999998</v>
      </c>
      <c r="K864" s="6">
        <v>9.3699999999999992</v>
      </c>
      <c r="L864" s="6">
        <v>80</v>
      </c>
      <c r="N864" s="1">
        <f t="shared" si="117"/>
        <v>0</v>
      </c>
      <c r="O864" s="6" t="s">
        <v>20</v>
      </c>
      <c r="Q864" s="6" t="s">
        <v>21</v>
      </c>
      <c r="R864" s="6" t="s">
        <v>21</v>
      </c>
      <c r="S864" s="6" t="s">
        <v>21</v>
      </c>
      <c r="T864" s="6" t="s">
        <v>21</v>
      </c>
      <c r="U864" s="6">
        <f t="shared" si="118"/>
        <v>1857.5439999999999</v>
      </c>
      <c r="V864" s="6">
        <f t="shared" ref="V864:V875" si="124">(I864*(L864/100))</f>
        <v>1857.5439999999999</v>
      </c>
    </row>
    <row r="865" spans="1:22" hidden="1" x14ac:dyDescent="0.35">
      <c r="A865" s="6" t="s">
        <v>979</v>
      </c>
      <c r="B865" s="6" t="s">
        <v>976</v>
      </c>
      <c r="C865" s="6" t="s">
        <v>977</v>
      </c>
      <c r="D865" s="6">
        <f t="shared" si="121"/>
        <v>0.5</v>
      </c>
      <c r="E865" s="6" t="s">
        <v>19</v>
      </c>
      <c r="F865" s="6" t="str">
        <f>MID(A865,19,1)</f>
        <v>S</v>
      </c>
      <c r="G865" s="6">
        <v>-23.267360268374262</v>
      </c>
      <c r="H865" s="6">
        <v>-46.859569954617569</v>
      </c>
      <c r="I865" s="9">
        <v>1826.24</v>
      </c>
      <c r="K865" s="6">
        <v>9.98</v>
      </c>
      <c r="L865" s="6">
        <v>30</v>
      </c>
      <c r="N865" s="1">
        <f t="shared" si="117"/>
        <v>0</v>
      </c>
      <c r="O865" s="6" t="s">
        <v>20</v>
      </c>
      <c r="Q865" s="6" t="s">
        <v>21</v>
      </c>
      <c r="R865" s="6" t="s">
        <v>21</v>
      </c>
      <c r="S865" s="6" t="s">
        <v>21</v>
      </c>
      <c r="T865" s="6" t="s">
        <v>21</v>
      </c>
      <c r="U865" s="6">
        <f t="shared" si="118"/>
        <v>547.87199999999996</v>
      </c>
      <c r="V865" s="6">
        <f t="shared" si="124"/>
        <v>547.87199999999996</v>
      </c>
    </row>
    <row r="866" spans="1:22" x14ac:dyDescent="0.35">
      <c r="A866" s="6" t="s">
        <v>980</v>
      </c>
      <c r="B866" s="6" t="s">
        <v>976</v>
      </c>
      <c r="C866" s="6" t="s">
        <v>977</v>
      </c>
      <c r="D866" s="6">
        <f t="shared" si="121"/>
        <v>0.5</v>
      </c>
      <c r="E866" s="6" t="s">
        <v>19</v>
      </c>
      <c r="F866" s="6" t="str">
        <f>MID(A866,19,1)</f>
        <v>N</v>
      </c>
      <c r="G866" s="6">
        <v>-23.266898185470328</v>
      </c>
      <c r="H866" s="6">
        <v>-46.859035221866648</v>
      </c>
      <c r="I866" s="9">
        <v>1878.73</v>
      </c>
      <c r="K866" s="6">
        <v>3.46</v>
      </c>
      <c r="L866" s="6">
        <v>10</v>
      </c>
      <c r="N866" s="1">
        <f t="shared" si="117"/>
        <v>0</v>
      </c>
      <c r="O866" s="6" t="s">
        <v>20</v>
      </c>
      <c r="Q866" s="6" t="s">
        <v>21</v>
      </c>
      <c r="R866" s="6" t="s">
        <v>21</v>
      </c>
      <c r="S866" s="6" t="s">
        <v>21</v>
      </c>
      <c r="T866" s="6" t="s">
        <v>21</v>
      </c>
      <c r="U866" s="6">
        <f t="shared" si="118"/>
        <v>187.87300000000002</v>
      </c>
      <c r="V866" s="6">
        <f t="shared" si="124"/>
        <v>187.87300000000002</v>
      </c>
    </row>
    <row r="867" spans="1:22" hidden="1" x14ac:dyDescent="0.35">
      <c r="A867" s="6" t="s">
        <v>981</v>
      </c>
      <c r="B867" s="6" t="s">
        <v>976</v>
      </c>
      <c r="C867" s="6" t="s">
        <v>977</v>
      </c>
      <c r="D867" s="6">
        <f t="shared" si="121"/>
        <v>0.5</v>
      </c>
      <c r="E867" s="6" t="s">
        <v>19</v>
      </c>
      <c r="F867" s="6" t="str">
        <f>MID(A867,19,1)</f>
        <v>S</v>
      </c>
      <c r="G867" s="6">
        <v>-23.264828536347821</v>
      </c>
      <c r="H867" s="6">
        <v>-46.865663363443389</v>
      </c>
      <c r="I867" s="9">
        <v>1298.53</v>
      </c>
      <c r="K867" s="6">
        <v>16.850000000000001</v>
      </c>
      <c r="L867" s="6">
        <v>30</v>
      </c>
      <c r="N867" s="1">
        <f t="shared" si="117"/>
        <v>0</v>
      </c>
      <c r="O867" s="6" t="s">
        <v>20</v>
      </c>
      <c r="Q867" s="6" t="s">
        <v>21</v>
      </c>
      <c r="R867" s="6" t="s">
        <v>21</v>
      </c>
      <c r="S867" s="6" t="s">
        <v>21</v>
      </c>
      <c r="T867" s="6" t="s">
        <v>21</v>
      </c>
      <c r="U867" s="6">
        <f t="shared" si="118"/>
        <v>389.55899999999997</v>
      </c>
      <c r="V867" s="6">
        <f t="shared" si="124"/>
        <v>389.55899999999997</v>
      </c>
    </row>
    <row r="868" spans="1:22" x14ac:dyDescent="0.35">
      <c r="A868" s="6" t="s">
        <v>982</v>
      </c>
      <c r="B868" s="6" t="s">
        <v>976</v>
      </c>
      <c r="C868" s="6" t="s">
        <v>977</v>
      </c>
      <c r="D868" s="6">
        <f t="shared" si="121"/>
        <v>0.5</v>
      </c>
      <c r="E868" s="6" t="s">
        <v>19</v>
      </c>
      <c r="F868" s="6" t="str">
        <f>MID(A868,19,1)</f>
        <v>N</v>
      </c>
      <c r="G868" s="6">
        <v>-23.263941752765142</v>
      </c>
      <c r="H868" s="6">
        <v>-46.863080753367939</v>
      </c>
      <c r="I868" s="9">
        <v>2352.15</v>
      </c>
      <c r="K868" s="6">
        <v>5.85</v>
      </c>
      <c r="L868" s="6">
        <v>0</v>
      </c>
      <c r="N868" s="1">
        <f t="shared" si="117"/>
        <v>0</v>
      </c>
      <c r="Q868" s="6" t="s">
        <v>21</v>
      </c>
      <c r="R868" s="6" t="s">
        <v>21</v>
      </c>
      <c r="S868" s="6" t="s">
        <v>21</v>
      </c>
      <c r="T868" s="6" t="s">
        <v>21</v>
      </c>
      <c r="U868" s="6">
        <f t="shared" si="118"/>
        <v>0</v>
      </c>
      <c r="V868" s="6">
        <f t="shared" si="124"/>
        <v>0</v>
      </c>
    </row>
    <row r="869" spans="1:22" hidden="1" x14ac:dyDescent="0.35">
      <c r="A869" s="6" t="s">
        <v>983</v>
      </c>
      <c r="B869" s="6" t="s">
        <v>976</v>
      </c>
      <c r="C869" s="6" t="s">
        <v>977</v>
      </c>
      <c r="D869" s="6">
        <f t="shared" si="121"/>
        <v>0.5</v>
      </c>
      <c r="E869" s="6" t="s">
        <v>19</v>
      </c>
      <c r="F869" s="6" t="str">
        <f>MID(A869,19,1)</f>
        <v>S</v>
      </c>
      <c r="G869" s="6">
        <v>-23.2654041888979</v>
      </c>
      <c r="H869" s="6">
        <v>-46.866996857579153</v>
      </c>
      <c r="I869" s="9">
        <v>0.04</v>
      </c>
      <c r="K869" s="6">
        <v>17.32</v>
      </c>
      <c r="N869" s="1">
        <f t="shared" si="117"/>
        <v>0</v>
      </c>
      <c r="Q869" s="6" t="s">
        <v>21</v>
      </c>
      <c r="R869" s="6" t="s">
        <v>21</v>
      </c>
      <c r="S869" s="6" t="s">
        <v>21</v>
      </c>
      <c r="T869" s="6" t="s">
        <v>21</v>
      </c>
      <c r="U869" s="6">
        <f t="shared" si="118"/>
        <v>0</v>
      </c>
      <c r="V869" s="6">
        <f t="shared" si="124"/>
        <v>0</v>
      </c>
    </row>
    <row r="870" spans="1:22" hidden="1" x14ac:dyDescent="0.35">
      <c r="A870" s="6" t="s">
        <v>984</v>
      </c>
      <c r="B870" s="6" t="s">
        <v>976</v>
      </c>
      <c r="C870" s="6" t="s">
        <v>977</v>
      </c>
      <c r="D870" s="6">
        <f t="shared" si="121"/>
        <v>0.5</v>
      </c>
      <c r="E870" s="6" t="s">
        <v>19</v>
      </c>
      <c r="F870" s="6" t="str">
        <f>MID(A870,19,1)</f>
        <v>S</v>
      </c>
      <c r="G870" s="6">
        <v>-23.284066226833531</v>
      </c>
      <c r="H870" s="6">
        <v>-46.871494882275023</v>
      </c>
      <c r="I870" s="9">
        <v>1790.25</v>
      </c>
      <c r="K870" s="6">
        <v>5.89</v>
      </c>
      <c r="L870" s="6">
        <v>10</v>
      </c>
      <c r="N870" s="1">
        <f t="shared" si="117"/>
        <v>0</v>
      </c>
      <c r="O870" s="6" t="s">
        <v>20</v>
      </c>
      <c r="Q870" s="6" t="s">
        <v>21</v>
      </c>
      <c r="R870" s="6" t="s">
        <v>21</v>
      </c>
      <c r="S870" s="6" t="s">
        <v>21</v>
      </c>
      <c r="T870" s="6" t="s">
        <v>21</v>
      </c>
      <c r="U870" s="6">
        <f t="shared" si="118"/>
        <v>179.02500000000001</v>
      </c>
      <c r="V870" s="6">
        <f t="shared" si="124"/>
        <v>179.02500000000001</v>
      </c>
    </row>
    <row r="871" spans="1:22" hidden="1" x14ac:dyDescent="0.35">
      <c r="A871" s="6" t="s">
        <v>985</v>
      </c>
      <c r="B871" s="6" t="s">
        <v>976</v>
      </c>
      <c r="C871" s="6" t="s">
        <v>977</v>
      </c>
      <c r="D871" s="6">
        <f t="shared" si="121"/>
        <v>0.5</v>
      </c>
      <c r="E871" s="6" t="s">
        <v>23</v>
      </c>
      <c r="F871" s="6" t="str">
        <f>MID(A871,19,1)</f>
        <v>C</v>
      </c>
      <c r="G871" s="6">
        <v>-23.26709060928961</v>
      </c>
      <c r="H871" s="6">
        <v>-46.8593759352433</v>
      </c>
      <c r="I871" s="7">
        <v>8488.77</v>
      </c>
      <c r="J871" s="9">
        <f>I871/500</f>
        <v>16.977540000000001</v>
      </c>
      <c r="K871" s="6">
        <v>4.93</v>
      </c>
      <c r="L871" s="6">
        <v>60</v>
      </c>
      <c r="N871" s="1">
        <f t="shared" si="117"/>
        <v>0</v>
      </c>
      <c r="O871" s="6" t="s">
        <v>185</v>
      </c>
      <c r="Q871" s="6" t="s">
        <v>21</v>
      </c>
      <c r="R871" s="6" t="s">
        <v>21</v>
      </c>
      <c r="S871" s="6" t="s">
        <v>21</v>
      </c>
      <c r="T871" s="6" t="s">
        <v>21</v>
      </c>
      <c r="U871" s="6">
        <f t="shared" si="118"/>
        <v>5093.2619999999997</v>
      </c>
      <c r="V871" s="6">
        <f t="shared" si="124"/>
        <v>5093.2619999999997</v>
      </c>
    </row>
    <row r="872" spans="1:22" hidden="1" x14ac:dyDescent="0.35">
      <c r="A872" s="6" t="s">
        <v>986</v>
      </c>
      <c r="B872" s="6" t="s">
        <v>976</v>
      </c>
      <c r="C872" s="6" t="s">
        <v>977</v>
      </c>
      <c r="D872" s="6">
        <f t="shared" si="121"/>
        <v>0.5</v>
      </c>
      <c r="E872" s="6" t="s">
        <v>19</v>
      </c>
      <c r="F872" s="6" t="str">
        <f>MID(A872,19,1)</f>
        <v>S</v>
      </c>
      <c r="G872" s="6">
        <v>-23.264416917507749</v>
      </c>
      <c r="H872" s="6">
        <v>-46.86528021922409</v>
      </c>
      <c r="I872" s="9">
        <v>30232.18</v>
      </c>
      <c r="K872" s="6">
        <v>8.44</v>
      </c>
      <c r="L872" s="6">
        <v>30</v>
      </c>
      <c r="N872" s="1">
        <f t="shared" si="117"/>
        <v>0</v>
      </c>
      <c r="O872" s="6" t="s">
        <v>20</v>
      </c>
      <c r="Q872" s="6" t="s">
        <v>21</v>
      </c>
      <c r="R872" s="6" t="s">
        <v>21</v>
      </c>
      <c r="S872" s="6" t="s">
        <v>21</v>
      </c>
      <c r="T872" s="6" t="s">
        <v>21</v>
      </c>
      <c r="U872" s="6">
        <f t="shared" si="118"/>
        <v>9069.6540000000005</v>
      </c>
      <c r="V872" s="6">
        <f t="shared" si="124"/>
        <v>9069.6540000000005</v>
      </c>
    </row>
    <row r="873" spans="1:22" hidden="1" x14ac:dyDescent="0.35">
      <c r="A873" s="6" t="s">
        <v>987</v>
      </c>
      <c r="B873" s="6" t="s">
        <v>976</v>
      </c>
      <c r="C873" s="6" t="s">
        <v>977</v>
      </c>
      <c r="D873" s="6">
        <f t="shared" si="121"/>
        <v>0.5</v>
      </c>
      <c r="E873" s="6" t="s">
        <v>23</v>
      </c>
      <c r="F873" s="6" t="str">
        <f>MID(A873,19,1)</f>
        <v>C</v>
      </c>
      <c r="G873" s="6">
        <v>-23.26423743182027</v>
      </c>
      <c r="H873" s="6">
        <v>-46.863633753645907</v>
      </c>
      <c r="I873" s="7">
        <v>14402.04</v>
      </c>
      <c r="J873" s="9">
        <f>I873/500</f>
        <v>28.804080000000003</v>
      </c>
      <c r="K873" s="6">
        <v>5.21</v>
      </c>
      <c r="L873" s="6">
        <v>70</v>
      </c>
      <c r="N873" s="1">
        <f t="shared" si="117"/>
        <v>0</v>
      </c>
      <c r="O873" s="6" t="s">
        <v>185</v>
      </c>
      <c r="Q873" s="6" t="s">
        <v>21</v>
      </c>
      <c r="R873" s="6" t="s">
        <v>21</v>
      </c>
      <c r="S873" s="6" t="s">
        <v>21</v>
      </c>
      <c r="T873" s="6" t="s">
        <v>21</v>
      </c>
      <c r="U873" s="6">
        <f t="shared" si="118"/>
        <v>10081.428</v>
      </c>
      <c r="V873" s="6">
        <f t="shared" si="124"/>
        <v>10081.428</v>
      </c>
    </row>
    <row r="874" spans="1:22" hidden="1" x14ac:dyDescent="0.35">
      <c r="A874" s="6" t="s">
        <v>988</v>
      </c>
      <c r="B874" s="6" t="s">
        <v>976</v>
      </c>
      <c r="C874" s="6" t="s">
        <v>977</v>
      </c>
      <c r="D874" s="6">
        <f t="shared" si="121"/>
        <v>0.5</v>
      </c>
      <c r="E874" s="6" t="s">
        <v>19</v>
      </c>
      <c r="F874" s="6" t="str">
        <f>MID(A874,19,1)</f>
        <v>S</v>
      </c>
      <c r="G874" s="6">
        <v>-23.285253435655111</v>
      </c>
      <c r="H874" s="6">
        <v>-46.86965822445017</v>
      </c>
      <c r="I874" s="9">
        <v>299.64</v>
      </c>
      <c r="K874" s="6">
        <v>6.32</v>
      </c>
      <c r="L874" s="6">
        <v>10</v>
      </c>
      <c r="N874" s="1">
        <f t="shared" si="117"/>
        <v>0</v>
      </c>
      <c r="O874" s="6" t="s">
        <v>20</v>
      </c>
      <c r="Q874" s="6" t="s">
        <v>21</v>
      </c>
      <c r="R874" s="6" t="s">
        <v>21</v>
      </c>
      <c r="S874" s="6" t="s">
        <v>21</v>
      </c>
      <c r="T874" s="6" t="s">
        <v>21</v>
      </c>
      <c r="U874" s="6">
        <f t="shared" si="118"/>
        <v>29.963999999999999</v>
      </c>
      <c r="V874" s="6">
        <f t="shared" si="124"/>
        <v>29.963999999999999</v>
      </c>
    </row>
    <row r="875" spans="1:22" x14ac:dyDescent="0.35">
      <c r="A875" s="6" t="s">
        <v>989</v>
      </c>
      <c r="B875" s="6" t="s">
        <v>976</v>
      </c>
      <c r="C875" s="6" t="s">
        <v>977</v>
      </c>
      <c r="D875" s="6">
        <f t="shared" si="121"/>
        <v>0.5</v>
      </c>
      <c r="E875" s="6" t="s">
        <v>19</v>
      </c>
      <c r="F875" s="6" t="str">
        <f>MID(A875,19,1)</f>
        <v>N</v>
      </c>
      <c r="G875" s="6">
        <v>-23.26290458719664</v>
      </c>
      <c r="H875" s="6">
        <v>-46.864832944438298</v>
      </c>
      <c r="I875" s="9">
        <v>7437.43</v>
      </c>
      <c r="K875" s="6">
        <v>5.03</v>
      </c>
      <c r="L875" s="6">
        <v>0</v>
      </c>
      <c r="N875" s="1">
        <f t="shared" si="117"/>
        <v>0</v>
      </c>
      <c r="Q875" s="6" t="s">
        <v>21</v>
      </c>
      <c r="R875" s="6" t="s">
        <v>21</v>
      </c>
      <c r="S875" s="6" t="s">
        <v>21</v>
      </c>
      <c r="T875" s="6" t="s">
        <v>21</v>
      </c>
      <c r="U875" s="6">
        <f t="shared" si="118"/>
        <v>0</v>
      </c>
      <c r="V875" s="6">
        <f t="shared" si="124"/>
        <v>0</v>
      </c>
    </row>
    <row r="876" spans="1:22" hidden="1" x14ac:dyDescent="0.35">
      <c r="A876" s="8" t="s">
        <v>990</v>
      </c>
      <c r="B876" s="8" t="s">
        <v>976</v>
      </c>
      <c r="C876" s="8" t="s">
        <v>977</v>
      </c>
      <c r="D876" s="6">
        <f t="shared" si="121"/>
        <v>0.5</v>
      </c>
      <c r="E876" s="8" t="s">
        <v>19</v>
      </c>
      <c r="F876" s="6" t="str">
        <f>MID(A876,19,1)</f>
        <v>S</v>
      </c>
      <c r="G876" s="8">
        <v>-23.279855690163561</v>
      </c>
      <c r="H876" s="8">
        <v>-46.872805806641203</v>
      </c>
      <c r="I876" s="7">
        <v>2471.69</v>
      </c>
      <c r="J876" s="7"/>
      <c r="K876" s="8">
        <v>6.92</v>
      </c>
      <c r="L876" s="8">
        <v>70</v>
      </c>
      <c r="M876" s="8"/>
      <c r="N876" s="11">
        <f t="shared" si="117"/>
        <v>1730.183</v>
      </c>
      <c r="O876" s="8" t="s">
        <v>25</v>
      </c>
      <c r="P876" s="8"/>
      <c r="Q876" s="8" t="s">
        <v>21</v>
      </c>
      <c r="R876" s="8" t="s">
        <v>21</v>
      </c>
      <c r="S876" s="8" t="s">
        <v>21</v>
      </c>
      <c r="T876" s="8" t="s">
        <v>26</v>
      </c>
      <c r="U876" s="6">
        <f t="shared" si="118"/>
        <v>0</v>
      </c>
    </row>
    <row r="877" spans="1:22" hidden="1" x14ac:dyDescent="0.35">
      <c r="A877" s="6" t="s">
        <v>991</v>
      </c>
      <c r="B877" s="6" t="s">
        <v>976</v>
      </c>
      <c r="C877" s="6" t="s">
        <v>977</v>
      </c>
      <c r="D877" s="6">
        <f t="shared" si="121"/>
        <v>0.5</v>
      </c>
      <c r="E877" s="6" t="s">
        <v>19</v>
      </c>
      <c r="F877" s="6" t="str">
        <f>MID(A877,19,1)</f>
        <v>S</v>
      </c>
      <c r="G877" s="6">
        <v>-23.26347662938424</v>
      </c>
      <c r="H877" s="6">
        <v>-46.865442990308601</v>
      </c>
      <c r="I877" s="9">
        <v>3802.22</v>
      </c>
      <c r="K877" s="6">
        <v>5.84</v>
      </c>
      <c r="L877" s="6">
        <v>30</v>
      </c>
      <c r="N877" s="1">
        <f t="shared" si="117"/>
        <v>0</v>
      </c>
      <c r="O877" s="6" t="s">
        <v>20</v>
      </c>
      <c r="Q877" s="6" t="s">
        <v>21</v>
      </c>
      <c r="R877" s="6" t="s">
        <v>21</v>
      </c>
      <c r="S877" s="6" t="s">
        <v>21</v>
      </c>
      <c r="T877" s="6" t="s">
        <v>21</v>
      </c>
      <c r="U877" s="6">
        <f t="shared" si="118"/>
        <v>1140.6659999999999</v>
      </c>
      <c r="V877" s="6">
        <f t="shared" ref="V877:V898" si="125">(I877*(L877/100))</f>
        <v>1140.6659999999999</v>
      </c>
    </row>
    <row r="878" spans="1:22" x14ac:dyDescent="0.35">
      <c r="A878" s="6" t="s">
        <v>992</v>
      </c>
      <c r="B878" s="6" t="s">
        <v>993</v>
      </c>
      <c r="C878" s="6" t="s">
        <v>994</v>
      </c>
      <c r="D878" s="6">
        <f t="shared" si="121"/>
        <v>0.5</v>
      </c>
      <c r="E878" s="6" t="s">
        <v>19</v>
      </c>
      <c r="F878" s="6" t="str">
        <f>MID(A878,19,1)</f>
        <v>N</v>
      </c>
      <c r="G878" s="6">
        <v>-23.258226094585439</v>
      </c>
      <c r="H878" s="6">
        <v>-46.867425813147968</v>
      </c>
      <c r="I878" s="9">
        <v>1084.75</v>
      </c>
      <c r="K878" s="6">
        <v>4.28</v>
      </c>
      <c r="L878" s="6">
        <v>0</v>
      </c>
      <c r="N878" s="1">
        <f t="shared" si="117"/>
        <v>0</v>
      </c>
      <c r="Q878" s="6" t="s">
        <v>21</v>
      </c>
      <c r="R878" s="6" t="s">
        <v>21</v>
      </c>
      <c r="S878" s="6" t="s">
        <v>21</v>
      </c>
      <c r="T878" s="6" t="s">
        <v>21</v>
      </c>
      <c r="U878" s="6">
        <f t="shared" si="118"/>
        <v>0</v>
      </c>
      <c r="V878" s="6">
        <f t="shared" si="125"/>
        <v>0</v>
      </c>
    </row>
    <row r="879" spans="1:22" hidden="1" x14ac:dyDescent="0.35">
      <c r="A879" s="6" t="s">
        <v>995</v>
      </c>
      <c r="B879" s="6" t="s">
        <v>993</v>
      </c>
      <c r="C879" s="6" t="s">
        <v>994</v>
      </c>
      <c r="D879" s="6">
        <f t="shared" si="121"/>
        <v>0.5</v>
      </c>
      <c r="E879" s="6" t="s">
        <v>23</v>
      </c>
      <c r="F879" s="6" t="str">
        <f>MID(A879,19,1)</f>
        <v>C</v>
      </c>
      <c r="G879" s="6">
        <v>-23.262536527866128</v>
      </c>
      <c r="H879" s="6">
        <v>-46.866076579301087</v>
      </c>
      <c r="I879" s="7">
        <v>696.03</v>
      </c>
      <c r="J879" s="9">
        <f>I879/500</f>
        <v>1.3920599999999999</v>
      </c>
      <c r="K879" s="6">
        <v>4.07</v>
      </c>
      <c r="L879" s="6">
        <v>70</v>
      </c>
      <c r="N879" s="1">
        <f t="shared" si="117"/>
        <v>0</v>
      </c>
      <c r="O879" s="6" t="s">
        <v>185</v>
      </c>
      <c r="Q879" s="6" t="s">
        <v>21</v>
      </c>
      <c r="R879" s="6" t="s">
        <v>21</v>
      </c>
      <c r="S879" s="6" t="s">
        <v>21</v>
      </c>
      <c r="T879" s="6" t="s">
        <v>21</v>
      </c>
      <c r="U879" s="6">
        <f t="shared" si="118"/>
        <v>487.22099999999995</v>
      </c>
      <c r="V879" s="6">
        <f t="shared" si="125"/>
        <v>487.22099999999995</v>
      </c>
    </row>
    <row r="880" spans="1:22" hidden="1" x14ac:dyDescent="0.35">
      <c r="A880" s="6" t="s">
        <v>996</v>
      </c>
      <c r="B880" s="6" t="s">
        <v>993</v>
      </c>
      <c r="C880" s="6" t="s">
        <v>994</v>
      </c>
      <c r="D880" s="6">
        <f t="shared" si="121"/>
        <v>0.5</v>
      </c>
      <c r="E880" s="6" t="s">
        <v>19</v>
      </c>
      <c r="F880" s="6" t="str">
        <f>MID(A880,19,1)</f>
        <v>S</v>
      </c>
      <c r="G880" s="6">
        <v>-23.26144576278573</v>
      </c>
      <c r="H880" s="6">
        <v>-46.867118110150642</v>
      </c>
      <c r="I880" s="9">
        <v>6133.83</v>
      </c>
      <c r="K880" s="6">
        <v>4</v>
      </c>
      <c r="L880" s="6">
        <v>70</v>
      </c>
      <c r="N880" s="1">
        <f t="shared" si="117"/>
        <v>0</v>
      </c>
      <c r="O880" s="6" t="s">
        <v>185</v>
      </c>
      <c r="Q880" s="6" t="s">
        <v>21</v>
      </c>
      <c r="R880" s="6" t="s">
        <v>21</v>
      </c>
      <c r="S880" s="6" t="s">
        <v>21</v>
      </c>
      <c r="T880" s="6" t="s">
        <v>21</v>
      </c>
      <c r="U880" s="6">
        <f t="shared" si="118"/>
        <v>4293.6809999999996</v>
      </c>
      <c r="V880" s="6">
        <f t="shared" si="125"/>
        <v>4293.6809999999996</v>
      </c>
    </row>
    <row r="881" spans="1:22" x14ac:dyDescent="0.35">
      <c r="A881" s="6" t="s">
        <v>997</v>
      </c>
      <c r="B881" s="6" t="s">
        <v>993</v>
      </c>
      <c r="C881" s="6" t="s">
        <v>994</v>
      </c>
      <c r="D881" s="6">
        <f t="shared" si="121"/>
        <v>0.5</v>
      </c>
      <c r="E881" s="6" t="s">
        <v>19</v>
      </c>
      <c r="F881" s="6" t="str">
        <f>MID(A881,19,1)</f>
        <v>N</v>
      </c>
      <c r="G881" s="6">
        <v>-23.259287869551581</v>
      </c>
      <c r="H881" s="6">
        <v>-46.86607616504579</v>
      </c>
      <c r="I881" s="9">
        <v>2653.93</v>
      </c>
      <c r="K881" s="6">
        <v>3.26</v>
      </c>
      <c r="L881" s="6">
        <v>0</v>
      </c>
      <c r="N881" s="1">
        <f t="shared" si="117"/>
        <v>0</v>
      </c>
      <c r="Q881" s="6" t="s">
        <v>21</v>
      </c>
      <c r="R881" s="6" t="s">
        <v>21</v>
      </c>
      <c r="S881" s="6" t="s">
        <v>21</v>
      </c>
      <c r="T881" s="6" t="s">
        <v>21</v>
      </c>
      <c r="U881" s="6">
        <f t="shared" si="118"/>
        <v>0</v>
      </c>
      <c r="V881" s="6">
        <f t="shared" si="125"/>
        <v>0</v>
      </c>
    </row>
    <row r="882" spans="1:22" hidden="1" x14ac:dyDescent="0.35">
      <c r="A882" s="6" t="s">
        <v>998</v>
      </c>
      <c r="B882" s="6" t="s">
        <v>993</v>
      </c>
      <c r="C882" s="6" t="s">
        <v>994</v>
      </c>
      <c r="D882" s="6">
        <f t="shared" si="121"/>
        <v>0.5</v>
      </c>
      <c r="E882" s="6" t="s">
        <v>23</v>
      </c>
      <c r="F882" s="6" t="str">
        <f>MID(A882,19,1)</f>
        <v>C</v>
      </c>
      <c r="G882" s="6">
        <v>-23.25776330105348</v>
      </c>
      <c r="H882" s="6">
        <v>-46.868255001155909</v>
      </c>
      <c r="I882" s="7">
        <v>14703.86</v>
      </c>
      <c r="J882" s="9">
        <f>I882/500</f>
        <v>29.407720000000001</v>
      </c>
      <c r="K882" s="6">
        <v>8.06</v>
      </c>
      <c r="L882" s="6">
        <v>80</v>
      </c>
      <c r="N882" s="1">
        <f t="shared" si="117"/>
        <v>0</v>
      </c>
      <c r="O882" s="6" t="s">
        <v>20</v>
      </c>
      <c r="Q882" s="6" t="s">
        <v>21</v>
      </c>
      <c r="R882" s="6" t="s">
        <v>21</v>
      </c>
      <c r="S882" s="6" t="s">
        <v>21</v>
      </c>
      <c r="T882" s="6" t="s">
        <v>21</v>
      </c>
      <c r="U882" s="6">
        <f t="shared" si="118"/>
        <v>11763.088000000002</v>
      </c>
      <c r="V882" s="6">
        <f t="shared" si="125"/>
        <v>11763.088000000002</v>
      </c>
    </row>
    <row r="883" spans="1:22" hidden="1" x14ac:dyDescent="0.35">
      <c r="A883" s="6" t="s">
        <v>999</v>
      </c>
      <c r="B883" s="6" t="s">
        <v>993</v>
      </c>
      <c r="C883" s="6" t="s">
        <v>994</v>
      </c>
      <c r="D883" s="6">
        <f t="shared" si="121"/>
        <v>0.5</v>
      </c>
      <c r="E883" s="6" t="s">
        <v>19</v>
      </c>
      <c r="F883" s="6" t="str">
        <f>MID(A883,19,1)</f>
        <v>S</v>
      </c>
      <c r="G883" s="6">
        <v>-23.259807467046709</v>
      </c>
      <c r="H883" s="6">
        <v>-46.868699711864402</v>
      </c>
      <c r="I883" s="9">
        <v>542.04999999999995</v>
      </c>
      <c r="K883" s="6">
        <v>9.1999999999999993</v>
      </c>
      <c r="L883" s="6">
        <v>30</v>
      </c>
      <c r="N883" s="1">
        <f t="shared" si="117"/>
        <v>0</v>
      </c>
      <c r="O883" s="6" t="s">
        <v>20</v>
      </c>
      <c r="Q883" s="6" t="s">
        <v>21</v>
      </c>
      <c r="R883" s="6" t="s">
        <v>21</v>
      </c>
      <c r="S883" s="6" t="s">
        <v>21</v>
      </c>
      <c r="T883" s="6" t="s">
        <v>21</v>
      </c>
      <c r="U883" s="6">
        <f t="shared" si="118"/>
        <v>162.61499999999998</v>
      </c>
      <c r="V883" s="6">
        <f t="shared" si="125"/>
        <v>162.61499999999998</v>
      </c>
    </row>
    <row r="884" spans="1:22" hidden="1" x14ac:dyDescent="0.35">
      <c r="A884" s="6" t="s">
        <v>1000</v>
      </c>
      <c r="B884" s="6" t="s">
        <v>993</v>
      </c>
      <c r="C884" s="6" t="s">
        <v>994</v>
      </c>
      <c r="D884" s="6">
        <f t="shared" si="121"/>
        <v>0.5</v>
      </c>
      <c r="E884" s="6" t="s">
        <v>19</v>
      </c>
      <c r="F884" s="6" t="str">
        <f>MID(A884,19,1)</f>
        <v>S</v>
      </c>
      <c r="G884" s="6">
        <v>-23.261842876332569</v>
      </c>
      <c r="H884" s="6">
        <v>-46.867697327414128</v>
      </c>
      <c r="I884" s="9">
        <v>12348.86</v>
      </c>
      <c r="K884" s="6">
        <v>5.75</v>
      </c>
      <c r="L884" s="6">
        <v>30</v>
      </c>
      <c r="N884" s="1">
        <f t="shared" si="117"/>
        <v>0</v>
      </c>
      <c r="O884" s="6" t="s">
        <v>20</v>
      </c>
      <c r="Q884" s="6" t="s">
        <v>21</v>
      </c>
      <c r="R884" s="6" t="s">
        <v>21</v>
      </c>
      <c r="S884" s="6" t="s">
        <v>21</v>
      </c>
      <c r="T884" s="6" t="s">
        <v>21</v>
      </c>
      <c r="U884" s="6">
        <f t="shared" si="118"/>
        <v>3704.6579999999999</v>
      </c>
      <c r="V884" s="6">
        <f t="shared" si="125"/>
        <v>3704.6579999999999</v>
      </c>
    </row>
    <row r="885" spans="1:22" hidden="1" x14ac:dyDescent="0.35">
      <c r="A885" s="6" t="s">
        <v>1001</v>
      </c>
      <c r="B885" s="6" t="s">
        <v>993</v>
      </c>
      <c r="C885" s="6" t="s">
        <v>994</v>
      </c>
      <c r="D885" s="6">
        <f t="shared" si="121"/>
        <v>0.5</v>
      </c>
      <c r="E885" s="6" t="s">
        <v>19</v>
      </c>
      <c r="F885" s="6" t="str">
        <f>MID(A885,19,1)</f>
        <v>S</v>
      </c>
      <c r="G885" s="6">
        <v>-23.276639084193739</v>
      </c>
      <c r="H885" s="6">
        <v>-46.871966620122564</v>
      </c>
      <c r="I885" s="9">
        <v>536.75</v>
      </c>
      <c r="K885" s="6">
        <v>4.33</v>
      </c>
      <c r="L885" s="6">
        <v>0</v>
      </c>
      <c r="N885" s="1">
        <f t="shared" si="117"/>
        <v>0</v>
      </c>
      <c r="Q885" s="6" t="s">
        <v>21</v>
      </c>
      <c r="R885" s="6" t="s">
        <v>21</v>
      </c>
      <c r="S885" s="6" t="s">
        <v>21</v>
      </c>
      <c r="T885" s="6" t="s">
        <v>21</v>
      </c>
      <c r="U885" s="6">
        <f t="shared" si="118"/>
        <v>0</v>
      </c>
      <c r="V885" s="6">
        <f t="shared" si="125"/>
        <v>0</v>
      </c>
    </row>
    <row r="886" spans="1:22" hidden="1" x14ac:dyDescent="0.35">
      <c r="A886" s="6" t="s">
        <v>1002</v>
      </c>
      <c r="B886" s="6" t="s">
        <v>993</v>
      </c>
      <c r="C886" s="6" t="s">
        <v>994</v>
      </c>
      <c r="D886" s="6">
        <f t="shared" si="121"/>
        <v>0.5</v>
      </c>
      <c r="E886" s="6" t="s">
        <v>23</v>
      </c>
      <c r="F886" s="6" t="str">
        <f>MID(A886,19,1)</f>
        <v>C</v>
      </c>
      <c r="G886" s="6">
        <v>-23.262700914987729</v>
      </c>
      <c r="H886" s="6">
        <v>-46.866035296217653</v>
      </c>
      <c r="I886" s="7">
        <v>48.43</v>
      </c>
      <c r="J886" s="9">
        <f>I886/500</f>
        <v>9.6860000000000002E-2</v>
      </c>
      <c r="K886" s="6">
        <v>2.82</v>
      </c>
      <c r="L886" s="6">
        <v>30</v>
      </c>
      <c r="N886" s="1">
        <f t="shared" si="117"/>
        <v>0</v>
      </c>
      <c r="O886" s="6" t="s">
        <v>20</v>
      </c>
      <c r="Q886" s="6" t="s">
        <v>21</v>
      </c>
      <c r="R886" s="6" t="s">
        <v>21</v>
      </c>
      <c r="S886" s="6" t="s">
        <v>21</v>
      </c>
      <c r="T886" s="6" t="s">
        <v>21</v>
      </c>
      <c r="U886" s="6">
        <f t="shared" si="118"/>
        <v>14.529</v>
      </c>
      <c r="V886" s="6">
        <f t="shared" si="125"/>
        <v>14.529</v>
      </c>
    </row>
    <row r="887" spans="1:22" hidden="1" x14ac:dyDescent="0.35">
      <c r="A887" s="6" t="s">
        <v>1003</v>
      </c>
      <c r="B887" s="6" t="s">
        <v>993</v>
      </c>
      <c r="C887" s="6" t="s">
        <v>994</v>
      </c>
      <c r="D887" s="6">
        <f t="shared" si="121"/>
        <v>0.5</v>
      </c>
      <c r="E887" s="6" t="s">
        <v>19</v>
      </c>
      <c r="F887" s="6" t="str">
        <f>MID(A887,19,1)</f>
        <v>S</v>
      </c>
      <c r="G887" s="6">
        <v>-23.262996910051719</v>
      </c>
      <c r="H887" s="6">
        <v>-46.866229176293807</v>
      </c>
      <c r="I887" s="9">
        <v>369.53</v>
      </c>
      <c r="K887" s="6">
        <v>3.04</v>
      </c>
      <c r="L887" s="6">
        <v>30</v>
      </c>
      <c r="N887" s="1">
        <f t="shared" si="117"/>
        <v>0</v>
      </c>
      <c r="O887" s="6" t="s">
        <v>20</v>
      </c>
      <c r="Q887" s="6" t="s">
        <v>21</v>
      </c>
      <c r="R887" s="6" t="s">
        <v>21</v>
      </c>
      <c r="S887" s="6" t="s">
        <v>21</v>
      </c>
      <c r="T887" s="6" t="s">
        <v>21</v>
      </c>
      <c r="U887" s="6">
        <f t="shared" si="118"/>
        <v>110.85899999999999</v>
      </c>
      <c r="V887" s="6">
        <f t="shared" si="125"/>
        <v>110.85899999999999</v>
      </c>
    </row>
    <row r="888" spans="1:22" x14ac:dyDescent="0.35">
      <c r="A888" s="6" t="s">
        <v>1004</v>
      </c>
      <c r="B888" s="6" t="s">
        <v>993</v>
      </c>
      <c r="C888" s="6" t="s">
        <v>994</v>
      </c>
      <c r="D888" s="6">
        <f t="shared" si="121"/>
        <v>0.5</v>
      </c>
      <c r="E888" s="6" t="s">
        <v>19</v>
      </c>
      <c r="F888" s="6" t="str">
        <f>MID(A888,19,1)</f>
        <v>N</v>
      </c>
      <c r="G888" s="6">
        <v>-23.257676409272261</v>
      </c>
      <c r="H888" s="6">
        <v>-46.867469639417507</v>
      </c>
      <c r="I888" s="9">
        <v>52.48</v>
      </c>
      <c r="K888" s="6">
        <v>8.33</v>
      </c>
      <c r="L888" s="6">
        <v>0</v>
      </c>
      <c r="N888" s="1">
        <f t="shared" si="117"/>
        <v>0</v>
      </c>
      <c r="Q888" s="6" t="s">
        <v>21</v>
      </c>
      <c r="R888" s="6" t="s">
        <v>21</v>
      </c>
      <c r="S888" s="6" t="s">
        <v>21</v>
      </c>
      <c r="T888" s="6" t="s">
        <v>21</v>
      </c>
      <c r="U888" s="6">
        <f t="shared" si="118"/>
        <v>0</v>
      </c>
      <c r="V888" s="6">
        <f t="shared" si="125"/>
        <v>0</v>
      </c>
    </row>
    <row r="889" spans="1:22" hidden="1" x14ac:dyDescent="0.35">
      <c r="A889" s="6" t="s">
        <v>1005</v>
      </c>
      <c r="B889" s="6" t="s">
        <v>993</v>
      </c>
      <c r="C889" s="6" t="s">
        <v>994</v>
      </c>
      <c r="D889" s="6">
        <f t="shared" si="121"/>
        <v>0.5</v>
      </c>
      <c r="E889" s="6" t="s">
        <v>19</v>
      </c>
      <c r="F889" s="6" t="str">
        <f>MID(A889,19,1)</f>
        <v>S</v>
      </c>
      <c r="G889" s="6">
        <v>-23.262004498742691</v>
      </c>
      <c r="H889" s="6">
        <v>-46.86800348423008</v>
      </c>
      <c r="I889" s="9">
        <v>1481.66</v>
      </c>
      <c r="K889" s="6">
        <v>11.11</v>
      </c>
      <c r="L889" s="6">
        <v>30</v>
      </c>
      <c r="N889" s="1">
        <f t="shared" si="117"/>
        <v>0</v>
      </c>
      <c r="O889" s="6" t="s">
        <v>20</v>
      </c>
      <c r="Q889" s="6" t="s">
        <v>21</v>
      </c>
      <c r="R889" s="6" t="s">
        <v>21</v>
      </c>
      <c r="S889" s="6" t="s">
        <v>21</v>
      </c>
      <c r="T889" s="6" t="s">
        <v>21</v>
      </c>
      <c r="U889" s="6">
        <f t="shared" si="118"/>
        <v>444.49799999999999</v>
      </c>
      <c r="V889" s="6">
        <f t="shared" si="125"/>
        <v>444.49799999999999</v>
      </c>
    </row>
    <row r="890" spans="1:22" hidden="1" x14ac:dyDescent="0.35">
      <c r="A890" s="6" t="s">
        <v>1006</v>
      </c>
      <c r="B890" s="6" t="s">
        <v>993</v>
      </c>
      <c r="C890" s="6" t="s">
        <v>994</v>
      </c>
      <c r="D890" s="6">
        <f t="shared" si="121"/>
        <v>0.5</v>
      </c>
      <c r="E890" s="6" t="s">
        <v>19</v>
      </c>
      <c r="F890" s="6" t="str">
        <f>MID(A890,19,1)</f>
        <v>S</v>
      </c>
      <c r="G890" s="6">
        <v>-23.258764600746769</v>
      </c>
      <c r="H890" s="6">
        <v>-46.868815434460878</v>
      </c>
      <c r="I890" s="9">
        <v>512.25</v>
      </c>
      <c r="K890" s="6">
        <v>4.6500000000000004</v>
      </c>
      <c r="L890" s="6">
        <v>30</v>
      </c>
      <c r="N890" s="1">
        <f t="shared" si="117"/>
        <v>0</v>
      </c>
      <c r="O890" s="6" t="s">
        <v>20</v>
      </c>
      <c r="Q890" s="6" t="s">
        <v>21</v>
      </c>
      <c r="R890" s="6" t="s">
        <v>21</v>
      </c>
      <c r="S890" s="6" t="s">
        <v>21</v>
      </c>
      <c r="T890" s="6" t="s">
        <v>21</v>
      </c>
      <c r="U890" s="6">
        <f t="shared" si="118"/>
        <v>153.67499999999998</v>
      </c>
      <c r="V890" s="6">
        <f t="shared" si="125"/>
        <v>153.67499999999998</v>
      </c>
    </row>
    <row r="891" spans="1:22" hidden="1" x14ac:dyDescent="0.35">
      <c r="A891" s="6" t="s">
        <v>1007</v>
      </c>
      <c r="B891" s="6" t="s">
        <v>993</v>
      </c>
      <c r="C891" s="6" t="s">
        <v>994</v>
      </c>
      <c r="D891" s="6">
        <f t="shared" si="121"/>
        <v>0.5</v>
      </c>
      <c r="E891" s="6" t="s">
        <v>19</v>
      </c>
      <c r="F891" s="6" t="str">
        <f>MID(A891,19,1)</f>
        <v>S</v>
      </c>
      <c r="G891" s="6">
        <v>-23.25971664978605</v>
      </c>
      <c r="H891" s="6">
        <v>-46.868148576749363</v>
      </c>
      <c r="I891" s="9">
        <v>4903.8900000000003</v>
      </c>
      <c r="K891" s="6">
        <v>5.21</v>
      </c>
      <c r="L891" s="6">
        <v>70</v>
      </c>
      <c r="N891" s="1">
        <f t="shared" si="117"/>
        <v>0</v>
      </c>
      <c r="O891" s="6" t="s">
        <v>185</v>
      </c>
      <c r="Q891" s="6" t="s">
        <v>21</v>
      </c>
      <c r="R891" s="6" t="s">
        <v>21</v>
      </c>
      <c r="S891" s="6" t="s">
        <v>21</v>
      </c>
      <c r="T891" s="6" t="s">
        <v>21</v>
      </c>
      <c r="U891" s="6">
        <f t="shared" si="118"/>
        <v>3432.723</v>
      </c>
      <c r="V891" s="6">
        <f t="shared" si="125"/>
        <v>3432.723</v>
      </c>
    </row>
    <row r="892" spans="1:22" hidden="1" x14ac:dyDescent="0.35">
      <c r="A892" s="6" t="s">
        <v>1008</v>
      </c>
      <c r="B892" s="6" t="s">
        <v>993</v>
      </c>
      <c r="C892" s="6" t="s">
        <v>994</v>
      </c>
      <c r="D892" s="6">
        <f t="shared" si="121"/>
        <v>0.5</v>
      </c>
      <c r="E892" s="6" t="s">
        <v>19</v>
      </c>
      <c r="F892" s="6" t="str">
        <f>MID(A892,19,1)</f>
        <v>S</v>
      </c>
      <c r="G892" s="6">
        <v>-23.263046158397959</v>
      </c>
      <c r="H892" s="6">
        <v>-46.86656997175497</v>
      </c>
      <c r="I892" s="9">
        <v>48.31</v>
      </c>
      <c r="K892" s="6">
        <v>3.09</v>
      </c>
      <c r="L892" s="6">
        <v>30</v>
      </c>
      <c r="N892" s="1">
        <f t="shared" si="117"/>
        <v>0</v>
      </c>
      <c r="O892" s="6" t="s">
        <v>20</v>
      </c>
      <c r="Q892" s="6" t="s">
        <v>21</v>
      </c>
      <c r="R892" s="6" t="s">
        <v>21</v>
      </c>
      <c r="S892" s="6" t="s">
        <v>21</v>
      </c>
      <c r="T892" s="6" t="s">
        <v>21</v>
      </c>
      <c r="U892" s="6">
        <f t="shared" si="118"/>
        <v>14.493</v>
      </c>
      <c r="V892" s="6">
        <f t="shared" si="125"/>
        <v>14.493</v>
      </c>
    </row>
    <row r="893" spans="1:22" x14ac:dyDescent="0.35">
      <c r="A893" s="6" t="s">
        <v>1009</v>
      </c>
      <c r="B893" s="6" t="s">
        <v>993</v>
      </c>
      <c r="C893" s="6" t="s">
        <v>994</v>
      </c>
      <c r="D893" s="6">
        <f t="shared" si="121"/>
        <v>0.5</v>
      </c>
      <c r="E893" s="6" t="s">
        <v>19</v>
      </c>
      <c r="F893" s="6" t="str">
        <f>MID(A893,19,1)</f>
        <v>N</v>
      </c>
      <c r="G893" s="6">
        <v>-23.26019645031954</v>
      </c>
      <c r="H893" s="6">
        <v>-46.865987992892947</v>
      </c>
      <c r="I893" s="9">
        <v>11154.95</v>
      </c>
      <c r="K893" s="6">
        <v>2.56</v>
      </c>
      <c r="L893" s="6">
        <v>0</v>
      </c>
      <c r="N893" s="1">
        <f t="shared" si="117"/>
        <v>0</v>
      </c>
      <c r="Q893" s="6" t="s">
        <v>21</v>
      </c>
      <c r="R893" s="6" t="s">
        <v>21</v>
      </c>
      <c r="S893" s="6" t="s">
        <v>21</v>
      </c>
      <c r="T893" s="6" t="s">
        <v>21</v>
      </c>
      <c r="U893" s="6">
        <f t="shared" si="118"/>
        <v>0</v>
      </c>
      <c r="V893" s="6">
        <f t="shared" si="125"/>
        <v>0</v>
      </c>
    </row>
    <row r="894" spans="1:22" x14ac:dyDescent="0.35">
      <c r="A894" s="6" t="s">
        <v>1010</v>
      </c>
      <c r="B894" s="6" t="s">
        <v>993</v>
      </c>
      <c r="C894" s="6" t="s">
        <v>994</v>
      </c>
      <c r="D894" s="6">
        <f t="shared" si="121"/>
        <v>0.5</v>
      </c>
      <c r="E894" s="6" t="s">
        <v>19</v>
      </c>
      <c r="F894" s="6" t="str">
        <f>MID(A894,19,1)</f>
        <v>N</v>
      </c>
      <c r="G894" s="6">
        <v>-23.25647266515449</v>
      </c>
      <c r="H894" s="6">
        <v>-46.868668951790148</v>
      </c>
      <c r="I894" s="9">
        <v>1480</v>
      </c>
      <c r="K894" s="6">
        <v>6.9</v>
      </c>
      <c r="L894" s="6">
        <v>80</v>
      </c>
      <c r="N894" s="1">
        <f t="shared" si="117"/>
        <v>0</v>
      </c>
      <c r="O894" s="6" t="s">
        <v>20</v>
      </c>
      <c r="Q894" s="6" t="s">
        <v>21</v>
      </c>
      <c r="R894" s="6" t="s">
        <v>21</v>
      </c>
      <c r="S894" s="6" t="s">
        <v>21</v>
      </c>
      <c r="T894" s="6" t="s">
        <v>21</v>
      </c>
      <c r="U894" s="6">
        <f t="shared" si="118"/>
        <v>1184</v>
      </c>
      <c r="V894" s="6">
        <f t="shared" si="125"/>
        <v>1184</v>
      </c>
    </row>
    <row r="895" spans="1:22" x14ac:dyDescent="0.35">
      <c r="A895" s="6" t="s">
        <v>1011</v>
      </c>
      <c r="B895" s="6" t="s">
        <v>993</v>
      </c>
      <c r="C895" s="6" t="s">
        <v>994</v>
      </c>
      <c r="D895" s="6">
        <f t="shared" si="121"/>
        <v>0.5</v>
      </c>
      <c r="E895" s="6" t="s">
        <v>19</v>
      </c>
      <c r="F895" s="6" t="str">
        <f>MID(A895,19,1)</f>
        <v>N</v>
      </c>
      <c r="G895" s="6">
        <v>-23.27539008295717</v>
      </c>
      <c r="H895" s="6">
        <v>-46.87066233685038</v>
      </c>
      <c r="I895" s="9">
        <v>1937.52</v>
      </c>
      <c r="K895" s="6">
        <v>10.72</v>
      </c>
      <c r="L895" s="6">
        <v>80</v>
      </c>
      <c r="N895" s="1">
        <f t="shared" si="117"/>
        <v>0</v>
      </c>
      <c r="O895" s="6" t="s">
        <v>20</v>
      </c>
      <c r="Q895" s="6" t="s">
        <v>21</v>
      </c>
      <c r="R895" s="6" t="s">
        <v>21</v>
      </c>
      <c r="S895" s="6" t="s">
        <v>21</v>
      </c>
      <c r="T895" s="6" t="s">
        <v>21</v>
      </c>
      <c r="U895" s="6">
        <f t="shared" si="118"/>
        <v>1550.0160000000001</v>
      </c>
      <c r="V895" s="6">
        <f t="shared" si="125"/>
        <v>1550.0160000000001</v>
      </c>
    </row>
    <row r="896" spans="1:22" hidden="1" x14ac:dyDescent="0.35">
      <c r="A896" s="6" t="s">
        <v>1012</v>
      </c>
      <c r="B896" s="6" t="s">
        <v>993</v>
      </c>
      <c r="C896" s="6" t="s">
        <v>994</v>
      </c>
      <c r="D896" s="6">
        <f t="shared" si="121"/>
        <v>0.5</v>
      </c>
      <c r="E896" s="6" t="s">
        <v>19</v>
      </c>
      <c r="F896" s="6" t="str">
        <f>MID(A896,19,1)</f>
        <v>S</v>
      </c>
      <c r="G896" s="6">
        <v>-23.269916213880311</v>
      </c>
      <c r="H896" s="6">
        <v>-46.868534555986507</v>
      </c>
      <c r="I896" s="9">
        <v>1627.7</v>
      </c>
      <c r="K896" s="6">
        <v>4.51</v>
      </c>
      <c r="L896" s="6">
        <v>40</v>
      </c>
      <c r="N896" s="1">
        <f t="shared" si="117"/>
        <v>0</v>
      </c>
      <c r="O896" s="6" t="s">
        <v>20</v>
      </c>
      <c r="Q896" s="6" t="s">
        <v>21</v>
      </c>
      <c r="R896" s="6" t="s">
        <v>21</v>
      </c>
      <c r="S896" s="6" t="s">
        <v>21</v>
      </c>
      <c r="T896" s="6" t="s">
        <v>21</v>
      </c>
      <c r="U896" s="6">
        <f t="shared" si="118"/>
        <v>651.08000000000004</v>
      </c>
      <c r="V896" s="6">
        <f t="shared" si="125"/>
        <v>651.08000000000004</v>
      </c>
    </row>
    <row r="897" spans="1:22" hidden="1" x14ac:dyDescent="0.35">
      <c r="A897" s="6" t="s">
        <v>1013</v>
      </c>
      <c r="B897" s="6" t="s">
        <v>993</v>
      </c>
      <c r="C897" s="6" t="s">
        <v>994</v>
      </c>
      <c r="D897" s="6">
        <f t="shared" si="121"/>
        <v>0.5</v>
      </c>
      <c r="E897" s="6" t="s">
        <v>19</v>
      </c>
      <c r="F897" s="6" t="str">
        <f>MID(A897,19,1)</f>
        <v>S</v>
      </c>
      <c r="G897" s="6">
        <v>-23.272542874415912</v>
      </c>
      <c r="H897" s="6">
        <v>-46.868972120042407</v>
      </c>
      <c r="I897" s="9">
        <v>1023.46</v>
      </c>
      <c r="K897" s="6">
        <v>4.93</v>
      </c>
      <c r="L897" s="6">
        <v>40</v>
      </c>
      <c r="N897" s="1">
        <f t="shared" si="117"/>
        <v>0</v>
      </c>
      <c r="O897" s="6" t="s">
        <v>20</v>
      </c>
      <c r="Q897" s="6" t="s">
        <v>21</v>
      </c>
      <c r="R897" s="6" t="s">
        <v>21</v>
      </c>
      <c r="S897" s="6" t="s">
        <v>21</v>
      </c>
      <c r="T897" s="6" t="s">
        <v>21</v>
      </c>
      <c r="U897" s="6">
        <f t="shared" si="118"/>
        <v>409.38400000000001</v>
      </c>
      <c r="V897" s="6">
        <f t="shared" si="125"/>
        <v>409.38400000000001</v>
      </c>
    </row>
    <row r="898" spans="1:22" hidden="1" x14ac:dyDescent="0.35">
      <c r="A898" s="6" t="s">
        <v>1014</v>
      </c>
      <c r="B898" s="6" t="s">
        <v>993</v>
      </c>
      <c r="C898" s="6" t="s">
        <v>994</v>
      </c>
      <c r="D898" s="6">
        <f t="shared" si="121"/>
        <v>0.5</v>
      </c>
      <c r="E898" s="6" t="s">
        <v>19</v>
      </c>
      <c r="F898" s="6" t="str">
        <f>MID(A898,19,1)</f>
        <v>S</v>
      </c>
      <c r="G898" s="6">
        <v>-23.271582093229789</v>
      </c>
      <c r="H898" s="6">
        <v>-46.868592492449338</v>
      </c>
      <c r="I898" s="9">
        <v>100.81</v>
      </c>
      <c r="K898" s="6">
        <v>1.65</v>
      </c>
      <c r="L898" s="6">
        <v>40</v>
      </c>
      <c r="N898" s="1">
        <f t="shared" ref="N898:N961" si="126">IF(OR(R898="Sim",S898="Sim",T898="Sim"),(L898/100)*I898,0)</f>
        <v>0</v>
      </c>
      <c r="O898" s="6" t="s">
        <v>20</v>
      </c>
      <c r="Q898" s="6" t="s">
        <v>21</v>
      </c>
      <c r="R898" s="6" t="s">
        <v>21</v>
      </c>
      <c r="S898" s="6" t="s">
        <v>21</v>
      </c>
      <c r="T898" s="6" t="s">
        <v>21</v>
      </c>
      <c r="U898" s="6">
        <f t="shared" si="118"/>
        <v>40.324000000000005</v>
      </c>
      <c r="V898" s="6">
        <f t="shared" si="125"/>
        <v>40.324000000000005</v>
      </c>
    </row>
    <row r="899" spans="1:22" x14ac:dyDescent="0.35">
      <c r="A899" s="8" t="s">
        <v>1015</v>
      </c>
      <c r="B899" s="8" t="s">
        <v>993</v>
      </c>
      <c r="C899" s="8" t="s">
        <v>994</v>
      </c>
      <c r="D899" s="6">
        <f t="shared" si="121"/>
        <v>0.5</v>
      </c>
      <c r="E899" s="8" t="s">
        <v>19</v>
      </c>
      <c r="F899" s="6" t="str">
        <f>MID(A899,19,1)</f>
        <v>N</v>
      </c>
      <c r="G899" s="8">
        <v>-23.271023142270291</v>
      </c>
      <c r="H899" s="8">
        <v>-46.868368785572898</v>
      </c>
      <c r="I899" s="7">
        <v>2501.2199999999998</v>
      </c>
      <c r="J899" s="7"/>
      <c r="K899" s="8">
        <v>8.44</v>
      </c>
      <c r="L899" s="8">
        <v>35</v>
      </c>
      <c r="M899" s="8"/>
      <c r="N899" s="11">
        <f t="shared" si="126"/>
        <v>875.42699999999991</v>
      </c>
      <c r="O899" s="8" t="s">
        <v>25</v>
      </c>
      <c r="P899" s="8"/>
      <c r="Q899" s="8" t="s">
        <v>21</v>
      </c>
      <c r="R899" s="8" t="s">
        <v>21</v>
      </c>
      <c r="S899" s="8" t="s">
        <v>21</v>
      </c>
      <c r="T899" s="8" t="s">
        <v>26</v>
      </c>
      <c r="U899" s="6">
        <f t="shared" ref="U899:U962" si="127">IF(N899=0,(I899*(L899/100)),0)</f>
        <v>0</v>
      </c>
    </row>
    <row r="900" spans="1:22" hidden="1" x14ac:dyDescent="0.35">
      <c r="A900" s="6" t="s">
        <v>1016</v>
      </c>
      <c r="B900" s="6" t="s">
        <v>993</v>
      </c>
      <c r="C900" s="6" t="s">
        <v>994</v>
      </c>
      <c r="D900" s="6">
        <f t="shared" si="121"/>
        <v>0.5</v>
      </c>
      <c r="E900" s="6" t="s">
        <v>19</v>
      </c>
      <c r="F900" s="6" t="str">
        <f>MID(A900,19,1)</f>
        <v>S</v>
      </c>
      <c r="G900" s="6">
        <v>-23.25727474517533</v>
      </c>
      <c r="H900" s="6">
        <v>-46.86952598593799</v>
      </c>
      <c r="I900" s="9">
        <v>1807.54</v>
      </c>
      <c r="K900" s="6">
        <v>7.82</v>
      </c>
      <c r="L900" s="6">
        <v>60</v>
      </c>
      <c r="N900" s="1">
        <f t="shared" si="126"/>
        <v>0</v>
      </c>
      <c r="O900" s="8" t="s">
        <v>20</v>
      </c>
      <c r="P900" s="8"/>
      <c r="Q900" s="8" t="s">
        <v>21</v>
      </c>
      <c r="R900" s="8" t="s">
        <v>21</v>
      </c>
      <c r="S900" s="8" t="s">
        <v>21</v>
      </c>
      <c r="T900" s="8" t="s">
        <v>21</v>
      </c>
      <c r="U900" s="6">
        <f t="shared" si="127"/>
        <v>1084.5239999999999</v>
      </c>
      <c r="V900" s="6">
        <f t="shared" ref="V900:V906" si="128">(I900*(L900/100))</f>
        <v>1084.5239999999999</v>
      </c>
    </row>
    <row r="901" spans="1:22" hidden="1" x14ac:dyDescent="0.35">
      <c r="A901" s="6" t="s">
        <v>1017</v>
      </c>
      <c r="B901" s="6" t="s">
        <v>993</v>
      </c>
      <c r="C901" s="6" t="s">
        <v>994</v>
      </c>
      <c r="D901" s="6">
        <f t="shared" si="121"/>
        <v>0.5</v>
      </c>
      <c r="E901" s="6" t="s">
        <v>19</v>
      </c>
      <c r="F901" s="6" t="str">
        <f>MID(A901,19,1)</f>
        <v>S</v>
      </c>
      <c r="G901" s="6">
        <v>-23.26225362021971</v>
      </c>
      <c r="H901" s="6">
        <v>-46.867092809413357</v>
      </c>
      <c r="I901" s="9">
        <v>8175.38</v>
      </c>
      <c r="K901" s="6">
        <v>3.09</v>
      </c>
      <c r="L901" s="6">
        <v>30</v>
      </c>
      <c r="N901" s="1">
        <f t="shared" si="126"/>
        <v>0</v>
      </c>
      <c r="O901" s="8" t="s">
        <v>20</v>
      </c>
      <c r="P901" s="8"/>
      <c r="Q901" s="8" t="s">
        <v>21</v>
      </c>
      <c r="R901" s="8" t="s">
        <v>21</v>
      </c>
      <c r="S901" s="8" t="s">
        <v>21</v>
      </c>
      <c r="T901" s="8" t="s">
        <v>21</v>
      </c>
      <c r="U901" s="6">
        <f t="shared" si="127"/>
        <v>2452.614</v>
      </c>
      <c r="V901" s="6">
        <f t="shared" si="128"/>
        <v>2452.614</v>
      </c>
    </row>
    <row r="902" spans="1:22" hidden="1" x14ac:dyDescent="0.35">
      <c r="A902" s="6" t="s">
        <v>1018</v>
      </c>
      <c r="B902" s="6" t="s">
        <v>993</v>
      </c>
      <c r="C902" s="6" t="s">
        <v>994</v>
      </c>
      <c r="D902" s="6">
        <f t="shared" si="121"/>
        <v>0.5</v>
      </c>
      <c r="E902" s="6" t="s">
        <v>23</v>
      </c>
      <c r="F902" s="6" t="str">
        <f>MID(A902,19,1)</f>
        <v>C</v>
      </c>
      <c r="G902" s="6">
        <v>-23.257086817647881</v>
      </c>
      <c r="H902" s="6">
        <v>-46.869167889166107</v>
      </c>
      <c r="I902" s="7">
        <v>13318.95</v>
      </c>
      <c r="J902" s="9">
        <f>I902/500</f>
        <v>26.637900000000002</v>
      </c>
      <c r="K902" s="6">
        <v>5.64</v>
      </c>
      <c r="L902" s="6">
        <v>80</v>
      </c>
      <c r="N902" s="1">
        <f t="shared" si="126"/>
        <v>0</v>
      </c>
      <c r="O902" s="8" t="s">
        <v>185</v>
      </c>
      <c r="P902" s="8"/>
      <c r="Q902" s="8" t="s">
        <v>21</v>
      </c>
      <c r="R902" s="8" t="s">
        <v>21</v>
      </c>
      <c r="S902" s="8" t="s">
        <v>21</v>
      </c>
      <c r="T902" s="8" t="s">
        <v>21</v>
      </c>
      <c r="U902" s="6">
        <f t="shared" si="127"/>
        <v>10655.160000000002</v>
      </c>
      <c r="V902" s="6">
        <f t="shared" si="128"/>
        <v>10655.160000000002</v>
      </c>
    </row>
    <row r="903" spans="1:22" x14ac:dyDescent="0.35">
      <c r="A903" s="6" t="s">
        <v>1019</v>
      </c>
      <c r="B903" s="6" t="s">
        <v>993</v>
      </c>
      <c r="C903" s="6" t="s">
        <v>994</v>
      </c>
      <c r="D903" s="6">
        <f t="shared" si="121"/>
        <v>0.5</v>
      </c>
      <c r="E903" s="6" t="s">
        <v>19</v>
      </c>
      <c r="F903" s="6" t="str">
        <f>MID(A903,19,1)</f>
        <v>N</v>
      </c>
      <c r="G903" s="6">
        <v>-23.262203487623029</v>
      </c>
      <c r="H903" s="6">
        <v>-46.865512130499312</v>
      </c>
      <c r="I903" s="9">
        <v>1294.44</v>
      </c>
      <c r="K903" s="6">
        <v>4.66</v>
      </c>
      <c r="L903" s="6">
        <v>0</v>
      </c>
      <c r="N903" s="1">
        <f t="shared" si="126"/>
        <v>0</v>
      </c>
      <c r="O903" s="8"/>
      <c r="P903" s="8"/>
      <c r="Q903" s="8" t="s">
        <v>21</v>
      </c>
      <c r="R903" s="8" t="s">
        <v>21</v>
      </c>
      <c r="S903" s="8" t="s">
        <v>21</v>
      </c>
      <c r="T903" s="8" t="s">
        <v>21</v>
      </c>
      <c r="U903" s="6">
        <f t="shared" si="127"/>
        <v>0</v>
      </c>
      <c r="V903" s="6">
        <f t="shared" si="128"/>
        <v>0</v>
      </c>
    </row>
    <row r="904" spans="1:22" x14ac:dyDescent="0.35">
      <c r="A904" s="6" t="s">
        <v>1020</v>
      </c>
      <c r="B904" s="6" t="s">
        <v>993</v>
      </c>
      <c r="C904" s="6" t="s">
        <v>994</v>
      </c>
      <c r="D904" s="6">
        <f t="shared" si="121"/>
        <v>0.5</v>
      </c>
      <c r="E904" s="6" t="s">
        <v>19</v>
      </c>
      <c r="F904" s="6" t="str">
        <f>MID(A904,19,1)</f>
        <v>N</v>
      </c>
      <c r="G904" s="6">
        <v>-23.258938827637952</v>
      </c>
      <c r="H904" s="6">
        <v>-46.866728750176968</v>
      </c>
      <c r="I904" s="9">
        <v>948.69</v>
      </c>
      <c r="K904" s="6">
        <v>2.44</v>
      </c>
      <c r="L904" s="6">
        <v>0</v>
      </c>
      <c r="N904" s="1">
        <f t="shared" si="126"/>
        <v>0</v>
      </c>
      <c r="O904" s="8"/>
      <c r="P904" s="8"/>
      <c r="Q904" s="8" t="s">
        <v>21</v>
      </c>
      <c r="R904" s="8" t="s">
        <v>21</v>
      </c>
      <c r="S904" s="8" t="s">
        <v>21</v>
      </c>
      <c r="T904" s="8" t="s">
        <v>21</v>
      </c>
      <c r="U904" s="6">
        <f t="shared" si="127"/>
        <v>0</v>
      </c>
      <c r="V904" s="6">
        <f t="shared" si="128"/>
        <v>0</v>
      </c>
    </row>
    <row r="905" spans="1:22" hidden="1" x14ac:dyDescent="0.35">
      <c r="A905" s="6" t="s">
        <v>1021</v>
      </c>
      <c r="B905" s="6" t="s">
        <v>993</v>
      </c>
      <c r="C905" s="6" t="s">
        <v>994</v>
      </c>
      <c r="D905" s="6">
        <f t="shared" si="121"/>
        <v>0.5</v>
      </c>
      <c r="E905" s="6" t="s">
        <v>23</v>
      </c>
      <c r="F905" s="6" t="str">
        <f>MID(A905,19,1)</f>
        <v>C</v>
      </c>
      <c r="G905" s="6">
        <v>-23.26008061168508</v>
      </c>
      <c r="H905" s="6">
        <v>-46.86709859313094</v>
      </c>
      <c r="I905" s="7">
        <v>22136.57</v>
      </c>
      <c r="J905" s="9">
        <f>I905/500</f>
        <v>44.273139999999998</v>
      </c>
      <c r="K905" s="6">
        <v>5.34</v>
      </c>
      <c r="L905" s="6">
        <v>0</v>
      </c>
      <c r="N905" s="1">
        <f t="shared" si="126"/>
        <v>0</v>
      </c>
      <c r="O905" s="8"/>
      <c r="P905" s="8"/>
      <c r="Q905" s="8" t="s">
        <v>21</v>
      </c>
      <c r="R905" s="8" t="s">
        <v>21</v>
      </c>
      <c r="S905" s="8" t="s">
        <v>21</v>
      </c>
      <c r="T905" s="8" t="s">
        <v>21</v>
      </c>
      <c r="U905" s="6">
        <f t="shared" si="127"/>
        <v>0</v>
      </c>
      <c r="V905" s="6">
        <f t="shared" si="128"/>
        <v>0</v>
      </c>
    </row>
    <row r="906" spans="1:22" x14ac:dyDescent="0.35">
      <c r="A906" s="6" t="s">
        <v>1022</v>
      </c>
      <c r="B906" s="6" t="s">
        <v>993</v>
      </c>
      <c r="C906" s="6" t="s">
        <v>994</v>
      </c>
      <c r="D906" s="6">
        <f t="shared" si="121"/>
        <v>0.5</v>
      </c>
      <c r="E906" s="6" t="s">
        <v>19</v>
      </c>
      <c r="F906" s="6" t="str">
        <f>MID(A906,19,1)</f>
        <v>N</v>
      </c>
      <c r="G906" s="6">
        <v>-23.257971219990122</v>
      </c>
      <c r="H906" s="6">
        <v>-46.866844635612821</v>
      </c>
      <c r="I906" s="9">
        <v>139.6</v>
      </c>
      <c r="K906" s="6">
        <v>2.81</v>
      </c>
      <c r="L906" s="6">
        <v>0</v>
      </c>
      <c r="N906" s="1">
        <f t="shared" si="126"/>
        <v>0</v>
      </c>
      <c r="O906" s="8"/>
      <c r="P906" s="8"/>
      <c r="Q906" s="8" t="s">
        <v>21</v>
      </c>
      <c r="R906" s="8" t="s">
        <v>21</v>
      </c>
      <c r="S906" s="8" t="s">
        <v>21</v>
      </c>
      <c r="T906" s="8" t="s">
        <v>21</v>
      </c>
      <c r="U906" s="6">
        <f t="shared" si="127"/>
        <v>0</v>
      </c>
      <c r="V906" s="6">
        <f t="shared" si="128"/>
        <v>0</v>
      </c>
    </row>
    <row r="907" spans="1:22" hidden="1" x14ac:dyDescent="0.35">
      <c r="A907" s="8" t="s">
        <v>1023</v>
      </c>
      <c r="B907" s="8" t="s">
        <v>993</v>
      </c>
      <c r="C907" s="8" t="s">
        <v>994</v>
      </c>
      <c r="D907" s="6">
        <f t="shared" si="121"/>
        <v>0.5</v>
      </c>
      <c r="E907" s="8" t="s">
        <v>19</v>
      </c>
      <c r="F907" s="6" t="str">
        <f>MID(A907,19,1)</f>
        <v>S</v>
      </c>
      <c r="G907" s="8">
        <v>-23.275042060345189</v>
      </c>
      <c r="H907" s="8">
        <v>-46.870773271060997</v>
      </c>
      <c r="I907" s="7">
        <v>1674.61</v>
      </c>
      <c r="J907" s="7"/>
      <c r="K907" s="8">
        <v>6.18</v>
      </c>
      <c r="L907" s="8">
        <v>65</v>
      </c>
      <c r="M907" s="8"/>
      <c r="N907" s="11">
        <f t="shared" si="126"/>
        <v>1088.4965</v>
      </c>
      <c r="O907" s="8" t="s">
        <v>25</v>
      </c>
      <c r="P907" s="8"/>
      <c r="Q907" s="8" t="s">
        <v>21</v>
      </c>
      <c r="R907" s="8" t="s">
        <v>21</v>
      </c>
      <c r="S907" s="8" t="s">
        <v>21</v>
      </c>
      <c r="T907" s="8" t="s">
        <v>26</v>
      </c>
      <c r="U907" s="6">
        <f t="shared" si="127"/>
        <v>0</v>
      </c>
    </row>
    <row r="908" spans="1:22" hidden="1" x14ac:dyDescent="0.35">
      <c r="A908" s="6" t="s">
        <v>1024</v>
      </c>
      <c r="B908" s="6" t="s">
        <v>993</v>
      </c>
      <c r="C908" s="6" t="s">
        <v>994</v>
      </c>
      <c r="D908" s="6">
        <f t="shared" si="121"/>
        <v>0.5</v>
      </c>
      <c r="E908" s="6" t="s">
        <v>19</v>
      </c>
      <c r="F908" s="6" t="str">
        <f>MID(A908,19,1)</f>
        <v>S</v>
      </c>
      <c r="G908" s="6">
        <v>-23.263775302568959</v>
      </c>
      <c r="H908" s="6">
        <v>-46.867014616438667</v>
      </c>
      <c r="I908" s="9">
        <v>6447.86</v>
      </c>
      <c r="K908" s="6">
        <v>3.86</v>
      </c>
      <c r="L908" s="6">
        <v>30</v>
      </c>
      <c r="N908" s="1">
        <f t="shared" si="126"/>
        <v>0</v>
      </c>
      <c r="O908" s="8" t="s">
        <v>20</v>
      </c>
      <c r="P908" s="8"/>
      <c r="Q908" s="8" t="s">
        <v>21</v>
      </c>
      <c r="R908" s="8" t="s">
        <v>21</v>
      </c>
      <c r="S908" s="8" t="s">
        <v>21</v>
      </c>
      <c r="T908" s="8" t="s">
        <v>21</v>
      </c>
      <c r="U908" s="6">
        <f t="shared" si="127"/>
        <v>1934.3579999999997</v>
      </c>
      <c r="V908" s="6">
        <f t="shared" ref="V908:V971" si="129">(I908*(L908/100))</f>
        <v>1934.3579999999997</v>
      </c>
    </row>
    <row r="909" spans="1:22" x14ac:dyDescent="0.35">
      <c r="A909" s="6" t="s">
        <v>1025</v>
      </c>
      <c r="B909" s="6" t="s">
        <v>993</v>
      </c>
      <c r="C909" s="6" t="s">
        <v>994</v>
      </c>
      <c r="D909" s="6">
        <f t="shared" si="121"/>
        <v>0.5</v>
      </c>
      <c r="E909" s="6" t="s">
        <v>19</v>
      </c>
      <c r="F909" s="6" t="str">
        <f>MID(A909,19,1)</f>
        <v>N</v>
      </c>
      <c r="G909" s="6">
        <v>-23.260020039684662</v>
      </c>
      <c r="H909" s="6">
        <v>-46.865694300014027</v>
      </c>
      <c r="I909" s="9">
        <v>1994.68</v>
      </c>
      <c r="K909" s="6">
        <v>5.63</v>
      </c>
      <c r="L909" s="6">
        <v>0</v>
      </c>
      <c r="N909" s="1">
        <f t="shared" si="126"/>
        <v>0</v>
      </c>
      <c r="O909" s="8"/>
      <c r="P909" s="8"/>
      <c r="Q909" s="8" t="s">
        <v>21</v>
      </c>
      <c r="R909" s="8" t="s">
        <v>21</v>
      </c>
      <c r="S909" s="8" t="s">
        <v>21</v>
      </c>
      <c r="T909" s="8" t="s">
        <v>21</v>
      </c>
      <c r="U909" s="6">
        <f t="shared" si="127"/>
        <v>0</v>
      </c>
      <c r="V909" s="6">
        <f t="shared" si="129"/>
        <v>0</v>
      </c>
    </row>
    <row r="910" spans="1:22" hidden="1" x14ac:dyDescent="0.35">
      <c r="A910" s="6" t="s">
        <v>1026</v>
      </c>
      <c r="B910" s="6" t="s">
        <v>993</v>
      </c>
      <c r="C910" s="6" t="s">
        <v>994</v>
      </c>
      <c r="D910" s="6">
        <f t="shared" ref="D910:D973" si="130">C910-B910</f>
        <v>0.5</v>
      </c>
      <c r="E910" s="6" t="s">
        <v>19</v>
      </c>
      <c r="F910" s="6" t="str">
        <f>MID(A910,19,1)</f>
        <v>S</v>
      </c>
      <c r="G910" s="6">
        <v>-23.264373311320892</v>
      </c>
      <c r="H910" s="6">
        <v>-46.867474286822713</v>
      </c>
      <c r="I910" s="9">
        <v>685.74</v>
      </c>
      <c r="K910" s="6">
        <v>8.16</v>
      </c>
      <c r="L910" s="6">
        <v>30</v>
      </c>
      <c r="N910" s="1">
        <f t="shared" si="126"/>
        <v>0</v>
      </c>
      <c r="O910" s="8" t="s">
        <v>20</v>
      </c>
      <c r="P910" s="8"/>
      <c r="Q910" s="8" t="s">
        <v>21</v>
      </c>
      <c r="R910" s="8" t="s">
        <v>21</v>
      </c>
      <c r="S910" s="8" t="s">
        <v>21</v>
      </c>
      <c r="T910" s="8" t="s">
        <v>21</v>
      </c>
      <c r="U910" s="6">
        <f t="shared" si="127"/>
        <v>205.72200000000001</v>
      </c>
      <c r="V910" s="6">
        <f t="shared" si="129"/>
        <v>205.72200000000001</v>
      </c>
    </row>
    <row r="911" spans="1:22" x14ac:dyDescent="0.35">
      <c r="A911" s="6" t="s">
        <v>1027</v>
      </c>
      <c r="B911" s="6" t="s">
        <v>993</v>
      </c>
      <c r="C911" s="6" t="s">
        <v>994</v>
      </c>
      <c r="D911" s="6">
        <f t="shared" si="130"/>
        <v>0.5</v>
      </c>
      <c r="E911" s="6" t="s">
        <v>19</v>
      </c>
      <c r="F911" s="6" t="str">
        <f>MID(A911,19,1)</f>
        <v>N</v>
      </c>
      <c r="G911" s="6">
        <v>-23.261555196134079</v>
      </c>
      <c r="H911" s="6">
        <v>-46.865989300677327</v>
      </c>
      <c r="I911" s="9">
        <v>6752.69</v>
      </c>
      <c r="K911" s="6">
        <v>4.05</v>
      </c>
      <c r="L911" s="6">
        <v>0</v>
      </c>
      <c r="N911" s="1">
        <f t="shared" si="126"/>
        <v>0</v>
      </c>
      <c r="O911" s="8"/>
      <c r="P911" s="8"/>
      <c r="Q911" s="8" t="s">
        <v>21</v>
      </c>
      <c r="R911" s="8" t="s">
        <v>21</v>
      </c>
      <c r="S911" s="8" t="s">
        <v>21</v>
      </c>
      <c r="T911" s="8" t="s">
        <v>21</v>
      </c>
      <c r="U911" s="6">
        <f t="shared" si="127"/>
        <v>0</v>
      </c>
      <c r="V911" s="6">
        <f t="shared" si="129"/>
        <v>0</v>
      </c>
    </row>
    <row r="912" spans="1:22" hidden="1" x14ac:dyDescent="0.35">
      <c r="A912" s="6" t="s">
        <v>1028</v>
      </c>
      <c r="B912" s="6" t="s">
        <v>993</v>
      </c>
      <c r="C912" s="6" t="s">
        <v>994</v>
      </c>
      <c r="D912" s="6">
        <f t="shared" si="130"/>
        <v>0.5</v>
      </c>
      <c r="E912" s="6" t="s">
        <v>23</v>
      </c>
      <c r="F912" s="6" t="str">
        <f>MID(A912,19,1)</f>
        <v>C</v>
      </c>
      <c r="G912" s="6">
        <v>-23.259089127552851</v>
      </c>
      <c r="H912" s="6">
        <v>-46.867857079672717</v>
      </c>
      <c r="I912" s="7">
        <v>3661.03</v>
      </c>
      <c r="J912" s="9">
        <f>I912/500</f>
        <v>7.3220600000000005</v>
      </c>
      <c r="K912" s="6">
        <v>10.85</v>
      </c>
      <c r="L912" s="6">
        <v>0</v>
      </c>
      <c r="N912" s="1">
        <f t="shared" si="126"/>
        <v>0</v>
      </c>
      <c r="O912" s="8"/>
      <c r="P912" s="8"/>
      <c r="Q912" s="8" t="s">
        <v>21</v>
      </c>
      <c r="R912" s="8" t="s">
        <v>21</v>
      </c>
      <c r="S912" s="8" t="s">
        <v>21</v>
      </c>
      <c r="T912" s="8" t="s">
        <v>21</v>
      </c>
      <c r="U912" s="6">
        <f t="shared" si="127"/>
        <v>0</v>
      </c>
      <c r="V912" s="6">
        <f t="shared" si="129"/>
        <v>0</v>
      </c>
    </row>
    <row r="913" spans="1:22" x14ac:dyDescent="0.35">
      <c r="A913" s="6" t="s">
        <v>1029</v>
      </c>
      <c r="B913" s="6" t="s">
        <v>993</v>
      </c>
      <c r="C913" s="6" t="s">
        <v>994</v>
      </c>
      <c r="D913" s="6">
        <f t="shared" si="130"/>
        <v>0.5</v>
      </c>
      <c r="E913" s="6" t="s">
        <v>19</v>
      </c>
      <c r="F913" s="6" t="str">
        <f>MID(A913,19,1)</f>
        <v>N</v>
      </c>
      <c r="G913" s="6">
        <v>-23.257948099744219</v>
      </c>
      <c r="H913" s="6">
        <v>-46.866990527633597</v>
      </c>
      <c r="I913" s="9">
        <v>285.07</v>
      </c>
      <c r="K913" s="6">
        <v>2.57</v>
      </c>
      <c r="L913" s="6">
        <v>0</v>
      </c>
      <c r="N913" s="1">
        <f t="shared" si="126"/>
        <v>0</v>
      </c>
      <c r="O913" s="8"/>
      <c r="P913" s="8"/>
      <c r="Q913" s="8" t="s">
        <v>21</v>
      </c>
      <c r="R913" s="8" t="s">
        <v>21</v>
      </c>
      <c r="S913" s="8" t="s">
        <v>21</v>
      </c>
      <c r="T913" s="8" t="s">
        <v>21</v>
      </c>
      <c r="U913" s="6">
        <f t="shared" si="127"/>
        <v>0</v>
      </c>
      <c r="V913" s="6">
        <f t="shared" si="129"/>
        <v>0</v>
      </c>
    </row>
    <row r="914" spans="1:22" x14ac:dyDescent="0.35">
      <c r="A914" s="6" t="s">
        <v>1030</v>
      </c>
      <c r="B914" s="6" t="s">
        <v>1031</v>
      </c>
      <c r="C914" s="6" t="s">
        <v>1032</v>
      </c>
      <c r="D914" s="6">
        <f t="shared" si="130"/>
        <v>0.5</v>
      </c>
      <c r="E914" s="6" t="s">
        <v>19</v>
      </c>
      <c r="F914" s="6" t="str">
        <f>MID(A914,19,1)</f>
        <v>N</v>
      </c>
      <c r="G914" s="6">
        <v>-23.253727461823271</v>
      </c>
      <c r="H914" s="6">
        <v>-46.870809731982433</v>
      </c>
      <c r="I914" s="9">
        <v>1543.66</v>
      </c>
      <c r="K914" s="6">
        <v>5.7</v>
      </c>
      <c r="L914" s="6">
        <v>80</v>
      </c>
      <c r="N914" s="1">
        <f t="shared" si="126"/>
        <v>0</v>
      </c>
      <c r="O914" s="8" t="s">
        <v>20</v>
      </c>
      <c r="P914" s="8"/>
      <c r="Q914" s="8" t="s">
        <v>21</v>
      </c>
      <c r="R914" s="8" t="s">
        <v>21</v>
      </c>
      <c r="S914" s="8" t="s">
        <v>21</v>
      </c>
      <c r="T914" s="8" t="s">
        <v>21</v>
      </c>
      <c r="U914" s="6">
        <f t="shared" si="127"/>
        <v>1234.9280000000001</v>
      </c>
      <c r="V914" s="6">
        <f t="shared" si="129"/>
        <v>1234.9280000000001</v>
      </c>
    </row>
    <row r="915" spans="1:22" x14ac:dyDescent="0.35">
      <c r="A915" s="6" t="s">
        <v>1033</v>
      </c>
      <c r="B915" s="6" t="s">
        <v>1031</v>
      </c>
      <c r="C915" s="6" t="s">
        <v>1032</v>
      </c>
      <c r="D915" s="6">
        <f t="shared" si="130"/>
        <v>0.5</v>
      </c>
      <c r="E915" s="6" t="s">
        <v>19</v>
      </c>
      <c r="F915" s="6" t="str">
        <f>MID(A915,19,1)</f>
        <v>N</v>
      </c>
      <c r="G915" s="6">
        <v>-23.250699921579219</v>
      </c>
      <c r="H915" s="6">
        <v>-46.874416383768548</v>
      </c>
      <c r="I915" s="9">
        <v>2451.69</v>
      </c>
      <c r="K915" s="6">
        <v>13.76</v>
      </c>
      <c r="L915" s="6">
        <v>0</v>
      </c>
      <c r="N915" s="1">
        <f t="shared" si="126"/>
        <v>0</v>
      </c>
      <c r="O915" s="8"/>
      <c r="P915" s="8"/>
      <c r="Q915" s="8" t="s">
        <v>21</v>
      </c>
      <c r="R915" s="8" t="s">
        <v>21</v>
      </c>
      <c r="S915" s="8" t="s">
        <v>21</v>
      </c>
      <c r="T915" s="8" t="s">
        <v>21</v>
      </c>
      <c r="U915" s="6">
        <f t="shared" si="127"/>
        <v>0</v>
      </c>
      <c r="V915" s="6">
        <f t="shared" si="129"/>
        <v>0</v>
      </c>
    </row>
    <row r="916" spans="1:22" x14ac:dyDescent="0.35">
      <c r="A916" s="6" t="s">
        <v>1034</v>
      </c>
      <c r="B916" s="6" t="s">
        <v>1031</v>
      </c>
      <c r="C916" s="6" t="s">
        <v>1032</v>
      </c>
      <c r="D916" s="6">
        <f t="shared" si="130"/>
        <v>0.5</v>
      </c>
      <c r="E916" s="6" t="s">
        <v>19</v>
      </c>
      <c r="F916" s="6" t="str">
        <f>MID(A916,19,1)</f>
        <v>N</v>
      </c>
      <c r="G916" s="6">
        <v>-23.268240861131002</v>
      </c>
      <c r="H916" s="6">
        <v>-46.868209782308917</v>
      </c>
      <c r="I916" s="9">
        <v>43.55</v>
      </c>
      <c r="K916" s="6">
        <v>5.63</v>
      </c>
      <c r="L916" s="6">
        <v>90</v>
      </c>
      <c r="N916" s="1">
        <f t="shared" si="126"/>
        <v>0</v>
      </c>
      <c r="O916" s="8" t="s">
        <v>20</v>
      </c>
      <c r="P916" s="8"/>
      <c r="Q916" s="8" t="s">
        <v>21</v>
      </c>
      <c r="R916" s="8" t="s">
        <v>21</v>
      </c>
      <c r="S916" s="8" t="s">
        <v>21</v>
      </c>
      <c r="T916" s="8" t="s">
        <v>21</v>
      </c>
      <c r="U916" s="6">
        <f t="shared" si="127"/>
        <v>39.195</v>
      </c>
      <c r="V916" s="6">
        <f t="shared" si="129"/>
        <v>39.195</v>
      </c>
    </row>
    <row r="917" spans="1:22" hidden="1" x14ac:dyDescent="0.35">
      <c r="A917" s="6" t="s">
        <v>1035</v>
      </c>
      <c r="B917" s="6" t="s">
        <v>1031</v>
      </c>
      <c r="C917" s="6" t="s">
        <v>1032</v>
      </c>
      <c r="D917" s="6">
        <f t="shared" si="130"/>
        <v>0.5</v>
      </c>
      <c r="E917" s="6" t="s">
        <v>23</v>
      </c>
      <c r="F917" s="6" t="str">
        <f>MID(A917,19,1)</f>
        <v>C</v>
      </c>
      <c r="G917" s="6">
        <v>-23.251004022181782</v>
      </c>
      <c r="H917" s="6">
        <v>-46.874642543508642</v>
      </c>
      <c r="I917" s="7">
        <v>18326.189999999999</v>
      </c>
      <c r="J917" s="9">
        <f>I917/500</f>
        <v>36.652380000000001</v>
      </c>
      <c r="K917" s="6">
        <v>8.0299999999999994</v>
      </c>
      <c r="L917" s="6">
        <v>80</v>
      </c>
      <c r="N917" s="1">
        <f t="shared" si="126"/>
        <v>0</v>
      </c>
      <c r="O917" s="8" t="s">
        <v>185</v>
      </c>
      <c r="P917" s="8"/>
      <c r="Q917" s="8" t="s">
        <v>21</v>
      </c>
      <c r="R917" s="8" t="s">
        <v>21</v>
      </c>
      <c r="S917" s="8" t="s">
        <v>21</v>
      </c>
      <c r="T917" s="8" t="s">
        <v>21</v>
      </c>
      <c r="U917" s="6">
        <f t="shared" si="127"/>
        <v>14660.951999999999</v>
      </c>
      <c r="V917" s="6">
        <f t="shared" si="129"/>
        <v>14660.951999999999</v>
      </c>
    </row>
    <row r="918" spans="1:22" hidden="1" x14ac:dyDescent="0.35">
      <c r="A918" s="6" t="s">
        <v>1036</v>
      </c>
      <c r="B918" s="6" t="s">
        <v>1031</v>
      </c>
      <c r="C918" s="6" t="s">
        <v>1032</v>
      </c>
      <c r="D918" s="6">
        <f t="shared" si="130"/>
        <v>0.5</v>
      </c>
      <c r="E918" s="6" t="s">
        <v>19</v>
      </c>
      <c r="F918" s="6" t="str">
        <f>MID(A918,19,1)</f>
        <v>S</v>
      </c>
      <c r="G918" s="6">
        <v>-23.25319970610796</v>
      </c>
      <c r="H918" s="6">
        <v>-46.872431105138773</v>
      </c>
      <c r="I918" s="9">
        <v>289.47000000000003</v>
      </c>
      <c r="K918" s="6">
        <v>4.28</v>
      </c>
      <c r="L918" s="6">
        <v>60</v>
      </c>
      <c r="N918" s="1">
        <f t="shared" si="126"/>
        <v>0</v>
      </c>
      <c r="O918" s="8" t="s">
        <v>20</v>
      </c>
      <c r="P918" s="8"/>
      <c r="Q918" s="8" t="s">
        <v>21</v>
      </c>
      <c r="R918" s="8" t="s">
        <v>21</v>
      </c>
      <c r="S918" s="8" t="s">
        <v>21</v>
      </c>
      <c r="T918" s="8" t="s">
        <v>21</v>
      </c>
      <c r="U918" s="6">
        <f t="shared" si="127"/>
        <v>173.68200000000002</v>
      </c>
      <c r="V918" s="6">
        <f t="shared" si="129"/>
        <v>173.68200000000002</v>
      </c>
    </row>
    <row r="919" spans="1:22" hidden="1" x14ac:dyDescent="0.35">
      <c r="A919" s="6" t="s">
        <v>1037</v>
      </c>
      <c r="B919" s="6" t="s">
        <v>1031</v>
      </c>
      <c r="C919" s="6" t="s">
        <v>1032</v>
      </c>
      <c r="D919" s="6">
        <f t="shared" si="130"/>
        <v>0.5</v>
      </c>
      <c r="E919" s="6" t="s">
        <v>23</v>
      </c>
      <c r="F919" s="6" t="str">
        <f>MID(A919,19,1)</f>
        <v>C</v>
      </c>
      <c r="G919" s="6">
        <v>-23.253957769008959</v>
      </c>
      <c r="H919" s="6">
        <v>-46.871134605099087</v>
      </c>
      <c r="I919" s="7">
        <v>11113.11</v>
      </c>
      <c r="J919" s="9">
        <f>I919/500</f>
        <v>22.226220000000001</v>
      </c>
      <c r="K919" s="6">
        <v>4.82</v>
      </c>
      <c r="L919" s="6">
        <v>80</v>
      </c>
      <c r="N919" s="1">
        <f t="shared" si="126"/>
        <v>0</v>
      </c>
      <c r="O919" s="8" t="s">
        <v>185</v>
      </c>
      <c r="P919" s="8"/>
      <c r="Q919" s="8" t="s">
        <v>21</v>
      </c>
      <c r="R919" s="8" t="s">
        <v>21</v>
      </c>
      <c r="S919" s="8" t="s">
        <v>21</v>
      </c>
      <c r="T919" s="8" t="s">
        <v>21</v>
      </c>
      <c r="U919" s="6">
        <f t="shared" si="127"/>
        <v>8890.4880000000012</v>
      </c>
      <c r="V919" s="6">
        <f t="shared" si="129"/>
        <v>8890.4880000000012</v>
      </c>
    </row>
    <row r="920" spans="1:22" hidden="1" x14ac:dyDescent="0.35">
      <c r="A920" s="6" t="s">
        <v>1038</v>
      </c>
      <c r="B920" s="6" t="s">
        <v>1031</v>
      </c>
      <c r="C920" s="6" t="s">
        <v>1032</v>
      </c>
      <c r="D920" s="6">
        <f t="shared" si="130"/>
        <v>0.5</v>
      </c>
      <c r="E920" s="6" t="s">
        <v>19</v>
      </c>
      <c r="F920" s="6" t="str">
        <f>MID(A920,19,1)</f>
        <v>S</v>
      </c>
      <c r="G920" s="6">
        <v>-23.266578215842699</v>
      </c>
      <c r="H920" s="6">
        <v>-46.868215830630177</v>
      </c>
      <c r="I920" s="9">
        <v>1381.75</v>
      </c>
      <c r="K920" s="6">
        <v>5.85</v>
      </c>
      <c r="L920" s="6">
        <v>40</v>
      </c>
      <c r="N920" s="1">
        <f t="shared" si="126"/>
        <v>0</v>
      </c>
      <c r="O920" s="8" t="s">
        <v>20</v>
      </c>
      <c r="P920" s="8"/>
      <c r="Q920" s="8" t="s">
        <v>21</v>
      </c>
      <c r="R920" s="8" t="s">
        <v>21</v>
      </c>
      <c r="S920" s="8" t="s">
        <v>21</v>
      </c>
      <c r="T920" s="8" t="s">
        <v>21</v>
      </c>
      <c r="U920" s="6">
        <f t="shared" si="127"/>
        <v>552.70000000000005</v>
      </c>
      <c r="V920" s="6">
        <f t="shared" si="129"/>
        <v>552.70000000000005</v>
      </c>
    </row>
    <row r="921" spans="1:22" x14ac:dyDescent="0.35">
      <c r="A921" s="6" t="s">
        <v>1039</v>
      </c>
      <c r="B921" s="6" t="s">
        <v>1031</v>
      </c>
      <c r="C921" s="6" t="s">
        <v>1032</v>
      </c>
      <c r="D921" s="6">
        <f t="shared" si="130"/>
        <v>0.5</v>
      </c>
      <c r="E921" s="6" t="s">
        <v>19</v>
      </c>
      <c r="F921" s="6" t="str">
        <f>MID(A921,19,1)</f>
        <v>N</v>
      </c>
      <c r="G921" s="6">
        <v>-23.266808209645571</v>
      </c>
      <c r="H921" s="6">
        <v>-46.867634272651152</v>
      </c>
      <c r="I921" s="9">
        <v>1363.29</v>
      </c>
      <c r="K921" s="6">
        <v>16.059999999999999</v>
      </c>
      <c r="L921" s="6">
        <v>0</v>
      </c>
      <c r="N921" s="1">
        <f t="shared" si="126"/>
        <v>0</v>
      </c>
      <c r="O921" s="8"/>
      <c r="P921" s="8"/>
      <c r="Q921" s="8" t="s">
        <v>21</v>
      </c>
      <c r="R921" s="8" t="s">
        <v>21</v>
      </c>
      <c r="S921" s="8" t="s">
        <v>21</v>
      </c>
      <c r="T921" s="8" t="s">
        <v>21</v>
      </c>
      <c r="U921" s="6">
        <f t="shared" si="127"/>
        <v>0</v>
      </c>
      <c r="V921" s="6">
        <f t="shared" si="129"/>
        <v>0</v>
      </c>
    </row>
    <row r="922" spans="1:22" x14ac:dyDescent="0.35">
      <c r="A922" s="6" t="s">
        <v>1040</v>
      </c>
      <c r="B922" s="6" t="s">
        <v>1031</v>
      </c>
      <c r="C922" s="6" t="s">
        <v>1032</v>
      </c>
      <c r="D922" s="6">
        <f t="shared" si="130"/>
        <v>0.5</v>
      </c>
      <c r="E922" s="6" t="s">
        <v>19</v>
      </c>
      <c r="F922" s="6" t="str">
        <f>MID(A922,19,1)</f>
        <v>N</v>
      </c>
      <c r="G922" s="6">
        <v>-23.266478258460751</v>
      </c>
      <c r="H922" s="6">
        <v>-46.867726192531443</v>
      </c>
      <c r="I922" s="9">
        <v>4847.83</v>
      </c>
      <c r="K922" s="6">
        <v>16.48</v>
      </c>
      <c r="L922" s="6">
        <v>0</v>
      </c>
      <c r="N922" s="1">
        <f t="shared" si="126"/>
        <v>0</v>
      </c>
      <c r="O922" s="8"/>
      <c r="P922" s="8"/>
      <c r="Q922" s="8" t="s">
        <v>21</v>
      </c>
      <c r="R922" s="8" t="s">
        <v>21</v>
      </c>
      <c r="S922" s="8" t="s">
        <v>21</v>
      </c>
      <c r="T922" s="8" t="s">
        <v>21</v>
      </c>
      <c r="U922" s="6">
        <f t="shared" si="127"/>
        <v>0</v>
      </c>
      <c r="V922" s="6">
        <f t="shared" si="129"/>
        <v>0</v>
      </c>
    </row>
    <row r="923" spans="1:22" hidden="1" x14ac:dyDescent="0.35">
      <c r="A923" s="6" t="s">
        <v>1041</v>
      </c>
      <c r="B923" s="6" t="s">
        <v>1031</v>
      </c>
      <c r="C923" s="6" t="s">
        <v>1032</v>
      </c>
      <c r="D923" s="6">
        <f t="shared" si="130"/>
        <v>0.5</v>
      </c>
      <c r="E923" s="6" t="s">
        <v>19</v>
      </c>
      <c r="F923" s="6" t="str">
        <f>MID(A923,19,1)</f>
        <v>S</v>
      </c>
      <c r="G923" s="6">
        <v>-23.254266977912391</v>
      </c>
      <c r="H923" s="6">
        <v>-46.871283544998242</v>
      </c>
      <c r="I923" s="9">
        <v>1354.41</v>
      </c>
      <c r="K923" s="6">
        <v>7.66</v>
      </c>
      <c r="L923" s="6">
        <v>60</v>
      </c>
      <c r="N923" s="1">
        <f t="shared" si="126"/>
        <v>0</v>
      </c>
      <c r="O923" s="8" t="s">
        <v>20</v>
      </c>
      <c r="P923" s="8"/>
      <c r="Q923" s="8" t="s">
        <v>21</v>
      </c>
      <c r="R923" s="8" t="s">
        <v>21</v>
      </c>
      <c r="S923" s="8" t="s">
        <v>21</v>
      </c>
      <c r="T923" s="8" t="s">
        <v>21</v>
      </c>
      <c r="U923" s="6">
        <f t="shared" si="127"/>
        <v>812.64600000000007</v>
      </c>
      <c r="V923" s="6">
        <f t="shared" si="129"/>
        <v>812.64600000000007</v>
      </c>
    </row>
    <row r="924" spans="1:22" hidden="1" x14ac:dyDescent="0.35">
      <c r="A924" s="6" t="s">
        <v>1042</v>
      </c>
      <c r="B924" s="6" t="s">
        <v>1031</v>
      </c>
      <c r="C924" s="6" t="s">
        <v>1032</v>
      </c>
      <c r="D924" s="6">
        <f t="shared" si="130"/>
        <v>0.5</v>
      </c>
      <c r="E924" s="6" t="s">
        <v>19</v>
      </c>
      <c r="F924" s="6" t="str">
        <f>MID(A924,19,1)</f>
        <v>S</v>
      </c>
      <c r="G924" s="6">
        <v>-23.251293069408351</v>
      </c>
      <c r="H924" s="6">
        <v>-46.874769573228988</v>
      </c>
      <c r="I924" s="9">
        <v>2528.16</v>
      </c>
      <c r="K924" s="6">
        <v>5.51</v>
      </c>
      <c r="L924" s="6">
        <v>30</v>
      </c>
      <c r="N924" s="1">
        <f t="shared" si="126"/>
        <v>0</v>
      </c>
      <c r="O924" s="8" t="s">
        <v>20</v>
      </c>
      <c r="P924" s="8"/>
      <c r="Q924" s="8" t="s">
        <v>21</v>
      </c>
      <c r="R924" s="8" t="s">
        <v>21</v>
      </c>
      <c r="S924" s="8" t="s">
        <v>21</v>
      </c>
      <c r="T924" s="8" t="s">
        <v>21</v>
      </c>
      <c r="U924" s="6">
        <f t="shared" si="127"/>
        <v>758.44799999999998</v>
      </c>
      <c r="V924" s="6">
        <f t="shared" si="129"/>
        <v>758.44799999999998</v>
      </c>
    </row>
    <row r="925" spans="1:22" x14ac:dyDescent="0.35">
      <c r="A925" s="6" t="s">
        <v>1043</v>
      </c>
      <c r="B925" s="6" t="s">
        <v>1031</v>
      </c>
      <c r="C925" s="6" t="s">
        <v>1032</v>
      </c>
      <c r="D925" s="6">
        <f t="shared" si="130"/>
        <v>0.5</v>
      </c>
      <c r="E925" s="6" t="s">
        <v>19</v>
      </c>
      <c r="F925" s="6" t="str">
        <f>MID(A925,19,1)</f>
        <v>N</v>
      </c>
      <c r="G925" s="6">
        <v>-23.26796778912048</v>
      </c>
      <c r="H925" s="6">
        <v>-46.86813768375562</v>
      </c>
      <c r="I925" s="9">
        <v>945.55</v>
      </c>
      <c r="K925" s="6">
        <v>8.17</v>
      </c>
      <c r="L925" s="6">
        <v>90</v>
      </c>
      <c r="N925" s="1">
        <f t="shared" si="126"/>
        <v>0</v>
      </c>
      <c r="O925" s="8" t="s">
        <v>20</v>
      </c>
      <c r="P925" s="8"/>
      <c r="Q925" s="8" t="s">
        <v>21</v>
      </c>
      <c r="R925" s="8" t="s">
        <v>21</v>
      </c>
      <c r="S925" s="8" t="s">
        <v>21</v>
      </c>
      <c r="T925" s="8" t="s">
        <v>21</v>
      </c>
      <c r="U925" s="6">
        <f t="shared" si="127"/>
        <v>850.995</v>
      </c>
      <c r="V925" s="6">
        <f t="shared" si="129"/>
        <v>850.995</v>
      </c>
    </row>
    <row r="926" spans="1:22" x14ac:dyDescent="0.35">
      <c r="A926" s="6" t="s">
        <v>1044</v>
      </c>
      <c r="B926" s="6" t="s">
        <v>1045</v>
      </c>
      <c r="C926" s="6" t="s">
        <v>1046</v>
      </c>
      <c r="D926" s="6">
        <f t="shared" si="130"/>
        <v>0.5</v>
      </c>
      <c r="E926" s="6" t="s">
        <v>19</v>
      </c>
      <c r="F926" s="6" t="str">
        <f>MID(A926,19,1)</f>
        <v>N</v>
      </c>
      <c r="G926" s="6">
        <v>-23.25588261505612</v>
      </c>
      <c r="H926" s="6">
        <v>-46.866998633916722</v>
      </c>
      <c r="I926" s="9">
        <v>384.77</v>
      </c>
      <c r="K926" s="6">
        <v>3.41</v>
      </c>
      <c r="L926" s="6">
        <v>80</v>
      </c>
      <c r="N926" s="1">
        <f t="shared" si="126"/>
        <v>0</v>
      </c>
      <c r="O926" s="8" t="s">
        <v>185</v>
      </c>
      <c r="P926" s="8"/>
      <c r="Q926" s="8" t="s">
        <v>21</v>
      </c>
      <c r="R926" s="8" t="s">
        <v>21</v>
      </c>
      <c r="S926" s="8" t="s">
        <v>21</v>
      </c>
      <c r="T926" s="8" t="s">
        <v>21</v>
      </c>
      <c r="U926" s="6">
        <f t="shared" si="127"/>
        <v>307.81600000000003</v>
      </c>
      <c r="V926" s="6">
        <f t="shared" si="129"/>
        <v>307.81600000000003</v>
      </c>
    </row>
    <row r="927" spans="1:22" x14ac:dyDescent="0.35">
      <c r="A927" s="6" t="s">
        <v>1047</v>
      </c>
      <c r="B927" s="6" t="s">
        <v>1045</v>
      </c>
      <c r="C927" s="6" t="s">
        <v>1046</v>
      </c>
      <c r="D927" s="6">
        <f t="shared" si="130"/>
        <v>0.5</v>
      </c>
      <c r="E927" s="6" t="s">
        <v>19</v>
      </c>
      <c r="F927" s="6" t="str">
        <f>MID(A927,19,1)</f>
        <v>N</v>
      </c>
      <c r="G927" s="6">
        <v>-23.25396177756571</v>
      </c>
      <c r="H927" s="6">
        <v>-46.866497324518789</v>
      </c>
      <c r="I927" s="9">
        <v>1544.16</v>
      </c>
      <c r="K927" s="6">
        <v>4.55</v>
      </c>
      <c r="L927" s="6">
        <v>80</v>
      </c>
      <c r="N927" s="1">
        <f t="shared" si="126"/>
        <v>0</v>
      </c>
      <c r="O927" s="8" t="s">
        <v>185</v>
      </c>
      <c r="P927" s="8"/>
      <c r="Q927" s="8" t="s">
        <v>21</v>
      </c>
      <c r="R927" s="8" t="s">
        <v>21</v>
      </c>
      <c r="S927" s="8" t="s">
        <v>21</v>
      </c>
      <c r="T927" s="8" t="s">
        <v>21</v>
      </c>
      <c r="U927" s="6">
        <f t="shared" si="127"/>
        <v>1235.3280000000002</v>
      </c>
      <c r="V927" s="6">
        <f t="shared" si="129"/>
        <v>1235.3280000000002</v>
      </c>
    </row>
    <row r="928" spans="1:22" hidden="1" x14ac:dyDescent="0.35">
      <c r="A928" s="6" t="s">
        <v>1048</v>
      </c>
      <c r="B928" s="6" t="s">
        <v>1045</v>
      </c>
      <c r="C928" s="6" t="s">
        <v>1046</v>
      </c>
      <c r="D928" s="6">
        <f t="shared" si="130"/>
        <v>0.5</v>
      </c>
      <c r="E928" s="6" t="s">
        <v>19</v>
      </c>
      <c r="F928" s="6" t="str">
        <f>MID(A928,19,1)</f>
        <v>S</v>
      </c>
      <c r="G928" s="6">
        <v>-23.252637679540371</v>
      </c>
      <c r="H928" s="6">
        <v>-46.866836926500703</v>
      </c>
      <c r="I928" s="9">
        <v>411.73</v>
      </c>
      <c r="K928" s="6">
        <v>9.59</v>
      </c>
      <c r="L928" s="6">
        <v>40</v>
      </c>
      <c r="N928" s="1">
        <f t="shared" si="126"/>
        <v>0</v>
      </c>
      <c r="O928" s="8" t="s">
        <v>20</v>
      </c>
      <c r="P928" s="8"/>
      <c r="Q928" s="8" t="s">
        <v>21</v>
      </c>
      <c r="R928" s="8" t="s">
        <v>21</v>
      </c>
      <c r="S928" s="8" t="s">
        <v>21</v>
      </c>
      <c r="T928" s="8" t="s">
        <v>21</v>
      </c>
      <c r="U928" s="6">
        <f t="shared" si="127"/>
        <v>164.69200000000001</v>
      </c>
      <c r="V928" s="6">
        <f t="shared" si="129"/>
        <v>164.69200000000001</v>
      </c>
    </row>
    <row r="929" spans="1:22" x14ac:dyDescent="0.35">
      <c r="A929" s="6" t="s">
        <v>1049</v>
      </c>
      <c r="B929" s="6" t="s">
        <v>1045</v>
      </c>
      <c r="C929" s="6" t="s">
        <v>1046</v>
      </c>
      <c r="D929" s="6">
        <f t="shared" si="130"/>
        <v>0.5</v>
      </c>
      <c r="E929" s="6" t="s">
        <v>19</v>
      </c>
      <c r="F929" s="6" t="str">
        <f>MID(A929,19,1)</f>
        <v>N</v>
      </c>
      <c r="G929" s="6">
        <v>-23.247278400754411</v>
      </c>
      <c r="H929" s="6">
        <v>-46.878613834584669</v>
      </c>
      <c r="I929" s="9">
        <v>985.82</v>
      </c>
      <c r="K929" s="6">
        <v>5.12</v>
      </c>
      <c r="L929" s="6">
        <v>0</v>
      </c>
      <c r="N929" s="1">
        <f t="shared" si="126"/>
        <v>0</v>
      </c>
      <c r="O929" s="8"/>
      <c r="P929" s="8"/>
      <c r="Q929" s="8" t="s">
        <v>21</v>
      </c>
      <c r="R929" s="8" t="s">
        <v>21</v>
      </c>
      <c r="S929" s="8" t="s">
        <v>21</v>
      </c>
      <c r="T929" s="8" t="s">
        <v>21</v>
      </c>
      <c r="U929" s="6">
        <f t="shared" si="127"/>
        <v>0</v>
      </c>
      <c r="V929" s="6">
        <f t="shared" si="129"/>
        <v>0</v>
      </c>
    </row>
    <row r="930" spans="1:22" x14ac:dyDescent="0.35">
      <c r="A930" s="6" t="s">
        <v>1050</v>
      </c>
      <c r="B930" s="6" t="s">
        <v>1045</v>
      </c>
      <c r="C930" s="6" t="s">
        <v>1046</v>
      </c>
      <c r="D930" s="6">
        <f t="shared" si="130"/>
        <v>0.5</v>
      </c>
      <c r="E930" s="6" t="s">
        <v>19</v>
      </c>
      <c r="F930" s="6" t="str">
        <f>MID(A930,19,1)</f>
        <v>N</v>
      </c>
      <c r="G930" s="6">
        <v>-23.248483289929322</v>
      </c>
      <c r="H930" s="6">
        <v>-46.877158244188713</v>
      </c>
      <c r="I930" s="9">
        <v>1741.89</v>
      </c>
      <c r="K930" s="6">
        <v>6.1</v>
      </c>
      <c r="L930" s="6">
        <v>0</v>
      </c>
      <c r="N930" s="1">
        <f t="shared" si="126"/>
        <v>0</v>
      </c>
      <c r="O930" s="8"/>
      <c r="P930" s="8"/>
      <c r="Q930" s="8" t="s">
        <v>21</v>
      </c>
      <c r="R930" s="8" t="s">
        <v>21</v>
      </c>
      <c r="S930" s="8" t="s">
        <v>21</v>
      </c>
      <c r="T930" s="8" t="s">
        <v>21</v>
      </c>
      <c r="U930" s="6">
        <f t="shared" si="127"/>
        <v>0</v>
      </c>
      <c r="V930" s="6">
        <f t="shared" si="129"/>
        <v>0</v>
      </c>
    </row>
    <row r="931" spans="1:22" hidden="1" x14ac:dyDescent="0.35">
      <c r="A931" s="6" t="s">
        <v>1051</v>
      </c>
      <c r="B931" s="6" t="s">
        <v>1045</v>
      </c>
      <c r="C931" s="6" t="s">
        <v>1046</v>
      </c>
      <c r="D931" s="6">
        <f t="shared" si="130"/>
        <v>0.5</v>
      </c>
      <c r="E931" s="6" t="s">
        <v>19</v>
      </c>
      <c r="F931" s="6" t="str">
        <f>MID(A931,19,1)</f>
        <v>S</v>
      </c>
      <c r="G931" s="6">
        <v>-23.247705401472121</v>
      </c>
      <c r="H931" s="6">
        <v>-46.879066413939803</v>
      </c>
      <c r="I931" s="9">
        <v>967.9</v>
      </c>
      <c r="K931" s="6">
        <v>6.13</v>
      </c>
      <c r="L931" s="6">
        <v>30</v>
      </c>
      <c r="N931" s="1">
        <f t="shared" si="126"/>
        <v>0</v>
      </c>
      <c r="O931" s="8" t="s">
        <v>20</v>
      </c>
      <c r="P931" s="8"/>
      <c r="Q931" s="8" t="s">
        <v>21</v>
      </c>
      <c r="R931" s="8" t="s">
        <v>21</v>
      </c>
      <c r="S931" s="8" t="s">
        <v>21</v>
      </c>
      <c r="T931" s="8" t="s">
        <v>21</v>
      </c>
      <c r="U931" s="6">
        <f t="shared" si="127"/>
        <v>290.37</v>
      </c>
      <c r="V931" s="6">
        <f t="shared" si="129"/>
        <v>290.37</v>
      </c>
    </row>
    <row r="932" spans="1:22" x14ac:dyDescent="0.35">
      <c r="A932" s="6" t="s">
        <v>1052</v>
      </c>
      <c r="B932" s="6" t="s">
        <v>1045</v>
      </c>
      <c r="C932" s="6" t="s">
        <v>1046</v>
      </c>
      <c r="D932" s="6">
        <f t="shared" si="130"/>
        <v>0.5</v>
      </c>
      <c r="E932" s="6" t="s">
        <v>19</v>
      </c>
      <c r="F932" s="6" t="str">
        <f>MID(A932,19,1)</f>
        <v>N</v>
      </c>
      <c r="G932" s="6">
        <v>-23.248480295576261</v>
      </c>
      <c r="H932" s="6">
        <v>-46.876929538689772</v>
      </c>
      <c r="I932" s="9">
        <v>479.15</v>
      </c>
      <c r="K932" s="6">
        <v>5.81</v>
      </c>
      <c r="L932" s="6">
        <v>0</v>
      </c>
      <c r="N932" s="1">
        <f t="shared" si="126"/>
        <v>0</v>
      </c>
      <c r="O932" s="8"/>
      <c r="P932" s="8"/>
      <c r="Q932" s="8" t="s">
        <v>21</v>
      </c>
      <c r="R932" s="8" t="s">
        <v>21</v>
      </c>
      <c r="S932" s="8" t="s">
        <v>21</v>
      </c>
      <c r="T932" s="8" t="s">
        <v>21</v>
      </c>
      <c r="U932" s="6">
        <f t="shared" si="127"/>
        <v>0</v>
      </c>
      <c r="V932" s="6">
        <f t="shared" si="129"/>
        <v>0</v>
      </c>
    </row>
    <row r="933" spans="1:22" hidden="1" x14ac:dyDescent="0.35">
      <c r="A933" s="6" t="s">
        <v>1053</v>
      </c>
      <c r="B933" s="6" t="s">
        <v>1045</v>
      </c>
      <c r="C933" s="6" t="s">
        <v>1046</v>
      </c>
      <c r="D933" s="6">
        <f t="shared" si="130"/>
        <v>0.5</v>
      </c>
      <c r="E933" s="6" t="s">
        <v>23</v>
      </c>
      <c r="F933" s="6" t="str">
        <f>MID(A933,19,1)</f>
        <v>C</v>
      </c>
      <c r="G933" s="6">
        <v>-23.25709084321883</v>
      </c>
      <c r="H933" s="6">
        <v>-46.86715264920236</v>
      </c>
      <c r="I933" s="9">
        <v>1011.6</v>
      </c>
      <c r="J933" s="9">
        <f>I933/500</f>
        <v>2.0232000000000001</v>
      </c>
      <c r="K933" s="6">
        <v>3.94</v>
      </c>
      <c r="L933" s="6">
        <v>20</v>
      </c>
      <c r="N933" s="1">
        <f t="shared" si="126"/>
        <v>0</v>
      </c>
      <c r="O933" s="8" t="s">
        <v>20</v>
      </c>
      <c r="P933" s="8"/>
      <c r="Q933" s="8" t="s">
        <v>21</v>
      </c>
      <c r="R933" s="8" t="s">
        <v>21</v>
      </c>
      <c r="S933" s="8" t="s">
        <v>21</v>
      </c>
      <c r="T933" s="8" t="s">
        <v>21</v>
      </c>
      <c r="U933" s="6">
        <f t="shared" si="127"/>
        <v>202.32000000000002</v>
      </c>
      <c r="V933" s="6">
        <f t="shared" si="129"/>
        <v>202.32000000000002</v>
      </c>
    </row>
    <row r="934" spans="1:22" hidden="1" x14ac:dyDescent="0.35">
      <c r="A934" s="6" t="s">
        <v>1054</v>
      </c>
      <c r="B934" s="6" t="s">
        <v>1045</v>
      </c>
      <c r="C934" s="6" t="s">
        <v>1046</v>
      </c>
      <c r="D934" s="6">
        <f t="shared" si="130"/>
        <v>0.5</v>
      </c>
      <c r="E934" s="6" t="s">
        <v>19</v>
      </c>
      <c r="F934" s="6" t="str">
        <f>MID(A934,19,1)</f>
        <v>S</v>
      </c>
      <c r="G934" s="6">
        <v>-23.252924768524689</v>
      </c>
      <c r="H934" s="6">
        <v>-46.866743800397373</v>
      </c>
      <c r="I934" s="9">
        <v>1748.21</v>
      </c>
      <c r="K934" s="6">
        <v>7.08</v>
      </c>
      <c r="L934" s="6">
        <v>40</v>
      </c>
      <c r="N934" s="1">
        <f t="shared" si="126"/>
        <v>0</v>
      </c>
      <c r="O934" s="8" t="s">
        <v>20</v>
      </c>
      <c r="P934" s="8"/>
      <c r="Q934" s="8" t="s">
        <v>21</v>
      </c>
      <c r="R934" s="8" t="s">
        <v>21</v>
      </c>
      <c r="S934" s="8" t="s">
        <v>21</v>
      </c>
      <c r="T934" s="8" t="s">
        <v>21</v>
      </c>
      <c r="U934" s="6">
        <f t="shared" si="127"/>
        <v>699.28400000000011</v>
      </c>
      <c r="V934" s="6">
        <f t="shared" si="129"/>
        <v>699.28400000000011</v>
      </c>
    </row>
    <row r="935" spans="1:22" x14ac:dyDescent="0.35">
      <c r="A935" s="6" t="s">
        <v>1055</v>
      </c>
      <c r="B935" s="6" t="s">
        <v>1045</v>
      </c>
      <c r="C935" s="6" t="s">
        <v>1046</v>
      </c>
      <c r="D935" s="6">
        <f t="shared" si="130"/>
        <v>0.5</v>
      </c>
      <c r="E935" s="6" t="s">
        <v>19</v>
      </c>
      <c r="F935" s="6" t="str">
        <f>MID(A935,19,1)</f>
        <v>N</v>
      </c>
      <c r="G935" s="6">
        <v>-23.2540583154858</v>
      </c>
      <c r="H935" s="6">
        <v>-46.866679813652063</v>
      </c>
      <c r="I935" s="9">
        <v>2867.65</v>
      </c>
      <c r="K935" s="6">
        <v>4.67</v>
      </c>
      <c r="L935" s="6">
        <v>80</v>
      </c>
      <c r="N935" s="1">
        <f t="shared" si="126"/>
        <v>0</v>
      </c>
      <c r="O935" s="8" t="s">
        <v>185</v>
      </c>
      <c r="P935" s="8"/>
      <c r="Q935" s="8" t="s">
        <v>21</v>
      </c>
      <c r="R935" s="8" t="s">
        <v>21</v>
      </c>
      <c r="S935" s="8" t="s">
        <v>21</v>
      </c>
      <c r="T935" s="8" t="s">
        <v>21</v>
      </c>
      <c r="U935" s="6">
        <f t="shared" si="127"/>
        <v>2294.1200000000003</v>
      </c>
      <c r="V935" s="6">
        <f t="shared" si="129"/>
        <v>2294.1200000000003</v>
      </c>
    </row>
    <row r="936" spans="1:22" hidden="1" x14ac:dyDescent="0.35">
      <c r="A936" s="6" t="s">
        <v>1056</v>
      </c>
      <c r="B936" s="6" t="s">
        <v>1045</v>
      </c>
      <c r="C936" s="6" t="s">
        <v>1046</v>
      </c>
      <c r="D936" s="6">
        <f t="shared" si="130"/>
        <v>0.5</v>
      </c>
      <c r="E936" s="6" t="s">
        <v>19</v>
      </c>
      <c r="F936" s="6" t="str">
        <f>MID(A936,19,1)</f>
        <v>S</v>
      </c>
      <c r="G936" s="6">
        <v>-23.255090887332429</v>
      </c>
      <c r="H936" s="6">
        <v>-46.867368997886793</v>
      </c>
      <c r="I936" s="9">
        <v>970.79</v>
      </c>
      <c r="K936" s="6">
        <v>6.98</v>
      </c>
      <c r="L936" s="6">
        <v>40</v>
      </c>
      <c r="N936" s="1">
        <f t="shared" si="126"/>
        <v>0</v>
      </c>
      <c r="O936" s="8" t="s">
        <v>20</v>
      </c>
      <c r="P936" s="8"/>
      <c r="Q936" s="8" t="s">
        <v>21</v>
      </c>
      <c r="R936" s="8" t="s">
        <v>21</v>
      </c>
      <c r="S936" s="8" t="s">
        <v>21</v>
      </c>
      <c r="T936" s="8" t="s">
        <v>21</v>
      </c>
      <c r="U936" s="6">
        <f t="shared" si="127"/>
        <v>388.31600000000003</v>
      </c>
      <c r="V936" s="6">
        <f t="shared" si="129"/>
        <v>388.31600000000003</v>
      </c>
    </row>
    <row r="937" spans="1:22" hidden="1" x14ac:dyDescent="0.35">
      <c r="A937" s="6" t="s">
        <v>1057</v>
      </c>
      <c r="B937" s="6" t="s">
        <v>1045</v>
      </c>
      <c r="C937" s="6" t="s">
        <v>1046</v>
      </c>
      <c r="D937" s="6">
        <f t="shared" si="130"/>
        <v>0.5</v>
      </c>
      <c r="E937" s="6" t="s">
        <v>23</v>
      </c>
      <c r="F937" s="6" t="str">
        <f>MID(A937,19,1)</f>
        <v>C</v>
      </c>
      <c r="G937" s="6">
        <v>-23.248847120778709</v>
      </c>
      <c r="H937" s="6">
        <v>-46.877345020264791</v>
      </c>
      <c r="I937" s="7">
        <v>3637.42</v>
      </c>
      <c r="J937" s="9">
        <f>I937/500</f>
        <v>7.2748400000000002</v>
      </c>
      <c r="K937" s="6">
        <v>6.32</v>
      </c>
      <c r="L937" s="6">
        <v>80</v>
      </c>
      <c r="N937" s="1">
        <f t="shared" si="126"/>
        <v>0</v>
      </c>
      <c r="O937" s="8" t="s">
        <v>185</v>
      </c>
      <c r="P937" s="8"/>
      <c r="Q937" s="8" t="s">
        <v>21</v>
      </c>
      <c r="R937" s="8" t="s">
        <v>21</v>
      </c>
      <c r="S937" s="8" t="s">
        <v>21</v>
      </c>
      <c r="T937" s="8" t="s">
        <v>21</v>
      </c>
      <c r="U937" s="6">
        <f t="shared" si="127"/>
        <v>2909.9360000000001</v>
      </c>
      <c r="V937" s="6">
        <f t="shared" si="129"/>
        <v>2909.9360000000001</v>
      </c>
    </row>
    <row r="938" spans="1:22" hidden="1" x14ac:dyDescent="0.35">
      <c r="A938" s="6" t="s">
        <v>1058</v>
      </c>
      <c r="B938" s="6" t="s">
        <v>1045</v>
      </c>
      <c r="C938" s="6" t="s">
        <v>1046</v>
      </c>
      <c r="D938" s="6">
        <f t="shared" si="130"/>
        <v>0.5</v>
      </c>
      <c r="E938" s="6" t="s">
        <v>19</v>
      </c>
      <c r="F938" s="6" t="str">
        <f>MID(A938,19,1)</f>
        <v>S</v>
      </c>
      <c r="G938" s="6">
        <v>-23.249272809876171</v>
      </c>
      <c r="H938" s="6">
        <v>-46.877675874714583</v>
      </c>
      <c r="I938" s="9">
        <v>589.20000000000005</v>
      </c>
      <c r="K938" s="6">
        <v>7.8</v>
      </c>
      <c r="L938" s="6">
        <v>30</v>
      </c>
      <c r="N938" s="1">
        <f t="shared" si="126"/>
        <v>0</v>
      </c>
      <c r="O938" s="8" t="s">
        <v>20</v>
      </c>
      <c r="P938" s="8"/>
      <c r="Q938" s="8" t="s">
        <v>21</v>
      </c>
      <c r="R938" s="8" t="s">
        <v>21</v>
      </c>
      <c r="S938" s="8" t="s">
        <v>21</v>
      </c>
      <c r="T938" s="8" t="s">
        <v>21</v>
      </c>
      <c r="U938" s="6">
        <f t="shared" si="127"/>
        <v>176.76000000000002</v>
      </c>
      <c r="V938" s="6">
        <f t="shared" si="129"/>
        <v>176.76000000000002</v>
      </c>
    </row>
    <row r="939" spans="1:22" x14ac:dyDescent="0.35">
      <c r="A939" s="6" t="s">
        <v>1059</v>
      </c>
      <c r="B939" s="6" t="s">
        <v>1045</v>
      </c>
      <c r="C939" s="6" t="s">
        <v>1046</v>
      </c>
      <c r="D939" s="6">
        <f t="shared" si="130"/>
        <v>0.5</v>
      </c>
      <c r="E939" s="6" t="s">
        <v>19</v>
      </c>
      <c r="F939" s="6" t="str">
        <f>MID(A939,19,1)</f>
        <v>N</v>
      </c>
      <c r="G939" s="6">
        <v>-23.244446618088791</v>
      </c>
      <c r="H939" s="6">
        <v>-46.881029073571867</v>
      </c>
      <c r="I939" s="9">
        <v>2213.06</v>
      </c>
      <c r="K939" s="6">
        <v>7.85</v>
      </c>
      <c r="L939" s="6">
        <v>50</v>
      </c>
      <c r="N939" s="1">
        <f t="shared" si="126"/>
        <v>0</v>
      </c>
      <c r="O939" s="8" t="s">
        <v>20</v>
      </c>
      <c r="P939" s="8"/>
      <c r="Q939" s="8" t="s">
        <v>21</v>
      </c>
      <c r="R939" s="8" t="s">
        <v>21</v>
      </c>
      <c r="S939" s="8" t="s">
        <v>21</v>
      </c>
      <c r="T939" s="8" t="s">
        <v>21</v>
      </c>
      <c r="U939" s="6">
        <f t="shared" si="127"/>
        <v>1106.53</v>
      </c>
      <c r="V939" s="6">
        <f t="shared" si="129"/>
        <v>1106.53</v>
      </c>
    </row>
    <row r="940" spans="1:22" hidden="1" x14ac:dyDescent="0.35">
      <c r="A940" s="6" t="s">
        <v>1060</v>
      </c>
      <c r="B940" s="6" t="s">
        <v>1045</v>
      </c>
      <c r="C940" s="6" t="s">
        <v>1046</v>
      </c>
      <c r="D940" s="6">
        <f t="shared" si="130"/>
        <v>0.5</v>
      </c>
      <c r="E940" s="6" t="s">
        <v>23</v>
      </c>
      <c r="F940" s="6" t="str">
        <f>MID(A940,19,1)</f>
        <v>C</v>
      </c>
      <c r="G940" s="6">
        <v>-23.247517475267269</v>
      </c>
      <c r="H940" s="6">
        <v>-46.878819446324812</v>
      </c>
      <c r="I940" s="7">
        <v>7599.86</v>
      </c>
      <c r="J940" s="9">
        <f t="shared" ref="J940:J941" si="131">I940/500</f>
        <v>15.199719999999999</v>
      </c>
      <c r="K940" s="6">
        <v>4.82</v>
      </c>
      <c r="L940" s="6">
        <v>80</v>
      </c>
      <c r="N940" s="1">
        <f t="shared" si="126"/>
        <v>0</v>
      </c>
      <c r="O940" s="8" t="s">
        <v>185</v>
      </c>
      <c r="P940" s="8"/>
      <c r="Q940" s="8" t="s">
        <v>21</v>
      </c>
      <c r="R940" s="8" t="s">
        <v>21</v>
      </c>
      <c r="S940" s="8" t="s">
        <v>21</v>
      </c>
      <c r="T940" s="8" t="s">
        <v>21</v>
      </c>
      <c r="U940" s="6">
        <f t="shared" si="127"/>
        <v>6079.8879999999999</v>
      </c>
      <c r="V940" s="6">
        <f t="shared" si="129"/>
        <v>6079.8879999999999</v>
      </c>
    </row>
    <row r="941" spans="1:22" hidden="1" x14ac:dyDescent="0.35">
      <c r="A941" s="6" t="s">
        <v>1061</v>
      </c>
      <c r="B941" s="6" t="s">
        <v>1045</v>
      </c>
      <c r="C941" s="6" t="s">
        <v>1046</v>
      </c>
      <c r="D941" s="6">
        <f t="shared" si="130"/>
        <v>0.5</v>
      </c>
      <c r="E941" s="6" t="s">
        <v>23</v>
      </c>
      <c r="F941" s="6" t="str">
        <f>MID(A941,19,1)</f>
        <v>C</v>
      </c>
      <c r="G941" s="6">
        <v>-23.257144819048211</v>
      </c>
      <c r="H941" s="6">
        <v>-46.86701637067457</v>
      </c>
      <c r="I941" s="9">
        <v>801.17</v>
      </c>
      <c r="J941" s="9">
        <f t="shared" si="131"/>
        <v>1.6023399999999999</v>
      </c>
      <c r="K941" s="6">
        <v>4.0599999999999996</v>
      </c>
      <c r="L941" s="6">
        <v>20</v>
      </c>
      <c r="N941" s="1">
        <f t="shared" si="126"/>
        <v>0</v>
      </c>
      <c r="O941" s="8" t="s">
        <v>20</v>
      </c>
      <c r="P941" s="8"/>
      <c r="Q941" s="8" t="s">
        <v>21</v>
      </c>
      <c r="R941" s="8" t="s">
        <v>21</v>
      </c>
      <c r="S941" s="8" t="s">
        <v>21</v>
      </c>
      <c r="T941" s="8" t="s">
        <v>21</v>
      </c>
      <c r="U941" s="6">
        <f t="shared" si="127"/>
        <v>160.23400000000001</v>
      </c>
      <c r="V941" s="6">
        <f t="shared" si="129"/>
        <v>160.23400000000001</v>
      </c>
    </row>
    <row r="942" spans="1:22" hidden="1" x14ac:dyDescent="0.35">
      <c r="A942" s="6" t="s">
        <v>1062</v>
      </c>
      <c r="B942" s="6" t="s">
        <v>1045</v>
      </c>
      <c r="C942" s="6" t="s">
        <v>1046</v>
      </c>
      <c r="D942" s="6">
        <f t="shared" si="130"/>
        <v>0.5</v>
      </c>
      <c r="E942" s="6" t="s">
        <v>19</v>
      </c>
      <c r="F942" s="6" t="str">
        <f>MID(A942,19,1)</f>
        <v>S</v>
      </c>
      <c r="G942" s="6">
        <v>-23.244828385121568</v>
      </c>
      <c r="H942" s="6">
        <v>-46.881513163360466</v>
      </c>
      <c r="I942" s="9">
        <v>2277.9699999999998</v>
      </c>
      <c r="K942" s="6">
        <v>7.37</v>
      </c>
      <c r="L942" s="6">
        <v>50</v>
      </c>
      <c r="N942" s="1">
        <f t="shared" si="126"/>
        <v>0</v>
      </c>
      <c r="O942" s="8" t="s">
        <v>20</v>
      </c>
      <c r="P942" s="8"/>
      <c r="Q942" s="8" t="s">
        <v>21</v>
      </c>
      <c r="R942" s="8" t="s">
        <v>21</v>
      </c>
      <c r="S942" s="8" t="s">
        <v>21</v>
      </c>
      <c r="T942" s="8" t="s">
        <v>21</v>
      </c>
      <c r="U942" s="6">
        <f t="shared" si="127"/>
        <v>1138.9849999999999</v>
      </c>
      <c r="V942" s="6">
        <f t="shared" si="129"/>
        <v>1138.9849999999999</v>
      </c>
    </row>
    <row r="943" spans="1:22" hidden="1" x14ac:dyDescent="0.35">
      <c r="A943" s="6" t="s">
        <v>1063</v>
      </c>
      <c r="B943" s="6" t="s">
        <v>1045</v>
      </c>
      <c r="C943" s="6" t="s">
        <v>1046</v>
      </c>
      <c r="D943" s="6">
        <f t="shared" si="130"/>
        <v>0.5</v>
      </c>
      <c r="E943" s="6" t="s">
        <v>19</v>
      </c>
      <c r="F943" s="6" t="str">
        <f>MID(A943,19,1)</f>
        <v>S</v>
      </c>
      <c r="G943" s="6">
        <v>-23.24907738393199</v>
      </c>
      <c r="H943" s="6">
        <v>-46.877648643353567</v>
      </c>
      <c r="I943" s="9">
        <v>2195.52</v>
      </c>
      <c r="K943" s="6">
        <v>6.83</v>
      </c>
      <c r="L943" s="6">
        <v>30</v>
      </c>
      <c r="N943" s="1">
        <f t="shared" si="126"/>
        <v>0</v>
      </c>
      <c r="O943" s="8" t="s">
        <v>20</v>
      </c>
      <c r="P943" s="8"/>
      <c r="Q943" s="8" t="s">
        <v>21</v>
      </c>
      <c r="R943" s="8" t="s">
        <v>21</v>
      </c>
      <c r="S943" s="8" t="s">
        <v>21</v>
      </c>
      <c r="T943" s="8" t="s">
        <v>21</v>
      </c>
      <c r="U943" s="6">
        <f t="shared" si="127"/>
        <v>658.65599999999995</v>
      </c>
      <c r="V943" s="6">
        <f t="shared" si="129"/>
        <v>658.65599999999995</v>
      </c>
    </row>
    <row r="944" spans="1:22" hidden="1" x14ac:dyDescent="0.35">
      <c r="A944" s="6" t="s">
        <v>1064</v>
      </c>
      <c r="B944" s="6" t="s">
        <v>1045</v>
      </c>
      <c r="C944" s="6" t="s">
        <v>1046</v>
      </c>
      <c r="D944" s="6">
        <f t="shared" si="130"/>
        <v>0.5</v>
      </c>
      <c r="E944" s="6" t="s">
        <v>23</v>
      </c>
      <c r="F944" s="6" t="str">
        <f>MID(A944,19,1)</f>
        <v>C</v>
      </c>
      <c r="G944" s="6">
        <v>-23.244648563747461</v>
      </c>
      <c r="H944" s="6">
        <v>-46.881276589820537</v>
      </c>
      <c r="I944" s="7">
        <v>17063.060000000001</v>
      </c>
      <c r="J944" s="9">
        <f>I944/500</f>
        <v>34.12612</v>
      </c>
      <c r="K944" s="6">
        <v>5.45</v>
      </c>
      <c r="L944" s="6">
        <v>80</v>
      </c>
      <c r="N944" s="1">
        <f t="shared" si="126"/>
        <v>0</v>
      </c>
      <c r="O944" s="8" t="s">
        <v>185</v>
      </c>
      <c r="P944" s="8"/>
      <c r="Q944" s="8" t="s">
        <v>21</v>
      </c>
      <c r="R944" s="8" t="s">
        <v>21</v>
      </c>
      <c r="S944" s="8" t="s">
        <v>21</v>
      </c>
      <c r="T944" s="8" t="s">
        <v>21</v>
      </c>
      <c r="U944" s="6">
        <f t="shared" si="127"/>
        <v>13650.448000000002</v>
      </c>
      <c r="V944" s="6">
        <f t="shared" si="129"/>
        <v>13650.448000000002</v>
      </c>
    </row>
    <row r="945" spans="1:22" hidden="1" x14ac:dyDescent="0.35">
      <c r="A945" s="6" t="s">
        <v>1065</v>
      </c>
      <c r="B945" s="6" t="s">
        <v>1045</v>
      </c>
      <c r="C945" s="6" t="s">
        <v>1046</v>
      </c>
      <c r="D945" s="6">
        <f t="shared" si="130"/>
        <v>0.5</v>
      </c>
      <c r="E945" s="6" t="s">
        <v>19</v>
      </c>
      <c r="F945" s="6" t="str">
        <f>MID(A945,19,1)</f>
        <v>S</v>
      </c>
      <c r="G945" s="6">
        <v>-23.256810741732931</v>
      </c>
      <c r="H945" s="6">
        <v>-46.867606548233383</v>
      </c>
      <c r="I945" s="9">
        <v>571.62</v>
      </c>
      <c r="K945" s="6">
        <v>9.84</v>
      </c>
      <c r="L945" s="6">
        <v>50</v>
      </c>
      <c r="N945" s="1">
        <f t="shared" si="126"/>
        <v>0</v>
      </c>
      <c r="O945" s="8" t="s">
        <v>20</v>
      </c>
      <c r="P945" s="8"/>
      <c r="Q945" s="8" t="s">
        <v>21</v>
      </c>
      <c r="R945" s="8" t="s">
        <v>21</v>
      </c>
      <c r="S945" s="8" t="s">
        <v>21</v>
      </c>
      <c r="T945" s="8" t="s">
        <v>21</v>
      </c>
      <c r="U945" s="6">
        <f t="shared" si="127"/>
        <v>285.81</v>
      </c>
      <c r="V945" s="6">
        <f t="shared" si="129"/>
        <v>285.81</v>
      </c>
    </row>
    <row r="946" spans="1:22" hidden="1" x14ac:dyDescent="0.35">
      <c r="A946" s="6" t="s">
        <v>1066</v>
      </c>
      <c r="B946" s="6" t="s">
        <v>1067</v>
      </c>
      <c r="C946" s="6" t="s">
        <v>1068</v>
      </c>
      <c r="D946" s="6">
        <f t="shared" si="130"/>
        <v>0.5</v>
      </c>
      <c r="E946" s="6" t="s">
        <v>19</v>
      </c>
      <c r="F946" s="6" t="str">
        <f>MID(A946,19,1)</f>
        <v>S</v>
      </c>
      <c r="G946" s="6">
        <v>-23.2392368175149</v>
      </c>
      <c r="H946" s="6">
        <v>-46.887223230247088</v>
      </c>
      <c r="I946" s="9">
        <v>433.2</v>
      </c>
      <c r="K946" s="6">
        <v>5.82</v>
      </c>
      <c r="L946" s="6">
        <v>40</v>
      </c>
      <c r="N946" s="1">
        <f t="shared" si="126"/>
        <v>0</v>
      </c>
      <c r="O946" s="8" t="s">
        <v>20</v>
      </c>
      <c r="P946" s="8"/>
      <c r="Q946" s="8" t="s">
        <v>21</v>
      </c>
      <c r="R946" s="8" t="s">
        <v>21</v>
      </c>
      <c r="S946" s="8" t="s">
        <v>21</v>
      </c>
      <c r="T946" s="8" t="s">
        <v>21</v>
      </c>
      <c r="U946" s="6">
        <f t="shared" si="127"/>
        <v>173.28</v>
      </c>
      <c r="V946" s="6">
        <f t="shared" si="129"/>
        <v>173.28</v>
      </c>
    </row>
    <row r="947" spans="1:22" x14ac:dyDescent="0.35">
      <c r="A947" s="6" t="s">
        <v>1069</v>
      </c>
      <c r="B947" s="6" t="s">
        <v>1067</v>
      </c>
      <c r="C947" s="6" t="s">
        <v>1068</v>
      </c>
      <c r="D947" s="6">
        <f t="shared" si="130"/>
        <v>0.5</v>
      </c>
      <c r="E947" s="6" t="s">
        <v>19</v>
      </c>
      <c r="F947" s="6" t="str">
        <f>MID(A947,19,1)</f>
        <v>N</v>
      </c>
      <c r="G947" s="6">
        <v>-23.240756119905331</v>
      </c>
      <c r="H947" s="6">
        <v>-46.884526345038132</v>
      </c>
      <c r="I947" s="9">
        <v>2148.75</v>
      </c>
      <c r="K947" s="6">
        <v>7.75</v>
      </c>
      <c r="L947" s="6">
        <v>50</v>
      </c>
      <c r="N947" s="1">
        <f t="shared" si="126"/>
        <v>0</v>
      </c>
      <c r="O947" s="8" t="s">
        <v>20</v>
      </c>
      <c r="P947" s="8"/>
      <c r="Q947" s="8" t="s">
        <v>21</v>
      </c>
      <c r="R947" s="8" t="s">
        <v>21</v>
      </c>
      <c r="S947" s="8" t="s">
        <v>21</v>
      </c>
      <c r="T947" s="8" t="s">
        <v>21</v>
      </c>
      <c r="U947" s="6">
        <f t="shared" si="127"/>
        <v>1074.375</v>
      </c>
      <c r="V947" s="6">
        <f t="shared" si="129"/>
        <v>1074.375</v>
      </c>
    </row>
    <row r="948" spans="1:22" x14ac:dyDescent="0.35">
      <c r="A948" s="6" t="s">
        <v>1070</v>
      </c>
      <c r="B948" s="6" t="s">
        <v>1067</v>
      </c>
      <c r="C948" s="6" t="s">
        <v>1068</v>
      </c>
      <c r="D948" s="6">
        <f t="shared" si="130"/>
        <v>0.5</v>
      </c>
      <c r="E948" s="6" t="s">
        <v>19</v>
      </c>
      <c r="F948" s="6" t="str">
        <f>MID(A948,19,1)</f>
        <v>N</v>
      </c>
      <c r="G948" s="6">
        <v>-23.2500609506627</v>
      </c>
      <c r="H948" s="6">
        <v>-46.865516703107822</v>
      </c>
      <c r="I948" s="9">
        <v>76.150000000000006</v>
      </c>
      <c r="K948" s="6">
        <v>5.85</v>
      </c>
      <c r="L948" s="6">
        <v>80</v>
      </c>
      <c r="N948" s="1">
        <f t="shared" si="126"/>
        <v>0</v>
      </c>
      <c r="O948" s="8" t="s">
        <v>185</v>
      </c>
      <c r="P948" s="8"/>
      <c r="Q948" s="8" t="s">
        <v>21</v>
      </c>
      <c r="R948" s="8" t="s">
        <v>21</v>
      </c>
      <c r="S948" s="8" t="s">
        <v>21</v>
      </c>
      <c r="T948" s="8" t="s">
        <v>21</v>
      </c>
      <c r="U948" s="6">
        <f t="shared" si="127"/>
        <v>60.920000000000009</v>
      </c>
      <c r="V948" s="6">
        <f t="shared" si="129"/>
        <v>60.920000000000009</v>
      </c>
    </row>
    <row r="949" spans="1:22" x14ac:dyDescent="0.35">
      <c r="A949" s="6" t="s">
        <v>1071</v>
      </c>
      <c r="B949" s="6" t="s">
        <v>1067</v>
      </c>
      <c r="C949" s="6" t="s">
        <v>1068</v>
      </c>
      <c r="D949" s="6">
        <f t="shared" si="130"/>
        <v>0.5</v>
      </c>
      <c r="E949" s="6" t="s">
        <v>19</v>
      </c>
      <c r="F949" s="6" t="str">
        <f>MID(A949,19,1)</f>
        <v>N</v>
      </c>
      <c r="G949" s="6">
        <v>-23.238755295631179</v>
      </c>
      <c r="H949" s="6">
        <v>-46.886858794566749</v>
      </c>
      <c r="I949" s="9">
        <v>457.18</v>
      </c>
      <c r="K949" s="6">
        <v>7.21</v>
      </c>
      <c r="L949" s="6">
        <v>0</v>
      </c>
      <c r="N949" s="1">
        <f t="shared" si="126"/>
        <v>0</v>
      </c>
      <c r="O949" s="8"/>
      <c r="P949" s="8"/>
      <c r="Q949" s="8" t="s">
        <v>21</v>
      </c>
      <c r="R949" s="8" t="s">
        <v>21</v>
      </c>
      <c r="S949" s="8" t="s">
        <v>21</v>
      </c>
      <c r="T949" s="8" t="s">
        <v>21</v>
      </c>
      <c r="U949" s="6">
        <f t="shared" si="127"/>
        <v>0</v>
      </c>
      <c r="V949" s="6">
        <f t="shared" si="129"/>
        <v>0</v>
      </c>
    </row>
    <row r="950" spans="1:22" x14ac:dyDescent="0.35">
      <c r="A950" s="6" t="s">
        <v>1072</v>
      </c>
      <c r="B950" s="6" t="s">
        <v>1067</v>
      </c>
      <c r="C950" s="6" t="s">
        <v>1068</v>
      </c>
      <c r="D950" s="6">
        <f t="shared" si="130"/>
        <v>0.5</v>
      </c>
      <c r="E950" s="6" t="s">
        <v>19</v>
      </c>
      <c r="F950" s="6" t="str">
        <f>MID(A950,19,1)</f>
        <v>N</v>
      </c>
      <c r="G950" s="6">
        <v>-23.246273211812468</v>
      </c>
      <c r="H950" s="6">
        <v>-46.866634638263328</v>
      </c>
      <c r="I950" s="9">
        <v>1590.37</v>
      </c>
      <c r="K950" s="6">
        <v>3.79</v>
      </c>
      <c r="L950" s="6">
        <v>80</v>
      </c>
      <c r="N950" s="1">
        <f t="shared" si="126"/>
        <v>0</v>
      </c>
      <c r="O950" s="8" t="s">
        <v>185</v>
      </c>
      <c r="P950" s="8"/>
      <c r="Q950" s="8" t="s">
        <v>21</v>
      </c>
      <c r="R950" s="8" t="s">
        <v>21</v>
      </c>
      <c r="S950" s="8" t="s">
        <v>21</v>
      </c>
      <c r="T950" s="8" t="s">
        <v>21</v>
      </c>
      <c r="U950" s="6">
        <f t="shared" si="127"/>
        <v>1272.296</v>
      </c>
      <c r="V950" s="6">
        <f t="shared" si="129"/>
        <v>1272.296</v>
      </c>
    </row>
    <row r="951" spans="1:22" hidden="1" x14ac:dyDescent="0.35">
      <c r="A951" s="6" t="s">
        <v>1073</v>
      </c>
      <c r="B951" s="6" t="s">
        <v>1067</v>
      </c>
      <c r="C951" s="6" t="s">
        <v>1068</v>
      </c>
      <c r="D951" s="6">
        <f t="shared" si="130"/>
        <v>0.5</v>
      </c>
      <c r="E951" s="6" t="s">
        <v>23</v>
      </c>
      <c r="F951" s="6" t="str">
        <f>MID(A951,19,1)</f>
        <v>C</v>
      </c>
      <c r="G951" s="6">
        <v>-23.250169592154791</v>
      </c>
      <c r="H951" s="6">
        <v>-46.865827586782991</v>
      </c>
      <c r="I951" s="9">
        <v>3296.94</v>
      </c>
      <c r="J951" s="9">
        <f>I951/500</f>
        <v>6.5938800000000004</v>
      </c>
      <c r="K951" s="6">
        <v>5.63</v>
      </c>
      <c r="L951" s="6">
        <v>80</v>
      </c>
      <c r="N951" s="1">
        <f t="shared" si="126"/>
        <v>0</v>
      </c>
      <c r="O951" s="8" t="s">
        <v>185</v>
      </c>
      <c r="P951" s="8"/>
      <c r="Q951" s="8" t="s">
        <v>21</v>
      </c>
      <c r="R951" s="8" t="s">
        <v>21</v>
      </c>
      <c r="S951" s="8" t="s">
        <v>21</v>
      </c>
      <c r="T951" s="8" t="s">
        <v>21</v>
      </c>
      <c r="U951" s="6">
        <f t="shared" si="127"/>
        <v>2637.5520000000001</v>
      </c>
      <c r="V951" s="6">
        <f t="shared" si="129"/>
        <v>2637.5520000000001</v>
      </c>
    </row>
    <row r="952" spans="1:22" hidden="1" x14ac:dyDescent="0.35">
      <c r="A952" s="6" t="s">
        <v>1074</v>
      </c>
      <c r="B952" s="6" t="s">
        <v>1067</v>
      </c>
      <c r="C952" s="6" t="s">
        <v>1068</v>
      </c>
      <c r="D952" s="6">
        <f t="shared" si="130"/>
        <v>0.5</v>
      </c>
      <c r="E952" s="6" t="s">
        <v>19</v>
      </c>
      <c r="F952" s="6" t="str">
        <f>MID(A952,19,1)</f>
        <v>S</v>
      </c>
      <c r="G952" s="6">
        <v>-23.249064478489871</v>
      </c>
      <c r="H952" s="6">
        <v>-46.866190720009207</v>
      </c>
      <c r="I952" s="9">
        <v>75.36</v>
      </c>
      <c r="K952" s="6">
        <v>5.12</v>
      </c>
      <c r="L952" s="6">
        <v>70</v>
      </c>
      <c r="N952" s="1">
        <f t="shared" si="126"/>
        <v>0</v>
      </c>
      <c r="O952" s="8" t="s">
        <v>20</v>
      </c>
      <c r="P952" s="8"/>
      <c r="Q952" s="8" t="s">
        <v>21</v>
      </c>
      <c r="R952" s="8" t="s">
        <v>21</v>
      </c>
      <c r="S952" s="8" t="s">
        <v>21</v>
      </c>
      <c r="T952" s="8" t="s">
        <v>21</v>
      </c>
      <c r="U952" s="6">
        <f t="shared" si="127"/>
        <v>52.751999999999995</v>
      </c>
      <c r="V952" s="6">
        <f t="shared" si="129"/>
        <v>52.751999999999995</v>
      </c>
    </row>
    <row r="953" spans="1:22" hidden="1" x14ac:dyDescent="0.35">
      <c r="A953" s="6" t="s">
        <v>1075</v>
      </c>
      <c r="B953" s="6" t="s">
        <v>1067</v>
      </c>
      <c r="C953" s="6" t="s">
        <v>1068</v>
      </c>
      <c r="D953" s="6">
        <f t="shared" si="130"/>
        <v>0.5</v>
      </c>
      <c r="E953" s="6" t="s">
        <v>19</v>
      </c>
      <c r="F953" s="6" t="str">
        <f>MID(A953,19,1)</f>
        <v>S</v>
      </c>
      <c r="G953" s="6">
        <v>-23.250101442451211</v>
      </c>
      <c r="H953" s="6">
        <v>-46.866375501029133</v>
      </c>
      <c r="I953" s="9">
        <v>1906.07</v>
      </c>
      <c r="K953" s="6">
        <v>6.66</v>
      </c>
      <c r="L953" s="6">
        <v>40</v>
      </c>
      <c r="N953" s="1">
        <f t="shared" si="126"/>
        <v>0</v>
      </c>
      <c r="O953" s="8" t="s">
        <v>20</v>
      </c>
      <c r="P953" s="8"/>
      <c r="Q953" s="8" t="s">
        <v>21</v>
      </c>
      <c r="R953" s="8" t="s">
        <v>21</v>
      </c>
      <c r="S953" s="8" t="s">
        <v>21</v>
      </c>
      <c r="T953" s="8" t="s">
        <v>21</v>
      </c>
      <c r="U953" s="6">
        <f t="shared" si="127"/>
        <v>762.428</v>
      </c>
      <c r="V953" s="6">
        <f t="shared" si="129"/>
        <v>762.428</v>
      </c>
    </row>
    <row r="954" spans="1:22" x14ac:dyDescent="0.35">
      <c r="A954" s="6" t="s">
        <v>1076</v>
      </c>
      <c r="B954" s="6" t="s">
        <v>1067</v>
      </c>
      <c r="C954" s="6" t="s">
        <v>1068</v>
      </c>
      <c r="D954" s="6">
        <f t="shared" si="130"/>
        <v>0.5</v>
      </c>
      <c r="E954" s="6" t="s">
        <v>19</v>
      </c>
      <c r="F954" s="6" t="str">
        <f>MID(A954,19,1)</f>
        <v>N</v>
      </c>
      <c r="G954" s="6">
        <v>-23.251216589759959</v>
      </c>
      <c r="H954" s="6">
        <v>-46.865688367394078</v>
      </c>
      <c r="I954" s="9">
        <v>983.86</v>
      </c>
      <c r="K954" s="6">
        <v>5.78</v>
      </c>
      <c r="L954" s="6">
        <v>80</v>
      </c>
      <c r="N954" s="1">
        <f t="shared" si="126"/>
        <v>0</v>
      </c>
      <c r="O954" s="8" t="s">
        <v>185</v>
      </c>
      <c r="P954" s="8"/>
      <c r="Q954" s="8" t="s">
        <v>21</v>
      </c>
      <c r="R954" s="8" t="s">
        <v>21</v>
      </c>
      <c r="S954" s="8" t="s">
        <v>21</v>
      </c>
      <c r="T954" s="8" t="s">
        <v>21</v>
      </c>
      <c r="U954" s="6">
        <f t="shared" si="127"/>
        <v>787.08800000000008</v>
      </c>
      <c r="V954" s="6">
        <f t="shared" si="129"/>
        <v>787.08800000000008</v>
      </c>
    </row>
    <row r="955" spans="1:22" hidden="1" x14ac:dyDescent="0.35">
      <c r="A955" s="6" t="s">
        <v>1077</v>
      </c>
      <c r="B955" s="6" t="s">
        <v>1067</v>
      </c>
      <c r="C955" s="6" t="s">
        <v>1068</v>
      </c>
      <c r="D955" s="6">
        <f t="shared" si="130"/>
        <v>0.5</v>
      </c>
      <c r="E955" s="6" t="s">
        <v>19</v>
      </c>
      <c r="F955" s="6" t="str">
        <f>MID(A955,19,1)</f>
        <v>S</v>
      </c>
      <c r="G955" s="6">
        <v>-23.241161642327889</v>
      </c>
      <c r="H955" s="6">
        <v>-46.88499986112317</v>
      </c>
      <c r="I955" s="9">
        <v>2061.54</v>
      </c>
      <c r="K955" s="6">
        <v>5.81</v>
      </c>
      <c r="L955" s="6">
        <v>50</v>
      </c>
      <c r="N955" s="1">
        <f t="shared" si="126"/>
        <v>0</v>
      </c>
      <c r="O955" s="8" t="s">
        <v>20</v>
      </c>
      <c r="P955" s="8"/>
      <c r="Q955" s="8" t="s">
        <v>21</v>
      </c>
      <c r="R955" s="8" t="s">
        <v>21</v>
      </c>
      <c r="S955" s="8" t="s">
        <v>21</v>
      </c>
      <c r="T955" s="8" t="s">
        <v>21</v>
      </c>
      <c r="U955" s="6">
        <f t="shared" si="127"/>
        <v>1030.77</v>
      </c>
      <c r="V955" s="6">
        <f t="shared" si="129"/>
        <v>1030.77</v>
      </c>
    </row>
    <row r="956" spans="1:22" x14ac:dyDescent="0.35">
      <c r="A956" s="6" t="s">
        <v>1078</v>
      </c>
      <c r="B956" s="6" t="s">
        <v>1067</v>
      </c>
      <c r="C956" s="6" t="s">
        <v>1068</v>
      </c>
      <c r="D956" s="6">
        <f t="shared" si="130"/>
        <v>0.5</v>
      </c>
      <c r="E956" s="6" t="s">
        <v>19</v>
      </c>
      <c r="F956" s="6" t="str">
        <f>MID(A956,19,1)</f>
        <v>N</v>
      </c>
      <c r="G956" s="6">
        <v>-23.244006543656312</v>
      </c>
      <c r="H956" s="6">
        <v>-46.867726841286917</v>
      </c>
      <c r="I956" s="9">
        <v>521.95000000000005</v>
      </c>
      <c r="K956" s="6">
        <v>5.37</v>
      </c>
      <c r="L956" s="6">
        <v>80</v>
      </c>
      <c r="N956" s="1">
        <f t="shared" si="126"/>
        <v>0</v>
      </c>
      <c r="O956" s="8" t="s">
        <v>185</v>
      </c>
      <c r="P956" s="8"/>
      <c r="Q956" s="8" t="s">
        <v>21</v>
      </c>
      <c r="R956" s="8" t="s">
        <v>21</v>
      </c>
      <c r="S956" s="8" t="s">
        <v>21</v>
      </c>
      <c r="T956" s="8" t="s">
        <v>21</v>
      </c>
      <c r="U956" s="6">
        <f t="shared" si="127"/>
        <v>417.56000000000006</v>
      </c>
      <c r="V956" s="6">
        <f t="shared" si="129"/>
        <v>417.56000000000006</v>
      </c>
    </row>
    <row r="957" spans="1:22" hidden="1" x14ac:dyDescent="0.35">
      <c r="A957" s="6" t="s">
        <v>1079</v>
      </c>
      <c r="B957" s="6" t="s">
        <v>1067</v>
      </c>
      <c r="C957" s="6" t="s">
        <v>1068</v>
      </c>
      <c r="D957" s="6">
        <f t="shared" si="130"/>
        <v>0.5</v>
      </c>
      <c r="E957" s="6" t="s">
        <v>19</v>
      </c>
      <c r="F957" s="6" t="str">
        <f>MID(A957,19,1)</f>
        <v>S</v>
      </c>
      <c r="G957" s="6">
        <v>-23.250674393543608</v>
      </c>
      <c r="H957" s="6">
        <v>-46.866229439886389</v>
      </c>
      <c r="I957" s="9">
        <v>4739.96</v>
      </c>
      <c r="K957" s="6">
        <v>8.33</v>
      </c>
      <c r="L957" s="6">
        <v>40</v>
      </c>
      <c r="N957" s="1">
        <f t="shared" si="126"/>
        <v>0</v>
      </c>
      <c r="O957" s="8" t="s">
        <v>20</v>
      </c>
      <c r="P957" s="8"/>
      <c r="Q957" s="8" t="s">
        <v>21</v>
      </c>
      <c r="R957" s="8" t="s">
        <v>21</v>
      </c>
      <c r="S957" s="8" t="s">
        <v>21</v>
      </c>
      <c r="T957" s="8" t="s">
        <v>21</v>
      </c>
      <c r="U957" s="6">
        <f t="shared" si="127"/>
        <v>1895.9840000000002</v>
      </c>
      <c r="V957" s="6">
        <f t="shared" si="129"/>
        <v>1895.9840000000002</v>
      </c>
    </row>
    <row r="958" spans="1:22" hidden="1" x14ac:dyDescent="0.35">
      <c r="A958" s="6" t="s">
        <v>1080</v>
      </c>
      <c r="B958" s="6" t="s">
        <v>1067</v>
      </c>
      <c r="C958" s="6" t="s">
        <v>1068</v>
      </c>
      <c r="D958" s="6">
        <f t="shared" si="130"/>
        <v>0.5</v>
      </c>
      <c r="E958" s="6" t="s">
        <v>19</v>
      </c>
      <c r="F958" s="6" t="str">
        <f>MID(A958,19,1)</f>
        <v>S</v>
      </c>
      <c r="G958" s="6">
        <v>-23.249105354651292</v>
      </c>
      <c r="H958" s="6">
        <v>-46.866064059059781</v>
      </c>
      <c r="I958" s="9">
        <v>567.59</v>
      </c>
      <c r="K958" s="6">
        <v>3.89</v>
      </c>
      <c r="L958" s="6">
        <v>40</v>
      </c>
      <c r="N958" s="1">
        <f t="shared" si="126"/>
        <v>0</v>
      </c>
      <c r="O958" s="8" t="s">
        <v>20</v>
      </c>
      <c r="P958" s="8"/>
      <c r="Q958" s="8" t="s">
        <v>21</v>
      </c>
      <c r="R958" s="8" t="s">
        <v>21</v>
      </c>
      <c r="S958" s="8" t="s">
        <v>21</v>
      </c>
      <c r="T958" s="8" t="s">
        <v>21</v>
      </c>
      <c r="U958" s="6">
        <f t="shared" si="127"/>
        <v>227.03600000000003</v>
      </c>
      <c r="V958" s="6">
        <f t="shared" si="129"/>
        <v>227.03600000000003</v>
      </c>
    </row>
    <row r="959" spans="1:22" hidden="1" x14ac:dyDescent="0.35">
      <c r="A959" s="6" t="s">
        <v>1081</v>
      </c>
      <c r="B959" s="6" t="s">
        <v>1067</v>
      </c>
      <c r="C959" s="6" t="s">
        <v>1068</v>
      </c>
      <c r="D959" s="6">
        <f t="shared" si="130"/>
        <v>0.5</v>
      </c>
      <c r="E959" s="6" t="s">
        <v>23</v>
      </c>
      <c r="F959" s="6" t="str">
        <f>MID(A959,19,1)</f>
        <v>C</v>
      </c>
      <c r="G959" s="6">
        <v>-23.245798285543572</v>
      </c>
      <c r="H959" s="6">
        <v>-46.86703969803672</v>
      </c>
      <c r="I959" s="9">
        <v>3407.29</v>
      </c>
      <c r="J959" s="9">
        <f>I959/500</f>
        <v>6.8145800000000003</v>
      </c>
      <c r="K959" s="6">
        <v>4.8899999999999997</v>
      </c>
      <c r="L959" s="6">
        <v>80</v>
      </c>
      <c r="N959" s="1">
        <f t="shared" si="126"/>
        <v>0</v>
      </c>
      <c r="O959" s="8" t="s">
        <v>185</v>
      </c>
      <c r="P959" s="8"/>
      <c r="Q959" s="8" t="s">
        <v>21</v>
      </c>
      <c r="R959" s="8" t="s">
        <v>21</v>
      </c>
      <c r="S959" s="8" t="s">
        <v>21</v>
      </c>
      <c r="T959" s="8" t="s">
        <v>21</v>
      </c>
      <c r="U959" s="6">
        <f t="shared" si="127"/>
        <v>2725.8320000000003</v>
      </c>
      <c r="V959" s="6">
        <f t="shared" si="129"/>
        <v>2725.8320000000003</v>
      </c>
    </row>
    <row r="960" spans="1:22" x14ac:dyDescent="0.35">
      <c r="A960" s="6" t="s">
        <v>1082</v>
      </c>
      <c r="B960" s="6" t="s">
        <v>1067</v>
      </c>
      <c r="C960" s="6" t="s">
        <v>1068</v>
      </c>
      <c r="D960" s="6">
        <f t="shared" si="130"/>
        <v>0.5</v>
      </c>
      <c r="E960" s="6" t="s">
        <v>19</v>
      </c>
      <c r="F960" s="6" t="str">
        <f>MID(A960,19,1)</f>
        <v>N</v>
      </c>
      <c r="G960" s="6">
        <v>-23.248979486656861</v>
      </c>
      <c r="H960" s="6">
        <v>-46.86563251964369</v>
      </c>
      <c r="I960" s="9">
        <v>1002.14</v>
      </c>
      <c r="K960" s="6">
        <v>3.58</v>
      </c>
      <c r="L960" s="6">
        <v>80</v>
      </c>
      <c r="N960" s="1">
        <f t="shared" si="126"/>
        <v>0</v>
      </c>
      <c r="O960" s="8" t="s">
        <v>185</v>
      </c>
      <c r="P960" s="8"/>
      <c r="Q960" s="8" t="s">
        <v>21</v>
      </c>
      <c r="R960" s="8" t="s">
        <v>21</v>
      </c>
      <c r="S960" s="8" t="s">
        <v>21</v>
      </c>
      <c r="T960" s="8" t="s">
        <v>21</v>
      </c>
      <c r="U960" s="6">
        <f t="shared" si="127"/>
        <v>801.71199999999999</v>
      </c>
      <c r="V960" s="6">
        <f t="shared" si="129"/>
        <v>801.71199999999999</v>
      </c>
    </row>
    <row r="961" spans="1:22" hidden="1" x14ac:dyDescent="0.35">
      <c r="A961" s="6" t="s">
        <v>1083</v>
      </c>
      <c r="B961" s="6" t="s">
        <v>1067</v>
      </c>
      <c r="C961" s="6" t="s">
        <v>1068</v>
      </c>
      <c r="D961" s="6">
        <f t="shared" si="130"/>
        <v>0.5</v>
      </c>
      <c r="E961" s="6" t="s">
        <v>19</v>
      </c>
      <c r="F961" s="6" t="str">
        <f>MID(A961,19,1)</f>
        <v>S</v>
      </c>
      <c r="G961" s="6">
        <v>-23.245788989308679</v>
      </c>
      <c r="H961" s="6">
        <v>-46.86740867400988</v>
      </c>
      <c r="I961" s="9">
        <v>2151.59</v>
      </c>
      <c r="K961" s="6">
        <v>5.99</v>
      </c>
      <c r="L961" s="6">
        <v>70</v>
      </c>
      <c r="N961" s="1">
        <f t="shared" si="126"/>
        <v>0</v>
      </c>
      <c r="O961" s="8" t="s">
        <v>20</v>
      </c>
      <c r="P961" s="8"/>
      <c r="Q961" s="8" t="s">
        <v>21</v>
      </c>
      <c r="R961" s="8" t="s">
        <v>21</v>
      </c>
      <c r="S961" s="8" t="s">
        <v>21</v>
      </c>
      <c r="T961" s="8" t="s">
        <v>21</v>
      </c>
      <c r="U961" s="6">
        <f t="shared" si="127"/>
        <v>1506.1130000000001</v>
      </c>
      <c r="V961" s="6">
        <f t="shared" si="129"/>
        <v>1506.1130000000001</v>
      </c>
    </row>
    <row r="962" spans="1:22" hidden="1" x14ac:dyDescent="0.35">
      <c r="A962" s="6" t="s">
        <v>1084</v>
      </c>
      <c r="B962" s="6" t="s">
        <v>1067</v>
      </c>
      <c r="C962" s="6" t="s">
        <v>1068</v>
      </c>
      <c r="D962" s="6">
        <f t="shared" si="130"/>
        <v>0.5</v>
      </c>
      <c r="E962" s="6" t="s">
        <v>19</v>
      </c>
      <c r="F962" s="6" t="str">
        <f>MID(A962,19,1)</f>
        <v>S</v>
      </c>
      <c r="G962" s="6">
        <v>-23.237104279477592</v>
      </c>
      <c r="H962" s="6">
        <v>-46.889643435944372</v>
      </c>
      <c r="I962" s="9">
        <v>1297.54</v>
      </c>
      <c r="K962" s="6">
        <v>6.39</v>
      </c>
      <c r="L962" s="6">
        <v>40</v>
      </c>
      <c r="N962" s="1">
        <f t="shared" ref="N962:N1025" si="132">IF(OR(R962="Sim",S962="Sim",T962="Sim"),(L962/100)*I962,0)</f>
        <v>0</v>
      </c>
      <c r="O962" s="8" t="s">
        <v>20</v>
      </c>
      <c r="P962" s="8"/>
      <c r="Q962" s="8" t="s">
        <v>21</v>
      </c>
      <c r="R962" s="8" t="s">
        <v>21</v>
      </c>
      <c r="S962" s="8" t="s">
        <v>21</v>
      </c>
      <c r="T962" s="8" t="s">
        <v>21</v>
      </c>
      <c r="U962" s="6">
        <f t="shared" si="127"/>
        <v>519.01599999999996</v>
      </c>
      <c r="V962" s="6">
        <f t="shared" si="129"/>
        <v>519.01599999999996</v>
      </c>
    </row>
    <row r="963" spans="1:22" hidden="1" x14ac:dyDescent="0.35">
      <c r="A963" s="6" t="s">
        <v>1085</v>
      </c>
      <c r="B963" s="6" t="s">
        <v>1067</v>
      </c>
      <c r="C963" s="6" t="s">
        <v>1068</v>
      </c>
      <c r="D963" s="6">
        <f t="shared" si="130"/>
        <v>0.5</v>
      </c>
      <c r="E963" s="6" t="s">
        <v>23</v>
      </c>
      <c r="F963" s="6" t="str">
        <f>MID(A963,19,1)</f>
        <v>C</v>
      </c>
      <c r="G963" s="6">
        <v>-23.236888022428111</v>
      </c>
      <c r="H963" s="6">
        <v>-46.889464490386388</v>
      </c>
      <c r="I963" s="7">
        <v>8752.92</v>
      </c>
      <c r="J963" s="9">
        <f t="shared" ref="J963:J965" si="133">I963/500</f>
        <v>17.505839999999999</v>
      </c>
      <c r="K963" s="6">
        <v>5.83</v>
      </c>
      <c r="L963" s="6">
        <v>60</v>
      </c>
      <c r="N963" s="1">
        <f t="shared" si="132"/>
        <v>0</v>
      </c>
      <c r="O963" s="8" t="s">
        <v>185</v>
      </c>
      <c r="P963" s="8"/>
      <c r="Q963" s="8" t="s">
        <v>21</v>
      </c>
      <c r="R963" s="8" t="s">
        <v>21</v>
      </c>
      <c r="S963" s="8" t="s">
        <v>21</v>
      </c>
      <c r="T963" s="8" t="s">
        <v>21</v>
      </c>
      <c r="U963" s="6">
        <f t="shared" ref="U963:U1026" si="134">IF(N963=0,(I963*(L963/100)),0)</f>
        <v>5251.7519999999995</v>
      </c>
      <c r="V963" s="6">
        <f t="shared" si="129"/>
        <v>5251.7519999999995</v>
      </c>
    </row>
    <row r="964" spans="1:22" hidden="1" x14ac:dyDescent="0.35">
      <c r="A964" s="6" t="s">
        <v>1086</v>
      </c>
      <c r="B964" s="6" t="s">
        <v>1067</v>
      </c>
      <c r="C964" s="6" t="s">
        <v>1068</v>
      </c>
      <c r="D964" s="6">
        <f t="shared" si="130"/>
        <v>0.5</v>
      </c>
      <c r="E964" s="6" t="s">
        <v>23</v>
      </c>
      <c r="F964" s="6" t="str">
        <f>MID(A964,19,1)</f>
        <v>C</v>
      </c>
      <c r="G964" s="6">
        <v>-23.239007846998099</v>
      </c>
      <c r="H964" s="6">
        <v>-46.887052768247742</v>
      </c>
      <c r="I964" s="7">
        <v>3022.84</v>
      </c>
      <c r="J964" s="9">
        <f t="shared" si="133"/>
        <v>6.0456799999999999</v>
      </c>
      <c r="K964" s="6">
        <v>4.2300000000000004</v>
      </c>
      <c r="L964" s="6">
        <v>60</v>
      </c>
      <c r="N964" s="1">
        <f t="shared" si="132"/>
        <v>0</v>
      </c>
      <c r="O964" s="8" t="s">
        <v>185</v>
      </c>
      <c r="P964" s="8"/>
      <c r="Q964" s="8" t="s">
        <v>21</v>
      </c>
      <c r="R964" s="8" t="s">
        <v>21</v>
      </c>
      <c r="S964" s="8" t="s">
        <v>21</v>
      </c>
      <c r="T964" s="8" t="s">
        <v>21</v>
      </c>
      <c r="U964" s="6">
        <f t="shared" si="134"/>
        <v>1813.704</v>
      </c>
      <c r="V964" s="6">
        <f t="shared" si="129"/>
        <v>1813.704</v>
      </c>
    </row>
    <row r="965" spans="1:22" hidden="1" x14ac:dyDescent="0.35">
      <c r="A965" s="6" t="s">
        <v>1087</v>
      </c>
      <c r="B965" s="6" t="s">
        <v>1067</v>
      </c>
      <c r="C965" s="6" t="s">
        <v>1068</v>
      </c>
      <c r="D965" s="6">
        <f t="shared" si="130"/>
        <v>0.5</v>
      </c>
      <c r="E965" s="6" t="s">
        <v>23</v>
      </c>
      <c r="F965" s="6" t="str">
        <f>MID(A965,19,1)</f>
        <v>C</v>
      </c>
      <c r="G965" s="6">
        <v>-23.240986449600271</v>
      </c>
      <c r="H965" s="6">
        <v>-46.884769092166387</v>
      </c>
      <c r="I965" s="7">
        <v>14318.95</v>
      </c>
      <c r="J965" s="9">
        <f t="shared" si="133"/>
        <v>28.637900000000002</v>
      </c>
      <c r="K965" s="6">
        <v>5</v>
      </c>
      <c r="L965" s="6">
        <v>80</v>
      </c>
      <c r="N965" s="1">
        <f t="shared" si="132"/>
        <v>0</v>
      </c>
      <c r="O965" s="8" t="s">
        <v>185</v>
      </c>
      <c r="P965" s="8"/>
      <c r="Q965" s="8" t="s">
        <v>21</v>
      </c>
      <c r="R965" s="8" t="s">
        <v>21</v>
      </c>
      <c r="S965" s="8" t="s">
        <v>21</v>
      </c>
      <c r="T965" s="8" t="s">
        <v>21</v>
      </c>
      <c r="U965" s="6">
        <f t="shared" si="134"/>
        <v>11455.160000000002</v>
      </c>
      <c r="V965" s="6">
        <f t="shared" si="129"/>
        <v>11455.160000000002</v>
      </c>
    </row>
    <row r="966" spans="1:22" x14ac:dyDescent="0.35">
      <c r="A966" s="6" t="s">
        <v>1088</v>
      </c>
      <c r="B966" s="6" t="s">
        <v>1067</v>
      </c>
      <c r="C966" s="6" t="s">
        <v>1068</v>
      </c>
      <c r="D966" s="6">
        <f t="shared" si="130"/>
        <v>0.5</v>
      </c>
      <c r="E966" s="6" t="s">
        <v>19</v>
      </c>
      <c r="F966" s="6" t="str">
        <f>MID(A966,19,1)</f>
        <v>N</v>
      </c>
      <c r="G966" s="6">
        <v>-23.236629578998901</v>
      </c>
      <c r="H966" s="6">
        <v>-46.889270137193698</v>
      </c>
      <c r="I966" s="9">
        <v>1289.26</v>
      </c>
      <c r="K966" s="6">
        <v>5.61</v>
      </c>
      <c r="L966" s="6">
        <v>0</v>
      </c>
      <c r="N966" s="1">
        <f t="shared" si="132"/>
        <v>0</v>
      </c>
      <c r="O966" s="8"/>
      <c r="P966" s="8"/>
      <c r="Q966" s="8" t="s">
        <v>21</v>
      </c>
      <c r="R966" s="8" t="s">
        <v>21</v>
      </c>
      <c r="S966" s="8" t="s">
        <v>21</v>
      </c>
      <c r="T966" s="8" t="s">
        <v>21</v>
      </c>
      <c r="U966" s="6">
        <f t="shared" si="134"/>
        <v>0</v>
      </c>
      <c r="V966" s="6">
        <f t="shared" si="129"/>
        <v>0</v>
      </c>
    </row>
    <row r="967" spans="1:22" hidden="1" x14ac:dyDescent="0.35">
      <c r="A967" s="6" t="s">
        <v>1089</v>
      </c>
      <c r="B967" s="6" t="s">
        <v>1090</v>
      </c>
      <c r="C967" s="6" t="s">
        <v>1091</v>
      </c>
      <c r="D967" s="6">
        <f t="shared" si="130"/>
        <v>0.5</v>
      </c>
      <c r="E967" s="6" t="s">
        <v>23</v>
      </c>
      <c r="F967" s="6" t="str">
        <f>MID(A967,19,1)</f>
        <v>C</v>
      </c>
      <c r="G967" s="6">
        <v>-23.236358691241339</v>
      </c>
      <c r="H967" s="6">
        <v>-46.870089905218023</v>
      </c>
      <c r="I967" s="9">
        <v>1761.69</v>
      </c>
      <c r="J967" s="9">
        <f>I967/500</f>
        <v>3.52338</v>
      </c>
      <c r="K967" s="6">
        <v>5.61</v>
      </c>
      <c r="L967" s="6">
        <v>50</v>
      </c>
      <c r="N967" s="1">
        <f t="shared" si="132"/>
        <v>0</v>
      </c>
      <c r="O967" s="8" t="s">
        <v>20</v>
      </c>
      <c r="P967" s="8"/>
      <c r="Q967" s="8" t="s">
        <v>21</v>
      </c>
      <c r="R967" s="8" t="s">
        <v>21</v>
      </c>
      <c r="S967" s="8" t="s">
        <v>21</v>
      </c>
      <c r="T967" s="8" t="s">
        <v>21</v>
      </c>
      <c r="U967" s="6">
        <f t="shared" si="134"/>
        <v>880.84500000000003</v>
      </c>
      <c r="V967" s="6">
        <f t="shared" si="129"/>
        <v>880.84500000000003</v>
      </c>
    </row>
    <row r="968" spans="1:22" x14ac:dyDescent="0.35">
      <c r="A968" s="6" t="s">
        <v>1092</v>
      </c>
      <c r="B968" s="6" t="s">
        <v>1090</v>
      </c>
      <c r="C968" s="6" t="s">
        <v>1091</v>
      </c>
      <c r="D968" s="6">
        <f t="shared" si="130"/>
        <v>0.5</v>
      </c>
      <c r="E968" s="6" t="s">
        <v>19</v>
      </c>
      <c r="F968" s="6" t="str">
        <f>MID(A968,19,1)</f>
        <v>N</v>
      </c>
      <c r="G968" s="6">
        <v>-23.23614741382184</v>
      </c>
      <c r="H968" s="6">
        <v>-46.869984087684742</v>
      </c>
      <c r="I968" s="9">
        <v>1577.49</v>
      </c>
      <c r="K968" s="6">
        <v>5.93</v>
      </c>
      <c r="L968" s="6">
        <v>50</v>
      </c>
      <c r="N968" s="1">
        <f t="shared" si="132"/>
        <v>0</v>
      </c>
      <c r="O968" s="8" t="s">
        <v>185</v>
      </c>
      <c r="P968" s="8"/>
      <c r="Q968" s="8" t="s">
        <v>21</v>
      </c>
      <c r="R968" s="8" t="s">
        <v>21</v>
      </c>
      <c r="S968" s="8" t="s">
        <v>21</v>
      </c>
      <c r="T968" s="8" t="s">
        <v>21</v>
      </c>
      <c r="U968" s="6">
        <f t="shared" si="134"/>
        <v>788.745</v>
      </c>
      <c r="V968" s="6">
        <f t="shared" si="129"/>
        <v>788.745</v>
      </c>
    </row>
    <row r="969" spans="1:22" hidden="1" x14ac:dyDescent="0.35">
      <c r="A969" s="6" t="s">
        <v>1093</v>
      </c>
      <c r="B969" s="6" t="s">
        <v>1090</v>
      </c>
      <c r="C969" s="6" t="s">
        <v>1091</v>
      </c>
      <c r="D969" s="6">
        <f t="shared" si="130"/>
        <v>0.5</v>
      </c>
      <c r="E969" s="6" t="s">
        <v>23</v>
      </c>
      <c r="F969" s="6" t="str">
        <f>MID(A969,19,1)</f>
        <v>C</v>
      </c>
      <c r="G969" s="6">
        <v>-23.230993448816399</v>
      </c>
      <c r="H969" s="6">
        <v>-46.896914266799399</v>
      </c>
      <c r="I969" s="7">
        <v>11197.67</v>
      </c>
      <c r="J969" s="9">
        <f>I969/500</f>
        <v>22.395340000000001</v>
      </c>
      <c r="K969" s="6">
        <v>7.43</v>
      </c>
      <c r="L969" s="6">
        <v>60</v>
      </c>
      <c r="N969" s="1">
        <f t="shared" si="132"/>
        <v>0</v>
      </c>
      <c r="O969" s="8" t="s">
        <v>185</v>
      </c>
      <c r="P969" s="8"/>
      <c r="Q969" s="8" t="s">
        <v>21</v>
      </c>
      <c r="R969" s="8" t="s">
        <v>21</v>
      </c>
      <c r="S969" s="8" t="s">
        <v>21</v>
      </c>
      <c r="T969" s="8" t="s">
        <v>21</v>
      </c>
      <c r="U969" s="6">
        <f t="shared" si="134"/>
        <v>6718.6019999999999</v>
      </c>
      <c r="V969" s="6">
        <f t="shared" si="129"/>
        <v>6718.6019999999999</v>
      </c>
    </row>
    <row r="970" spans="1:22" hidden="1" x14ac:dyDescent="0.35">
      <c r="A970" s="6" t="s">
        <v>1094</v>
      </c>
      <c r="B970" s="6" t="s">
        <v>1090</v>
      </c>
      <c r="C970" s="6" t="s">
        <v>1091</v>
      </c>
      <c r="D970" s="6">
        <f t="shared" si="130"/>
        <v>0.5</v>
      </c>
      <c r="E970" s="6" t="s">
        <v>19</v>
      </c>
      <c r="F970" s="6" t="str">
        <f>MID(A970,19,1)</f>
        <v>S</v>
      </c>
      <c r="G970" s="6">
        <v>-23.238442479553441</v>
      </c>
      <c r="H970" s="6">
        <v>-46.869617949127438</v>
      </c>
      <c r="I970" s="9">
        <v>752.03</v>
      </c>
      <c r="K970" s="6">
        <v>6</v>
      </c>
      <c r="L970" s="6">
        <v>20</v>
      </c>
      <c r="N970" s="1">
        <f t="shared" si="132"/>
        <v>0</v>
      </c>
      <c r="O970" s="8" t="s">
        <v>20</v>
      </c>
      <c r="P970" s="8"/>
      <c r="Q970" s="8" t="s">
        <v>21</v>
      </c>
      <c r="R970" s="8" t="s">
        <v>21</v>
      </c>
      <c r="S970" s="8" t="s">
        <v>21</v>
      </c>
      <c r="T970" s="8" t="s">
        <v>21</v>
      </c>
      <c r="U970" s="6">
        <f t="shared" si="134"/>
        <v>150.40600000000001</v>
      </c>
      <c r="V970" s="6">
        <f t="shared" si="129"/>
        <v>150.40600000000001</v>
      </c>
    </row>
    <row r="971" spans="1:22" x14ac:dyDescent="0.35">
      <c r="A971" s="6" t="s">
        <v>1095</v>
      </c>
      <c r="B971" s="6" t="s">
        <v>1090</v>
      </c>
      <c r="C971" s="6" t="s">
        <v>1091</v>
      </c>
      <c r="D971" s="6">
        <f t="shared" si="130"/>
        <v>0.5</v>
      </c>
      <c r="E971" s="6" t="s">
        <v>19</v>
      </c>
      <c r="F971" s="6" t="str">
        <f>MID(A971,19,1)</f>
        <v>N</v>
      </c>
      <c r="G971" s="6">
        <v>-23.239328912213502</v>
      </c>
      <c r="H971" s="6">
        <v>-46.868868866028713</v>
      </c>
      <c r="I971" s="9">
        <v>383.25</v>
      </c>
      <c r="K971" s="6">
        <v>3.15</v>
      </c>
      <c r="L971" s="6">
        <v>80</v>
      </c>
      <c r="N971" s="1">
        <f t="shared" si="132"/>
        <v>0</v>
      </c>
      <c r="O971" s="8" t="s">
        <v>185</v>
      </c>
      <c r="P971" s="8"/>
      <c r="Q971" s="8" t="s">
        <v>21</v>
      </c>
      <c r="R971" s="8" t="s">
        <v>21</v>
      </c>
      <c r="S971" s="8" t="s">
        <v>21</v>
      </c>
      <c r="T971" s="8" t="s">
        <v>21</v>
      </c>
      <c r="U971" s="6">
        <f t="shared" si="134"/>
        <v>306.60000000000002</v>
      </c>
      <c r="V971" s="6">
        <f t="shared" si="129"/>
        <v>306.60000000000002</v>
      </c>
    </row>
    <row r="972" spans="1:22" x14ac:dyDescent="0.35">
      <c r="A972" s="6" t="s">
        <v>1096</v>
      </c>
      <c r="B972" s="6" t="s">
        <v>1090</v>
      </c>
      <c r="C972" s="6" t="s">
        <v>1091</v>
      </c>
      <c r="D972" s="6">
        <f t="shared" si="130"/>
        <v>0.5</v>
      </c>
      <c r="E972" s="6" t="s">
        <v>19</v>
      </c>
      <c r="F972" s="6" t="str">
        <f>MID(A972,19,1)</f>
        <v>N</v>
      </c>
      <c r="G972" s="6">
        <v>-23.23077898255298</v>
      </c>
      <c r="H972" s="6">
        <v>-46.896676485063757</v>
      </c>
      <c r="I972" s="9">
        <v>1645.79</v>
      </c>
      <c r="K972" s="6">
        <v>8.02</v>
      </c>
      <c r="L972" s="6">
        <v>0</v>
      </c>
      <c r="N972" s="1">
        <f t="shared" si="132"/>
        <v>0</v>
      </c>
      <c r="O972" s="8"/>
      <c r="P972" s="8"/>
      <c r="Q972" s="8" t="s">
        <v>21</v>
      </c>
      <c r="R972" s="8" t="s">
        <v>21</v>
      </c>
      <c r="S972" s="8" t="s">
        <v>21</v>
      </c>
      <c r="T972" s="8" t="s">
        <v>21</v>
      </c>
      <c r="U972" s="6">
        <f t="shared" si="134"/>
        <v>0</v>
      </c>
      <c r="V972" s="6">
        <f t="shared" ref="V972:V1035" si="135">(I972*(L972/100))</f>
        <v>0</v>
      </c>
    </row>
    <row r="973" spans="1:22" hidden="1" x14ac:dyDescent="0.35">
      <c r="A973" s="6" t="s">
        <v>1097</v>
      </c>
      <c r="B973" s="6" t="s">
        <v>1090</v>
      </c>
      <c r="C973" s="6" t="s">
        <v>1091</v>
      </c>
      <c r="D973" s="6">
        <f t="shared" si="130"/>
        <v>0.5</v>
      </c>
      <c r="E973" s="6" t="s">
        <v>19</v>
      </c>
      <c r="F973" s="6" t="str">
        <f>MID(A973,19,1)</f>
        <v>S</v>
      </c>
      <c r="G973" s="6">
        <v>-23.236104015298039</v>
      </c>
      <c r="H973" s="6">
        <v>-46.870837213675578</v>
      </c>
      <c r="I973" s="9">
        <v>1312.15</v>
      </c>
      <c r="K973" s="6">
        <v>10.4</v>
      </c>
      <c r="L973" s="6">
        <v>20</v>
      </c>
      <c r="N973" s="1">
        <f t="shared" si="132"/>
        <v>0</v>
      </c>
      <c r="O973" s="8" t="s">
        <v>20</v>
      </c>
      <c r="P973" s="8"/>
      <c r="Q973" s="8" t="s">
        <v>21</v>
      </c>
      <c r="R973" s="8" t="s">
        <v>21</v>
      </c>
      <c r="S973" s="8" t="s">
        <v>21</v>
      </c>
      <c r="T973" s="8" t="s">
        <v>21</v>
      </c>
      <c r="U973" s="6">
        <f t="shared" si="134"/>
        <v>262.43</v>
      </c>
      <c r="V973" s="6">
        <f t="shared" si="135"/>
        <v>262.43</v>
      </c>
    </row>
    <row r="974" spans="1:22" hidden="1" x14ac:dyDescent="0.35">
      <c r="A974" s="6" t="s">
        <v>1098</v>
      </c>
      <c r="B974" s="6" t="s">
        <v>1090</v>
      </c>
      <c r="C974" s="6" t="s">
        <v>1091</v>
      </c>
      <c r="D974" s="6">
        <f t="shared" ref="D974:D1037" si="136">C974-B974</f>
        <v>0.5</v>
      </c>
      <c r="E974" s="6" t="s">
        <v>19</v>
      </c>
      <c r="F974" s="6" t="str">
        <f>MID(A974,19,1)</f>
        <v>S</v>
      </c>
      <c r="G974" s="6">
        <v>-23.23588305323586</v>
      </c>
      <c r="H974" s="6">
        <v>-46.870695741587532</v>
      </c>
      <c r="I974" s="9">
        <v>275.82</v>
      </c>
      <c r="K974" s="6">
        <v>9.9600000000000009</v>
      </c>
      <c r="L974" s="6">
        <v>20</v>
      </c>
      <c r="N974" s="1">
        <f t="shared" si="132"/>
        <v>0</v>
      </c>
      <c r="O974" s="8" t="s">
        <v>20</v>
      </c>
      <c r="P974" s="8"/>
      <c r="Q974" s="8" t="s">
        <v>21</v>
      </c>
      <c r="R974" s="8" t="s">
        <v>21</v>
      </c>
      <c r="S974" s="8" t="s">
        <v>21</v>
      </c>
      <c r="T974" s="8" t="s">
        <v>21</v>
      </c>
      <c r="U974" s="6">
        <f t="shared" si="134"/>
        <v>55.164000000000001</v>
      </c>
      <c r="V974" s="6">
        <f t="shared" si="135"/>
        <v>55.164000000000001</v>
      </c>
    </row>
    <row r="975" spans="1:22" hidden="1" x14ac:dyDescent="0.35">
      <c r="A975" s="6" t="s">
        <v>1099</v>
      </c>
      <c r="B975" s="6" t="s">
        <v>1090</v>
      </c>
      <c r="C975" s="6" t="s">
        <v>1091</v>
      </c>
      <c r="D975" s="6">
        <f t="shared" si="136"/>
        <v>0.5</v>
      </c>
      <c r="E975" s="6" t="s">
        <v>19</v>
      </c>
      <c r="F975" s="6" t="str">
        <f>MID(A975,19,1)</f>
        <v>S</v>
      </c>
      <c r="G975" s="6">
        <v>-23.23529889753123</v>
      </c>
      <c r="H975" s="6">
        <v>-46.871104447321898</v>
      </c>
      <c r="I975" s="9">
        <v>77.39</v>
      </c>
      <c r="K975" s="6">
        <v>12.12</v>
      </c>
      <c r="L975" s="6">
        <v>20</v>
      </c>
      <c r="N975" s="1">
        <f t="shared" si="132"/>
        <v>0</v>
      </c>
      <c r="O975" s="8" t="s">
        <v>20</v>
      </c>
      <c r="P975" s="8"/>
      <c r="Q975" s="8" t="s">
        <v>21</v>
      </c>
      <c r="R975" s="8" t="s">
        <v>21</v>
      </c>
      <c r="S975" s="8" t="s">
        <v>21</v>
      </c>
      <c r="T975" s="8" t="s">
        <v>21</v>
      </c>
      <c r="U975" s="6">
        <f t="shared" si="134"/>
        <v>15.478000000000002</v>
      </c>
      <c r="V975" s="6">
        <f t="shared" si="135"/>
        <v>15.478000000000002</v>
      </c>
    </row>
    <row r="976" spans="1:22" hidden="1" x14ac:dyDescent="0.35">
      <c r="A976" s="6" t="s">
        <v>1100</v>
      </c>
      <c r="B976" s="6" t="s">
        <v>1090</v>
      </c>
      <c r="C976" s="6" t="s">
        <v>1091</v>
      </c>
      <c r="D976" s="6">
        <f t="shared" si="136"/>
        <v>0.5</v>
      </c>
      <c r="E976" s="6" t="s">
        <v>19</v>
      </c>
      <c r="F976" s="6" t="str">
        <f>MID(A976,19,1)</f>
        <v>S</v>
      </c>
      <c r="G976" s="6">
        <v>-23.241451270861969</v>
      </c>
      <c r="H976" s="6">
        <v>-46.869076404588938</v>
      </c>
      <c r="I976" s="9">
        <v>1957.43</v>
      </c>
      <c r="K976" s="6">
        <v>6.49</v>
      </c>
      <c r="L976" s="6">
        <v>70</v>
      </c>
      <c r="N976" s="1">
        <f t="shared" si="132"/>
        <v>0</v>
      </c>
      <c r="O976" s="8" t="s">
        <v>20</v>
      </c>
      <c r="P976" s="8"/>
      <c r="Q976" s="8" t="s">
        <v>21</v>
      </c>
      <c r="R976" s="8" t="s">
        <v>21</v>
      </c>
      <c r="S976" s="8" t="s">
        <v>21</v>
      </c>
      <c r="T976" s="8" t="s">
        <v>21</v>
      </c>
      <c r="U976" s="6">
        <f t="shared" si="134"/>
        <v>1370.201</v>
      </c>
      <c r="V976" s="6">
        <f t="shared" si="135"/>
        <v>1370.201</v>
      </c>
    </row>
    <row r="977" spans="1:22" x14ac:dyDescent="0.35">
      <c r="A977" s="6" t="s">
        <v>1101</v>
      </c>
      <c r="B977" s="6" t="s">
        <v>1090</v>
      </c>
      <c r="C977" s="6" t="s">
        <v>1091</v>
      </c>
      <c r="D977" s="6">
        <f t="shared" si="136"/>
        <v>0.5</v>
      </c>
      <c r="E977" s="6" t="s">
        <v>19</v>
      </c>
      <c r="F977" s="6" t="str">
        <f>MID(A977,19,1)</f>
        <v>N</v>
      </c>
      <c r="G977" s="6">
        <v>-23.241593161584611</v>
      </c>
      <c r="H977" s="6">
        <v>-46.868556899093619</v>
      </c>
      <c r="I977" s="9">
        <v>1751.07</v>
      </c>
      <c r="K977" s="6">
        <v>4.87</v>
      </c>
      <c r="L977" s="6">
        <v>80</v>
      </c>
      <c r="N977" s="1">
        <f t="shared" si="132"/>
        <v>0</v>
      </c>
      <c r="O977" s="8" t="s">
        <v>185</v>
      </c>
      <c r="P977" s="8"/>
      <c r="Q977" s="8" t="s">
        <v>21</v>
      </c>
      <c r="R977" s="8" t="s">
        <v>21</v>
      </c>
      <c r="S977" s="8" t="s">
        <v>21</v>
      </c>
      <c r="T977" s="8" t="s">
        <v>21</v>
      </c>
      <c r="U977" s="6">
        <f t="shared" si="134"/>
        <v>1400.856</v>
      </c>
      <c r="V977" s="6">
        <f t="shared" si="135"/>
        <v>1400.856</v>
      </c>
    </row>
    <row r="978" spans="1:22" x14ac:dyDescent="0.35">
      <c r="A978" s="6" t="s">
        <v>1102</v>
      </c>
      <c r="B978" s="6" t="s">
        <v>1090</v>
      </c>
      <c r="C978" s="6" t="s">
        <v>1091</v>
      </c>
      <c r="D978" s="6">
        <f t="shared" si="136"/>
        <v>0.5</v>
      </c>
      <c r="E978" s="6" t="s">
        <v>19</v>
      </c>
      <c r="F978" s="6" t="str">
        <f>MID(A978,19,1)</f>
        <v>N</v>
      </c>
      <c r="G978" s="6">
        <v>-23.23258707216219</v>
      </c>
      <c r="H978" s="6">
        <v>-46.894263635035777</v>
      </c>
      <c r="I978" s="9">
        <v>897.84</v>
      </c>
      <c r="K978" s="6">
        <v>8.0399999999999991</v>
      </c>
      <c r="L978" s="6">
        <v>0</v>
      </c>
      <c r="N978" s="1">
        <f t="shared" si="132"/>
        <v>0</v>
      </c>
      <c r="O978" s="8"/>
      <c r="P978" s="8"/>
      <c r="Q978" s="8" t="s">
        <v>21</v>
      </c>
      <c r="R978" s="8" t="s">
        <v>21</v>
      </c>
      <c r="S978" s="8" t="s">
        <v>21</v>
      </c>
      <c r="T978" s="8" t="s">
        <v>21</v>
      </c>
      <c r="U978" s="6">
        <f t="shared" si="134"/>
        <v>0</v>
      </c>
      <c r="V978" s="6">
        <f t="shared" si="135"/>
        <v>0</v>
      </c>
    </row>
    <row r="979" spans="1:22" x14ac:dyDescent="0.35">
      <c r="A979" s="6" t="s">
        <v>1103</v>
      </c>
      <c r="B979" s="6" t="s">
        <v>1090</v>
      </c>
      <c r="C979" s="6" t="s">
        <v>1091</v>
      </c>
      <c r="D979" s="6">
        <f t="shared" si="136"/>
        <v>0.5</v>
      </c>
      <c r="E979" s="6" t="s">
        <v>19</v>
      </c>
      <c r="F979" s="6" t="str">
        <f>MID(A979,19,1)</f>
        <v>N</v>
      </c>
      <c r="G979" s="6">
        <v>-23.234474329303382</v>
      </c>
      <c r="H979" s="6">
        <v>-46.891806866334029</v>
      </c>
      <c r="I979" s="9">
        <v>1536.38</v>
      </c>
      <c r="K979" s="6">
        <v>7.27</v>
      </c>
      <c r="L979" s="6">
        <v>0</v>
      </c>
      <c r="N979" s="1">
        <f t="shared" si="132"/>
        <v>0</v>
      </c>
      <c r="O979" s="8"/>
      <c r="P979" s="8"/>
      <c r="Q979" s="8" t="s">
        <v>21</v>
      </c>
      <c r="R979" s="8" t="s">
        <v>21</v>
      </c>
      <c r="S979" s="8" t="s">
        <v>21</v>
      </c>
      <c r="T979" s="8" t="s">
        <v>21</v>
      </c>
      <c r="U979" s="6">
        <f t="shared" si="134"/>
        <v>0</v>
      </c>
      <c r="V979" s="6">
        <f t="shared" si="135"/>
        <v>0</v>
      </c>
    </row>
    <row r="980" spans="1:22" hidden="1" x14ac:dyDescent="0.35">
      <c r="A980" s="6" t="s">
        <v>1104</v>
      </c>
      <c r="B980" s="6" t="s">
        <v>1090</v>
      </c>
      <c r="C980" s="6" t="s">
        <v>1091</v>
      </c>
      <c r="D980" s="6">
        <f t="shared" si="136"/>
        <v>0.5</v>
      </c>
      <c r="E980" s="6" t="s">
        <v>19</v>
      </c>
      <c r="F980" s="6" t="str">
        <f>MID(A980,19,1)</f>
        <v>S</v>
      </c>
      <c r="G980" s="6">
        <v>-23.232908425416571</v>
      </c>
      <c r="H980" s="6">
        <v>-46.894834484596792</v>
      </c>
      <c r="I980" s="9">
        <v>794.99</v>
      </c>
      <c r="K980" s="6">
        <v>3.38</v>
      </c>
      <c r="L980" s="6">
        <v>40</v>
      </c>
      <c r="N980" s="1">
        <f t="shared" si="132"/>
        <v>0</v>
      </c>
      <c r="O980" s="8" t="s">
        <v>20</v>
      </c>
      <c r="P980" s="8"/>
      <c r="Q980" s="8" t="s">
        <v>21</v>
      </c>
      <c r="R980" s="8" t="s">
        <v>21</v>
      </c>
      <c r="S980" s="8" t="s">
        <v>21</v>
      </c>
      <c r="T980" s="8" t="s">
        <v>21</v>
      </c>
      <c r="U980" s="6">
        <f t="shared" si="134"/>
        <v>317.99600000000004</v>
      </c>
      <c r="V980" s="6">
        <f t="shared" si="135"/>
        <v>317.99600000000004</v>
      </c>
    </row>
    <row r="981" spans="1:22" hidden="1" x14ac:dyDescent="0.35">
      <c r="A981" s="6" t="s">
        <v>1105</v>
      </c>
      <c r="B981" s="6" t="s">
        <v>1090</v>
      </c>
      <c r="C981" s="6" t="s">
        <v>1091</v>
      </c>
      <c r="D981" s="6">
        <f t="shared" si="136"/>
        <v>0.5</v>
      </c>
      <c r="E981" s="6" t="s">
        <v>19</v>
      </c>
      <c r="F981" s="6" t="str">
        <f>MID(A981,19,1)</f>
        <v>S</v>
      </c>
      <c r="G981" s="6">
        <v>-23.23366606741412</v>
      </c>
      <c r="H981" s="6">
        <v>-46.894120324358248</v>
      </c>
      <c r="I981" s="9">
        <v>329.74</v>
      </c>
      <c r="K981" s="6">
        <v>9.49</v>
      </c>
      <c r="L981" s="6">
        <v>40</v>
      </c>
      <c r="N981" s="1">
        <f t="shared" si="132"/>
        <v>0</v>
      </c>
      <c r="O981" s="8" t="s">
        <v>20</v>
      </c>
      <c r="P981" s="8"/>
      <c r="Q981" s="8" t="s">
        <v>21</v>
      </c>
      <c r="R981" s="8" t="s">
        <v>21</v>
      </c>
      <c r="S981" s="8" t="s">
        <v>21</v>
      </c>
      <c r="T981" s="8" t="s">
        <v>21</v>
      </c>
      <c r="U981" s="6">
        <f t="shared" si="134"/>
        <v>131.89600000000002</v>
      </c>
      <c r="V981" s="6">
        <f t="shared" si="135"/>
        <v>131.89600000000002</v>
      </c>
    </row>
    <row r="982" spans="1:22" hidden="1" x14ac:dyDescent="0.35">
      <c r="A982" s="6" t="s">
        <v>1106</v>
      </c>
      <c r="B982" s="6" t="s">
        <v>1090</v>
      </c>
      <c r="C982" s="6" t="s">
        <v>1091</v>
      </c>
      <c r="D982" s="6">
        <f t="shared" si="136"/>
        <v>0.5</v>
      </c>
      <c r="E982" s="6" t="s">
        <v>19</v>
      </c>
      <c r="F982" s="6" t="str">
        <f>MID(A982,19,1)</f>
        <v>S</v>
      </c>
      <c r="G982" s="6">
        <v>-23.234891828790261</v>
      </c>
      <c r="H982" s="6">
        <v>-46.892249404875123</v>
      </c>
      <c r="I982" s="9">
        <v>1600.54</v>
      </c>
      <c r="K982" s="6">
        <v>9.19</v>
      </c>
      <c r="L982" s="6">
        <v>40</v>
      </c>
      <c r="N982" s="1">
        <f t="shared" si="132"/>
        <v>0</v>
      </c>
      <c r="O982" s="8" t="s">
        <v>20</v>
      </c>
      <c r="P982" s="8"/>
      <c r="Q982" s="8" t="s">
        <v>21</v>
      </c>
      <c r="R982" s="8" t="s">
        <v>21</v>
      </c>
      <c r="S982" s="8" t="s">
        <v>21</v>
      </c>
      <c r="T982" s="8" t="s">
        <v>21</v>
      </c>
      <c r="U982" s="6">
        <f t="shared" si="134"/>
        <v>640.21600000000001</v>
      </c>
      <c r="V982" s="6">
        <f t="shared" si="135"/>
        <v>640.21600000000001</v>
      </c>
    </row>
    <row r="983" spans="1:22" hidden="1" x14ac:dyDescent="0.35">
      <c r="A983" s="6" t="s">
        <v>1107</v>
      </c>
      <c r="B983" s="6" t="s">
        <v>1090</v>
      </c>
      <c r="C983" s="6" t="s">
        <v>1091</v>
      </c>
      <c r="D983" s="6">
        <f t="shared" si="136"/>
        <v>0.5</v>
      </c>
      <c r="E983" s="6" t="s">
        <v>23</v>
      </c>
      <c r="F983" s="6" t="str">
        <f>MID(A983,19,1)</f>
        <v>C</v>
      </c>
      <c r="G983" s="6">
        <v>-23.241042252522622</v>
      </c>
      <c r="H983" s="6">
        <v>-46.868803026746498</v>
      </c>
      <c r="I983" s="9">
        <v>3893.52</v>
      </c>
      <c r="J983" s="9">
        <f>I983/500</f>
        <v>7.7870400000000002</v>
      </c>
      <c r="K983" s="6">
        <v>5.18</v>
      </c>
      <c r="L983" s="6">
        <v>80</v>
      </c>
      <c r="N983" s="1">
        <f t="shared" si="132"/>
        <v>0</v>
      </c>
      <c r="O983" s="8" t="s">
        <v>185</v>
      </c>
      <c r="P983" s="8"/>
      <c r="Q983" s="8" t="s">
        <v>21</v>
      </c>
      <c r="R983" s="8" t="s">
        <v>21</v>
      </c>
      <c r="S983" s="8" t="s">
        <v>21</v>
      </c>
      <c r="T983" s="8" t="s">
        <v>21</v>
      </c>
      <c r="U983" s="6">
        <f t="shared" si="134"/>
        <v>3114.8160000000003</v>
      </c>
      <c r="V983" s="6">
        <f t="shared" si="135"/>
        <v>3114.8160000000003</v>
      </c>
    </row>
    <row r="984" spans="1:22" hidden="1" x14ac:dyDescent="0.35">
      <c r="A984" s="6" t="s">
        <v>1108</v>
      </c>
      <c r="B984" s="6" t="s">
        <v>1090</v>
      </c>
      <c r="C984" s="6" t="s">
        <v>1091</v>
      </c>
      <c r="D984" s="6">
        <f t="shared" si="136"/>
        <v>0.5</v>
      </c>
      <c r="E984" s="6" t="s">
        <v>19</v>
      </c>
      <c r="F984" s="6" t="str">
        <f>MID(A984,19,1)</f>
        <v>S</v>
      </c>
      <c r="G984" s="6">
        <v>-23.236850806747452</v>
      </c>
      <c r="H984" s="6">
        <v>-46.870184301634232</v>
      </c>
      <c r="I984" s="9">
        <v>354.95</v>
      </c>
      <c r="K984" s="6">
        <v>6.84</v>
      </c>
      <c r="L984" s="6">
        <v>20</v>
      </c>
      <c r="N984" s="1">
        <f t="shared" si="132"/>
        <v>0</v>
      </c>
      <c r="O984" s="8" t="s">
        <v>20</v>
      </c>
      <c r="P984" s="8"/>
      <c r="Q984" s="8" t="s">
        <v>21</v>
      </c>
      <c r="R984" s="8" t="s">
        <v>21</v>
      </c>
      <c r="S984" s="8" t="s">
        <v>21</v>
      </c>
      <c r="T984" s="8" t="s">
        <v>21</v>
      </c>
      <c r="U984" s="6">
        <f t="shared" si="134"/>
        <v>70.989999999999995</v>
      </c>
      <c r="V984" s="6">
        <f t="shared" si="135"/>
        <v>70.989999999999995</v>
      </c>
    </row>
    <row r="985" spans="1:22" hidden="1" x14ac:dyDescent="0.35">
      <c r="A985" s="6" t="s">
        <v>1109</v>
      </c>
      <c r="B985" s="6" t="s">
        <v>1090</v>
      </c>
      <c r="C985" s="6" t="s">
        <v>1091</v>
      </c>
      <c r="D985" s="6">
        <f t="shared" si="136"/>
        <v>0.5</v>
      </c>
      <c r="E985" s="6" t="s">
        <v>19</v>
      </c>
      <c r="F985" s="6" t="str">
        <f>MID(A985,19,1)</f>
        <v>S</v>
      </c>
      <c r="G985" s="6">
        <v>-23.236352450629141</v>
      </c>
      <c r="H985" s="6">
        <v>-46.870459772868578</v>
      </c>
      <c r="I985" s="9">
        <v>152.56</v>
      </c>
      <c r="K985" s="6">
        <v>7.61</v>
      </c>
      <c r="L985" s="6">
        <v>20</v>
      </c>
      <c r="N985" s="1">
        <f t="shared" si="132"/>
        <v>0</v>
      </c>
      <c r="O985" s="8" t="s">
        <v>20</v>
      </c>
      <c r="P985" s="8"/>
      <c r="Q985" s="8" t="s">
        <v>21</v>
      </c>
      <c r="R985" s="8" t="s">
        <v>21</v>
      </c>
      <c r="S985" s="8" t="s">
        <v>21</v>
      </c>
      <c r="T985" s="8" t="s">
        <v>21</v>
      </c>
      <c r="U985" s="6">
        <f t="shared" si="134"/>
        <v>30.512</v>
      </c>
      <c r="V985" s="6">
        <f t="shared" si="135"/>
        <v>30.512</v>
      </c>
    </row>
    <row r="986" spans="1:22" hidden="1" x14ac:dyDescent="0.35">
      <c r="A986" s="6" t="s">
        <v>1110</v>
      </c>
      <c r="B986" s="6" t="s">
        <v>1090</v>
      </c>
      <c r="C986" s="6" t="s">
        <v>1091</v>
      </c>
      <c r="D986" s="6">
        <f t="shared" si="136"/>
        <v>0.5</v>
      </c>
      <c r="E986" s="6" t="s">
        <v>23</v>
      </c>
      <c r="F986" s="6" t="str">
        <f>MID(A986,19,1)</f>
        <v>C</v>
      </c>
      <c r="G986" s="6">
        <v>-23.232763631434409</v>
      </c>
      <c r="H986" s="6">
        <v>-46.894543325280253</v>
      </c>
      <c r="I986" s="7">
        <v>5592.83</v>
      </c>
      <c r="J986" s="9">
        <f t="shared" ref="J986:J988" si="137">I986/500</f>
        <v>11.18566</v>
      </c>
      <c r="K986" s="6">
        <v>5.77</v>
      </c>
      <c r="L986" s="6">
        <v>60</v>
      </c>
      <c r="N986" s="1">
        <f t="shared" si="132"/>
        <v>0</v>
      </c>
      <c r="O986" s="8" t="s">
        <v>185</v>
      </c>
      <c r="P986" s="8"/>
      <c r="Q986" s="8" t="s">
        <v>21</v>
      </c>
      <c r="R986" s="8" t="s">
        <v>21</v>
      </c>
      <c r="S986" s="8" t="s">
        <v>21</v>
      </c>
      <c r="T986" s="8" t="s">
        <v>21</v>
      </c>
      <c r="U986" s="6">
        <f t="shared" si="134"/>
        <v>3355.6979999999999</v>
      </c>
      <c r="V986" s="6">
        <f t="shared" si="135"/>
        <v>3355.6979999999999</v>
      </c>
    </row>
    <row r="987" spans="1:22" hidden="1" x14ac:dyDescent="0.35">
      <c r="A987" s="6" t="s">
        <v>1111</v>
      </c>
      <c r="B987" s="6" t="s">
        <v>1090</v>
      </c>
      <c r="C987" s="6" t="s">
        <v>1091</v>
      </c>
      <c r="D987" s="6">
        <f t="shared" si="136"/>
        <v>0.5</v>
      </c>
      <c r="E987" s="6" t="s">
        <v>23</v>
      </c>
      <c r="F987" s="6" t="str">
        <f>MID(A987,19,1)</f>
        <v>C</v>
      </c>
      <c r="G987" s="6">
        <v>-23.238830624646361</v>
      </c>
      <c r="H987" s="6">
        <v>-46.869168408948802</v>
      </c>
      <c r="I987" s="9">
        <v>363.85</v>
      </c>
      <c r="J987" s="9">
        <f t="shared" si="137"/>
        <v>0.72770000000000001</v>
      </c>
      <c r="K987" s="6">
        <v>5.4</v>
      </c>
      <c r="L987" s="6">
        <v>50</v>
      </c>
      <c r="N987" s="1">
        <f t="shared" si="132"/>
        <v>0</v>
      </c>
      <c r="O987" s="8" t="s">
        <v>185</v>
      </c>
      <c r="P987" s="8"/>
      <c r="Q987" s="8" t="s">
        <v>21</v>
      </c>
      <c r="R987" s="8" t="s">
        <v>21</v>
      </c>
      <c r="S987" s="8" t="s">
        <v>21</v>
      </c>
      <c r="T987" s="8" t="s">
        <v>21</v>
      </c>
      <c r="U987" s="6">
        <f t="shared" si="134"/>
        <v>181.92500000000001</v>
      </c>
      <c r="V987" s="6">
        <f t="shared" si="135"/>
        <v>181.92500000000001</v>
      </c>
    </row>
    <row r="988" spans="1:22" hidden="1" x14ac:dyDescent="0.35">
      <c r="A988" s="6" t="s">
        <v>1112</v>
      </c>
      <c r="B988" s="6" t="s">
        <v>1090</v>
      </c>
      <c r="C988" s="6" t="s">
        <v>1091</v>
      </c>
      <c r="D988" s="6">
        <f t="shared" si="136"/>
        <v>0.5</v>
      </c>
      <c r="E988" s="6" t="s">
        <v>23</v>
      </c>
      <c r="F988" s="6" t="str">
        <f>MID(A988,19,1)</f>
        <v>C</v>
      </c>
      <c r="G988" s="6">
        <v>-23.234746566302292</v>
      </c>
      <c r="H988" s="6">
        <v>-46.891988004719479</v>
      </c>
      <c r="I988" s="7">
        <v>9960.86</v>
      </c>
      <c r="J988" s="9">
        <f t="shared" si="137"/>
        <v>19.921720000000001</v>
      </c>
      <c r="K988" s="6">
        <v>6.27</v>
      </c>
      <c r="L988" s="6">
        <v>60</v>
      </c>
      <c r="N988" s="1">
        <f t="shared" si="132"/>
        <v>0</v>
      </c>
      <c r="O988" s="8" t="s">
        <v>185</v>
      </c>
      <c r="P988" s="8"/>
      <c r="Q988" s="8" t="s">
        <v>21</v>
      </c>
      <c r="R988" s="8" t="s">
        <v>21</v>
      </c>
      <c r="S988" s="8" t="s">
        <v>21</v>
      </c>
      <c r="T988" s="8" t="s">
        <v>21</v>
      </c>
      <c r="U988" s="6">
        <f t="shared" si="134"/>
        <v>5976.5160000000005</v>
      </c>
      <c r="V988" s="6">
        <f t="shared" si="135"/>
        <v>5976.5160000000005</v>
      </c>
    </row>
    <row r="989" spans="1:22" x14ac:dyDescent="0.35">
      <c r="A989" s="6" t="s">
        <v>1113</v>
      </c>
      <c r="B989" s="6" t="s">
        <v>1090</v>
      </c>
      <c r="C989" s="6" t="s">
        <v>1091</v>
      </c>
      <c r="D989" s="6">
        <f t="shared" si="136"/>
        <v>0.5</v>
      </c>
      <c r="E989" s="6" t="s">
        <v>19</v>
      </c>
      <c r="F989" s="6" t="str">
        <f>MID(A989,19,1)</f>
        <v>N</v>
      </c>
      <c r="G989" s="6">
        <v>-23.23841254924195</v>
      </c>
      <c r="H989" s="6">
        <v>-46.869029003100351</v>
      </c>
      <c r="I989" s="9">
        <v>447.94</v>
      </c>
      <c r="K989" s="6">
        <v>5.05</v>
      </c>
      <c r="L989" s="6">
        <v>50</v>
      </c>
      <c r="N989" s="1">
        <f t="shared" si="132"/>
        <v>0</v>
      </c>
      <c r="O989" s="8" t="s">
        <v>185</v>
      </c>
      <c r="P989" s="8"/>
      <c r="Q989" s="8" t="s">
        <v>21</v>
      </c>
      <c r="R989" s="8" t="s">
        <v>21</v>
      </c>
      <c r="S989" s="8" t="s">
        <v>21</v>
      </c>
      <c r="T989" s="8" t="s">
        <v>21</v>
      </c>
      <c r="U989" s="6">
        <f t="shared" si="134"/>
        <v>223.97</v>
      </c>
      <c r="V989" s="6">
        <f t="shared" si="135"/>
        <v>223.97</v>
      </c>
    </row>
    <row r="990" spans="1:22" hidden="1" x14ac:dyDescent="0.35">
      <c r="A990" s="6" t="s">
        <v>1114</v>
      </c>
      <c r="B990" s="6" t="s">
        <v>1090</v>
      </c>
      <c r="C990" s="6" t="s">
        <v>1091</v>
      </c>
      <c r="D990" s="6">
        <f t="shared" si="136"/>
        <v>0.5</v>
      </c>
      <c r="E990" s="6" t="s">
        <v>19</v>
      </c>
      <c r="F990" s="6" t="str">
        <f>MID(A990,19,1)</f>
        <v>S</v>
      </c>
      <c r="G990" s="6">
        <v>-23.2311657536805</v>
      </c>
      <c r="H990" s="6">
        <v>-46.897390779959593</v>
      </c>
      <c r="I990" s="9">
        <v>13494.23</v>
      </c>
      <c r="K990" s="6">
        <v>8.0500000000000007</v>
      </c>
      <c r="L990" s="6">
        <v>50</v>
      </c>
      <c r="N990" s="1">
        <f t="shared" si="132"/>
        <v>0</v>
      </c>
      <c r="O990" s="8" t="s">
        <v>20</v>
      </c>
      <c r="P990" s="8"/>
      <c r="Q990" s="8" t="s">
        <v>21</v>
      </c>
      <c r="R990" s="8" t="s">
        <v>21</v>
      </c>
      <c r="S990" s="8" t="s">
        <v>21</v>
      </c>
      <c r="T990" s="8" t="s">
        <v>21</v>
      </c>
      <c r="U990" s="6">
        <f t="shared" si="134"/>
        <v>6747.1149999999998</v>
      </c>
      <c r="V990" s="6">
        <f t="shared" si="135"/>
        <v>6747.1149999999998</v>
      </c>
    </row>
    <row r="991" spans="1:22" x14ac:dyDescent="0.35">
      <c r="A991" s="6" t="s">
        <v>1115</v>
      </c>
      <c r="B991" s="6" t="s">
        <v>1116</v>
      </c>
      <c r="C991" s="6" t="s">
        <v>1117</v>
      </c>
      <c r="D991" s="6">
        <f t="shared" si="136"/>
        <v>0.5</v>
      </c>
      <c r="E991" s="6" t="s">
        <v>19</v>
      </c>
      <c r="F991" s="6" t="str">
        <f>MID(A991,19,1)</f>
        <v>N</v>
      </c>
      <c r="G991" s="6">
        <v>-23.22841702480245</v>
      </c>
      <c r="H991" s="6">
        <v>-46.873717439258307</v>
      </c>
      <c r="I991" s="9">
        <v>228.58</v>
      </c>
      <c r="K991" s="6">
        <v>4.6500000000000004</v>
      </c>
      <c r="L991" s="6">
        <v>40</v>
      </c>
      <c r="N991" s="1">
        <f t="shared" si="132"/>
        <v>0</v>
      </c>
      <c r="O991" s="8" t="s">
        <v>20</v>
      </c>
      <c r="P991" s="8"/>
      <c r="Q991" s="8" t="s">
        <v>21</v>
      </c>
      <c r="R991" s="8" t="s">
        <v>21</v>
      </c>
      <c r="S991" s="8" t="s">
        <v>21</v>
      </c>
      <c r="T991" s="8" t="s">
        <v>21</v>
      </c>
      <c r="U991" s="6">
        <f t="shared" si="134"/>
        <v>91.432000000000016</v>
      </c>
      <c r="V991" s="6">
        <f t="shared" si="135"/>
        <v>91.432000000000016</v>
      </c>
    </row>
    <row r="992" spans="1:22" x14ac:dyDescent="0.35">
      <c r="A992" s="6" t="s">
        <v>1118</v>
      </c>
      <c r="B992" s="6" t="s">
        <v>1116</v>
      </c>
      <c r="C992" s="6" t="s">
        <v>1117</v>
      </c>
      <c r="D992" s="6">
        <f t="shared" si="136"/>
        <v>0.5</v>
      </c>
      <c r="E992" s="6" t="s">
        <v>19</v>
      </c>
      <c r="F992" s="6" t="str">
        <f>MID(A992,19,1)</f>
        <v>N</v>
      </c>
      <c r="G992" s="6">
        <v>-23.229461325215141</v>
      </c>
      <c r="H992" s="6">
        <v>-46.898443397676502</v>
      </c>
      <c r="I992" s="9">
        <v>30.98</v>
      </c>
      <c r="K992" s="6">
        <v>10.53</v>
      </c>
      <c r="L992" s="6">
        <v>0</v>
      </c>
      <c r="N992" s="1">
        <f t="shared" si="132"/>
        <v>0</v>
      </c>
      <c r="O992" s="8"/>
      <c r="P992" s="8"/>
      <c r="Q992" s="8" t="s">
        <v>21</v>
      </c>
      <c r="R992" s="8" t="s">
        <v>21</v>
      </c>
      <c r="S992" s="8" t="s">
        <v>21</v>
      </c>
      <c r="T992" s="8" t="s">
        <v>21</v>
      </c>
      <c r="U992" s="6">
        <f t="shared" si="134"/>
        <v>0</v>
      </c>
      <c r="V992" s="6">
        <f t="shared" si="135"/>
        <v>0</v>
      </c>
    </row>
    <row r="993" spans="1:22" hidden="1" x14ac:dyDescent="0.35">
      <c r="A993" s="6" t="s">
        <v>1119</v>
      </c>
      <c r="B993" s="6" t="s">
        <v>1116</v>
      </c>
      <c r="C993" s="6" t="s">
        <v>1117</v>
      </c>
      <c r="D993" s="6">
        <f t="shared" si="136"/>
        <v>0.5</v>
      </c>
      <c r="E993" s="6" t="s">
        <v>23</v>
      </c>
      <c r="F993" s="6" t="str">
        <f>MID(A993,19,1)</f>
        <v>C</v>
      </c>
      <c r="G993" s="6">
        <v>-23.228656708429401</v>
      </c>
      <c r="H993" s="6">
        <v>-46.899991007327714</v>
      </c>
      <c r="I993" s="7">
        <v>8077.33</v>
      </c>
      <c r="J993" s="9">
        <f>I993/500</f>
        <v>16.15466</v>
      </c>
      <c r="K993" s="6">
        <v>5.21</v>
      </c>
      <c r="L993" s="6">
        <v>60</v>
      </c>
      <c r="N993" s="1">
        <f t="shared" si="132"/>
        <v>0</v>
      </c>
      <c r="O993" s="8" t="s">
        <v>185</v>
      </c>
      <c r="P993" s="8"/>
      <c r="Q993" s="8" t="s">
        <v>21</v>
      </c>
      <c r="R993" s="8" t="s">
        <v>21</v>
      </c>
      <c r="S993" s="8" t="s">
        <v>21</v>
      </c>
      <c r="T993" s="8" t="s">
        <v>21</v>
      </c>
      <c r="U993" s="6">
        <f t="shared" si="134"/>
        <v>4846.3980000000001</v>
      </c>
      <c r="V993" s="6">
        <f t="shared" si="135"/>
        <v>4846.3980000000001</v>
      </c>
    </row>
    <row r="994" spans="1:22" hidden="1" x14ac:dyDescent="0.35">
      <c r="A994" s="6" t="s">
        <v>1120</v>
      </c>
      <c r="B994" s="6" t="s">
        <v>1116</v>
      </c>
      <c r="C994" s="6" t="s">
        <v>1117</v>
      </c>
      <c r="D994" s="6">
        <f t="shared" si="136"/>
        <v>0.5</v>
      </c>
      <c r="E994" s="6" t="s">
        <v>19</v>
      </c>
      <c r="F994" s="6" t="str">
        <f>MID(A994,19,1)</f>
        <v>S</v>
      </c>
      <c r="G994" s="6">
        <v>-23.22991690355224</v>
      </c>
      <c r="H994" s="6">
        <v>-46.898862485647172</v>
      </c>
      <c r="I994" s="9">
        <v>21.84</v>
      </c>
      <c r="K994" s="6">
        <v>5.44</v>
      </c>
      <c r="L994" s="6">
        <v>0</v>
      </c>
      <c r="N994" s="1">
        <f t="shared" si="132"/>
        <v>0</v>
      </c>
      <c r="O994" s="8"/>
      <c r="P994" s="8"/>
      <c r="Q994" s="8" t="s">
        <v>21</v>
      </c>
      <c r="R994" s="8" t="s">
        <v>21</v>
      </c>
      <c r="S994" s="8" t="s">
        <v>21</v>
      </c>
      <c r="T994" s="8" t="s">
        <v>21</v>
      </c>
      <c r="U994" s="6">
        <f t="shared" si="134"/>
        <v>0</v>
      </c>
      <c r="V994" s="6">
        <f t="shared" si="135"/>
        <v>0</v>
      </c>
    </row>
    <row r="995" spans="1:22" hidden="1" x14ac:dyDescent="0.35">
      <c r="A995" s="6" t="s">
        <v>1121</v>
      </c>
      <c r="B995" s="6" t="s">
        <v>1116</v>
      </c>
      <c r="C995" s="6" t="s">
        <v>1117</v>
      </c>
      <c r="D995" s="6">
        <f t="shared" si="136"/>
        <v>0.5</v>
      </c>
      <c r="E995" s="6" t="s">
        <v>19</v>
      </c>
      <c r="F995" s="6" t="str">
        <f>MID(A995,19,1)</f>
        <v>S</v>
      </c>
      <c r="G995" s="6">
        <v>-23.22885813082128</v>
      </c>
      <c r="H995" s="6">
        <v>-46.900225087584708</v>
      </c>
      <c r="I995" s="9">
        <v>1435.78</v>
      </c>
      <c r="K995" s="6">
        <v>5.94</v>
      </c>
      <c r="L995" s="6">
        <v>50</v>
      </c>
      <c r="N995" s="1">
        <f t="shared" si="132"/>
        <v>0</v>
      </c>
      <c r="O995" s="8" t="s">
        <v>20</v>
      </c>
      <c r="P995" s="8"/>
      <c r="Q995" s="8" t="s">
        <v>21</v>
      </c>
      <c r="R995" s="8" t="s">
        <v>21</v>
      </c>
      <c r="S995" s="8" t="s">
        <v>21</v>
      </c>
      <c r="T995" s="8" t="s">
        <v>21</v>
      </c>
      <c r="U995" s="6">
        <f t="shared" si="134"/>
        <v>717.89</v>
      </c>
      <c r="V995" s="6">
        <f t="shared" si="135"/>
        <v>717.89</v>
      </c>
    </row>
    <row r="996" spans="1:22" x14ac:dyDescent="0.35">
      <c r="A996" s="6" t="s">
        <v>1122</v>
      </c>
      <c r="B996" s="6" t="s">
        <v>1116</v>
      </c>
      <c r="C996" s="6" t="s">
        <v>1117</v>
      </c>
      <c r="D996" s="6">
        <f t="shared" si="136"/>
        <v>0.5</v>
      </c>
      <c r="E996" s="6" t="s">
        <v>19</v>
      </c>
      <c r="F996" s="6" t="str">
        <f>MID(A996,19,1)</f>
        <v>N</v>
      </c>
      <c r="G996" s="6">
        <v>-23.22840512128424</v>
      </c>
      <c r="H996" s="6">
        <v>-46.899831500307393</v>
      </c>
      <c r="I996" s="9">
        <v>1441.43</v>
      </c>
      <c r="K996" s="6">
        <v>7.84</v>
      </c>
      <c r="L996" s="6">
        <v>50</v>
      </c>
      <c r="N996" s="1">
        <f t="shared" si="132"/>
        <v>0</v>
      </c>
      <c r="O996" s="8" t="s">
        <v>20</v>
      </c>
      <c r="P996" s="8"/>
      <c r="Q996" s="8" t="s">
        <v>21</v>
      </c>
      <c r="R996" s="8" t="s">
        <v>21</v>
      </c>
      <c r="S996" s="8" t="s">
        <v>21</v>
      </c>
      <c r="T996" s="8" t="s">
        <v>21</v>
      </c>
      <c r="U996" s="6">
        <f t="shared" si="134"/>
        <v>720.71500000000003</v>
      </c>
      <c r="V996" s="6">
        <f t="shared" si="135"/>
        <v>720.71500000000003</v>
      </c>
    </row>
    <row r="997" spans="1:22" hidden="1" x14ac:dyDescent="0.35">
      <c r="A997" s="6" t="s">
        <v>1123</v>
      </c>
      <c r="B997" s="6" t="s">
        <v>1116</v>
      </c>
      <c r="C997" s="6" t="s">
        <v>1117</v>
      </c>
      <c r="D997" s="6">
        <f t="shared" si="136"/>
        <v>0.5</v>
      </c>
      <c r="E997" s="6" t="s">
        <v>23</v>
      </c>
      <c r="F997" s="6" t="str">
        <f>MID(A997,19,1)</f>
        <v>C</v>
      </c>
      <c r="G997" s="6">
        <v>-23.226243174755218</v>
      </c>
      <c r="H997" s="6">
        <v>-46.903200323238913</v>
      </c>
      <c r="I997" s="7">
        <v>10843.64</v>
      </c>
      <c r="J997" s="9">
        <f>I997/500</f>
        <v>21.687279999999998</v>
      </c>
      <c r="K997" s="6">
        <v>5.86</v>
      </c>
      <c r="L997" s="6">
        <v>60</v>
      </c>
      <c r="N997" s="1">
        <f t="shared" si="132"/>
        <v>0</v>
      </c>
      <c r="O997" s="8" t="s">
        <v>185</v>
      </c>
      <c r="P997" s="8"/>
      <c r="Q997" s="8" t="s">
        <v>21</v>
      </c>
      <c r="R997" s="8" t="s">
        <v>21</v>
      </c>
      <c r="S997" s="8" t="s">
        <v>21</v>
      </c>
      <c r="T997" s="8" t="s">
        <v>21</v>
      </c>
      <c r="U997" s="6">
        <f t="shared" si="134"/>
        <v>6506.1839999999993</v>
      </c>
      <c r="V997" s="6">
        <f t="shared" si="135"/>
        <v>6506.1839999999993</v>
      </c>
    </row>
    <row r="998" spans="1:22" x14ac:dyDescent="0.35">
      <c r="A998" s="6" t="s">
        <v>1124</v>
      </c>
      <c r="B998" s="6" t="s">
        <v>1116</v>
      </c>
      <c r="C998" s="6" t="s">
        <v>1117</v>
      </c>
      <c r="D998" s="6">
        <f t="shared" si="136"/>
        <v>0.5</v>
      </c>
      <c r="E998" s="6" t="s">
        <v>19</v>
      </c>
      <c r="F998" s="6" t="str">
        <f>MID(A998,19,1)</f>
        <v>N</v>
      </c>
      <c r="G998" s="6">
        <v>-23.231576987849671</v>
      </c>
      <c r="H998" s="6">
        <v>-46.872401579803423</v>
      </c>
      <c r="I998" s="9">
        <v>702.8</v>
      </c>
      <c r="K998" s="6">
        <v>6.87</v>
      </c>
      <c r="L998" s="6">
        <v>50</v>
      </c>
      <c r="N998" s="1">
        <f t="shared" si="132"/>
        <v>0</v>
      </c>
      <c r="O998" s="8" t="s">
        <v>185</v>
      </c>
      <c r="P998" s="8"/>
      <c r="Q998" s="8" t="s">
        <v>21</v>
      </c>
      <c r="R998" s="8" t="s">
        <v>21</v>
      </c>
      <c r="S998" s="8" t="s">
        <v>21</v>
      </c>
      <c r="T998" s="8" t="s">
        <v>21</v>
      </c>
      <c r="U998" s="6">
        <f t="shared" si="134"/>
        <v>351.4</v>
      </c>
      <c r="V998" s="6">
        <f t="shared" si="135"/>
        <v>351.4</v>
      </c>
    </row>
    <row r="999" spans="1:22" hidden="1" x14ac:dyDescent="0.35">
      <c r="A999" s="6" t="s">
        <v>1125</v>
      </c>
      <c r="B999" s="6" t="s">
        <v>1116</v>
      </c>
      <c r="C999" s="6" t="s">
        <v>1117</v>
      </c>
      <c r="D999" s="6">
        <f t="shared" si="136"/>
        <v>0.5</v>
      </c>
      <c r="E999" s="6" t="s">
        <v>23</v>
      </c>
      <c r="F999" s="6" t="str">
        <f>MID(A999,19,1)</f>
        <v>C</v>
      </c>
      <c r="G999" s="6">
        <v>-23.22972914735033</v>
      </c>
      <c r="H999" s="6">
        <v>-46.898620914448777</v>
      </c>
      <c r="I999" s="7">
        <v>440.77</v>
      </c>
      <c r="J999" s="9">
        <f>I999/500</f>
        <v>0.88153999999999999</v>
      </c>
      <c r="K999" s="6">
        <v>3.26</v>
      </c>
      <c r="L999" s="6">
        <v>0</v>
      </c>
      <c r="N999" s="1">
        <f t="shared" si="132"/>
        <v>0</v>
      </c>
      <c r="O999" s="8"/>
      <c r="P999" s="8"/>
      <c r="Q999" s="8" t="s">
        <v>21</v>
      </c>
      <c r="R999" s="8" t="s">
        <v>21</v>
      </c>
      <c r="S999" s="8" t="s">
        <v>21</v>
      </c>
      <c r="T999" s="8" t="s">
        <v>21</v>
      </c>
      <c r="U999" s="6">
        <f t="shared" si="134"/>
        <v>0</v>
      </c>
      <c r="V999" s="6">
        <f t="shared" si="135"/>
        <v>0</v>
      </c>
    </row>
    <row r="1000" spans="1:22" x14ac:dyDescent="0.35">
      <c r="A1000" s="6" t="s">
        <v>1126</v>
      </c>
      <c r="B1000" s="6" t="s">
        <v>1116</v>
      </c>
      <c r="C1000" s="6" t="s">
        <v>1117</v>
      </c>
      <c r="D1000" s="6">
        <f t="shared" si="136"/>
        <v>0.5</v>
      </c>
      <c r="E1000" s="6" t="s">
        <v>19</v>
      </c>
      <c r="F1000" s="6" t="str">
        <f>MID(A1000,19,1)</f>
        <v>N</v>
      </c>
      <c r="G1000" s="6">
        <v>-23.226933773901571</v>
      </c>
      <c r="H1000" s="6">
        <v>-46.874436007431839</v>
      </c>
      <c r="I1000" s="9">
        <v>154.41999999999999</v>
      </c>
      <c r="K1000" s="6">
        <v>4.0199999999999996</v>
      </c>
      <c r="L1000" s="6">
        <v>0</v>
      </c>
      <c r="N1000" s="1">
        <f t="shared" si="132"/>
        <v>0</v>
      </c>
      <c r="O1000" s="8"/>
      <c r="P1000" s="8"/>
      <c r="Q1000" s="8" t="s">
        <v>21</v>
      </c>
      <c r="R1000" s="8" t="s">
        <v>21</v>
      </c>
      <c r="S1000" s="8" t="s">
        <v>21</v>
      </c>
      <c r="T1000" s="8" t="s">
        <v>21</v>
      </c>
      <c r="U1000" s="6">
        <f t="shared" si="134"/>
        <v>0</v>
      </c>
      <c r="V1000" s="6">
        <f t="shared" si="135"/>
        <v>0</v>
      </c>
    </row>
    <row r="1001" spans="1:22" hidden="1" x14ac:dyDescent="0.35">
      <c r="A1001" s="6" t="s">
        <v>1127</v>
      </c>
      <c r="B1001" s="6" t="s">
        <v>1116</v>
      </c>
      <c r="C1001" s="6" t="s">
        <v>1117</v>
      </c>
      <c r="D1001" s="6">
        <f t="shared" si="136"/>
        <v>0.5</v>
      </c>
      <c r="E1001" s="6" t="s">
        <v>19</v>
      </c>
      <c r="F1001" s="6" t="str">
        <f>MID(A1001,19,1)</f>
        <v>S</v>
      </c>
      <c r="G1001" s="6">
        <v>-23.22909949281058</v>
      </c>
      <c r="H1001" s="6">
        <v>-46.874572958540632</v>
      </c>
      <c r="I1001" s="9">
        <v>41.33</v>
      </c>
      <c r="K1001" s="6">
        <v>5.4</v>
      </c>
      <c r="L1001" s="6">
        <v>0</v>
      </c>
      <c r="N1001" s="1">
        <f t="shared" si="132"/>
        <v>0</v>
      </c>
      <c r="O1001" s="8"/>
      <c r="P1001" s="8"/>
      <c r="Q1001" s="8" t="s">
        <v>21</v>
      </c>
      <c r="R1001" s="8" t="s">
        <v>21</v>
      </c>
      <c r="S1001" s="8" t="s">
        <v>21</v>
      </c>
      <c r="T1001" s="8" t="s">
        <v>21</v>
      </c>
      <c r="U1001" s="6">
        <f t="shared" si="134"/>
        <v>0</v>
      </c>
      <c r="V1001" s="6">
        <f t="shared" si="135"/>
        <v>0</v>
      </c>
    </row>
    <row r="1002" spans="1:22" x14ac:dyDescent="0.35">
      <c r="A1002" s="6" t="s">
        <v>1128</v>
      </c>
      <c r="B1002" s="6" t="s">
        <v>1116</v>
      </c>
      <c r="C1002" s="6" t="s">
        <v>1117</v>
      </c>
      <c r="D1002" s="6">
        <f t="shared" si="136"/>
        <v>0.5</v>
      </c>
      <c r="E1002" s="6" t="s">
        <v>19</v>
      </c>
      <c r="F1002" s="6" t="str">
        <f>MID(A1002,19,1)</f>
        <v>N</v>
      </c>
      <c r="G1002" s="6">
        <v>-23.232664227768279</v>
      </c>
      <c r="H1002" s="6">
        <v>-46.871699192725202</v>
      </c>
      <c r="I1002" s="9">
        <v>1814.41</v>
      </c>
      <c r="K1002" s="6">
        <v>5.72</v>
      </c>
      <c r="L1002" s="6">
        <v>50</v>
      </c>
      <c r="N1002" s="1">
        <f t="shared" si="132"/>
        <v>0</v>
      </c>
      <c r="O1002" s="8" t="s">
        <v>185</v>
      </c>
      <c r="P1002" s="8"/>
      <c r="Q1002" s="8" t="s">
        <v>21</v>
      </c>
      <c r="R1002" s="8" t="s">
        <v>21</v>
      </c>
      <c r="S1002" s="8" t="s">
        <v>21</v>
      </c>
      <c r="T1002" s="8" t="s">
        <v>21</v>
      </c>
      <c r="U1002" s="6">
        <f t="shared" si="134"/>
        <v>907.20500000000004</v>
      </c>
      <c r="V1002" s="6">
        <f t="shared" si="135"/>
        <v>907.20500000000004</v>
      </c>
    </row>
    <row r="1003" spans="1:22" x14ac:dyDescent="0.35">
      <c r="A1003" s="6" t="s">
        <v>1129</v>
      </c>
      <c r="B1003" s="6" t="s">
        <v>1116</v>
      </c>
      <c r="C1003" s="6" t="s">
        <v>1117</v>
      </c>
      <c r="D1003" s="6">
        <f t="shared" si="136"/>
        <v>0.5</v>
      </c>
      <c r="E1003" s="6" t="s">
        <v>19</v>
      </c>
      <c r="F1003" s="6" t="str">
        <f>MID(A1003,19,1)</f>
        <v>N</v>
      </c>
      <c r="G1003" s="6">
        <v>-23.22927668882966</v>
      </c>
      <c r="H1003" s="6">
        <v>-46.872966075356103</v>
      </c>
      <c r="I1003" s="9">
        <v>1333.77</v>
      </c>
      <c r="K1003" s="6">
        <v>5.44</v>
      </c>
      <c r="L1003" s="6">
        <v>40</v>
      </c>
      <c r="N1003" s="1">
        <f t="shared" si="132"/>
        <v>0</v>
      </c>
      <c r="O1003" s="8" t="s">
        <v>20</v>
      </c>
      <c r="P1003" s="8"/>
      <c r="Q1003" s="8" t="s">
        <v>21</v>
      </c>
      <c r="R1003" s="8" t="s">
        <v>21</v>
      </c>
      <c r="S1003" s="8" t="s">
        <v>21</v>
      </c>
      <c r="T1003" s="8" t="s">
        <v>21</v>
      </c>
      <c r="U1003" s="6">
        <f t="shared" si="134"/>
        <v>533.50800000000004</v>
      </c>
      <c r="V1003" s="6">
        <f t="shared" si="135"/>
        <v>533.50800000000004</v>
      </c>
    </row>
    <row r="1004" spans="1:22" x14ac:dyDescent="0.35">
      <c r="A1004" s="6" t="s">
        <v>1130</v>
      </c>
      <c r="B1004" s="6" t="s">
        <v>1116</v>
      </c>
      <c r="C1004" s="6" t="s">
        <v>1117</v>
      </c>
      <c r="D1004" s="6">
        <f t="shared" si="136"/>
        <v>0.5</v>
      </c>
      <c r="E1004" s="6" t="s">
        <v>19</v>
      </c>
      <c r="F1004" s="6" t="str">
        <f>MID(A1004,19,1)</f>
        <v>N</v>
      </c>
      <c r="G1004" s="6">
        <v>-23.22797681371549</v>
      </c>
      <c r="H1004" s="6">
        <v>-46.872845651042347</v>
      </c>
      <c r="I1004" s="9">
        <v>292.39999999999998</v>
      </c>
      <c r="K1004" s="6">
        <v>5.09</v>
      </c>
      <c r="L1004" s="6">
        <v>0</v>
      </c>
      <c r="N1004" s="1">
        <f t="shared" si="132"/>
        <v>0</v>
      </c>
      <c r="O1004" s="8"/>
      <c r="P1004" s="8"/>
      <c r="Q1004" s="8" t="s">
        <v>21</v>
      </c>
      <c r="R1004" s="8" t="s">
        <v>21</v>
      </c>
      <c r="S1004" s="8" t="s">
        <v>21</v>
      </c>
      <c r="T1004" s="8" t="s">
        <v>21</v>
      </c>
      <c r="U1004" s="6">
        <f t="shared" si="134"/>
        <v>0</v>
      </c>
      <c r="V1004" s="6">
        <f t="shared" si="135"/>
        <v>0</v>
      </c>
    </row>
    <row r="1005" spans="1:22" x14ac:dyDescent="0.35">
      <c r="A1005" s="6" t="s">
        <v>1131</v>
      </c>
      <c r="B1005" s="6" t="s">
        <v>1116</v>
      </c>
      <c r="C1005" s="6" t="s">
        <v>1117</v>
      </c>
      <c r="D1005" s="6">
        <f t="shared" si="136"/>
        <v>0.5</v>
      </c>
      <c r="E1005" s="6" t="s">
        <v>19</v>
      </c>
      <c r="F1005" s="6" t="str">
        <f>MID(A1005,19,1)</f>
        <v>N</v>
      </c>
      <c r="G1005" s="6">
        <v>-23.228137728347551</v>
      </c>
      <c r="H1005" s="6">
        <v>-46.873526655285247</v>
      </c>
      <c r="I1005" s="9">
        <v>1174.24</v>
      </c>
      <c r="K1005" s="6">
        <v>3.31</v>
      </c>
      <c r="L1005" s="6">
        <v>0</v>
      </c>
      <c r="N1005" s="1">
        <f t="shared" si="132"/>
        <v>0</v>
      </c>
      <c r="O1005" s="8"/>
      <c r="P1005" s="8"/>
      <c r="Q1005" s="8" t="s">
        <v>21</v>
      </c>
      <c r="R1005" s="8" t="s">
        <v>21</v>
      </c>
      <c r="S1005" s="8" t="s">
        <v>21</v>
      </c>
      <c r="T1005" s="8" t="s">
        <v>21</v>
      </c>
      <c r="U1005" s="6">
        <f t="shared" si="134"/>
        <v>0</v>
      </c>
      <c r="V1005" s="6">
        <f t="shared" si="135"/>
        <v>0</v>
      </c>
    </row>
    <row r="1006" spans="1:22" hidden="1" x14ac:dyDescent="0.35">
      <c r="A1006" s="6" t="s">
        <v>1132</v>
      </c>
      <c r="B1006" s="6" t="s">
        <v>1116</v>
      </c>
      <c r="C1006" s="6" t="s">
        <v>1117</v>
      </c>
      <c r="D1006" s="6">
        <f t="shared" si="136"/>
        <v>0.5</v>
      </c>
      <c r="E1006" s="6" t="s">
        <v>19</v>
      </c>
      <c r="F1006" s="6" t="str">
        <f>MID(A1006,19,1)</f>
        <v>S</v>
      </c>
      <c r="G1006" s="6">
        <v>-23.228884373432059</v>
      </c>
      <c r="H1006" s="6">
        <v>-46.874639008959832</v>
      </c>
      <c r="I1006" s="9">
        <v>830.2</v>
      </c>
      <c r="K1006" s="6">
        <v>4.46</v>
      </c>
      <c r="L1006" s="6">
        <v>50</v>
      </c>
      <c r="N1006" s="1">
        <f t="shared" si="132"/>
        <v>0</v>
      </c>
      <c r="O1006" s="8" t="s">
        <v>20</v>
      </c>
      <c r="P1006" s="8"/>
      <c r="Q1006" s="8" t="s">
        <v>21</v>
      </c>
      <c r="R1006" s="8" t="s">
        <v>21</v>
      </c>
      <c r="S1006" s="8" t="s">
        <v>21</v>
      </c>
      <c r="T1006" s="8" t="s">
        <v>21</v>
      </c>
      <c r="U1006" s="6">
        <f t="shared" si="134"/>
        <v>415.1</v>
      </c>
      <c r="V1006" s="6">
        <f t="shared" si="135"/>
        <v>415.1</v>
      </c>
    </row>
    <row r="1007" spans="1:22" hidden="1" x14ac:dyDescent="0.35">
      <c r="A1007" s="6" t="s">
        <v>1133</v>
      </c>
      <c r="B1007" s="6" t="s">
        <v>1116</v>
      </c>
      <c r="C1007" s="6" t="s">
        <v>1117</v>
      </c>
      <c r="D1007" s="6">
        <f t="shared" si="136"/>
        <v>0.5</v>
      </c>
      <c r="E1007" s="6" t="s">
        <v>19</v>
      </c>
      <c r="F1007" s="6" t="str">
        <f>MID(A1007,19,1)</f>
        <v>S</v>
      </c>
      <c r="G1007" s="6">
        <v>-23.228642835720098</v>
      </c>
      <c r="H1007" s="6">
        <v>-46.874796737209991</v>
      </c>
      <c r="I1007" s="9">
        <v>170.82</v>
      </c>
      <c r="K1007" s="6">
        <v>3.74</v>
      </c>
      <c r="L1007" s="6">
        <v>50</v>
      </c>
      <c r="N1007" s="1">
        <f t="shared" si="132"/>
        <v>0</v>
      </c>
      <c r="O1007" s="8" t="s">
        <v>20</v>
      </c>
      <c r="P1007" s="8"/>
      <c r="Q1007" s="8" t="s">
        <v>21</v>
      </c>
      <c r="R1007" s="8" t="s">
        <v>21</v>
      </c>
      <c r="S1007" s="8" t="s">
        <v>21</v>
      </c>
      <c r="T1007" s="8" t="s">
        <v>21</v>
      </c>
      <c r="U1007" s="6">
        <f t="shared" si="134"/>
        <v>85.41</v>
      </c>
      <c r="V1007" s="6">
        <f t="shared" si="135"/>
        <v>85.41</v>
      </c>
    </row>
    <row r="1008" spans="1:22" hidden="1" x14ac:dyDescent="0.35">
      <c r="A1008" s="6" t="s">
        <v>1134</v>
      </c>
      <c r="B1008" s="6" t="s">
        <v>1116</v>
      </c>
      <c r="C1008" s="6" t="s">
        <v>1117</v>
      </c>
      <c r="D1008" s="6">
        <f t="shared" si="136"/>
        <v>0.5</v>
      </c>
      <c r="E1008" s="6" t="s">
        <v>19</v>
      </c>
      <c r="F1008" s="6" t="str">
        <f>MID(A1008,19,1)</f>
        <v>S</v>
      </c>
      <c r="G1008" s="6">
        <v>-23.227742660418269</v>
      </c>
      <c r="H1008" s="6">
        <v>-46.874927338700743</v>
      </c>
      <c r="I1008" s="9">
        <v>2761.11</v>
      </c>
      <c r="K1008" s="6">
        <v>6.56</v>
      </c>
      <c r="L1008" s="6">
        <v>50</v>
      </c>
      <c r="N1008" s="1">
        <f t="shared" si="132"/>
        <v>0</v>
      </c>
      <c r="O1008" s="8" t="s">
        <v>20</v>
      </c>
      <c r="P1008" s="8"/>
      <c r="Q1008" s="8" t="s">
        <v>21</v>
      </c>
      <c r="R1008" s="8" t="s">
        <v>21</v>
      </c>
      <c r="S1008" s="8" t="s">
        <v>21</v>
      </c>
      <c r="T1008" s="8" t="s">
        <v>21</v>
      </c>
      <c r="U1008" s="6">
        <f t="shared" si="134"/>
        <v>1380.5550000000001</v>
      </c>
      <c r="V1008" s="6">
        <f t="shared" si="135"/>
        <v>1380.5550000000001</v>
      </c>
    </row>
    <row r="1009" spans="1:22" hidden="1" x14ac:dyDescent="0.35">
      <c r="A1009" s="6" t="s">
        <v>1135</v>
      </c>
      <c r="B1009" s="6" t="s">
        <v>1116</v>
      </c>
      <c r="C1009" s="6" t="s">
        <v>1117</v>
      </c>
      <c r="D1009" s="6">
        <f t="shared" si="136"/>
        <v>0.5</v>
      </c>
      <c r="E1009" s="6" t="s">
        <v>19</v>
      </c>
      <c r="F1009" s="6" t="str">
        <f>MID(A1009,19,1)</f>
        <v>S</v>
      </c>
      <c r="G1009" s="6">
        <v>-23.22811590169826</v>
      </c>
      <c r="H1009" s="6">
        <v>-46.874587160537232</v>
      </c>
      <c r="I1009" s="9">
        <v>1973.68</v>
      </c>
      <c r="K1009" s="6">
        <v>4.12</v>
      </c>
      <c r="L1009" s="6">
        <v>50</v>
      </c>
      <c r="N1009" s="1">
        <f t="shared" si="132"/>
        <v>0</v>
      </c>
      <c r="O1009" s="8" t="s">
        <v>20</v>
      </c>
      <c r="P1009" s="8"/>
      <c r="Q1009" s="8" t="s">
        <v>21</v>
      </c>
      <c r="R1009" s="8" t="s">
        <v>21</v>
      </c>
      <c r="S1009" s="8" t="s">
        <v>21</v>
      </c>
      <c r="T1009" s="8" t="s">
        <v>21</v>
      </c>
      <c r="U1009" s="6">
        <f t="shared" si="134"/>
        <v>986.84</v>
      </c>
      <c r="V1009" s="6">
        <f t="shared" si="135"/>
        <v>986.84</v>
      </c>
    </row>
    <row r="1010" spans="1:22" x14ac:dyDescent="0.35">
      <c r="A1010" s="6" t="s">
        <v>1136</v>
      </c>
      <c r="B1010" s="6" t="s">
        <v>1116</v>
      </c>
      <c r="C1010" s="6" t="s">
        <v>1117</v>
      </c>
      <c r="D1010" s="6">
        <f t="shared" si="136"/>
        <v>0.5</v>
      </c>
      <c r="E1010" s="6" t="s">
        <v>19</v>
      </c>
      <c r="F1010" s="6" t="str">
        <f>MID(A1010,19,1)</f>
        <v>N</v>
      </c>
      <c r="G1010" s="6">
        <v>-23.228207256332599</v>
      </c>
      <c r="H1010" s="6">
        <v>-46.874147445979318</v>
      </c>
      <c r="I1010" s="9">
        <v>2743.88</v>
      </c>
      <c r="K1010" s="6">
        <v>4.8600000000000003</v>
      </c>
      <c r="L1010" s="6">
        <v>40</v>
      </c>
      <c r="N1010" s="1">
        <f t="shared" si="132"/>
        <v>0</v>
      </c>
      <c r="O1010" s="8" t="s">
        <v>20</v>
      </c>
      <c r="P1010" s="8"/>
      <c r="Q1010" s="8" t="s">
        <v>21</v>
      </c>
      <c r="R1010" s="8" t="s">
        <v>21</v>
      </c>
      <c r="S1010" s="8" t="s">
        <v>21</v>
      </c>
      <c r="T1010" s="8" t="s">
        <v>21</v>
      </c>
      <c r="U1010" s="6">
        <f t="shared" si="134"/>
        <v>1097.5520000000001</v>
      </c>
      <c r="V1010" s="6">
        <f t="shared" si="135"/>
        <v>1097.5520000000001</v>
      </c>
    </row>
    <row r="1011" spans="1:22" hidden="1" x14ac:dyDescent="0.35">
      <c r="A1011" s="6" t="s">
        <v>1137</v>
      </c>
      <c r="B1011" s="6" t="s">
        <v>1116</v>
      </c>
      <c r="C1011" s="6" t="s">
        <v>1117</v>
      </c>
      <c r="D1011" s="6">
        <f t="shared" si="136"/>
        <v>0.5</v>
      </c>
      <c r="E1011" s="6" t="s">
        <v>19</v>
      </c>
      <c r="F1011" s="6" t="str">
        <f>MID(A1011,19,1)</f>
        <v>S</v>
      </c>
      <c r="G1011" s="6">
        <v>-23.235049373630581</v>
      </c>
      <c r="H1011" s="6">
        <v>-46.871103512624828</v>
      </c>
      <c r="I1011" s="9">
        <v>279.14</v>
      </c>
      <c r="K1011" s="6">
        <v>9.5</v>
      </c>
      <c r="L1011" s="6">
        <v>20</v>
      </c>
      <c r="N1011" s="1">
        <f t="shared" si="132"/>
        <v>0</v>
      </c>
      <c r="O1011" s="8" t="s">
        <v>20</v>
      </c>
      <c r="P1011" s="8"/>
      <c r="Q1011" s="8" t="s">
        <v>21</v>
      </c>
      <c r="R1011" s="8" t="s">
        <v>21</v>
      </c>
      <c r="S1011" s="8" t="s">
        <v>21</v>
      </c>
      <c r="T1011" s="8" t="s">
        <v>21</v>
      </c>
      <c r="U1011" s="6">
        <f t="shared" si="134"/>
        <v>55.828000000000003</v>
      </c>
      <c r="V1011" s="6">
        <f t="shared" si="135"/>
        <v>55.828000000000003</v>
      </c>
    </row>
    <row r="1012" spans="1:22" hidden="1" x14ac:dyDescent="0.35">
      <c r="A1012" s="6" t="s">
        <v>1138</v>
      </c>
      <c r="B1012" s="6" t="s">
        <v>1116</v>
      </c>
      <c r="C1012" s="6" t="s">
        <v>1117</v>
      </c>
      <c r="D1012" s="6">
        <f t="shared" si="136"/>
        <v>0.5</v>
      </c>
      <c r="E1012" s="6" t="s">
        <v>19</v>
      </c>
      <c r="F1012" s="6" t="str">
        <f>MID(A1012,19,1)</f>
        <v>S</v>
      </c>
      <c r="G1012" s="6">
        <v>-23.2328410572667</v>
      </c>
      <c r="H1012" s="6">
        <v>-46.872282690975403</v>
      </c>
      <c r="I1012" s="9">
        <v>1790.42</v>
      </c>
      <c r="K1012" s="6">
        <v>6.47</v>
      </c>
      <c r="L1012" s="6">
        <v>20</v>
      </c>
      <c r="N1012" s="1">
        <f t="shared" si="132"/>
        <v>0</v>
      </c>
      <c r="O1012" s="8" t="s">
        <v>20</v>
      </c>
      <c r="P1012" s="8"/>
      <c r="Q1012" s="8" t="s">
        <v>21</v>
      </c>
      <c r="R1012" s="8" t="s">
        <v>21</v>
      </c>
      <c r="S1012" s="8" t="s">
        <v>21</v>
      </c>
      <c r="T1012" s="8" t="s">
        <v>21</v>
      </c>
      <c r="U1012" s="6">
        <f t="shared" si="134"/>
        <v>358.08400000000006</v>
      </c>
      <c r="V1012" s="6">
        <f t="shared" si="135"/>
        <v>358.08400000000006</v>
      </c>
    </row>
    <row r="1013" spans="1:22" hidden="1" x14ac:dyDescent="0.35">
      <c r="A1013" s="6" t="s">
        <v>1139</v>
      </c>
      <c r="B1013" s="6" t="s">
        <v>1116</v>
      </c>
      <c r="C1013" s="6" t="s">
        <v>1117</v>
      </c>
      <c r="D1013" s="6">
        <f t="shared" si="136"/>
        <v>0.5</v>
      </c>
      <c r="E1013" s="6" t="s">
        <v>19</v>
      </c>
      <c r="F1013" s="6" t="str">
        <f>MID(A1013,19,1)</f>
        <v>S</v>
      </c>
      <c r="G1013" s="6">
        <v>-23.23031648622862</v>
      </c>
      <c r="H1013" s="6">
        <v>-46.873536677786063</v>
      </c>
      <c r="I1013" s="9">
        <v>681.99</v>
      </c>
      <c r="K1013" s="6">
        <v>6.76</v>
      </c>
      <c r="L1013" s="6">
        <v>50</v>
      </c>
      <c r="N1013" s="1">
        <f t="shared" si="132"/>
        <v>0</v>
      </c>
      <c r="O1013" s="8" t="s">
        <v>20</v>
      </c>
      <c r="P1013" s="8"/>
      <c r="Q1013" s="8" t="s">
        <v>21</v>
      </c>
      <c r="R1013" s="8" t="s">
        <v>21</v>
      </c>
      <c r="S1013" s="8" t="s">
        <v>21</v>
      </c>
      <c r="T1013" s="8" t="s">
        <v>21</v>
      </c>
      <c r="U1013" s="6">
        <f t="shared" si="134"/>
        <v>340.995</v>
      </c>
      <c r="V1013" s="6">
        <f t="shared" si="135"/>
        <v>340.995</v>
      </c>
    </row>
    <row r="1014" spans="1:22" hidden="1" x14ac:dyDescent="0.35">
      <c r="A1014" s="6" t="s">
        <v>1140</v>
      </c>
      <c r="B1014" s="6" t="s">
        <v>1116</v>
      </c>
      <c r="C1014" s="6" t="s">
        <v>1117</v>
      </c>
      <c r="D1014" s="6">
        <f t="shared" si="136"/>
        <v>0.5</v>
      </c>
      <c r="E1014" s="6" t="s">
        <v>19</v>
      </c>
      <c r="F1014" s="6" t="str">
        <f>MID(A1014,19,1)</f>
        <v>S</v>
      </c>
      <c r="G1014" s="6">
        <v>-23.229569059454111</v>
      </c>
      <c r="H1014" s="6">
        <v>-46.874275038536638</v>
      </c>
      <c r="I1014" s="9">
        <v>865.72</v>
      </c>
      <c r="K1014" s="6">
        <v>6.3</v>
      </c>
      <c r="L1014" s="6">
        <v>50</v>
      </c>
      <c r="N1014" s="1">
        <f t="shared" si="132"/>
        <v>0</v>
      </c>
      <c r="O1014" s="8" t="s">
        <v>20</v>
      </c>
      <c r="P1014" s="8"/>
      <c r="Q1014" s="8" t="s">
        <v>21</v>
      </c>
      <c r="R1014" s="8" t="s">
        <v>21</v>
      </c>
      <c r="S1014" s="8" t="s">
        <v>21</v>
      </c>
      <c r="T1014" s="8" t="s">
        <v>21</v>
      </c>
      <c r="U1014" s="6">
        <f t="shared" si="134"/>
        <v>432.86</v>
      </c>
      <c r="V1014" s="6">
        <f t="shared" si="135"/>
        <v>432.86</v>
      </c>
    </row>
    <row r="1015" spans="1:22" hidden="1" x14ac:dyDescent="0.35">
      <c r="A1015" s="6" t="s">
        <v>1141</v>
      </c>
      <c r="B1015" s="6" t="s">
        <v>1116</v>
      </c>
      <c r="C1015" s="6" t="s">
        <v>1117</v>
      </c>
      <c r="D1015" s="6">
        <f t="shared" si="136"/>
        <v>0.5</v>
      </c>
      <c r="E1015" s="6" t="s">
        <v>19</v>
      </c>
      <c r="F1015" s="6" t="str">
        <f>MID(A1015,19,1)</f>
        <v>S</v>
      </c>
      <c r="G1015" s="6">
        <v>-23.22800304576278</v>
      </c>
      <c r="H1015" s="6">
        <v>-46.87509310124608</v>
      </c>
      <c r="I1015" s="9">
        <v>1126.33</v>
      </c>
      <c r="K1015" s="6">
        <v>8.34</v>
      </c>
      <c r="L1015" s="6">
        <v>50</v>
      </c>
      <c r="N1015" s="1">
        <f t="shared" si="132"/>
        <v>0</v>
      </c>
      <c r="O1015" s="8" t="s">
        <v>20</v>
      </c>
      <c r="P1015" s="8"/>
      <c r="Q1015" s="8" t="s">
        <v>21</v>
      </c>
      <c r="R1015" s="8" t="s">
        <v>21</v>
      </c>
      <c r="S1015" s="8" t="s">
        <v>21</v>
      </c>
      <c r="T1015" s="8" t="s">
        <v>21</v>
      </c>
      <c r="U1015" s="6">
        <f t="shared" si="134"/>
        <v>563.16499999999996</v>
      </c>
      <c r="V1015" s="6">
        <f t="shared" si="135"/>
        <v>563.16499999999996</v>
      </c>
    </row>
    <row r="1016" spans="1:22" x14ac:dyDescent="0.35">
      <c r="A1016" s="6" t="s">
        <v>1142</v>
      </c>
      <c r="B1016" s="6" t="s">
        <v>1116</v>
      </c>
      <c r="C1016" s="6" t="s">
        <v>1117</v>
      </c>
      <c r="D1016" s="6">
        <f t="shared" si="136"/>
        <v>0.5</v>
      </c>
      <c r="E1016" s="6" t="s">
        <v>19</v>
      </c>
      <c r="F1016" s="6" t="str">
        <f>MID(A1016,19,1)</f>
        <v>N</v>
      </c>
      <c r="G1016" s="6">
        <v>-23.226008946252719</v>
      </c>
      <c r="H1016" s="6">
        <v>-46.903020377258343</v>
      </c>
      <c r="I1016" s="9">
        <v>1924.15</v>
      </c>
      <c r="K1016" s="6">
        <v>5.9</v>
      </c>
      <c r="L1016" s="6">
        <v>50</v>
      </c>
      <c r="N1016" s="1">
        <f t="shared" si="132"/>
        <v>0</v>
      </c>
      <c r="O1016" s="8" t="s">
        <v>20</v>
      </c>
      <c r="P1016" s="8"/>
      <c r="Q1016" s="8" t="s">
        <v>21</v>
      </c>
      <c r="R1016" s="8" t="s">
        <v>21</v>
      </c>
      <c r="S1016" s="8" t="s">
        <v>21</v>
      </c>
      <c r="T1016" s="8" t="s">
        <v>21</v>
      </c>
      <c r="U1016" s="6">
        <f t="shared" si="134"/>
        <v>962.07500000000005</v>
      </c>
      <c r="V1016" s="6">
        <f t="shared" si="135"/>
        <v>962.07500000000005</v>
      </c>
    </row>
    <row r="1017" spans="1:22" x14ac:dyDescent="0.35">
      <c r="A1017" s="6" t="s">
        <v>1143</v>
      </c>
      <c r="B1017" s="6" t="s">
        <v>1116</v>
      </c>
      <c r="C1017" s="6" t="s">
        <v>1117</v>
      </c>
      <c r="D1017" s="6">
        <f t="shared" si="136"/>
        <v>0.5</v>
      </c>
      <c r="E1017" s="6" t="s">
        <v>19</v>
      </c>
      <c r="F1017" s="6" t="str">
        <f>MID(A1017,19,1)</f>
        <v>N</v>
      </c>
      <c r="G1017" s="6">
        <v>-23.233897956857309</v>
      </c>
      <c r="H1017" s="6">
        <v>-46.871255080628302</v>
      </c>
      <c r="I1017" s="9">
        <v>1069.6300000000001</v>
      </c>
      <c r="K1017" s="6">
        <v>4.67</v>
      </c>
      <c r="L1017" s="6">
        <v>50</v>
      </c>
      <c r="N1017" s="1">
        <f t="shared" si="132"/>
        <v>0</v>
      </c>
      <c r="O1017" s="8" t="s">
        <v>185</v>
      </c>
      <c r="P1017" s="8"/>
      <c r="Q1017" s="8" t="s">
        <v>21</v>
      </c>
      <c r="R1017" s="8" t="s">
        <v>21</v>
      </c>
      <c r="S1017" s="8" t="s">
        <v>21</v>
      </c>
      <c r="T1017" s="8" t="s">
        <v>21</v>
      </c>
      <c r="U1017" s="6">
        <f t="shared" si="134"/>
        <v>534.81500000000005</v>
      </c>
      <c r="V1017" s="6">
        <f t="shared" si="135"/>
        <v>534.81500000000005</v>
      </c>
    </row>
    <row r="1018" spans="1:22" hidden="1" x14ac:dyDescent="0.35">
      <c r="A1018" s="6" t="s">
        <v>1144</v>
      </c>
      <c r="B1018" s="6" t="s">
        <v>1116</v>
      </c>
      <c r="C1018" s="6" t="s">
        <v>1117</v>
      </c>
      <c r="D1018" s="6">
        <f t="shared" si="136"/>
        <v>0.5</v>
      </c>
      <c r="E1018" s="6" t="s">
        <v>23</v>
      </c>
      <c r="F1018" s="6" t="str">
        <f>MID(A1018,19,1)</f>
        <v>C</v>
      </c>
      <c r="G1018" s="6">
        <v>-23.226475574573211</v>
      </c>
      <c r="H1018" s="6">
        <v>-46.903396828722137</v>
      </c>
      <c r="I1018" s="7">
        <v>1911.27</v>
      </c>
      <c r="J1018" s="9">
        <f>I1018/500</f>
        <v>3.82254</v>
      </c>
      <c r="K1018" s="6">
        <v>10.77</v>
      </c>
      <c r="L1018" s="6">
        <v>50</v>
      </c>
      <c r="N1018" s="1">
        <f t="shared" si="132"/>
        <v>0</v>
      </c>
      <c r="O1018" s="8" t="s">
        <v>20</v>
      </c>
      <c r="P1018" s="8"/>
      <c r="Q1018" s="8" t="s">
        <v>21</v>
      </c>
      <c r="R1018" s="8" t="s">
        <v>21</v>
      </c>
      <c r="S1018" s="8" t="s">
        <v>21</v>
      </c>
      <c r="T1018" s="8" t="s">
        <v>21</v>
      </c>
      <c r="U1018" s="6">
        <f t="shared" si="134"/>
        <v>955.63499999999999</v>
      </c>
      <c r="V1018" s="6">
        <f t="shared" si="135"/>
        <v>955.63499999999999</v>
      </c>
    </row>
    <row r="1019" spans="1:22" hidden="1" x14ac:dyDescent="0.35">
      <c r="A1019" s="6" t="s">
        <v>1145</v>
      </c>
      <c r="B1019" s="6" t="s">
        <v>1116</v>
      </c>
      <c r="C1019" s="6" t="s">
        <v>1117</v>
      </c>
      <c r="D1019" s="6">
        <f t="shared" si="136"/>
        <v>0.5</v>
      </c>
      <c r="E1019" s="6" t="s">
        <v>19</v>
      </c>
      <c r="F1019" s="6" t="str">
        <f>MID(A1019,19,1)</f>
        <v>S</v>
      </c>
      <c r="G1019" s="6">
        <v>-23.234368075472439</v>
      </c>
      <c r="H1019" s="6">
        <v>-46.871452832647023</v>
      </c>
      <c r="I1019" s="9">
        <v>212.27</v>
      </c>
      <c r="K1019" s="6">
        <v>7</v>
      </c>
      <c r="L1019" s="6">
        <v>20</v>
      </c>
      <c r="N1019" s="1">
        <f t="shared" si="132"/>
        <v>0</v>
      </c>
      <c r="O1019" s="8" t="s">
        <v>20</v>
      </c>
      <c r="P1019" s="8"/>
      <c r="Q1019" s="8" t="s">
        <v>21</v>
      </c>
      <c r="R1019" s="8" t="s">
        <v>21</v>
      </c>
      <c r="S1019" s="8" t="s">
        <v>21</v>
      </c>
      <c r="T1019" s="8" t="s">
        <v>21</v>
      </c>
      <c r="U1019" s="6">
        <f t="shared" si="134"/>
        <v>42.454000000000008</v>
      </c>
      <c r="V1019" s="6">
        <f t="shared" si="135"/>
        <v>42.454000000000008</v>
      </c>
    </row>
    <row r="1020" spans="1:22" hidden="1" x14ac:dyDescent="0.35">
      <c r="A1020" s="6" t="s">
        <v>1146</v>
      </c>
      <c r="B1020" s="6" t="s">
        <v>1116</v>
      </c>
      <c r="C1020" s="6" t="s">
        <v>1117</v>
      </c>
      <c r="D1020" s="6">
        <f t="shared" si="136"/>
        <v>0.5</v>
      </c>
      <c r="E1020" s="6" t="s">
        <v>19</v>
      </c>
      <c r="F1020" s="6" t="str">
        <f>MID(A1020,19,1)</f>
        <v>S</v>
      </c>
      <c r="G1020" s="6">
        <v>-23.233534428598581</v>
      </c>
      <c r="H1020" s="6">
        <v>-46.871812053211983</v>
      </c>
      <c r="I1020" s="9">
        <v>252.93</v>
      </c>
      <c r="K1020" s="6">
        <v>7.06</v>
      </c>
      <c r="L1020" s="6">
        <v>20</v>
      </c>
      <c r="N1020" s="1">
        <f t="shared" si="132"/>
        <v>0</v>
      </c>
      <c r="O1020" s="8" t="s">
        <v>20</v>
      </c>
      <c r="P1020" s="8"/>
      <c r="Q1020" s="8" t="s">
        <v>21</v>
      </c>
      <c r="R1020" s="8" t="s">
        <v>21</v>
      </c>
      <c r="S1020" s="8" t="s">
        <v>21</v>
      </c>
      <c r="T1020" s="8" t="s">
        <v>21</v>
      </c>
      <c r="U1020" s="6">
        <f t="shared" si="134"/>
        <v>50.586000000000006</v>
      </c>
      <c r="V1020" s="6">
        <f t="shared" si="135"/>
        <v>50.586000000000006</v>
      </c>
    </row>
    <row r="1021" spans="1:22" hidden="1" x14ac:dyDescent="0.35">
      <c r="A1021" s="6" t="s">
        <v>1147</v>
      </c>
      <c r="B1021" s="6" t="s">
        <v>1116</v>
      </c>
      <c r="C1021" s="6" t="s">
        <v>1117</v>
      </c>
      <c r="D1021" s="6">
        <f t="shared" si="136"/>
        <v>0.5</v>
      </c>
      <c r="E1021" s="6" t="s">
        <v>19</v>
      </c>
      <c r="F1021" s="6" t="str">
        <f>MID(A1021,19,1)</f>
        <v>S</v>
      </c>
      <c r="G1021" s="6">
        <v>-23.229261037849898</v>
      </c>
      <c r="H1021" s="6">
        <v>-46.874109328512517</v>
      </c>
      <c r="I1021" s="9">
        <v>3834.31</v>
      </c>
      <c r="K1021" s="6">
        <v>4.8899999999999997</v>
      </c>
      <c r="L1021" s="6">
        <v>50</v>
      </c>
      <c r="N1021" s="1">
        <f t="shared" si="132"/>
        <v>0</v>
      </c>
      <c r="O1021" s="8" t="s">
        <v>20</v>
      </c>
      <c r="P1021" s="8"/>
      <c r="Q1021" s="8" t="s">
        <v>21</v>
      </c>
      <c r="R1021" s="8" t="s">
        <v>21</v>
      </c>
      <c r="S1021" s="8" t="s">
        <v>21</v>
      </c>
      <c r="T1021" s="8" t="s">
        <v>21</v>
      </c>
      <c r="U1021" s="6">
        <f t="shared" si="134"/>
        <v>1917.155</v>
      </c>
      <c r="V1021" s="6">
        <f t="shared" si="135"/>
        <v>1917.155</v>
      </c>
    </row>
    <row r="1022" spans="1:22" x14ac:dyDescent="0.35">
      <c r="A1022" s="6" t="s">
        <v>1148</v>
      </c>
      <c r="B1022" s="6" t="s">
        <v>1116</v>
      </c>
      <c r="C1022" s="6" t="s">
        <v>1117</v>
      </c>
      <c r="D1022" s="6">
        <f t="shared" si="136"/>
        <v>0.5</v>
      </c>
      <c r="E1022" s="6" t="s">
        <v>19</v>
      </c>
      <c r="F1022" s="6" t="str">
        <f>MID(A1022,19,1)</f>
        <v>N</v>
      </c>
      <c r="G1022" s="6">
        <v>-23.228115415068181</v>
      </c>
      <c r="H1022" s="6">
        <v>-46.873131148373183</v>
      </c>
      <c r="I1022" s="9">
        <v>400.11</v>
      </c>
      <c r="K1022" s="6">
        <v>5.46</v>
      </c>
      <c r="L1022" s="6">
        <v>0</v>
      </c>
      <c r="N1022" s="1">
        <f t="shared" si="132"/>
        <v>0</v>
      </c>
      <c r="O1022" s="8"/>
      <c r="P1022" s="8"/>
      <c r="Q1022" s="8" t="s">
        <v>21</v>
      </c>
      <c r="R1022" s="8" t="s">
        <v>21</v>
      </c>
      <c r="S1022" s="8" t="s">
        <v>21</v>
      </c>
      <c r="T1022" s="8" t="s">
        <v>21</v>
      </c>
      <c r="U1022" s="6">
        <f t="shared" si="134"/>
        <v>0</v>
      </c>
      <c r="V1022" s="6">
        <f t="shared" si="135"/>
        <v>0</v>
      </c>
    </row>
    <row r="1023" spans="1:22" x14ac:dyDescent="0.35">
      <c r="A1023" s="6" t="s">
        <v>1149</v>
      </c>
      <c r="B1023" s="6" t="s">
        <v>1116</v>
      </c>
      <c r="C1023" s="6" t="s">
        <v>1117</v>
      </c>
      <c r="D1023" s="6">
        <f t="shared" si="136"/>
        <v>0.5</v>
      </c>
      <c r="E1023" s="6" t="s">
        <v>19</v>
      </c>
      <c r="F1023" s="6" t="str">
        <f>MID(A1023,19,1)</f>
        <v>N</v>
      </c>
      <c r="G1023" s="6">
        <v>-23.22894631061018</v>
      </c>
      <c r="H1023" s="6">
        <v>-46.873485082192701</v>
      </c>
      <c r="I1023" s="9">
        <v>3166.46</v>
      </c>
      <c r="K1023" s="6">
        <v>5.04</v>
      </c>
      <c r="L1023" s="6">
        <v>40</v>
      </c>
      <c r="N1023" s="1">
        <f t="shared" si="132"/>
        <v>0</v>
      </c>
      <c r="O1023" s="8" t="s">
        <v>20</v>
      </c>
      <c r="P1023" s="8"/>
      <c r="Q1023" s="8" t="s">
        <v>21</v>
      </c>
      <c r="R1023" s="8" t="s">
        <v>21</v>
      </c>
      <c r="S1023" s="8" t="s">
        <v>21</v>
      </c>
      <c r="T1023" s="8" t="s">
        <v>21</v>
      </c>
      <c r="U1023" s="6">
        <f t="shared" si="134"/>
        <v>1266.5840000000001</v>
      </c>
      <c r="V1023" s="6">
        <f t="shared" si="135"/>
        <v>1266.5840000000001</v>
      </c>
    </row>
    <row r="1024" spans="1:22" x14ac:dyDescent="0.35">
      <c r="A1024" s="6" t="s">
        <v>1150</v>
      </c>
      <c r="B1024" s="6" t="s">
        <v>1116</v>
      </c>
      <c r="C1024" s="6" t="s">
        <v>1117</v>
      </c>
      <c r="D1024" s="6">
        <f t="shared" si="136"/>
        <v>0.5</v>
      </c>
      <c r="E1024" s="6" t="s">
        <v>19</v>
      </c>
      <c r="F1024" s="6" t="str">
        <f>MID(A1024,19,1)</f>
        <v>N</v>
      </c>
      <c r="G1024" s="6">
        <v>-23.227646783641429</v>
      </c>
      <c r="H1024" s="6">
        <v>-46.874206165283113</v>
      </c>
      <c r="I1024" s="9">
        <v>3467.88</v>
      </c>
      <c r="K1024" s="6">
        <v>4.0999999999999996</v>
      </c>
      <c r="L1024" s="6">
        <v>40</v>
      </c>
      <c r="N1024" s="1">
        <f t="shared" si="132"/>
        <v>0</v>
      </c>
      <c r="O1024" s="8" t="s">
        <v>20</v>
      </c>
      <c r="P1024" s="8"/>
      <c r="Q1024" s="8" t="s">
        <v>21</v>
      </c>
      <c r="R1024" s="8" t="s">
        <v>21</v>
      </c>
      <c r="S1024" s="8" t="s">
        <v>21</v>
      </c>
      <c r="T1024" s="8" t="s">
        <v>21</v>
      </c>
      <c r="U1024" s="6">
        <f t="shared" si="134"/>
        <v>1387.152</v>
      </c>
      <c r="V1024" s="6">
        <f t="shared" si="135"/>
        <v>1387.152</v>
      </c>
    </row>
    <row r="1025" spans="1:22" x14ac:dyDescent="0.35">
      <c r="A1025" s="6" t="s">
        <v>1151</v>
      </c>
      <c r="B1025" s="6" t="s">
        <v>1116</v>
      </c>
      <c r="C1025" s="6" t="s">
        <v>1117</v>
      </c>
      <c r="D1025" s="6">
        <f t="shared" si="136"/>
        <v>0.5</v>
      </c>
      <c r="E1025" s="6" t="s">
        <v>19</v>
      </c>
      <c r="F1025" s="6" t="str">
        <f>MID(A1025,19,1)</f>
        <v>N</v>
      </c>
      <c r="G1025" s="6">
        <v>-23.227523629367791</v>
      </c>
      <c r="H1025" s="6">
        <v>-46.874023271169428</v>
      </c>
      <c r="I1025" s="9">
        <v>243.42</v>
      </c>
      <c r="K1025" s="6">
        <v>3.3</v>
      </c>
      <c r="L1025" s="6">
        <v>0</v>
      </c>
      <c r="N1025" s="1">
        <f t="shared" si="132"/>
        <v>0</v>
      </c>
      <c r="O1025" s="8"/>
      <c r="P1025" s="8"/>
      <c r="Q1025" s="8" t="s">
        <v>21</v>
      </c>
      <c r="R1025" s="8" t="s">
        <v>21</v>
      </c>
      <c r="S1025" s="8" t="s">
        <v>21</v>
      </c>
      <c r="T1025" s="8" t="s">
        <v>21</v>
      </c>
      <c r="U1025" s="6">
        <f t="shared" si="134"/>
        <v>0</v>
      </c>
      <c r="V1025" s="6">
        <f t="shared" si="135"/>
        <v>0</v>
      </c>
    </row>
    <row r="1026" spans="1:22" hidden="1" x14ac:dyDescent="0.35">
      <c r="A1026" s="6" t="s">
        <v>1152</v>
      </c>
      <c r="B1026" s="6" t="s">
        <v>1116</v>
      </c>
      <c r="C1026" s="6" t="s">
        <v>1117</v>
      </c>
      <c r="D1026" s="6">
        <f t="shared" si="136"/>
        <v>0.5</v>
      </c>
      <c r="E1026" s="6" t="s">
        <v>19</v>
      </c>
      <c r="F1026" s="6" t="str">
        <f>MID(A1026,19,1)</f>
        <v>S</v>
      </c>
      <c r="G1026" s="6">
        <v>-23.228729408449631</v>
      </c>
      <c r="H1026" s="6">
        <v>-46.874690019962557</v>
      </c>
      <c r="I1026" s="9">
        <v>39.44</v>
      </c>
      <c r="K1026" s="6">
        <v>3.74</v>
      </c>
      <c r="L1026" s="6">
        <v>0</v>
      </c>
      <c r="N1026" s="1">
        <f t="shared" ref="N1026:N1089" si="138">IF(OR(R1026="Sim",S1026="Sim",T1026="Sim"),(L1026/100)*I1026,0)</f>
        <v>0</v>
      </c>
      <c r="O1026" s="8"/>
      <c r="P1026" s="8"/>
      <c r="Q1026" s="8" t="s">
        <v>21</v>
      </c>
      <c r="R1026" s="8" t="s">
        <v>21</v>
      </c>
      <c r="S1026" s="8" t="s">
        <v>21</v>
      </c>
      <c r="T1026" s="8" t="s">
        <v>21</v>
      </c>
      <c r="U1026" s="6">
        <f t="shared" si="134"/>
        <v>0</v>
      </c>
      <c r="V1026" s="6">
        <f t="shared" si="135"/>
        <v>0</v>
      </c>
    </row>
    <row r="1027" spans="1:22" hidden="1" x14ac:dyDescent="0.35">
      <c r="A1027" s="6" t="s">
        <v>1153</v>
      </c>
      <c r="B1027" s="6" t="s">
        <v>1154</v>
      </c>
      <c r="C1027" s="6" t="s">
        <v>1155</v>
      </c>
      <c r="D1027" s="6">
        <f t="shared" si="136"/>
        <v>0.5</v>
      </c>
      <c r="E1027" s="6" t="s">
        <v>19</v>
      </c>
      <c r="F1027" s="6" t="str">
        <f>MID(A1027,19,1)</f>
        <v>S</v>
      </c>
      <c r="G1027" s="6">
        <v>-23.22377022250356</v>
      </c>
      <c r="H1027" s="6">
        <v>-46.877633474817692</v>
      </c>
      <c r="I1027" s="9">
        <v>4.55</v>
      </c>
      <c r="K1027" s="6">
        <v>3.86</v>
      </c>
      <c r="N1027" s="1">
        <f t="shared" si="138"/>
        <v>0</v>
      </c>
      <c r="O1027" s="8"/>
      <c r="P1027" s="8"/>
      <c r="Q1027" s="8" t="s">
        <v>21</v>
      </c>
      <c r="R1027" s="8" t="s">
        <v>21</v>
      </c>
      <c r="S1027" s="8" t="s">
        <v>21</v>
      </c>
      <c r="T1027" s="8" t="s">
        <v>21</v>
      </c>
      <c r="U1027" s="6">
        <f t="shared" ref="U1027:U1090" si="139">IF(N1027=0,(I1027*(L1027/100)),0)</f>
        <v>0</v>
      </c>
      <c r="V1027" s="6">
        <f t="shared" si="135"/>
        <v>0</v>
      </c>
    </row>
    <row r="1028" spans="1:22" x14ac:dyDescent="0.35">
      <c r="A1028" s="6" t="s">
        <v>1156</v>
      </c>
      <c r="B1028" s="6" t="s">
        <v>1154</v>
      </c>
      <c r="C1028" s="6" t="s">
        <v>1155</v>
      </c>
      <c r="D1028" s="6">
        <f t="shared" si="136"/>
        <v>0.5</v>
      </c>
      <c r="E1028" s="6" t="s">
        <v>19</v>
      </c>
      <c r="F1028" s="6" t="str">
        <f>MID(A1028,19,1)</f>
        <v>N</v>
      </c>
      <c r="G1028" s="6">
        <v>-23.219906301018899</v>
      </c>
      <c r="H1028" s="6">
        <v>-46.879979008756962</v>
      </c>
      <c r="I1028" s="9">
        <v>326.47000000000003</v>
      </c>
      <c r="K1028" s="6">
        <v>4.8499999999999996</v>
      </c>
      <c r="L1028" s="6">
        <v>0</v>
      </c>
      <c r="N1028" s="1">
        <f t="shared" si="138"/>
        <v>0</v>
      </c>
      <c r="O1028" s="8"/>
      <c r="P1028" s="8"/>
      <c r="Q1028" s="8" t="s">
        <v>21</v>
      </c>
      <c r="R1028" s="8" t="s">
        <v>21</v>
      </c>
      <c r="S1028" s="8" t="s">
        <v>21</v>
      </c>
      <c r="T1028" s="8" t="s">
        <v>21</v>
      </c>
      <c r="U1028" s="6">
        <f t="shared" si="139"/>
        <v>0</v>
      </c>
      <c r="V1028" s="6">
        <f t="shared" si="135"/>
        <v>0</v>
      </c>
    </row>
    <row r="1029" spans="1:22" x14ac:dyDescent="0.35">
      <c r="A1029" s="6" t="s">
        <v>1157</v>
      </c>
      <c r="B1029" s="6" t="s">
        <v>1154</v>
      </c>
      <c r="C1029" s="6" t="s">
        <v>1155</v>
      </c>
      <c r="D1029" s="6">
        <f t="shared" si="136"/>
        <v>0.5</v>
      </c>
      <c r="E1029" s="6" t="s">
        <v>19</v>
      </c>
      <c r="F1029" s="6" t="str">
        <f>MID(A1029,19,1)</f>
        <v>N</v>
      </c>
      <c r="G1029" s="6">
        <v>-23.221419265706562</v>
      </c>
      <c r="H1029" s="6">
        <v>-46.878541252177911</v>
      </c>
      <c r="I1029" s="9">
        <v>659.31</v>
      </c>
      <c r="K1029" s="6">
        <v>3.87</v>
      </c>
      <c r="L1029" s="6">
        <v>0</v>
      </c>
      <c r="N1029" s="1">
        <f t="shared" si="138"/>
        <v>0</v>
      </c>
      <c r="O1029" s="8"/>
      <c r="P1029" s="8"/>
      <c r="Q1029" s="8" t="s">
        <v>21</v>
      </c>
      <c r="R1029" s="8" t="s">
        <v>21</v>
      </c>
      <c r="S1029" s="8" t="s">
        <v>21</v>
      </c>
      <c r="T1029" s="8" t="s">
        <v>21</v>
      </c>
      <c r="U1029" s="6">
        <f t="shared" si="139"/>
        <v>0</v>
      </c>
      <c r="V1029" s="6">
        <f t="shared" si="135"/>
        <v>0</v>
      </c>
    </row>
    <row r="1030" spans="1:22" hidden="1" x14ac:dyDescent="0.35">
      <c r="A1030" s="6" t="s">
        <v>1158</v>
      </c>
      <c r="B1030" s="6" t="s">
        <v>1154</v>
      </c>
      <c r="C1030" s="6" t="s">
        <v>1155</v>
      </c>
      <c r="D1030" s="6">
        <f t="shared" si="136"/>
        <v>0.5</v>
      </c>
      <c r="E1030" s="6" t="s">
        <v>19</v>
      </c>
      <c r="F1030" s="6" t="str">
        <f>MID(A1030,19,1)</f>
        <v>S</v>
      </c>
      <c r="G1030" s="6">
        <v>-23.221185791609351</v>
      </c>
      <c r="H1030" s="6">
        <v>-46.910448696453251</v>
      </c>
      <c r="I1030" s="9">
        <v>2082.64</v>
      </c>
      <c r="K1030" s="6">
        <v>7.26</v>
      </c>
      <c r="L1030" s="6">
        <v>50</v>
      </c>
      <c r="N1030" s="1">
        <f t="shared" si="138"/>
        <v>0</v>
      </c>
      <c r="O1030" s="8" t="s">
        <v>20</v>
      </c>
      <c r="P1030" s="8"/>
      <c r="Q1030" s="8" t="s">
        <v>21</v>
      </c>
      <c r="R1030" s="8" t="s">
        <v>21</v>
      </c>
      <c r="S1030" s="8" t="s">
        <v>21</v>
      </c>
      <c r="T1030" s="8" t="s">
        <v>21</v>
      </c>
      <c r="U1030" s="6">
        <f t="shared" si="139"/>
        <v>1041.32</v>
      </c>
      <c r="V1030" s="6">
        <f t="shared" si="135"/>
        <v>1041.32</v>
      </c>
    </row>
    <row r="1031" spans="1:22" hidden="1" x14ac:dyDescent="0.35">
      <c r="A1031" s="6" t="s">
        <v>1159</v>
      </c>
      <c r="B1031" s="6" t="s">
        <v>1154</v>
      </c>
      <c r="C1031" s="6" t="s">
        <v>1155</v>
      </c>
      <c r="D1031" s="6">
        <f t="shared" si="136"/>
        <v>0.5</v>
      </c>
      <c r="E1031" s="6" t="s">
        <v>23</v>
      </c>
      <c r="F1031" s="6" t="str">
        <f>MID(A1031,19,1)</f>
        <v>C</v>
      </c>
      <c r="G1031" s="6">
        <v>-23.223920772234919</v>
      </c>
      <c r="H1031" s="6">
        <v>-46.906810837496543</v>
      </c>
      <c r="I1031" s="7">
        <v>1766.98</v>
      </c>
      <c r="J1031" s="9">
        <f>I1031/500</f>
        <v>3.53396</v>
      </c>
      <c r="K1031" s="6">
        <v>6.2</v>
      </c>
      <c r="L1031" s="6">
        <v>50</v>
      </c>
      <c r="N1031" s="1">
        <f t="shared" si="138"/>
        <v>0</v>
      </c>
      <c r="O1031" s="8" t="s">
        <v>20</v>
      </c>
      <c r="P1031" s="8"/>
      <c r="Q1031" s="8" t="s">
        <v>21</v>
      </c>
      <c r="R1031" s="8" t="s">
        <v>21</v>
      </c>
      <c r="S1031" s="8" t="s">
        <v>21</v>
      </c>
      <c r="T1031" s="8" t="s">
        <v>21</v>
      </c>
      <c r="U1031" s="6">
        <f t="shared" si="139"/>
        <v>883.49</v>
      </c>
      <c r="V1031" s="6">
        <f t="shared" si="135"/>
        <v>883.49</v>
      </c>
    </row>
    <row r="1032" spans="1:22" x14ac:dyDescent="0.35">
      <c r="A1032" s="6" t="s">
        <v>1160</v>
      </c>
      <c r="B1032" s="6" t="s">
        <v>1154</v>
      </c>
      <c r="C1032" s="6" t="s">
        <v>1155</v>
      </c>
      <c r="D1032" s="6">
        <f t="shared" si="136"/>
        <v>0.5</v>
      </c>
      <c r="E1032" s="6" t="s">
        <v>19</v>
      </c>
      <c r="F1032" s="6" t="str">
        <f>MID(A1032,19,1)</f>
        <v>N</v>
      </c>
      <c r="G1032" s="6">
        <v>-23.221820289251639</v>
      </c>
      <c r="H1032" s="6">
        <v>-46.878497097701853</v>
      </c>
      <c r="I1032" s="9">
        <v>11673.29</v>
      </c>
      <c r="K1032" s="6">
        <v>3.69</v>
      </c>
      <c r="L1032" s="6">
        <v>40</v>
      </c>
      <c r="N1032" s="1">
        <f t="shared" si="138"/>
        <v>0</v>
      </c>
      <c r="O1032" s="8" t="s">
        <v>20</v>
      </c>
      <c r="P1032" s="8"/>
      <c r="Q1032" s="8" t="s">
        <v>21</v>
      </c>
      <c r="R1032" s="8" t="s">
        <v>21</v>
      </c>
      <c r="S1032" s="8" t="s">
        <v>21</v>
      </c>
      <c r="T1032" s="8" t="s">
        <v>21</v>
      </c>
      <c r="U1032" s="6">
        <f t="shared" si="139"/>
        <v>4669.3160000000007</v>
      </c>
      <c r="V1032" s="6">
        <f t="shared" si="135"/>
        <v>4669.3160000000007</v>
      </c>
    </row>
    <row r="1033" spans="1:22" hidden="1" x14ac:dyDescent="0.35">
      <c r="A1033" s="6" t="s">
        <v>1161</v>
      </c>
      <c r="B1033" s="6" t="s">
        <v>1154</v>
      </c>
      <c r="C1033" s="6" t="s">
        <v>1155</v>
      </c>
      <c r="D1033" s="6">
        <f t="shared" si="136"/>
        <v>0.5</v>
      </c>
      <c r="E1033" s="6" t="s">
        <v>19</v>
      </c>
      <c r="F1033" s="6" t="str">
        <f>MID(A1033,19,1)</f>
        <v>S</v>
      </c>
      <c r="G1033" s="6">
        <v>-23.22251603571307</v>
      </c>
      <c r="H1033" s="6">
        <v>-46.878642850864729</v>
      </c>
      <c r="I1033" s="9">
        <v>1268.4100000000001</v>
      </c>
      <c r="K1033" s="6">
        <v>3.69</v>
      </c>
      <c r="L1033" s="6">
        <v>30</v>
      </c>
      <c r="N1033" s="1">
        <f t="shared" si="138"/>
        <v>0</v>
      </c>
      <c r="O1033" s="8" t="s">
        <v>20</v>
      </c>
      <c r="P1033" s="8"/>
      <c r="Q1033" s="8" t="s">
        <v>21</v>
      </c>
      <c r="R1033" s="8" t="s">
        <v>21</v>
      </c>
      <c r="S1033" s="8" t="s">
        <v>21</v>
      </c>
      <c r="T1033" s="8" t="s">
        <v>21</v>
      </c>
      <c r="U1033" s="6">
        <f t="shared" si="139"/>
        <v>380.52300000000002</v>
      </c>
      <c r="V1033" s="6">
        <f t="shared" si="135"/>
        <v>380.52300000000002</v>
      </c>
    </row>
    <row r="1034" spans="1:22" x14ac:dyDescent="0.35">
      <c r="A1034" s="6" t="s">
        <v>1162</v>
      </c>
      <c r="B1034" s="6" t="s">
        <v>1154</v>
      </c>
      <c r="C1034" s="6" t="s">
        <v>1155</v>
      </c>
      <c r="D1034" s="6">
        <f t="shared" si="136"/>
        <v>0.5</v>
      </c>
      <c r="E1034" s="6" t="s">
        <v>19</v>
      </c>
      <c r="F1034" s="6" t="str">
        <f>MID(A1034,19,1)</f>
        <v>N</v>
      </c>
      <c r="G1034" s="6">
        <v>-23.224781512206452</v>
      </c>
      <c r="H1034" s="6">
        <v>-46.876024529076183</v>
      </c>
      <c r="I1034" s="9">
        <v>9772.94</v>
      </c>
      <c r="K1034" s="6">
        <v>4.8</v>
      </c>
      <c r="L1034" s="6">
        <v>40</v>
      </c>
      <c r="N1034" s="1">
        <f t="shared" si="138"/>
        <v>0</v>
      </c>
      <c r="O1034" s="8" t="s">
        <v>20</v>
      </c>
      <c r="P1034" s="8"/>
      <c r="Q1034" s="8" t="s">
        <v>21</v>
      </c>
      <c r="R1034" s="8" t="s">
        <v>21</v>
      </c>
      <c r="S1034" s="8" t="s">
        <v>21</v>
      </c>
      <c r="T1034" s="8" t="s">
        <v>21</v>
      </c>
      <c r="U1034" s="6">
        <f t="shared" si="139"/>
        <v>3909.1760000000004</v>
      </c>
      <c r="V1034" s="6">
        <f t="shared" si="135"/>
        <v>3909.1760000000004</v>
      </c>
    </row>
    <row r="1035" spans="1:22" x14ac:dyDescent="0.35">
      <c r="A1035" s="6" t="s">
        <v>1163</v>
      </c>
      <c r="B1035" s="6" t="s">
        <v>1154</v>
      </c>
      <c r="C1035" s="6" t="s">
        <v>1155</v>
      </c>
      <c r="D1035" s="6">
        <f t="shared" si="136"/>
        <v>0.5</v>
      </c>
      <c r="E1035" s="6" t="s">
        <v>19</v>
      </c>
      <c r="F1035" s="6" t="str">
        <f>MID(A1035,19,1)</f>
        <v>N</v>
      </c>
      <c r="G1035" s="6">
        <v>-23.220750051077189</v>
      </c>
      <c r="H1035" s="6">
        <v>-46.910045217647358</v>
      </c>
      <c r="I1035" s="9">
        <v>2110.67</v>
      </c>
      <c r="K1035" s="6">
        <v>6.78</v>
      </c>
      <c r="L1035" s="6">
        <v>0</v>
      </c>
      <c r="N1035" s="1">
        <f t="shared" si="138"/>
        <v>0</v>
      </c>
      <c r="O1035" s="8"/>
      <c r="P1035" s="8"/>
      <c r="Q1035" s="8" t="s">
        <v>21</v>
      </c>
      <c r="R1035" s="8" t="s">
        <v>21</v>
      </c>
      <c r="S1035" s="8" t="s">
        <v>21</v>
      </c>
      <c r="T1035" s="8" t="s">
        <v>21</v>
      </c>
      <c r="U1035" s="6">
        <f t="shared" si="139"/>
        <v>0</v>
      </c>
      <c r="V1035" s="6">
        <f t="shared" si="135"/>
        <v>0</v>
      </c>
    </row>
    <row r="1036" spans="1:22" hidden="1" x14ac:dyDescent="0.35">
      <c r="A1036" s="6" t="s">
        <v>1164</v>
      </c>
      <c r="B1036" s="6" t="s">
        <v>1154</v>
      </c>
      <c r="C1036" s="6" t="s">
        <v>1155</v>
      </c>
      <c r="D1036" s="6">
        <f t="shared" si="136"/>
        <v>0.5</v>
      </c>
      <c r="E1036" s="6" t="s">
        <v>19</v>
      </c>
      <c r="F1036" s="6" t="str">
        <f>MID(A1036,19,1)</f>
        <v>S</v>
      </c>
      <c r="G1036" s="6">
        <v>-23.22516848940009</v>
      </c>
      <c r="H1036" s="6">
        <v>-46.876412651871291</v>
      </c>
      <c r="I1036" s="9">
        <v>1648.56</v>
      </c>
      <c r="K1036" s="6">
        <v>9.2100000000000009</v>
      </c>
      <c r="L1036" s="6">
        <v>50</v>
      </c>
      <c r="N1036" s="1">
        <f t="shared" si="138"/>
        <v>0</v>
      </c>
      <c r="O1036" s="8" t="s">
        <v>20</v>
      </c>
      <c r="P1036" s="8"/>
      <c r="Q1036" s="8" t="s">
        <v>21</v>
      </c>
      <c r="R1036" s="8" t="s">
        <v>21</v>
      </c>
      <c r="S1036" s="8" t="s">
        <v>21</v>
      </c>
      <c r="T1036" s="8" t="s">
        <v>21</v>
      </c>
      <c r="U1036" s="6">
        <f t="shared" si="139"/>
        <v>824.28</v>
      </c>
      <c r="V1036" s="6">
        <f t="shared" ref="V1036:V1099" si="140">(I1036*(L1036/100))</f>
        <v>824.28</v>
      </c>
    </row>
    <row r="1037" spans="1:22" hidden="1" x14ac:dyDescent="0.35">
      <c r="A1037" s="6" t="s">
        <v>1165</v>
      </c>
      <c r="B1037" s="6" t="s">
        <v>1154</v>
      </c>
      <c r="C1037" s="6" t="s">
        <v>1155</v>
      </c>
      <c r="D1037" s="6">
        <f t="shared" si="136"/>
        <v>0.5</v>
      </c>
      <c r="E1037" s="6" t="s">
        <v>19</v>
      </c>
      <c r="F1037" s="6" t="str">
        <f>MID(A1037,19,1)</f>
        <v>S</v>
      </c>
      <c r="G1037" s="6">
        <v>-23.22063628128117</v>
      </c>
      <c r="H1037" s="6">
        <v>-46.880323832011392</v>
      </c>
      <c r="I1037" s="9">
        <v>709.38</v>
      </c>
      <c r="K1037" s="6">
        <v>8.42</v>
      </c>
      <c r="L1037" s="6">
        <v>30</v>
      </c>
      <c r="N1037" s="1">
        <f t="shared" si="138"/>
        <v>0</v>
      </c>
      <c r="O1037" s="8" t="s">
        <v>20</v>
      </c>
      <c r="P1037" s="8"/>
      <c r="Q1037" s="8" t="s">
        <v>21</v>
      </c>
      <c r="R1037" s="8" t="s">
        <v>21</v>
      </c>
      <c r="S1037" s="8" t="s">
        <v>21</v>
      </c>
      <c r="T1037" s="8" t="s">
        <v>21</v>
      </c>
      <c r="U1037" s="6">
        <f t="shared" si="139"/>
        <v>212.81399999999999</v>
      </c>
      <c r="V1037" s="6">
        <f t="shared" si="140"/>
        <v>212.81399999999999</v>
      </c>
    </row>
    <row r="1038" spans="1:22" hidden="1" x14ac:dyDescent="0.35">
      <c r="A1038" s="6" t="s">
        <v>1166</v>
      </c>
      <c r="B1038" s="6" t="s">
        <v>1154</v>
      </c>
      <c r="C1038" s="6" t="s">
        <v>1155</v>
      </c>
      <c r="D1038" s="6">
        <f t="shared" ref="D1038:D1101" si="141">C1038-B1038</f>
        <v>0.5</v>
      </c>
      <c r="E1038" s="6" t="s">
        <v>23</v>
      </c>
      <c r="F1038" s="6" t="str">
        <f>MID(A1038,19,1)</f>
        <v>C</v>
      </c>
      <c r="G1038" s="6">
        <v>-23.223669656420469</v>
      </c>
      <c r="H1038" s="6">
        <v>-46.906638308156083</v>
      </c>
      <c r="I1038" s="7">
        <v>9668.52</v>
      </c>
      <c r="J1038" s="9">
        <f>I1038/500</f>
        <v>19.337040000000002</v>
      </c>
      <c r="K1038" s="6">
        <v>5.01</v>
      </c>
      <c r="L1038" s="6">
        <v>60</v>
      </c>
      <c r="N1038" s="1">
        <f t="shared" si="138"/>
        <v>0</v>
      </c>
      <c r="O1038" s="8" t="s">
        <v>185</v>
      </c>
      <c r="P1038" s="8"/>
      <c r="Q1038" s="8" t="s">
        <v>21</v>
      </c>
      <c r="R1038" s="8" t="s">
        <v>21</v>
      </c>
      <c r="S1038" s="8" t="s">
        <v>21</v>
      </c>
      <c r="T1038" s="8" t="s">
        <v>21</v>
      </c>
      <c r="U1038" s="6">
        <f t="shared" si="139"/>
        <v>5801.1120000000001</v>
      </c>
      <c r="V1038" s="6">
        <f t="shared" si="140"/>
        <v>5801.1120000000001</v>
      </c>
    </row>
    <row r="1039" spans="1:22" x14ac:dyDescent="0.35">
      <c r="A1039" s="6" t="s">
        <v>1167</v>
      </c>
      <c r="B1039" s="6" t="s">
        <v>1154</v>
      </c>
      <c r="C1039" s="6" t="s">
        <v>1155</v>
      </c>
      <c r="D1039" s="6">
        <f t="shared" si="141"/>
        <v>0.5</v>
      </c>
      <c r="E1039" s="6" t="s">
        <v>19</v>
      </c>
      <c r="F1039" s="6" t="str">
        <f>MID(A1039,19,1)</f>
        <v>N</v>
      </c>
      <c r="G1039" s="6">
        <v>-23.223444845635051</v>
      </c>
      <c r="H1039" s="6">
        <v>-46.906443602460897</v>
      </c>
      <c r="I1039" s="9">
        <v>1684.13</v>
      </c>
      <c r="K1039" s="6">
        <v>7.84</v>
      </c>
      <c r="L1039" s="6">
        <v>50</v>
      </c>
      <c r="N1039" s="1">
        <f t="shared" si="138"/>
        <v>0</v>
      </c>
      <c r="O1039" s="8" t="s">
        <v>20</v>
      </c>
      <c r="P1039" s="8"/>
      <c r="Q1039" s="8" t="s">
        <v>21</v>
      </c>
      <c r="R1039" s="8" t="s">
        <v>21</v>
      </c>
      <c r="S1039" s="8" t="s">
        <v>21</v>
      </c>
      <c r="T1039" s="8" t="s">
        <v>21</v>
      </c>
      <c r="U1039" s="6">
        <f t="shared" si="139"/>
        <v>842.06500000000005</v>
      </c>
      <c r="V1039" s="6">
        <f t="shared" si="140"/>
        <v>842.06500000000005</v>
      </c>
    </row>
    <row r="1040" spans="1:22" hidden="1" x14ac:dyDescent="0.35">
      <c r="A1040" s="6" t="s">
        <v>1168</v>
      </c>
      <c r="B1040" s="6" t="s">
        <v>1154</v>
      </c>
      <c r="C1040" s="6" t="s">
        <v>1155</v>
      </c>
      <c r="D1040" s="6">
        <f t="shared" si="141"/>
        <v>0.5</v>
      </c>
      <c r="E1040" s="6" t="s">
        <v>23</v>
      </c>
      <c r="F1040" s="6" t="str">
        <f>MID(A1040,19,1)</f>
        <v>C</v>
      </c>
      <c r="G1040" s="6">
        <v>-23.220916070114971</v>
      </c>
      <c r="H1040" s="6">
        <v>-46.910301995381282</v>
      </c>
      <c r="I1040" s="7">
        <v>12492.65</v>
      </c>
      <c r="J1040" s="9">
        <f>I1040/500</f>
        <v>24.985299999999999</v>
      </c>
      <c r="K1040" s="6">
        <v>6.54</v>
      </c>
      <c r="L1040" s="6">
        <v>50</v>
      </c>
      <c r="N1040" s="1">
        <f t="shared" si="138"/>
        <v>0</v>
      </c>
      <c r="O1040" s="8" t="s">
        <v>185</v>
      </c>
      <c r="P1040" s="8"/>
      <c r="Q1040" s="8" t="s">
        <v>21</v>
      </c>
      <c r="R1040" s="8" t="s">
        <v>21</v>
      </c>
      <c r="S1040" s="8" t="s">
        <v>21</v>
      </c>
      <c r="T1040" s="8" t="s">
        <v>21</v>
      </c>
      <c r="U1040" s="6">
        <f t="shared" si="139"/>
        <v>6246.3249999999998</v>
      </c>
      <c r="V1040" s="6">
        <f t="shared" si="140"/>
        <v>6246.3249999999998</v>
      </c>
    </row>
    <row r="1041" spans="1:22" hidden="1" x14ac:dyDescent="0.35">
      <c r="A1041" s="6" t="s">
        <v>1169</v>
      </c>
      <c r="B1041" s="6" t="s">
        <v>1154</v>
      </c>
      <c r="C1041" s="6" t="s">
        <v>1155</v>
      </c>
      <c r="D1041" s="6">
        <f t="shared" si="141"/>
        <v>0.5</v>
      </c>
      <c r="E1041" s="6" t="s">
        <v>19</v>
      </c>
      <c r="F1041" s="6" t="str">
        <f>MID(A1041,19,1)</f>
        <v>S</v>
      </c>
      <c r="G1041" s="6">
        <v>-23.2217104013199</v>
      </c>
      <c r="H1041" s="6">
        <v>-46.87912907914631</v>
      </c>
      <c r="I1041" s="9">
        <v>6109.93</v>
      </c>
      <c r="K1041" s="6">
        <v>4.88</v>
      </c>
      <c r="L1041" s="6">
        <v>30</v>
      </c>
      <c r="N1041" s="1">
        <f t="shared" si="138"/>
        <v>0</v>
      </c>
      <c r="O1041" s="8" t="s">
        <v>20</v>
      </c>
      <c r="P1041" s="8"/>
      <c r="Q1041" s="8" t="s">
        <v>21</v>
      </c>
      <c r="R1041" s="8" t="s">
        <v>21</v>
      </c>
      <c r="S1041" s="8" t="s">
        <v>21</v>
      </c>
      <c r="T1041" s="8" t="s">
        <v>21</v>
      </c>
      <c r="U1041" s="6">
        <f t="shared" si="139"/>
        <v>1832.979</v>
      </c>
      <c r="V1041" s="6">
        <f t="shared" si="140"/>
        <v>1832.979</v>
      </c>
    </row>
    <row r="1042" spans="1:22" x14ac:dyDescent="0.35">
      <c r="A1042" s="6" t="s">
        <v>1170</v>
      </c>
      <c r="B1042" s="6" t="s">
        <v>1154</v>
      </c>
      <c r="C1042" s="6" t="s">
        <v>1155</v>
      </c>
      <c r="D1042" s="6">
        <f t="shared" si="141"/>
        <v>0.5</v>
      </c>
      <c r="E1042" s="6" t="s">
        <v>19</v>
      </c>
      <c r="F1042" s="6" t="str">
        <f>MID(A1042,19,1)</f>
        <v>N</v>
      </c>
      <c r="G1042" s="6">
        <v>-23.226343526479411</v>
      </c>
      <c r="H1042" s="6">
        <v>-46.874881764225357</v>
      </c>
      <c r="I1042" s="9">
        <v>33.32</v>
      </c>
      <c r="K1042" s="6">
        <v>3.39</v>
      </c>
      <c r="L1042" s="6">
        <v>40</v>
      </c>
      <c r="N1042" s="1">
        <f t="shared" si="138"/>
        <v>0</v>
      </c>
      <c r="O1042" s="8" t="s">
        <v>20</v>
      </c>
      <c r="P1042" s="8"/>
      <c r="Q1042" s="8" t="s">
        <v>21</v>
      </c>
      <c r="R1042" s="8" t="s">
        <v>21</v>
      </c>
      <c r="S1042" s="8" t="s">
        <v>21</v>
      </c>
      <c r="T1042" s="8" t="s">
        <v>21</v>
      </c>
      <c r="U1042" s="6">
        <f t="shared" si="139"/>
        <v>13.328000000000001</v>
      </c>
      <c r="V1042" s="6">
        <f t="shared" si="140"/>
        <v>13.328000000000001</v>
      </c>
    </row>
    <row r="1043" spans="1:22" hidden="1" x14ac:dyDescent="0.35">
      <c r="A1043" s="6" t="s">
        <v>1171</v>
      </c>
      <c r="B1043" s="6" t="s">
        <v>1154</v>
      </c>
      <c r="C1043" s="6" t="s">
        <v>1155</v>
      </c>
      <c r="D1043" s="6">
        <f t="shared" si="141"/>
        <v>0.5</v>
      </c>
      <c r="E1043" s="6" t="s">
        <v>19</v>
      </c>
      <c r="F1043" s="6" t="str">
        <f>MID(A1043,19,1)</f>
        <v>S</v>
      </c>
      <c r="G1043" s="6">
        <v>-23.225044900415341</v>
      </c>
      <c r="H1043" s="6">
        <v>-46.876322455197098</v>
      </c>
      <c r="I1043" s="9">
        <v>3822.81</v>
      </c>
      <c r="K1043" s="6">
        <v>6.88</v>
      </c>
      <c r="L1043" s="6">
        <v>50</v>
      </c>
      <c r="N1043" s="1">
        <f t="shared" si="138"/>
        <v>0</v>
      </c>
      <c r="O1043" s="8" t="s">
        <v>20</v>
      </c>
      <c r="P1043" s="8"/>
      <c r="Q1043" s="8" t="s">
        <v>21</v>
      </c>
      <c r="R1043" s="8" t="s">
        <v>21</v>
      </c>
      <c r="S1043" s="8" t="s">
        <v>21</v>
      </c>
      <c r="T1043" s="8" t="s">
        <v>21</v>
      </c>
      <c r="U1043" s="6">
        <f t="shared" si="139"/>
        <v>1911.405</v>
      </c>
      <c r="V1043" s="6">
        <f t="shared" si="140"/>
        <v>1911.405</v>
      </c>
    </row>
    <row r="1044" spans="1:22" x14ac:dyDescent="0.35">
      <c r="A1044" s="6" t="s">
        <v>1172</v>
      </c>
      <c r="B1044" s="6" t="s">
        <v>1173</v>
      </c>
      <c r="C1044" s="6" t="s">
        <v>1174</v>
      </c>
      <c r="D1044" s="6">
        <f t="shared" si="141"/>
        <v>0.5</v>
      </c>
      <c r="E1044" s="6" t="s">
        <v>19</v>
      </c>
      <c r="F1044" s="6" t="str">
        <f>MID(A1044,19,1)</f>
        <v>N</v>
      </c>
      <c r="G1044" s="6">
        <v>-23.2190179346264</v>
      </c>
      <c r="H1044" s="6">
        <v>-46.880824530647537</v>
      </c>
      <c r="I1044" s="9">
        <v>727.3</v>
      </c>
      <c r="K1044" s="6">
        <v>4.2699999999999996</v>
      </c>
      <c r="L1044" s="6">
        <v>0</v>
      </c>
      <c r="N1044" s="1">
        <f t="shared" si="138"/>
        <v>0</v>
      </c>
      <c r="O1044" s="8"/>
      <c r="P1044" s="8"/>
      <c r="Q1044" s="8" t="s">
        <v>21</v>
      </c>
      <c r="R1044" s="8" t="s">
        <v>21</v>
      </c>
      <c r="S1044" s="8" t="s">
        <v>21</v>
      </c>
      <c r="T1044" s="8" t="s">
        <v>21</v>
      </c>
      <c r="U1044" s="6">
        <f t="shared" si="139"/>
        <v>0</v>
      </c>
      <c r="V1044" s="6">
        <f t="shared" si="140"/>
        <v>0</v>
      </c>
    </row>
    <row r="1045" spans="1:22" hidden="1" x14ac:dyDescent="0.35">
      <c r="A1045" s="6" t="s">
        <v>1175</v>
      </c>
      <c r="B1045" s="6" t="s">
        <v>1173</v>
      </c>
      <c r="C1045" s="6" t="s">
        <v>1174</v>
      </c>
      <c r="D1045" s="6">
        <f t="shared" si="141"/>
        <v>0.5</v>
      </c>
      <c r="E1045" s="6" t="s">
        <v>19</v>
      </c>
      <c r="F1045" s="6" t="str">
        <f>MID(A1045,19,1)</f>
        <v>S</v>
      </c>
      <c r="G1045" s="6">
        <v>-23.219254630517131</v>
      </c>
      <c r="H1045" s="6">
        <v>-46.881300325341023</v>
      </c>
      <c r="I1045" s="9">
        <v>3092.53</v>
      </c>
      <c r="K1045" s="6">
        <v>8.41</v>
      </c>
      <c r="L1045" s="6">
        <v>30</v>
      </c>
      <c r="N1045" s="1">
        <f t="shared" si="138"/>
        <v>0</v>
      </c>
      <c r="O1045" s="8" t="s">
        <v>20</v>
      </c>
      <c r="P1045" s="8"/>
      <c r="Q1045" s="8" t="s">
        <v>21</v>
      </c>
      <c r="R1045" s="8" t="s">
        <v>21</v>
      </c>
      <c r="S1045" s="8" t="s">
        <v>21</v>
      </c>
      <c r="T1045" s="8" t="s">
        <v>21</v>
      </c>
      <c r="U1045" s="6">
        <f t="shared" si="139"/>
        <v>927.75900000000001</v>
      </c>
      <c r="V1045" s="6">
        <f t="shared" si="140"/>
        <v>927.75900000000001</v>
      </c>
    </row>
    <row r="1046" spans="1:22" x14ac:dyDescent="0.35">
      <c r="A1046" s="6" t="s">
        <v>1176</v>
      </c>
      <c r="B1046" s="6" t="s">
        <v>1173</v>
      </c>
      <c r="C1046" s="6" t="s">
        <v>1174</v>
      </c>
      <c r="D1046" s="6">
        <f t="shared" si="141"/>
        <v>0.5</v>
      </c>
      <c r="E1046" s="6" t="s">
        <v>19</v>
      </c>
      <c r="F1046" s="6" t="str">
        <f>MID(A1046,19,1)</f>
        <v>N</v>
      </c>
      <c r="G1046" s="6">
        <v>-23.214579127846111</v>
      </c>
      <c r="H1046" s="6">
        <v>-46.885613265219142</v>
      </c>
      <c r="I1046" s="9">
        <v>2225.3200000000002</v>
      </c>
      <c r="K1046" s="6">
        <v>4.18</v>
      </c>
      <c r="L1046" s="6">
        <v>50</v>
      </c>
      <c r="N1046" s="1">
        <f t="shared" si="138"/>
        <v>0</v>
      </c>
      <c r="O1046" s="8" t="s">
        <v>20</v>
      </c>
      <c r="P1046" s="8"/>
      <c r="Q1046" s="8" t="s">
        <v>21</v>
      </c>
      <c r="R1046" s="8" t="s">
        <v>21</v>
      </c>
      <c r="S1046" s="8" t="s">
        <v>21</v>
      </c>
      <c r="T1046" s="8" t="s">
        <v>21</v>
      </c>
      <c r="U1046" s="6">
        <f t="shared" si="139"/>
        <v>1112.6600000000001</v>
      </c>
      <c r="V1046" s="6">
        <f t="shared" si="140"/>
        <v>1112.6600000000001</v>
      </c>
    </row>
    <row r="1047" spans="1:22" hidden="1" x14ac:dyDescent="0.35">
      <c r="A1047" s="6" t="s">
        <v>1177</v>
      </c>
      <c r="B1047" s="6" t="s">
        <v>1173</v>
      </c>
      <c r="C1047" s="6" t="s">
        <v>1174</v>
      </c>
      <c r="D1047" s="6">
        <f t="shared" si="141"/>
        <v>0.5</v>
      </c>
      <c r="E1047" s="6" t="s">
        <v>19</v>
      </c>
      <c r="F1047" s="6" t="str">
        <f>MID(A1047,19,1)</f>
        <v>S</v>
      </c>
      <c r="G1047" s="6">
        <v>-23.215516782321089</v>
      </c>
      <c r="H1047" s="6">
        <v>-46.918014044925307</v>
      </c>
      <c r="I1047" s="9">
        <v>2301.2199999999998</v>
      </c>
      <c r="K1047" s="6">
        <v>8.06</v>
      </c>
      <c r="L1047" s="6">
        <v>50</v>
      </c>
      <c r="N1047" s="1">
        <f t="shared" si="138"/>
        <v>0</v>
      </c>
      <c r="O1047" s="8" t="s">
        <v>20</v>
      </c>
      <c r="P1047" s="8"/>
      <c r="Q1047" s="8" t="s">
        <v>21</v>
      </c>
      <c r="R1047" s="8" t="s">
        <v>21</v>
      </c>
      <c r="S1047" s="8" t="s">
        <v>21</v>
      </c>
      <c r="T1047" s="8" t="s">
        <v>21</v>
      </c>
      <c r="U1047" s="6">
        <f t="shared" si="139"/>
        <v>1150.6099999999999</v>
      </c>
      <c r="V1047" s="6">
        <f t="shared" si="140"/>
        <v>1150.6099999999999</v>
      </c>
    </row>
    <row r="1048" spans="1:22" hidden="1" x14ac:dyDescent="0.35">
      <c r="A1048" s="6" t="s">
        <v>1178</v>
      </c>
      <c r="B1048" s="6" t="s">
        <v>1173</v>
      </c>
      <c r="C1048" s="6" t="s">
        <v>1174</v>
      </c>
      <c r="D1048" s="6">
        <f t="shared" si="141"/>
        <v>0.5</v>
      </c>
      <c r="E1048" s="6" t="s">
        <v>19</v>
      </c>
      <c r="F1048" s="6" t="str">
        <f>MID(A1048,19,1)</f>
        <v>S</v>
      </c>
      <c r="G1048" s="6">
        <v>-23.2173402241249</v>
      </c>
      <c r="H1048" s="6">
        <v>-46.883140929459437</v>
      </c>
      <c r="I1048" s="9">
        <v>204.31</v>
      </c>
      <c r="K1048" s="6">
        <v>3.87</v>
      </c>
      <c r="L1048" s="6">
        <v>30</v>
      </c>
      <c r="N1048" s="1">
        <f t="shared" si="138"/>
        <v>0</v>
      </c>
      <c r="O1048" s="8" t="s">
        <v>20</v>
      </c>
      <c r="P1048" s="8"/>
      <c r="Q1048" s="8" t="s">
        <v>21</v>
      </c>
      <c r="R1048" s="8" t="s">
        <v>21</v>
      </c>
      <c r="S1048" s="8" t="s">
        <v>21</v>
      </c>
      <c r="T1048" s="8" t="s">
        <v>21</v>
      </c>
      <c r="U1048" s="6">
        <f t="shared" si="139"/>
        <v>61.292999999999999</v>
      </c>
      <c r="V1048" s="6">
        <f t="shared" si="140"/>
        <v>61.292999999999999</v>
      </c>
    </row>
    <row r="1049" spans="1:22" hidden="1" x14ac:dyDescent="0.35">
      <c r="A1049" s="6" t="s">
        <v>1179</v>
      </c>
      <c r="B1049" s="6" t="s">
        <v>1173</v>
      </c>
      <c r="C1049" s="6" t="s">
        <v>1174</v>
      </c>
      <c r="D1049" s="6">
        <f t="shared" si="141"/>
        <v>0.5</v>
      </c>
      <c r="E1049" s="6" t="s">
        <v>19</v>
      </c>
      <c r="F1049" s="6" t="str">
        <f>MID(A1049,19,1)</f>
        <v>S</v>
      </c>
      <c r="G1049" s="6">
        <v>-23.218225660449399</v>
      </c>
      <c r="H1049" s="6">
        <v>-46.882390951150583</v>
      </c>
      <c r="I1049" s="9">
        <v>443.75</v>
      </c>
      <c r="K1049" s="6">
        <v>4.6100000000000003</v>
      </c>
      <c r="L1049" s="6">
        <v>30</v>
      </c>
      <c r="N1049" s="1">
        <f t="shared" si="138"/>
        <v>0</v>
      </c>
      <c r="O1049" s="8" t="s">
        <v>20</v>
      </c>
      <c r="P1049" s="8"/>
      <c r="Q1049" s="8" t="s">
        <v>21</v>
      </c>
      <c r="R1049" s="8" t="s">
        <v>21</v>
      </c>
      <c r="S1049" s="8" t="s">
        <v>21</v>
      </c>
      <c r="T1049" s="8" t="s">
        <v>21</v>
      </c>
      <c r="U1049" s="6">
        <f t="shared" si="139"/>
        <v>133.125</v>
      </c>
      <c r="V1049" s="6">
        <f t="shared" si="140"/>
        <v>133.125</v>
      </c>
    </row>
    <row r="1050" spans="1:22" x14ac:dyDescent="0.35">
      <c r="A1050" s="6" t="s">
        <v>1180</v>
      </c>
      <c r="B1050" s="6" t="s">
        <v>1173</v>
      </c>
      <c r="C1050" s="6" t="s">
        <v>1174</v>
      </c>
      <c r="D1050" s="6">
        <f t="shared" si="141"/>
        <v>0.5</v>
      </c>
      <c r="E1050" s="6" t="s">
        <v>19</v>
      </c>
      <c r="F1050" s="6" t="str">
        <f>MID(A1050,19,1)</f>
        <v>N</v>
      </c>
      <c r="G1050" s="6">
        <v>-23.214765503492568</v>
      </c>
      <c r="H1050" s="6">
        <v>-46.88565414869813</v>
      </c>
      <c r="I1050" s="9">
        <v>5945.92</v>
      </c>
      <c r="K1050" s="6">
        <v>5.1100000000000003</v>
      </c>
      <c r="L1050" s="6">
        <v>50</v>
      </c>
      <c r="N1050" s="1">
        <f t="shared" si="138"/>
        <v>0</v>
      </c>
      <c r="O1050" s="8" t="s">
        <v>20</v>
      </c>
      <c r="P1050" s="8"/>
      <c r="Q1050" s="8" t="s">
        <v>21</v>
      </c>
      <c r="R1050" s="8" t="s">
        <v>21</v>
      </c>
      <c r="S1050" s="8" t="s">
        <v>21</v>
      </c>
      <c r="T1050" s="8" t="s">
        <v>21</v>
      </c>
      <c r="U1050" s="6">
        <f t="shared" si="139"/>
        <v>2972.96</v>
      </c>
      <c r="V1050" s="6">
        <f t="shared" si="140"/>
        <v>2972.96</v>
      </c>
    </row>
    <row r="1051" spans="1:22" x14ac:dyDescent="0.35">
      <c r="A1051" s="6" t="s">
        <v>1181</v>
      </c>
      <c r="B1051" s="6" t="s">
        <v>1173</v>
      </c>
      <c r="C1051" s="6" t="s">
        <v>1174</v>
      </c>
      <c r="D1051" s="6">
        <f t="shared" si="141"/>
        <v>0.5</v>
      </c>
      <c r="E1051" s="6" t="s">
        <v>19</v>
      </c>
      <c r="F1051" s="6" t="str">
        <f>MID(A1051,19,1)</f>
        <v>N</v>
      </c>
      <c r="G1051" s="6">
        <v>-23.216378692129769</v>
      </c>
      <c r="H1051" s="6">
        <v>-46.883578844866598</v>
      </c>
      <c r="I1051" s="9">
        <v>91.51</v>
      </c>
      <c r="K1051" s="6">
        <v>5.57</v>
      </c>
      <c r="L1051" s="6">
        <v>0</v>
      </c>
      <c r="N1051" s="1">
        <f t="shared" si="138"/>
        <v>0</v>
      </c>
      <c r="O1051" s="8"/>
      <c r="P1051" s="8"/>
      <c r="Q1051" s="8" t="s">
        <v>21</v>
      </c>
      <c r="R1051" s="8" t="s">
        <v>21</v>
      </c>
      <c r="S1051" s="8" t="s">
        <v>21</v>
      </c>
      <c r="T1051" s="8" t="s">
        <v>21</v>
      </c>
      <c r="U1051" s="6">
        <f t="shared" si="139"/>
        <v>0</v>
      </c>
      <c r="V1051" s="6">
        <f t="shared" si="140"/>
        <v>0</v>
      </c>
    </row>
    <row r="1052" spans="1:22" x14ac:dyDescent="0.35">
      <c r="A1052" s="6" t="s">
        <v>1182</v>
      </c>
      <c r="B1052" s="6" t="s">
        <v>1173</v>
      </c>
      <c r="C1052" s="6" t="s">
        <v>1174</v>
      </c>
      <c r="D1052" s="6">
        <f t="shared" si="141"/>
        <v>0.5</v>
      </c>
      <c r="E1052" s="6" t="s">
        <v>19</v>
      </c>
      <c r="F1052" s="6" t="str">
        <f>MID(A1052,19,1)</f>
        <v>N</v>
      </c>
      <c r="G1052" s="6">
        <v>-23.21751714695133</v>
      </c>
      <c r="H1052" s="6">
        <v>-46.88240124078802</v>
      </c>
      <c r="I1052" s="9">
        <v>1612.35</v>
      </c>
      <c r="K1052" s="6">
        <v>3.54</v>
      </c>
      <c r="L1052" s="6">
        <v>0</v>
      </c>
      <c r="N1052" s="1">
        <f t="shared" si="138"/>
        <v>0</v>
      </c>
      <c r="O1052" s="8"/>
      <c r="P1052" s="8"/>
      <c r="Q1052" s="8" t="s">
        <v>21</v>
      </c>
      <c r="R1052" s="8" t="s">
        <v>21</v>
      </c>
      <c r="S1052" s="8" t="s">
        <v>21</v>
      </c>
      <c r="T1052" s="8" t="s">
        <v>21</v>
      </c>
      <c r="U1052" s="6">
        <f t="shared" si="139"/>
        <v>0</v>
      </c>
      <c r="V1052" s="6">
        <f t="shared" si="140"/>
        <v>0</v>
      </c>
    </row>
    <row r="1053" spans="1:22" hidden="1" x14ac:dyDescent="0.35">
      <c r="A1053" s="6" t="s">
        <v>1183</v>
      </c>
      <c r="B1053" s="6" t="s">
        <v>1173</v>
      </c>
      <c r="C1053" s="6" t="s">
        <v>1174</v>
      </c>
      <c r="D1053" s="6">
        <f t="shared" si="141"/>
        <v>0.5</v>
      </c>
      <c r="E1053" s="6" t="s">
        <v>19</v>
      </c>
      <c r="F1053" s="6" t="str">
        <f>MID(A1053,19,1)</f>
        <v>S</v>
      </c>
      <c r="G1053" s="6">
        <v>-23.218412166085241</v>
      </c>
      <c r="H1053" s="6">
        <v>-46.914168720818758</v>
      </c>
      <c r="I1053" s="9">
        <v>1833.06</v>
      </c>
      <c r="K1053" s="6">
        <v>5.83</v>
      </c>
      <c r="L1053" s="6">
        <v>50</v>
      </c>
      <c r="N1053" s="1">
        <f t="shared" si="138"/>
        <v>0</v>
      </c>
      <c r="O1053" s="8" t="s">
        <v>20</v>
      </c>
      <c r="P1053" s="8"/>
      <c r="Q1053" s="8" t="s">
        <v>21</v>
      </c>
      <c r="R1053" s="8" t="s">
        <v>21</v>
      </c>
      <c r="S1053" s="8" t="s">
        <v>21</v>
      </c>
      <c r="T1053" s="8" t="s">
        <v>21</v>
      </c>
      <c r="U1053" s="6">
        <f t="shared" si="139"/>
        <v>916.53</v>
      </c>
      <c r="V1053" s="6">
        <f t="shared" si="140"/>
        <v>916.53</v>
      </c>
    </row>
    <row r="1054" spans="1:22" hidden="1" x14ac:dyDescent="0.35">
      <c r="A1054" s="6" t="s">
        <v>1184</v>
      </c>
      <c r="B1054" s="6" t="s">
        <v>1173</v>
      </c>
      <c r="C1054" s="6" t="s">
        <v>1174</v>
      </c>
      <c r="D1054" s="6">
        <f t="shared" si="141"/>
        <v>0.5</v>
      </c>
      <c r="E1054" s="6" t="s">
        <v>19</v>
      </c>
      <c r="F1054" s="6" t="str">
        <f>MID(A1054,19,1)</f>
        <v>S</v>
      </c>
      <c r="G1054" s="6">
        <v>-23.216879735421021</v>
      </c>
      <c r="H1054" s="6">
        <v>-46.883667537757873</v>
      </c>
      <c r="I1054" s="9">
        <v>277.92</v>
      </c>
      <c r="K1054" s="6">
        <v>7.52</v>
      </c>
      <c r="L1054" s="6">
        <v>30</v>
      </c>
      <c r="N1054" s="1">
        <f t="shared" si="138"/>
        <v>0</v>
      </c>
      <c r="O1054" s="8" t="s">
        <v>20</v>
      </c>
      <c r="P1054" s="8"/>
      <c r="Q1054" s="8" t="s">
        <v>21</v>
      </c>
      <c r="R1054" s="8" t="s">
        <v>21</v>
      </c>
      <c r="S1054" s="8" t="s">
        <v>21</v>
      </c>
      <c r="T1054" s="8" t="s">
        <v>21</v>
      </c>
      <c r="U1054" s="6">
        <f t="shared" si="139"/>
        <v>83.376000000000005</v>
      </c>
      <c r="V1054" s="6">
        <f t="shared" si="140"/>
        <v>83.376000000000005</v>
      </c>
    </row>
    <row r="1055" spans="1:22" hidden="1" x14ac:dyDescent="0.35">
      <c r="A1055" s="6" t="s">
        <v>1185</v>
      </c>
      <c r="B1055" s="6" t="s">
        <v>1173</v>
      </c>
      <c r="C1055" s="6" t="s">
        <v>1174</v>
      </c>
      <c r="D1055" s="6">
        <f t="shared" si="141"/>
        <v>0.5</v>
      </c>
      <c r="E1055" s="6" t="s">
        <v>19</v>
      </c>
      <c r="F1055" s="6" t="str">
        <f>MID(A1055,19,1)</f>
        <v>S</v>
      </c>
      <c r="G1055" s="6">
        <v>-23.21512774670235</v>
      </c>
      <c r="H1055" s="6">
        <v>-46.885962311405322</v>
      </c>
      <c r="I1055" s="9">
        <v>2163.04</v>
      </c>
      <c r="K1055" s="6">
        <v>8.93</v>
      </c>
      <c r="L1055" s="6">
        <v>50</v>
      </c>
      <c r="N1055" s="1">
        <f t="shared" si="138"/>
        <v>0</v>
      </c>
      <c r="O1055" s="8" t="s">
        <v>20</v>
      </c>
      <c r="P1055" s="8"/>
      <c r="Q1055" s="8" t="s">
        <v>21</v>
      </c>
      <c r="R1055" s="8" t="s">
        <v>21</v>
      </c>
      <c r="S1055" s="8" t="s">
        <v>21</v>
      </c>
      <c r="T1055" s="8" t="s">
        <v>21</v>
      </c>
      <c r="U1055" s="6">
        <f t="shared" si="139"/>
        <v>1081.52</v>
      </c>
      <c r="V1055" s="6">
        <f t="shared" si="140"/>
        <v>1081.52</v>
      </c>
    </row>
    <row r="1056" spans="1:22" x14ac:dyDescent="0.35">
      <c r="A1056" s="6" t="s">
        <v>1186</v>
      </c>
      <c r="B1056" s="6" t="s">
        <v>1173</v>
      </c>
      <c r="C1056" s="6" t="s">
        <v>1174</v>
      </c>
      <c r="D1056" s="6">
        <f t="shared" si="141"/>
        <v>0.5</v>
      </c>
      <c r="E1056" s="6" t="s">
        <v>19</v>
      </c>
      <c r="F1056" s="6" t="str">
        <f>MID(A1056,19,1)</f>
        <v>N</v>
      </c>
      <c r="G1056" s="6">
        <v>-23.215143614340949</v>
      </c>
      <c r="H1056" s="6">
        <v>-46.917522974241969</v>
      </c>
      <c r="I1056" s="9">
        <v>2200.21</v>
      </c>
      <c r="K1056" s="6">
        <v>9.6</v>
      </c>
      <c r="L1056" s="6">
        <v>0</v>
      </c>
      <c r="N1056" s="1">
        <f t="shared" si="138"/>
        <v>0</v>
      </c>
      <c r="O1056" s="8"/>
      <c r="P1056" s="8"/>
      <c r="Q1056" s="8" t="s">
        <v>21</v>
      </c>
      <c r="R1056" s="8" t="s">
        <v>21</v>
      </c>
      <c r="S1056" s="8" t="s">
        <v>21</v>
      </c>
      <c r="T1056" s="8" t="s">
        <v>21</v>
      </c>
      <c r="U1056" s="6">
        <f t="shared" si="139"/>
        <v>0</v>
      </c>
      <c r="V1056" s="6">
        <f t="shared" si="140"/>
        <v>0</v>
      </c>
    </row>
    <row r="1057" spans="1:22" x14ac:dyDescent="0.35">
      <c r="A1057" s="6" t="s">
        <v>1187</v>
      </c>
      <c r="B1057" s="6" t="s">
        <v>1173</v>
      </c>
      <c r="C1057" s="6" t="s">
        <v>1174</v>
      </c>
      <c r="D1057" s="6">
        <f t="shared" si="141"/>
        <v>0.5</v>
      </c>
      <c r="E1057" s="6" t="s">
        <v>19</v>
      </c>
      <c r="F1057" s="6" t="str">
        <f>MID(A1057,19,1)</f>
        <v>N</v>
      </c>
      <c r="G1057" s="6">
        <v>-23.21907457005112</v>
      </c>
      <c r="H1057" s="6">
        <v>-46.88099762481211</v>
      </c>
      <c r="I1057" s="9">
        <v>1529.29</v>
      </c>
      <c r="K1057" s="6">
        <v>4.4400000000000004</v>
      </c>
      <c r="L1057" s="6">
        <v>0</v>
      </c>
      <c r="N1057" s="1">
        <f t="shared" si="138"/>
        <v>0</v>
      </c>
      <c r="O1057" s="8"/>
      <c r="P1057" s="8"/>
      <c r="Q1057" s="8" t="s">
        <v>21</v>
      </c>
      <c r="R1057" s="8" t="s">
        <v>21</v>
      </c>
      <c r="S1057" s="8" t="s">
        <v>21</v>
      </c>
      <c r="T1057" s="8" t="s">
        <v>21</v>
      </c>
      <c r="U1057" s="6">
        <f t="shared" si="139"/>
        <v>0</v>
      </c>
      <c r="V1057" s="6">
        <f t="shared" si="140"/>
        <v>0</v>
      </c>
    </row>
    <row r="1058" spans="1:22" x14ac:dyDescent="0.35">
      <c r="A1058" s="6" t="s">
        <v>1188</v>
      </c>
      <c r="B1058" s="6" t="s">
        <v>1173</v>
      </c>
      <c r="C1058" s="6" t="s">
        <v>1174</v>
      </c>
      <c r="D1058" s="6">
        <f t="shared" si="141"/>
        <v>0.5</v>
      </c>
      <c r="E1058" s="6" t="s">
        <v>19</v>
      </c>
      <c r="F1058" s="6" t="str">
        <f>MID(A1058,19,1)</f>
        <v>N</v>
      </c>
      <c r="G1058" s="6">
        <v>-23.21717094103791</v>
      </c>
      <c r="H1058" s="6">
        <v>-46.882513701636768</v>
      </c>
      <c r="I1058" s="9">
        <v>1214.52</v>
      </c>
      <c r="K1058" s="6">
        <v>4.01</v>
      </c>
      <c r="L1058" s="6">
        <v>0</v>
      </c>
      <c r="N1058" s="1">
        <f t="shared" si="138"/>
        <v>0</v>
      </c>
      <c r="O1058" s="8"/>
      <c r="P1058" s="8"/>
      <c r="Q1058" s="8" t="s">
        <v>21</v>
      </c>
      <c r="R1058" s="8" t="s">
        <v>21</v>
      </c>
      <c r="S1058" s="8" t="s">
        <v>21</v>
      </c>
      <c r="T1058" s="8" t="s">
        <v>21</v>
      </c>
      <c r="U1058" s="6">
        <f t="shared" si="139"/>
        <v>0</v>
      </c>
      <c r="V1058" s="6">
        <f t="shared" si="140"/>
        <v>0</v>
      </c>
    </row>
    <row r="1059" spans="1:22" hidden="1" x14ac:dyDescent="0.35">
      <c r="A1059" s="6" t="s">
        <v>1189</v>
      </c>
      <c r="B1059" s="6" t="s">
        <v>1173</v>
      </c>
      <c r="C1059" s="6" t="s">
        <v>1174</v>
      </c>
      <c r="D1059" s="6">
        <f t="shared" si="141"/>
        <v>0.5</v>
      </c>
      <c r="E1059" s="6" t="s">
        <v>23</v>
      </c>
      <c r="F1059" s="6" t="str">
        <f>MID(A1059,19,1)</f>
        <v>C</v>
      </c>
      <c r="G1059" s="6">
        <v>-23.21817354834112</v>
      </c>
      <c r="H1059" s="6">
        <v>-46.913952553239731</v>
      </c>
      <c r="I1059" s="7">
        <v>11683.92</v>
      </c>
      <c r="J1059" s="9">
        <f>I1059/500</f>
        <v>23.367840000000001</v>
      </c>
      <c r="K1059" s="6">
        <v>6.24</v>
      </c>
      <c r="L1059" s="6">
        <v>50</v>
      </c>
      <c r="N1059" s="1">
        <f t="shared" si="138"/>
        <v>0</v>
      </c>
      <c r="O1059" s="8" t="s">
        <v>185</v>
      </c>
      <c r="P1059" s="8"/>
      <c r="Q1059" s="8" t="s">
        <v>21</v>
      </c>
      <c r="R1059" s="8" t="s">
        <v>21</v>
      </c>
      <c r="S1059" s="8" t="s">
        <v>21</v>
      </c>
      <c r="T1059" s="8" t="s">
        <v>21</v>
      </c>
      <c r="U1059" s="6">
        <f t="shared" si="139"/>
        <v>5841.96</v>
      </c>
      <c r="V1059" s="6">
        <f t="shared" si="140"/>
        <v>5841.96</v>
      </c>
    </row>
    <row r="1060" spans="1:22" hidden="1" x14ac:dyDescent="0.35">
      <c r="A1060" s="6" t="s">
        <v>1190</v>
      </c>
      <c r="B1060" s="6" t="s">
        <v>1173</v>
      </c>
      <c r="C1060" s="6" t="s">
        <v>1174</v>
      </c>
      <c r="D1060" s="6">
        <f t="shared" si="141"/>
        <v>0.5</v>
      </c>
      <c r="E1060" s="6" t="s">
        <v>19</v>
      </c>
      <c r="F1060" s="6" t="str">
        <f>MID(A1060,19,1)</f>
        <v>S</v>
      </c>
      <c r="G1060" s="6">
        <v>-23.21499358567398</v>
      </c>
      <c r="H1060" s="6">
        <v>-46.885864624093543</v>
      </c>
      <c r="I1060" s="9">
        <v>4104.9799999999996</v>
      </c>
      <c r="K1060" s="6">
        <v>8.32</v>
      </c>
      <c r="L1060" s="6">
        <v>50</v>
      </c>
      <c r="N1060" s="1">
        <f t="shared" si="138"/>
        <v>0</v>
      </c>
      <c r="O1060" s="8" t="s">
        <v>20</v>
      </c>
      <c r="P1060" s="8"/>
      <c r="Q1060" s="8" t="s">
        <v>21</v>
      </c>
      <c r="R1060" s="8" t="s">
        <v>21</v>
      </c>
      <c r="S1060" s="8" t="s">
        <v>21</v>
      </c>
      <c r="T1060" s="8" t="s">
        <v>21</v>
      </c>
      <c r="U1060" s="6">
        <f t="shared" si="139"/>
        <v>2052.4899999999998</v>
      </c>
      <c r="V1060" s="6">
        <f t="shared" si="140"/>
        <v>2052.4899999999998</v>
      </c>
    </row>
    <row r="1061" spans="1:22" hidden="1" x14ac:dyDescent="0.35">
      <c r="A1061" s="6" t="s">
        <v>1191</v>
      </c>
      <c r="B1061" s="6" t="s">
        <v>1173</v>
      </c>
      <c r="C1061" s="6" t="s">
        <v>1174</v>
      </c>
      <c r="D1061" s="6">
        <f t="shared" si="141"/>
        <v>0.5</v>
      </c>
      <c r="E1061" s="6" t="s">
        <v>23</v>
      </c>
      <c r="F1061" s="6" t="str">
        <f>MID(A1061,19,1)</f>
        <v>C</v>
      </c>
      <c r="G1061" s="6">
        <v>-23.215337041336081</v>
      </c>
      <c r="H1061" s="6">
        <v>-46.91773691681918</v>
      </c>
      <c r="I1061" s="7">
        <v>14504.19</v>
      </c>
      <c r="J1061" s="9">
        <f>I1061/500</f>
        <v>29.008380000000002</v>
      </c>
      <c r="K1061" s="6">
        <v>8.84</v>
      </c>
      <c r="L1061" s="6">
        <v>60</v>
      </c>
      <c r="N1061" s="1">
        <f t="shared" si="138"/>
        <v>0</v>
      </c>
      <c r="O1061" s="8" t="s">
        <v>185</v>
      </c>
      <c r="P1061" s="8"/>
      <c r="Q1061" s="8" t="s">
        <v>21</v>
      </c>
      <c r="R1061" s="8" t="s">
        <v>21</v>
      </c>
      <c r="S1061" s="8" t="s">
        <v>21</v>
      </c>
      <c r="T1061" s="8" t="s">
        <v>21</v>
      </c>
      <c r="U1061" s="6">
        <f t="shared" si="139"/>
        <v>8702.5139999999992</v>
      </c>
      <c r="V1061" s="6">
        <f t="shared" si="140"/>
        <v>8702.5139999999992</v>
      </c>
    </row>
    <row r="1062" spans="1:22" x14ac:dyDescent="0.35">
      <c r="A1062" s="6" t="s">
        <v>1192</v>
      </c>
      <c r="B1062" s="6" t="s">
        <v>1173</v>
      </c>
      <c r="C1062" s="6" t="s">
        <v>1174</v>
      </c>
      <c r="D1062" s="6">
        <f t="shared" si="141"/>
        <v>0.5</v>
      </c>
      <c r="E1062" s="6" t="s">
        <v>19</v>
      </c>
      <c r="F1062" s="6" t="str">
        <f>MID(A1062,19,1)</f>
        <v>N</v>
      </c>
      <c r="G1062" s="6">
        <v>-23.217979129063821</v>
      </c>
      <c r="H1062" s="6">
        <v>-46.913741882562491</v>
      </c>
      <c r="I1062" s="9">
        <v>1787.33</v>
      </c>
      <c r="K1062" s="6">
        <v>7.22</v>
      </c>
      <c r="L1062" s="6">
        <v>0</v>
      </c>
      <c r="N1062" s="1">
        <f t="shared" si="138"/>
        <v>0</v>
      </c>
      <c r="O1062" s="8"/>
      <c r="P1062" s="8"/>
      <c r="Q1062" s="8" t="s">
        <v>21</v>
      </c>
      <c r="R1062" s="8" t="s">
        <v>21</v>
      </c>
      <c r="S1062" s="8" t="s">
        <v>21</v>
      </c>
      <c r="T1062" s="8" t="s">
        <v>21</v>
      </c>
      <c r="U1062" s="6">
        <f t="shared" si="139"/>
        <v>0</v>
      </c>
      <c r="V1062" s="6">
        <f t="shared" si="140"/>
        <v>0</v>
      </c>
    </row>
    <row r="1063" spans="1:22" hidden="1" x14ac:dyDescent="0.35">
      <c r="A1063" s="6" t="s">
        <v>1193</v>
      </c>
      <c r="B1063" s="6" t="s">
        <v>1173</v>
      </c>
      <c r="C1063" s="6" t="s">
        <v>1174</v>
      </c>
      <c r="D1063" s="6">
        <f t="shared" si="141"/>
        <v>0.5</v>
      </c>
      <c r="E1063" s="6" t="s">
        <v>19</v>
      </c>
      <c r="F1063" s="6" t="str">
        <f>MID(A1063,19,1)</f>
        <v>S</v>
      </c>
      <c r="G1063" s="6">
        <v>-23.218944006955379</v>
      </c>
      <c r="H1063" s="6">
        <v>-46.881893806043948</v>
      </c>
      <c r="I1063" s="9">
        <v>300.3</v>
      </c>
      <c r="K1063" s="6">
        <v>8.3000000000000007</v>
      </c>
      <c r="L1063" s="6">
        <v>30</v>
      </c>
      <c r="N1063" s="1">
        <f t="shared" si="138"/>
        <v>0</v>
      </c>
      <c r="O1063" s="8" t="s">
        <v>20</v>
      </c>
      <c r="P1063" s="8"/>
      <c r="Q1063" s="8" t="s">
        <v>21</v>
      </c>
      <c r="R1063" s="8" t="s">
        <v>21</v>
      </c>
      <c r="S1063" s="8" t="s">
        <v>21</v>
      </c>
      <c r="T1063" s="8" t="s">
        <v>21</v>
      </c>
      <c r="U1063" s="6">
        <f t="shared" si="139"/>
        <v>90.09</v>
      </c>
      <c r="V1063" s="6">
        <f t="shared" si="140"/>
        <v>90.09</v>
      </c>
    </row>
    <row r="1064" spans="1:22" hidden="1" x14ac:dyDescent="0.35">
      <c r="A1064" s="6" t="s">
        <v>1194</v>
      </c>
      <c r="B1064" s="6" t="s">
        <v>1173</v>
      </c>
      <c r="C1064" s="6" t="s">
        <v>1174</v>
      </c>
      <c r="D1064" s="6">
        <f t="shared" si="141"/>
        <v>0.5</v>
      </c>
      <c r="E1064" s="6" t="s">
        <v>19</v>
      </c>
      <c r="F1064" s="6" t="str">
        <f>MID(A1064,19,1)</f>
        <v>S</v>
      </c>
      <c r="G1064" s="6">
        <v>-23.216842857352809</v>
      </c>
      <c r="H1064" s="6">
        <v>-46.883484523402167</v>
      </c>
      <c r="I1064" s="9">
        <v>543.66</v>
      </c>
      <c r="K1064" s="6">
        <v>6.14</v>
      </c>
      <c r="L1064" s="6">
        <v>30</v>
      </c>
      <c r="N1064" s="1">
        <f t="shared" si="138"/>
        <v>0</v>
      </c>
      <c r="O1064" s="8" t="s">
        <v>20</v>
      </c>
      <c r="P1064" s="8"/>
      <c r="Q1064" s="8" t="s">
        <v>21</v>
      </c>
      <c r="R1064" s="8" t="s">
        <v>21</v>
      </c>
      <c r="S1064" s="8" t="s">
        <v>21</v>
      </c>
      <c r="T1064" s="8" t="s">
        <v>21</v>
      </c>
      <c r="U1064" s="6">
        <f t="shared" si="139"/>
        <v>163.09799999999998</v>
      </c>
      <c r="V1064" s="6">
        <f t="shared" si="140"/>
        <v>163.09799999999998</v>
      </c>
    </row>
    <row r="1065" spans="1:22" hidden="1" x14ac:dyDescent="0.35">
      <c r="A1065" s="6" t="s">
        <v>1195</v>
      </c>
      <c r="B1065" s="6" t="s">
        <v>1173</v>
      </c>
      <c r="C1065" s="6" t="s">
        <v>1174</v>
      </c>
      <c r="D1065" s="6">
        <f t="shared" si="141"/>
        <v>0.5</v>
      </c>
      <c r="E1065" s="6" t="s">
        <v>19</v>
      </c>
      <c r="F1065" s="6" t="str">
        <f>MID(A1065,19,1)</f>
        <v>S</v>
      </c>
      <c r="G1065" s="6">
        <v>-23.21959229999862</v>
      </c>
      <c r="H1065" s="6">
        <v>-46.881265808309692</v>
      </c>
      <c r="I1065" s="9">
        <v>496.78</v>
      </c>
      <c r="K1065" s="6">
        <v>10.45</v>
      </c>
      <c r="L1065" s="6">
        <v>30</v>
      </c>
      <c r="N1065" s="1">
        <f t="shared" si="138"/>
        <v>0</v>
      </c>
      <c r="O1065" s="8" t="s">
        <v>20</v>
      </c>
      <c r="P1065" s="8"/>
      <c r="Q1065" s="8" t="s">
        <v>21</v>
      </c>
      <c r="R1065" s="8" t="s">
        <v>21</v>
      </c>
      <c r="S1065" s="8" t="s">
        <v>21</v>
      </c>
      <c r="T1065" s="8" t="s">
        <v>21</v>
      </c>
      <c r="U1065" s="6">
        <f t="shared" si="139"/>
        <v>149.03399999999999</v>
      </c>
      <c r="V1065" s="6">
        <f t="shared" si="140"/>
        <v>149.03399999999999</v>
      </c>
    </row>
    <row r="1066" spans="1:22" hidden="1" x14ac:dyDescent="0.35">
      <c r="A1066" s="6" t="s">
        <v>1196</v>
      </c>
      <c r="B1066" s="6" t="s">
        <v>1173</v>
      </c>
      <c r="C1066" s="6" t="s">
        <v>1174</v>
      </c>
      <c r="D1066" s="6">
        <f t="shared" si="141"/>
        <v>0.5</v>
      </c>
      <c r="E1066" s="6" t="s">
        <v>19</v>
      </c>
      <c r="F1066" s="6" t="str">
        <f>MID(A1066,19,1)</f>
        <v>S</v>
      </c>
      <c r="G1066" s="6">
        <v>-23.218302653138331</v>
      </c>
      <c r="H1066" s="6">
        <v>-46.882118317465</v>
      </c>
      <c r="I1066" s="9">
        <v>819.21</v>
      </c>
      <c r="K1066" s="6">
        <v>4.59</v>
      </c>
      <c r="L1066" s="6">
        <v>30</v>
      </c>
      <c r="N1066" s="1">
        <f t="shared" si="138"/>
        <v>0</v>
      </c>
      <c r="O1066" s="8" t="s">
        <v>20</v>
      </c>
      <c r="P1066" s="8"/>
      <c r="Q1066" s="8" t="s">
        <v>21</v>
      </c>
      <c r="R1066" s="8" t="s">
        <v>21</v>
      </c>
      <c r="S1066" s="8" t="s">
        <v>21</v>
      </c>
      <c r="T1066" s="8" t="s">
        <v>21</v>
      </c>
      <c r="U1066" s="6">
        <f t="shared" si="139"/>
        <v>245.76300000000001</v>
      </c>
      <c r="V1066" s="6">
        <f t="shared" si="140"/>
        <v>245.76300000000001</v>
      </c>
    </row>
    <row r="1067" spans="1:22" hidden="1" x14ac:dyDescent="0.35">
      <c r="A1067" s="6" t="s">
        <v>1197</v>
      </c>
      <c r="B1067" s="6" t="s">
        <v>1198</v>
      </c>
      <c r="C1067" s="6" t="s">
        <v>1199</v>
      </c>
      <c r="D1067" s="6">
        <f t="shared" si="141"/>
        <v>0.5</v>
      </c>
      <c r="E1067" s="6" t="s">
        <v>19</v>
      </c>
      <c r="F1067" s="6" t="str">
        <f>MID(A1067,19,1)</f>
        <v>S</v>
      </c>
      <c r="G1067" s="6">
        <v>-23.21238627956264</v>
      </c>
      <c r="H1067" s="6">
        <v>-46.89002221102173</v>
      </c>
      <c r="I1067" s="9">
        <v>6548.5</v>
      </c>
      <c r="K1067" s="6">
        <v>4.74</v>
      </c>
      <c r="L1067" s="6">
        <v>50</v>
      </c>
      <c r="N1067" s="1">
        <f t="shared" si="138"/>
        <v>0</v>
      </c>
      <c r="O1067" s="8" t="s">
        <v>20</v>
      </c>
      <c r="P1067" s="8"/>
      <c r="Q1067" s="8" t="s">
        <v>21</v>
      </c>
      <c r="R1067" s="8" t="s">
        <v>21</v>
      </c>
      <c r="S1067" s="8" t="s">
        <v>21</v>
      </c>
      <c r="T1067" s="8" t="s">
        <v>21</v>
      </c>
      <c r="U1067" s="6">
        <f t="shared" si="139"/>
        <v>3274.25</v>
      </c>
      <c r="V1067" s="6">
        <f t="shared" si="140"/>
        <v>3274.25</v>
      </c>
    </row>
    <row r="1068" spans="1:22" hidden="1" x14ac:dyDescent="0.35">
      <c r="A1068" s="6" t="s">
        <v>1200</v>
      </c>
      <c r="B1068" s="6" t="s">
        <v>1198</v>
      </c>
      <c r="C1068" s="6" t="s">
        <v>1199</v>
      </c>
      <c r="D1068" s="6">
        <f t="shared" si="141"/>
        <v>0.5</v>
      </c>
      <c r="E1068" s="6" t="s">
        <v>19</v>
      </c>
      <c r="F1068" s="6" t="str">
        <f>MID(A1068,19,1)</f>
        <v>S</v>
      </c>
      <c r="G1068" s="6">
        <v>-23.2136780592101</v>
      </c>
      <c r="H1068" s="6">
        <v>-46.888193371754987</v>
      </c>
      <c r="I1068" s="9">
        <v>74.48</v>
      </c>
      <c r="K1068" s="6">
        <v>9.14</v>
      </c>
      <c r="L1068" s="6">
        <v>50</v>
      </c>
      <c r="N1068" s="1">
        <f t="shared" si="138"/>
        <v>0</v>
      </c>
      <c r="O1068" s="8" t="s">
        <v>20</v>
      </c>
      <c r="P1068" s="8"/>
      <c r="Q1068" s="8" t="s">
        <v>21</v>
      </c>
      <c r="R1068" s="8" t="s">
        <v>21</v>
      </c>
      <c r="S1068" s="8" t="s">
        <v>21</v>
      </c>
      <c r="T1068" s="8" t="s">
        <v>21</v>
      </c>
      <c r="U1068" s="6">
        <f t="shared" si="139"/>
        <v>37.24</v>
      </c>
      <c r="V1068" s="6">
        <f t="shared" si="140"/>
        <v>37.24</v>
      </c>
    </row>
    <row r="1069" spans="1:22" hidden="1" x14ac:dyDescent="0.35">
      <c r="A1069" s="6" t="s">
        <v>1201</v>
      </c>
      <c r="B1069" s="6" t="s">
        <v>1198</v>
      </c>
      <c r="C1069" s="6" t="s">
        <v>1199</v>
      </c>
      <c r="D1069" s="6">
        <f t="shared" si="141"/>
        <v>0.5</v>
      </c>
      <c r="E1069" s="6" t="s">
        <v>19</v>
      </c>
      <c r="F1069" s="6" t="str">
        <f>MID(A1069,19,1)</f>
        <v>S</v>
      </c>
      <c r="G1069" s="6">
        <v>-23.213529895253519</v>
      </c>
      <c r="H1069" s="6">
        <v>-46.888106280151902</v>
      </c>
      <c r="I1069" s="9">
        <v>141.82</v>
      </c>
      <c r="K1069" s="6">
        <v>5.7</v>
      </c>
      <c r="L1069" s="6">
        <v>50</v>
      </c>
      <c r="N1069" s="1">
        <f t="shared" si="138"/>
        <v>0</v>
      </c>
      <c r="O1069" s="8" t="s">
        <v>20</v>
      </c>
      <c r="P1069" s="8"/>
      <c r="Q1069" s="8" t="s">
        <v>21</v>
      </c>
      <c r="R1069" s="8" t="s">
        <v>21</v>
      </c>
      <c r="S1069" s="8" t="s">
        <v>21</v>
      </c>
      <c r="T1069" s="8" t="s">
        <v>21</v>
      </c>
      <c r="U1069" s="6">
        <f t="shared" si="139"/>
        <v>70.91</v>
      </c>
      <c r="V1069" s="6">
        <f t="shared" si="140"/>
        <v>70.91</v>
      </c>
    </row>
    <row r="1070" spans="1:22" hidden="1" x14ac:dyDescent="0.35">
      <c r="A1070" s="6" t="s">
        <v>1202</v>
      </c>
      <c r="B1070" s="6" t="s">
        <v>1198</v>
      </c>
      <c r="C1070" s="6" t="s">
        <v>1199</v>
      </c>
      <c r="D1070" s="6">
        <f t="shared" si="141"/>
        <v>0.5</v>
      </c>
      <c r="E1070" s="6" t="s">
        <v>19</v>
      </c>
      <c r="F1070" s="6" t="str">
        <f>MID(A1070,19,1)</f>
        <v>S</v>
      </c>
      <c r="G1070" s="6">
        <v>-23.209002378843881</v>
      </c>
      <c r="H1070" s="6">
        <v>-46.895738376858993</v>
      </c>
      <c r="I1070" s="9">
        <v>338.76</v>
      </c>
      <c r="K1070" s="6">
        <v>3.63</v>
      </c>
      <c r="L1070" s="6">
        <v>70</v>
      </c>
      <c r="N1070" s="1">
        <f t="shared" si="138"/>
        <v>0</v>
      </c>
      <c r="O1070" s="8" t="s">
        <v>20</v>
      </c>
      <c r="P1070" s="8"/>
      <c r="Q1070" s="8" t="s">
        <v>21</v>
      </c>
      <c r="R1070" s="8" t="s">
        <v>21</v>
      </c>
      <c r="S1070" s="8" t="s">
        <v>21</v>
      </c>
      <c r="T1070" s="8" t="s">
        <v>21</v>
      </c>
      <c r="U1070" s="6">
        <f t="shared" si="139"/>
        <v>237.13199999999998</v>
      </c>
      <c r="V1070" s="6">
        <f t="shared" si="140"/>
        <v>237.13199999999998</v>
      </c>
    </row>
    <row r="1071" spans="1:22" x14ac:dyDescent="0.35">
      <c r="A1071" s="6" t="s">
        <v>1203</v>
      </c>
      <c r="B1071" s="6" t="s">
        <v>1198</v>
      </c>
      <c r="C1071" s="6" t="s">
        <v>1199</v>
      </c>
      <c r="D1071" s="6">
        <f t="shared" si="141"/>
        <v>0.5</v>
      </c>
      <c r="E1071" s="6" t="s">
        <v>19</v>
      </c>
      <c r="F1071" s="6" t="str">
        <f>MID(A1071,19,1)</f>
        <v>N</v>
      </c>
      <c r="G1071" s="6">
        <v>-23.213316491527351</v>
      </c>
      <c r="H1071" s="6">
        <v>-46.919886181555938</v>
      </c>
      <c r="I1071" s="9">
        <v>323.49</v>
      </c>
      <c r="K1071" s="6">
        <v>7.51</v>
      </c>
      <c r="L1071" s="6">
        <v>0</v>
      </c>
      <c r="N1071" s="1">
        <f t="shared" si="138"/>
        <v>0</v>
      </c>
      <c r="O1071" s="8"/>
      <c r="P1071" s="8"/>
      <c r="Q1071" s="8" t="s">
        <v>21</v>
      </c>
      <c r="R1071" s="8" t="s">
        <v>21</v>
      </c>
      <c r="S1071" s="8" t="s">
        <v>21</v>
      </c>
      <c r="T1071" s="8" t="s">
        <v>21</v>
      </c>
      <c r="U1071" s="6">
        <f t="shared" si="139"/>
        <v>0</v>
      </c>
      <c r="V1071" s="6">
        <f t="shared" si="140"/>
        <v>0</v>
      </c>
    </row>
    <row r="1072" spans="1:22" x14ac:dyDescent="0.35">
      <c r="A1072" s="6" t="s">
        <v>1204</v>
      </c>
      <c r="B1072" s="6" t="s">
        <v>1198</v>
      </c>
      <c r="C1072" s="6" t="s">
        <v>1199</v>
      </c>
      <c r="D1072" s="6">
        <f t="shared" si="141"/>
        <v>0.5</v>
      </c>
      <c r="E1072" s="6" t="s">
        <v>19</v>
      </c>
      <c r="F1072" s="6" t="str">
        <f>MID(A1072,19,1)</f>
        <v>N</v>
      </c>
      <c r="G1072" s="6">
        <v>-23.211853997207331</v>
      </c>
      <c r="H1072" s="6">
        <v>-46.889881540899466</v>
      </c>
      <c r="I1072" s="9">
        <v>1715.17</v>
      </c>
      <c r="K1072" s="6">
        <v>3.95</v>
      </c>
      <c r="L1072" s="6">
        <v>50</v>
      </c>
      <c r="N1072" s="1">
        <f t="shared" si="138"/>
        <v>0</v>
      </c>
      <c r="O1072" s="8" t="s">
        <v>20</v>
      </c>
      <c r="P1072" s="8"/>
      <c r="Q1072" s="8" t="s">
        <v>21</v>
      </c>
      <c r="R1072" s="8" t="s">
        <v>21</v>
      </c>
      <c r="S1072" s="8" t="s">
        <v>21</v>
      </c>
      <c r="T1072" s="8" t="s">
        <v>21</v>
      </c>
      <c r="U1072" s="6">
        <f t="shared" si="139"/>
        <v>857.58500000000004</v>
      </c>
      <c r="V1072" s="6">
        <f t="shared" si="140"/>
        <v>857.58500000000004</v>
      </c>
    </row>
    <row r="1073" spans="1:22" x14ac:dyDescent="0.35">
      <c r="A1073" s="6" t="s">
        <v>1205</v>
      </c>
      <c r="B1073" s="6" t="s">
        <v>1198</v>
      </c>
      <c r="C1073" s="6" t="s">
        <v>1199</v>
      </c>
      <c r="D1073" s="6">
        <f t="shared" si="141"/>
        <v>0.5</v>
      </c>
      <c r="E1073" s="6" t="s">
        <v>19</v>
      </c>
      <c r="F1073" s="6" t="str">
        <f>MID(A1073,19,1)</f>
        <v>N</v>
      </c>
      <c r="G1073" s="6">
        <v>-23.210249432954111</v>
      </c>
      <c r="H1073" s="6">
        <v>-46.892442709844147</v>
      </c>
      <c r="I1073" s="9">
        <v>822.67</v>
      </c>
      <c r="K1073" s="6">
        <v>5.92</v>
      </c>
      <c r="L1073" s="6">
        <v>40</v>
      </c>
      <c r="N1073" s="1">
        <f t="shared" si="138"/>
        <v>0</v>
      </c>
      <c r="O1073" s="8" t="s">
        <v>20</v>
      </c>
      <c r="P1073" s="8"/>
      <c r="Q1073" s="8" t="s">
        <v>21</v>
      </c>
      <c r="R1073" s="8" t="s">
        <v>21</v>
      </c>
      <c r="S1073" s="8" t="s">
        <v>21</v>
      </c>
      <c r="T1073" s="8" t="s">
        <v>21</v>
      </c>
      <c r="U1073" s="6">
        <f t="shared" si="139"/>
        <v>329.06799999999998</v>
      </c>
      <c r="V1073" s="6">
        <f t="shared" si="140"/>
        <v>329.06799999999998</v>
      </c>
    </row>
    <row r="1074" spans="1:22" hidden="1" x14ac:dyDescent="0.35">
      <c r="A1074" s="6" t="s">
        <v>1206</v>
      </c>
      <c r="B1074" s="6" t="s">
        <v>1198</v>
      </c>
      <c r="C1074" s="6" t="s">
        <v>1199</v>
      </c>
      <c r="D1074" s="6">
        <f t="shared" si="141"/>
        <v>0.5</v>
      </c>
      <c r="E1074" s="6" t="s">
        <v>19</v>
      </c>
      <c r="F1074" s="6" t="str">
        <f>MID(A1074,19,1)</f>
        <v>S</v>
      </c>
      <c r="G1074" s="6">
        <v>-23.21293324948304</v>
      </c>
      <c r="H1074" s="6">
        <v>-46.889513790209428</v>
      </c>
      <c r="I1074" s="9">
        <v>1085.76</v>
      </c>
      <c r="K1074" s="6">
        <v>5.08</v>
      </c>
      <c r="L1074" s="6">
        <v>50</v>
      </c>
      <c r="N1074" s="1">
        <f t="shared" si="138"/>
        <v>0</v>
      </c>
      <c r="O1074" s="8" t="s">
        <v>20</v>
      </c>
      <c r="P1074" s="8"/>
      <c r="Q1074" s="8" t="s">
        <v>21</v>
      </c>
      <c r="R1074" s="8" t="s">
        <v>21</v>
      </c>
      <c r="S1074" s="8" t="s">
        <v>21</v>
      </c>
      <c r="T1074" s="8" t="s">
        <v>21</v>
      </c>
      <c r="U1074" s="6">
        <f t="shared" si="139"/>
        <v>542.88</v>
      </c>
      <c r="V1074" s="6">
        <f t="shared" si="140"/>
        <v>542.88</v>
      </c>
    </row>
    <row r="1075" spans="1:22" hidden="1" x14ac:dyDescent="0.35">
      <c r="A1075" s="6" t="s">
        <v>1207</v>
      </c>
      <c r="B1075" s="6" t="s">
        <v>1198</v>
      </c>
      <c r="C1075" s="6" t="s">
        <v>1199</v>
      </c>
      <c r="D1075" s="6">
        <f t="shared" si="141"/>
        <v>0.5</v>
      </c>
      <c r="E1075" s="6" t="s">
        <v>19</v>
      </c>
      <c r="F1075" s="6" t="str">
        <f>MID(A1075,19,1)</f>
        <v>S</v>
      </c>
      <c r="G1075" s="6">
        <v>-23.20888743778988</v>
      </c>
      <c r="H1075" s="6">
        <v>-46.895608285770606</v>
      </c>
      <c r="I1075" s="9">
        <v>693.22</v>
      </c>
      <c r="K1075" s="6">
        <v>3.07</v>
      </c>
      <c r="L1075" s="6">
        <v>70</v>
      </c>
      <c r="N1075" s="1">
        <f t="shared" si="138"/>
        <v>0</v>
      </c>
      <c r="O1075" s="8" t="s">
        <v>20</v>
      </c>
      <c r="P1075" s="8"/>
      <c r="Q1075" s="8" t="s">
        <v>21</v>
      </c>
      <c r="R1075" s="8" t="s">
        <v>21</v>
      </c>
      <c r="S1075" s="8" t="s">
        <v>21</v>
      </c>
      <c r="T1075" s="8" t="s">
        <v>21</v>
      </c>
      <c r="U1075" s="6">
        <f t="shared" si="139"/>
        <v>485.25399999999996</v>
      </c>
      <c r="V1075" s="6">
        <f t="shared" si="140"/>
        <v>485.25399999999996</v>
      </c>
    </row>
    <row r="1076" spans="1:22" hidden="1" x14ac:dyDescent="0.35">
      <c r="A1076" s="6" t="s">
        <v>1208</v>
      </c>
      <c r="B1076" s="6" t="s">
        <v>1198</v>
      </c>
      <c r="C1076" s="6" t="s">
        <v>1199</v>
      </c>
      <c r="D1076" s="6">
        <f t="shared" si="141"/>
        <v>0.5</v>
      </c>
      <c r="E1076" s="6" t="s">
        <v>19</v>
      </c>
      <c r="F1076" s="6" t="str">
        <f>MID(A1076,19,1)</f>
        <v>S</v>
      </c>
      <c r="G1076" s="6">
        <v>-23.21066178052698</v>
      </c>
      <c r="H1076" s="6">
        <v>-46.893073878516716</v>
      </c>
      <c r="I1076" s="9">
        <v>1219.1600000000001</v>
      </c>
      <c r="K1076" s="6">
        <v>7.13</v>
      </c>
      <c r="L1076" s="6">
        <v>70</v>
      </c>
      <c r="N1076" s="1">
        <f t="shared" si="138"/>
        <v>0</v>
      </c>
      <c r="O1076" s="8" t="s">
        <v>20</v>
      </c>
      <c r="P1076" s="8"/>
      <c r="Q1076" s="8" t="s">
        <v>21</v>
      </c>
      <c r="R1076" s="8" t="s">
        <v>21</v>
      </c>
      <c r="S1076" s="8" t="s">
        <v>21</v>
      </c>
      <c r="T1076" s="8" t="s">
        <v>21</v>
      </c>
      <c r="U1076" s="6">
        <f t="shared" si="139"/>
        <v>853.41200000000003</v>
      </c>
      <c r="V1076" s="6">
        <f t="shared" si="140"/>
        <v>853.41200000000003</v>
      </c>
    </row>
    <row r="1077" spans="1:22" hidden="1" x14ac:dyDescent="0.35">
      <c r="A1077" s="6" t="s">
        <v>1209</v>
      </c>
      <c r="B1077" s="6" t="s">
        <v>1198</v>
      </c>
      <c r="C1077" s="6" t="s">
        <v>1199</v>
      </c>
      <c r="D1077" s="6">
        <f t="shared" si="141"/>
        <v>0.5</v>
      </c>
      <c r="E1077" s="6" t="s">
        <v>19</v>
      </c>
      <c r="F1077" s="6" t="str">
        <f>MID(A1077,19,1)</f>
        <v>S</v>
      </c>
      <c r="G1077" s="6">
        <v>-23.2137475183075</v>
      </c>
      <c r="H1077" s="6">
        <v>-46.920311883204853</v>
      </c>
      <c r="I1077" s="9">
        <v>211.28</v>
      </c>
      <c r="K1077" s="6">
        <v>8.9</v>
      </c>
      <c r="L1077" s="6">
        <v>50</v>
      </c>
      <c r="N1077" s="1">
        <f t="shared" si="138"/>
        <v>0</v>
      </c>
      <c r="O1077" s="8" t="s">
        <v>20</v>
      </c>
      <c r="P1077" s="8"/>
      <c r="Q1077" s="8" t="s">
        <v>21</v>
      </c>
      <c r="R1077" s="8" t="s">
        <v>21</v>
      </c>
      <c r="S1077" s="8" t="s">
        <v>21</v>
      </c>
      <c r="T1077" s="8" t="s">
        <v>21</v>
      </c>
      <c r="U1077" s="6">
        <f t="shared" si="139"/>
        <v>105.64</v>
      </c>
      <c r="V1077" s="6">
        <f t="shared" si="140"/>
        <v>105.64</v>
      </c>
    </row>
    <row r="1078" spans="1:22" hidden="1" x14ac:dyDescent="0.35">
      <c r="A1078" s="6" t="s">
        <v>1210</v>
      </c>
      <c r="B1078" s="6" t="s">
        <v>1198</v>
      </c>
      <c r="C1078" s="6" t="s">
        <v>1199</v>
      </c>
      <c r="D1078" s="6">
        <f t="shared" si="141"/>
        <v>0.5</v>
      </c>
      <c r="E1078" s="6" t="s">
        <v>19</v>
      </c>
      <c r="F1078" s="6" t="str">
        <f>MID(A1078,19,1)</f>
        <v>S</v>
      </c>
      <c r="G1078" s="6">
        <v>-23.21334872968157</v>
      </c>
      <c r="H1078" s="6">
        <v>-46.920464952313417</v>
      </c>
      <c r="I1078" s="9">
        <v>0</v>
      </c>
      <c r="K1078" s="6">
        <v>4.5999999999999996</v>
      </c>
      <c r="N1078" s="1">
        <f t="shared" si="138"/>
        <v>0</v>
      </c>
      <c r="O1078" s="8"/>
      <c r="P1078" s="8"/>
      <c r="Q1078" s="8" t="s">
        <v>21</v>
      </c>
      <c r="R1078" s="8" t="s">
        <v>21</v>
      </c>
      <c r="S1078" s="8" t="s">
        <v>21</v>
      </c>
      <c r="T1078" s="8" t="s">
        <v>21</v>
      </c>
      <c r="U1078" s="6">
        <f t="shared" si="139"/>
        <v>0</v>
      </c>
      <c r="V1078" s="6">
        <f t="shared" si="140"/>
        <v>0</v>
      </c>
    </row>
    <row r="1079" spans="1:22" x14ac:dyDescent="0.35">
      <c r="A1079" s="6" t="s">
        <v>1211</v>
      </c>
      <c r="B1079" s="6" t="s">
        <v>1198</v>
      </c>
      <c r="C1079" s="6" t="s">
        <v>1199</v>
      </c>
      <c r="D1079" s="6">
        <f t="shared" si="141"/>
        <v>0.5</v>
      </c>
      <c r="E1079" s="6" t="s">
        <v>19</v>
      </c>
      <c r="F1079" s="6" t="str">
        <f>MID(A1079,19,1)</f>
        <v>N</v>
      </c>
      <c r="G1079" s="6">
        <v>-23.208592308864809</v>
      </c>
      <c r="H1079" s="6">
        <v>-46.895315800797171</v>
      </c>
      <c r="I1079" s="9">
        <v>261.7</v>
      </c>
      <c r="K1079" s="6">
        <v>5.6</v>
      </c>
      <c r="L1079" s="6">
        <v>40</v>
      </c>
      <c r="N1079" s="1">
        <f t="shared" si="138"/>
        <v>0</v>
      </c>
      <c r="O1079" s="8" t="s">
        <v>20</v>
      </c>
      <c r="P1079" s="8"/>
      <c r="Q1079" s="8" t="s">
        <v>21</v>
      </c>
      <c r="R1079" s="8" t="s">
        <v>21</v>
      </c>
      <c r="S1079" s="8" t="s">
        <v>21</v>
      </c>
      <c r="T1079" s="8" t="s">
        <v>21</v>
      </c>
      <c r="U1079" s="6">
        <f t="shared" si="139"/>
        <v>104.68</v>
      </c>
      <c r="V1079" s="6">
        <f t="shared" si="140"/>
        <v>104.68</v>
      </c>
    </row>
    <row r="1080" spans="1:22" x14ac:dyDescent="0.35">
      <c r="A1080" s="6" t="s">
        <v>1212</v>
      </c>
      <c r="B1080" s="6" t="s">
        <v>1198</v>
      </c>
      <c r="C1080" s="6" t="s">
        <v>1199</v>
      </c>
      <c r="D1080" s="6">
        <f t="shared" si="141"/>
        <v>0.5</v>
      </c>
      <c r="E1080" s="6" t="s">
        <v>19</v>
      </c>
      <c r="F1080" s="6" t="str">
        <f>MID(A1080,19,1)</f>
        <v>N</v>
      </c>
      <c r="G1080" s="6">
        <v>-23.211228153445521</v>
      </c>
      <c r="H1080" s="6">
        <v>-46.921990786473657</v>
      </c>
      <c r="I1080" s="9">
        <v>1914.36</v>
      </c>
      <c r="K1080" s="6">
        <v>6.42</v>
      </c>
      <c r="L1080" s="6">
        <v>0</v>
      </c>
      <c r="N1080" s="1">
        <f t="shared" si="138"/>
        <v>0</v>
      </c>
      <c r="O1080" s="8"/>
      <c r="P1080" s="8"/>
      <c r="Q1080" s="8" t="s">
        <v>21</v>
      </c>
      <c r="R1080" s="8" t="s">
        <v>21</v>
      </c>
      <c r="S1080" s="8" t="s">
        <v>21</v>
      </c>
      <c r="T1080" s="8" t="s">
        <v>21</v>
      </c>
      <c r="U1080" s="6">
        <f t="shared" si="139"/>
        <v>0</v>
      </c>
      <c r="V1080" s="6">
        <f t="shared" si="140"/>
        <v>0</v>
      </c>
    </row>
    <row r="1081" spans="1:22" x14ac:dyDescent="0.35">
      <c r="A1081" s="6" t="s">
        <v>1213</v>
      </c>
      <c r="B1081" s="6" t="s">
        <v>1198</v>
      </c>
      <c r="C1081" s="6" t="s">
        <v>1199</v>
      </c>
      <c r="D1081" s="6">
        <f t="shared" si="141"/>
        <v>0.5</v>
      </c>
      <c r="E1081" s="6" t="s">
        <v>19</v>
      </c>
      <c r="F1081" s="6" t="str">
        <f>MID(A1081,19,1)</f>
        <v>N</v>
      </c>
      <c r="G1081" s="6">
        <v>-23.209199127381719</v>
      </c>
      <c r="H1081" s="6">
        <v>-46.894569983187218</v>
      </c>
      <c r="I1081" s="9">
        <v>405.63</v>
      </c>
      <c r="K1081" s="6">
        <v>4.5199999999999996</v>
      </c>
      <c r="L1081" s="6">
        <v>40</v>
      </c>
      <c r="N1081" s="1">
        <f t="shared" si="138"/>
        <v>0</v>
      </c>
      <c r="O1081" s="8" t="s">
        <v>20</v>
      </c>
      <c r="P1081" s="8"/>
      <c r="Q1081" s="8" t="s">
        <v>21</v>
      </c>
      <c r="R1081" s="8" t="s">
        <v>21</v>
      </c>
      <c r="S1081" s="8" t="s">
        <v>21</v>
      </c>
      <c r="T1081" s="8" t="s">
        <v>21</v>
      </c>
      <c r="U1081" s="6">
        <f t="shared" si="139"/>
        <v>162.25200000000001</v>
      </c>
      <c r="V1081" s="6">
        <f t="shared" si="140"/>
        <v>162.25200000000001</v>
      </c>
    </row>
    <row r="1082" spans="1:22" x14ac:dyDescent="0.35">
      <c r="A1082" s="6" t="s">
        <v>1214</v>
      </c>
      <c r="B1082" s="6" t="s">
        <v>1198</v>
      </c>
      <c r="C1082" s="6" t="s">
        <v>1199</v>
      </c>
      <c r="D1082" s="6">
        <f t="shared" si="141"/>
        <v>0.5</v>
      </c>
      <c r="E1082" s="6" t="s">
        <v>19</v>
      </c>
      <c r="F1082" s="6" t="str">
        <f>MID(A1082,19,1)</f>
        <v>N</v>
      </c>
      <c r="G1082" s="6">
        <v>-23.20955134223626</v>
      </c>
      <c r="H1082" s="6">
        <v>-46.893699551264277</v>
      </c>
      <c r="I1082" s="9">
        <v>1500.47</v>
      </c>
      <c r="K1082" s="6">
        <v>4.88</v>
      </c>
      <c r="L1082" s="6">
        <v>40</v>
      </c>
      <c r="N1082" s="1">
        <f t="shared" si="138"/>
        <v>0</v>
      </c>
      <c r="O1082" s="8" t="s">
        <v>20</v>
      </c>
      <c r="P1082" s="8"/>
      <c r="Q1082" s="8" t="s">
        <v>21</v>
      </c>
      <c r="R1082" s="8" t="s">
        <v>21</v>
      </c>
      <c r="S1082" s="8" t="s">
        <v>21</v>
      </c>
      <c r="T1082" s="8" t="s">
        <v>21</v>
      </c>
      <c r="U1082" s="6">
        <f t="shared" si="139"/>
        <v>600.18799999999999</v>
      </c>
      <c r="V1082" s="6">
        <f t="shared" si="140"/>
        <v>600.18799999999999</v>
      </c>
    </row>
    <row r="1083" spans="1:22" hidden="1" x14ac:dyDescent="0.35">
      <c r="A1083" s="6" t="s">
        <v>1215</v>
      </c>
      <c r="B1083" s="6" t="s">
        <v>1198</v>
      </c>
      <c r="C1083" s="6" t="s">
        <v>1199</v>
      </c>
      <c r="D1083" s="6">
        <f t="shared" si="141"/>
        <v>0.5</v>
      </c>
      <c r="E1083" s="6" t="s">
        <v>23</v>
      </c>
      <c r="F1083" s="6" t="str">
        <f>MID(A1083,19,1)</f>
        <v>C</v>
      </c>
      <c r="G1083" s="6">
        <v>-23.2134926563002</v>
      </c>
      <c r="H1083" s="6">
        <v>-46.920109182347993</v>
      </c>
      <c r="I1083" s="7">
        <v>1911.4</v>
      </c>
      <c r="J1083" s="9">
        <f t="shared" ref="J1083:J1084" si="142">I1083/500</f>
        <v>3.8228</v>
      </c>
      <c r="K1083" s="6">
        <v>8.2100000000000009</v>
      </c>
      <c r="L1083" s="6">
        <v>60</v>
      </c>
      <c r="N1083" s="1">
        <f t="shared" si="138"/>
        <v>0</v>
      </c>
      <c r="O1083" s="8" t="s">
        <v>185</v>
      </c>
      <c r="P1083" s="8"/>
      <c r="Q1083" s="8" t="s">
        <v>21</v>
      </c>
      <c r="R1083" s="8" t="s">
        <v>21</v>
      </c>
      <c r="S1083" s="8" t="s">
        <v>21</v>
      </c>
      <c r="T1083" s="8" t="s">
        <v>21</v>
      </c>
      <c r="U1083" s="6">
        <f t="shared" si="139"/>
        <v>1146.8399999999999</v>
      </c>
      <c r="V1083" s="6">
        <f t="shared" si="140"/>
        <v>1146.8399999999999</v>
      </c>
    </row>
    <row r="1084" spans="1:22" hidden="1" x14ac:dyDescent="0.35">
      <c r="A1084" s="6" t="s">
        <v>1216</v>
      </c>
      <c r="B1084" s="6" t="s">
        <v>1198</v>
      </c>
      <c r="C1084" s="6" t="s">
        <v>1199</v>
      </c>
      <c r="D1084" s="6">
        <f t="shared" si="141"/>
        <v>0.5</v>
      </c>
      <c r="E1084" s="6" t="s">
        <v>23</v>
      </c>
      <c r="F1084" s="6" t="str">
        <f>MID(A1084,19,1)</f>
        <v>C</v>
      </c>
      <c r="G1084" s="6">
        <v>-23.207742559620311</v>
      </c>
      <c r="H1084" s="6">
        <v>-46.92494528796005</v>
      </c>
      <c r="I1084" s="7">
        <v>13453.5</v>
      </c>
      <c r="J1084" s="9">
        <f t="shared" si="142"/>
        <v>26.907</v>
      </c>
      <c r="K1084" s="6">
        <v>4.6399999999999997</v>
      </c>
      <c r="L1084" s="6">
        <v>70</v>
      </c>
      <c r="N1084" s="1">
        <f t="shared" si="138"/>
        <v>0</v>
      </c>
      <c r="O1084" s="8" t="s">
        <v>185</v>
      </c>
      <c r="P1084" s="8"/>
      <c r="Q1084" s="8" t="s">
        <v>21</v>
      </c>
      <c r="R1084" s="8" t="s">
        <v>21</v>
      </c>
      <c r="S1084" s="8" t="s">
        <v>21</v>
      </c>
      <c r="T1084" s="8" t="s">
        <v>21</v>
      </c>
      <c r="U1084" s="6">
        <f t="shared" si="139"/>
        <v>9417.4499999999989</v>
      </c>
      <c r="V1084" s="6">
        <f t="shared" si="140"/>
        <v>9417.4499999999989</v>
      </c>
    </row>
    <row r="1085" spans="1:22" hidden="1" x14ac:dyDescent="0.35">
      <c r="A1085" s="6" t="s">
        <v>1217</v>
      </c>
      <c r="B1085" s="6" t="s">
        <v>1198</v>
      </c>
      <c r="C1085" s="6" t="s">
        <v>1199</v>
      </c>
      <c r="D1085" s="6">
        <f t="shared" si="141"/>
        <v>0.5</v>
      </c>
      <c r="E1085" s="6" t="s">
        <v>19</v>
      </c>
      <c r="F1085" s="6" t="str">
        <f>MID(A1085,19,1)</f>
        <v>S</v>
      </c>
      <c r="G1085" s="6">
        <v>-23.210955751279471</v>
      </c>
      <c r="H1085" s="6">
        <v>-46.892307527956334</v>
      </c>
      <c r="I1085" s="9">
        <v>1108.6600000000001</v>
      </c>
      <c r="K1085" s="6">
        <v>8.6999999999999993</v>
      </c>
      <c r="L1085" s="6">
        <v>70</v>
      </c>
      <c r="N1085" s="1">
        <f t="shared" si="138"/>
        <v>0</v>
      </c>
      <c r="O1085" s="8" t="s">
        <v>20</v>
      </c>
      <c r="P1085" s="8"/>
      <c r="Q1085" s="8" t="s">
        <v>21</v>
      </c>
      <c r="R1085" s="8" t="s">
        <v>21</v>
      </c>
      <c r="S1085" s="8" t="s">
        <v>21</v>
      </c>
      <c r="T1085" s="8" t="s">
        <v>21</v>
      </c>
      <c r="U1085" s="6">
        <f t="shared" si="139"/>
        <v>776.06200000000001</v>
      </c>
      <c r="V1085" s="6">
        <f t="shared" si="140"/>
        <v>776.06200000000001</v>
      </c>
    </row>
    <row r="1086" spans="1:22" hidden="1" x14ac:dyDescent="0.35">
      <c r="A1086" s="6" t="s">
        <v>1218</v>
      </c>
      <c r="B1086" s="6" t="s">
        <v>1198</v>
      </c>
      <c r="C1086" s="6" t="s">
        <v>1199</v>
      </c>
      <c r="D1086" s="6">
        <f t="shared" si="141"/>
        <v>0.5</v>
      </c>
      <c r="E1086" s="6" t="s">
        <v>19</v>
      </c>
      <c r="F1086" s="6" t="str">
        <f>MID(A1086,19,1)</f>
        <v>S</v>
      </c>
      <c r="G1086" s="6">
        <v>-23.209698013924399</v>
      </c>
      <c r="H1086" s="6">
        <v>-46.894286544229473</v>
      </c>
      <c r="I1086" s="9">
        <v>1769.2</v>
      </c>
      <c r="K1086" s="6">
        <v>4.53</v>
      </c>
      <c r="L1086" s="6">
        <v>70</v>
      </c>
      <c r="N1086" s="1">
        <f t="shared" si="138"/>
        <v>0</v>
      </c>
      <c r="O1086" s="8" t="s">
        <v>20</v>
      </c>
      <c r="P1086" s="8"/>
      <c r="Q1086" s="8" t="s">
        <v>21</v>
      </c>
      <c r="R1086" s="8" t="s">
        <v>21</v>
      </c>
      <c r="S1086" s="8" t="s">
        <v>21</v>
      </c>
      <c r="T1086" s="8" t="s">
        <v>21</v>
      </c>
      <c r="U1086" s="6">
        <f t="shared" si="139"/>
        <v>1238.44</v>
      </c>
      <c r="V1086" s="6">
        <f t="shared" si="140"/>
        <v>1238.44</v>
      </c>
    </row>
    <row r="1087" spans="1:22" hidden="1" x14ac:dyDescent="0.35">
      <c r="A1087" s="6" t="s">
        <v>1219</v>
      </c>
      <c r="B1087" s="6" t="s">
        <v>1198</v>
      </c>
      <c r="C1087" s="6" t="s">
        <v>1199</v>
      </c>
      <c r="D1087" s="6">
        <f t="shared" si="141"/>
        <v>0.5</v>
      </c>
      <c r="E1087" s="6" t="s">
        <v>19</v>
      </c>
      <c r="F1087" s="6" t="str">
        <f>MID(A1087,19,1)</f>
        <v>S</v>
      </c>
      <c r="G1087" s="6">
        <v>-23.20968166729693</v>
      </c>
      <c r="H1087" s="6">
        <v>-46.894675037756883</v>
      </c>
      <c r="I1087" s="9">
        <v>611.32000000000005</v>
      </c>
      <c r="K1087" s="6">
        <v>5.35</v>
      </c>
      <c r="L1087" s="6">
        <v>70</v>
      </c>
      <c r="N1087" s="1">
        <f t="shared" si="138"/>
        <v>0</v>
      </c>
      <c r="O1087" s="8" t="s">
        <v>20</v>
      </c>
      <c r="P1087" s="8"/>
      <c r="Q1087" s="8" t="s">
        <v>21</v>
      </c>
      <c r="R1087" s="8" t="s">
        <v>21</v>
      </c>
      <c r="S1087" s="8" t="s">
        <v>21</v>
      </c>
      <c r="T1087" s="8" t="s">
        <v>21</v>
      </c>
      <c r="U1087" s="6">
        <f t="shared" si="139"/>
        <v>427.92400000000004</v>
      </c>
      <c r="V1087" s="6">
        <f t="shared" si="140"/>
        <v>427.92400000000004</v>
      </c>
    </row>
    <row r="1088" spans="1:22" x14ac:dyDescent="0.35">
      <c r="A1088" s="6" t="s">
        <v>1220</v>
      </c>
      <c r="B1088" s="6" t="s">
        <v>1198</v>
      </c>
      <c r="C1088" s="6" t="s">
        <v>1199</v>
      </c>
      <c r="D1088" s="6">
        <f t="shared" si="141"/>
        <v>0.5</v>
      </c>
      <c r="E1088" s="6" t="s">
        <v>19</v>
      </c>
      <c r="F1088" s="6" t="str">
        <f>MID(A1088,19,1)</f>
        <v>N</v>
      </c>
      <c r="G1088" s="6">
        <v>-23.20611872597749</v>
      </c>
      <c r="H1088" s="6">
        <v>-46.926271996374602</v>
      </c>
      <c r="I1088" s="9">
        <v>1089.95</v>
      </c>
      <c r="K1088" s="6">
        <v>2.59</v>
      </c>
      <c r="L1088" s="6">
        <v>70</v>
      </c>
      <c r="N1088" s="1">
        <f t="shared" si="138"/>
        <v>0</v>
      </c>
      <c r="O1088" s="8" t="s">
        <v>20</v>
      </c>
      <c r="P1088" s="8"/>
      <c r="Q1088" s="8" t="s">
        <v>21</v>
      </c>
      <c r="R1088" s="8" t="s">
        <v>21</v>
      </c>
      <c r="S1088" s="8" t="s">
        <v>21</v>
      </c>
      <c r="T1088" s="8" t="s">
        <v>21</v>
      </c>
      <c r="U1088" s="6">
        <f t="shared" si="139"/>
        <v>762.96500000000003</v>
      </c>
      <c r="V1088" s="6">
        <f t="shared" si="140"/>
        <v>762.96500000000003</v>
      </c>
    </row>
    <row r="1089" spans="1:22" hidden="1" x14ac:dyDescent="0.35">
      <c r="A1089" s="6" t="s">
        <v>1221</v>
      </c>
      <c r="B1089" s="6" t="s">
        <v>1198</v>
      </c>
      <c r="C1089" s="6" t="s">
        <v>1199</v>
      </c>
      <c r="D1089" s="6">
        <f t="shared" si="141"/>
        <v>0.5</v>
      </c>
      <c r="E1089" s="6" t="s">
        <v>19</v>
      </c>
      <c r="F1089" s="6" t="str">
        <f>MID(A1089,19,1)</f>
        <v>S</v>
      </c>
      <c r="G1089" s="6">
        <v>-23.211720436429481</v>
      </c>
      <c r="H1089" s="6">
        <v>-46.922367396141603</v>
      </c>
      <c r="I1089" s="9">
        <v>2207.85</v>
      </c>
      <c r="K1089" s="6">
        <v>3.88</v>
      </c>
      <c r="L1089" s="6">
        <v>50</v>
      </c>
      <c r="N1089" s="1">
        <f t="shared" si="138"/>
        <v>0</v>
      </c>
      <c r="O1089" s="8" t="s">
        <v>20</v>
      </c>
      <c r="P1089" s="8"/>
      <c r="Q1089" s="8" t="s">
        <v>21</v>
      </c>
      <c r="R1089" s="8" t="s">
        <v>21</v>
      </c>
      <c r="S1089" s="8" t="s">
        <v>21</v>
      </c>
      <c r="T1089" s="8" t="s">
        <v>21</v>
      </c>
      <c r="U1089" s="6">
        <f t="shared" si="139"/>
        <v>1103.925</v>
      </c>
      <c r="V1089" s="6">
        <f t="shared" si="140"/>
        <v>1103.925</v>
      </c>
    </row>
    <row r="1090" spans="1:22" x14ac:dyDescent="0.35">
      <c r="A1090" s="6" t="s">
        <v>1222</v>
      </c>
      <c r="B1090" s="6" t="s">
        <v>1198</v>
      </c>
      <c r="C1090" s="6" t="s">
        <v>1199</v>
      </c>
      <c r="D1090" s="6">
        <f t="shared" si="141"/>
        <v>0.5</v>
      </c>
      <c r="E1090" s="6" t="s">
        <v>19</v>
      </c>
      <c r="F1090" s="6" t="str">
        <f>MID(A1090,19,1)</f>
        <v>N</v>
      </c>
      <c r="G1090" s="6">
        <v>-23.20767573769178</v>
      </c>
      <c r="H1090" s="6">
        <v>-46.924650796694152</v>
      </c>
      <c r="I1090" s="9">
        <v>1925.95</v>
      </c>
      <c r="K1090" s="6">
        <v>5.51</v>
      </c>
      <c r="L1090" s="6">
        <v>80</v>
      </c>
      <c r="N1090" s="1">
        <f t="shared" ref="N1090:N1153" si="143">IF(OR(R1090="Sim",S1090="Sim",T1090="Sim"),(L1090/100)*I1090,0)</f>
        <v>0</v>
      </c>
      <c r="O1090" s="8" t="s">
        <v>20</v>
      </c>
      <c r="P1090" s="8"/>
      <c r="Q1090" s="8" t="s">
        <v>21</v>
      </c>
      <c r="R1090" s="8" t="s">
        <v>21</v>
      </c>
      <c r="S1090" s="8" t="s">
        <v>21</v>
      </c>
      <c r="T1090" s="8" t="s">
        <v>21</v>
      </c>
      <c r="U1090" s="6">
        <f t="shared" si="139"/>
        <v>1540.7600000000002</v>
      </c>
      <c r="V1090" s="6">
        <f t="shared" si="140"/>
        <v>1540.7600000000002</v>
      </c>
    </row>
    <row r="1091" spans="1:22" hidden="1" x14ac:dyDescent="0.35">
      <c r="A1091" s="6" t="s">
        <v>1223</v>
      </c>
      <c r="B1091" s="6" t="s">
        <v>1198</v>
      </c>
      <c r="C1091" s="6" t="s">
        <v>1199</v>
      </c>
      <c r="D1091" s="6">
        <f t="shared" si="141"/>
        <v>0.5</v>
      </c>
      <c r="E1091" s="6" t="s">
        <v>23</v>
      </c>
      <c r="F1091" s="6" t="str">
        <f>MID(A1091,19,1)</f>
        <v>C</v>
      </c>
      <c r="G1091" s="6">
        <v>-23.21239942541877</v>
      </c>
      <c r="H1091" s="6">
        <v>-46.889353392362388</v>
      </c>
      <c r="I1091" s="9">
        <v>3084.16</v>
      </c>
      <c r="J1091" s="9">
        <f>I1091/500</f>
        <v>6.1683199999999996</v>
      </c>
      <c r="K1091" s="6">
        <v>4.09</v>
      </c>
      <c r="L1091" s="6">
        <v>50</v>
      </c>
      <c r="N1091" s="1">
        <f t="shared" si="143"/>
        <v>0</v>
      </c>
      <c r="O1091" s="8" t="s">
        <v>20</v>
      </c>
      <c r="P1091" s="8"/>
      <c r="Q1091" s="8" t="s">
        <v>21</v>
      </c>
      <c r="R1091" s="8" t="s">
        <v>21</v>
      </c>
      <c r="S1091" s="8" t="s">
        <v>21</v>
      </c>
      <c r="T1091" s="8" t="s">
        <v>21</v>
      </c>
      <c r="U1091" s="6">
        <f t="shared" ref="U1091:U1154" si="144">IF(N1091=0,(I1091*(L1091/100)),0)</f>
        <v>1542.08</v>
      </c>
      <c r="V1091" s="6">
        <f t="shared" si="140"/>
        <v>1542.08</v>
      </c>
    </row>
    <row r="1092" spans="1:22" hidden="1" x14ac:dyDescent="0.35">
      <c r="A1092" s="6" t="s">
        <v>1224</v>
      </c>
      <c r="B1092" s="6" t="s">
        <v>1198</v>
      </c>
      <c r="C1092" s="6" t="s">
        <v>1199</v>
      </c>
      <c r="D1092" s="6">
        <f t="shared" si="141"/>
        <v>0.5</v>
      </c>
      <c r="E1092" s="6" t="s">
        <v>19</v>
      </c>
      <c r="F1092" s="6" t="str">
        <f>MID(A1092,19,1)</f>
        <v>S</v>
      </c>
      <c r="G1092" s="6">
        <v>-23.21183111498376</v>
      </c>
      <c r="H1092" s="6">
        <v>-46.891311198011849</v>
      </c>
      <c r="I1092" s="9">
        <v>596.28</v>
      </c>
      <c r="K1092" s="6">
        <v>6.74</v>
      </c>
      <c r="L1092" s="6">
        <v>50</v>
      </c>
      <c r="N1092" s="1">
        <f t="shared" si="143"/>
        <v>0</v>
      </c>
      <c r="O1092" s="8" t="s">
        <v>20</v>
      </c>
      <c r="P1092" s="8"/>
      <c r="Q1092" s="8" t="s">
        <v>21</v>
      </c>
      <c r="R1092" s="8" t="s">
        <v>21</v>
      </c>
      <c r="S1092" s="8" t="s">
        <v>21</v>
      </c>
      <c r="T1092" s="8" t="s">
        <v>21</v>
      </c>
      <c r="U1092" s="6">
        <f t="shared" si="144"/>
        <v>298.14</v>
      </c>
      <c r="V1092" s="6">
        <f t="shared" si="140"/>
        <v>298.14</v>
      </c>
    </row>
    <row r="1093" spans="1:22" hidden="1" x14ac:dyDescent="0.35">
      <c r="A1093" s="6" t="s">
        <v>1225</v>
      </c>
      <c r="B1093" s="6" t="s">
        <v>1198</v>
      </c>
      <c r="C1093" s="6" t="s">
        <v>1199</v>
      </c>
      <c r="D1093" s="6">
        <f t="shared" si="141"/>
        <v>0.5</v>
      </c>
      <c r="E1093" s="6" t="s">
        <v>23</v>
      </c>
      <c r="F1093" s="6" t="str">
        <f>MID(A1093,19,1)</f>
        <v>C</v>
      </c>
      <c r="G1093" s="6">
        <v>-23.207556855712401</v>
      </c>
      <c r="H1093" s="6">
        <v>-46.925548466834179</v>
      </c>
      <c r="I1093" s="7">
        <v>4454.6000000000004</v>
      </c>
      <c r="J1093" s="9">
        <f t="shared" ref="J1093:J1094" si="145">I1093/500</f>
        <v>8.9092000000000002</v>
      </c>
      <c r="K1093" s="6">
        <v>5.93</v>
      </c>
      <c r="L1093" s="6">
        <v>70</v>
      </c>
      <c r="N1093" s="1">
        <f t="shared" si="143"/>
        <v>0</v>
      </c>
      <c r="O1093" s="8" t="s">
        <v>20</v>
      </c>
      <c r="P1093" s="8"/>
      <c r="Q1093" s="8" t="s">
        <v>21</v>
      </c>
      <c r="R1093" s="8" t="s">
        <v>21</v>
      </c>
      <c r="S1093" s="8" t="s">
        <v>21</v>
      </c>
      <c r="T1093" s="8" t="s">
        <v>21</v>
      </c>
      <c r="U1093" s="6">
        <f t="shared" si="144"/>
        <v>3118.2200000000003</v>
      </c>
      <c r="V1093" s="6">
        <f t="shared" si="140"/>
        <v>3118.2200000000003</v>
      </c>
    </row>
    <row r="1094" spans="1:22" hidden="1" x14ac:dyDescent="0.35">
      <c r="A1094" s="6" t="s">
        <v>1226</v>
      </c>
      <c r="B1094" s="6" t="s">
        <v>1198</v>
      </c>
      <c r="C1094" s="6" t="s">
        <v>1199</v>
      </c>
      <c r="D1094" s="6">
        <f t="shared" si="141"/>
        <v>0.5</v>
      </c>
      <c r="E1094" s="6" t="s">
        <v>23</v>
      </c>
      <c r="F1094" s="6" t="str">
        <f>MID(A1094,19,1)</f>
        <v>C</v>
      </c>
      <c r="G1094" s="6">
        <v>-23.211466282875438</v>
      </c>
      <c r="H1094" s="6">
        <v>-46.92216043832871</v>
      </c>
      <c r="I1094" s="7">
        <v>13593.02</v>
      </c>
      <c r="J1094" s="9">
        <f t="shared" si="145"/>
        <v>27.186040000000002</v>
      </c>
      <c r="K1094" s="6">
        <v>5.01</v>
      </c>
      <c r="L1094" s="6">
        <v>60</v>
      </c>
      <c r="N1094" s="1">
        <f t="shared" si="143"/>
        <v>0</v>
      </c>
      <c r="O1094" s="8" t="s">
        <v>185</v>
      </c>
      <c r="P1094" s="8"/>
      <c r="Q1094" s="8" t="s">
        <v>21</v>
      </c>
      <c r="R1094" s="8" t="s">
        <v>21</v>
      </c>
      <c r="S1094" s="8" t="s">
        <v>21</v>
      </c>
      <c r="T1094" s="8" t="s">
        <v>21</v>
      </c>
      <c r="U1094" s="6">
        <f t="shared" si="144"/>
        <v>8155.8119999999999</v>
      </c>
      <c r="V1094" s="6">
        <f t="shared" si="140"/>
        <v>8155.8119999999999</v>
      </c>
    </row>
    <row r="1095" spans="1:22" x14ac:dyDescent="0.35">
      <c r="A1095" s="6" t="s">
        <v>1227</v>
      </c>
      <c r="B1095" s="6" t="s">
        <v>1198</v>
      </c>
      <c r="C1095" s="6" t="s">
        <v>1199</v>
      </c>
      <c r="D1095" s="6">
        <f t="shared" si="141"/>
        <v>0.5</v>
      </c>
      <c r="E1095" s="6" t="s">
        <v>19</v>
      </c>
      <c r="F1095" s="6" t="str">
        <f>MID(A1095,19,1)</f>
        <v>N</v>
      </c>
      <c r="G1095" s="6">
        <v>-23.208677882565588</v>
      </c>
      <c r="H1095" s="6">
        <v>-46.89540844123897</v>
      </c>
      <c r="I1095" s="9">
        <v>363.44</v>
      </c>
      <c r="K1095" s="6">
        <v>4.41</v>
      </c>
      <c r="L1095" s="6">
        <v>40</v>
      </c>
      <c r="N1095" s="1">
        <f t="shared" si="143"/>
        <v>0</v>
      </c>
      <c r="O1095" s="8" t="s">
        <v>20</v>
      </c>
      <c r="P1095" s="8"/>
      <c r="Q1095" s="8" t="s">
        <v>21</v>
      </c>
      <c r="R1095" s="8" t="s">
        <v>21</v>
      </c>
      <c r="S1095" s="8" t="s">
        <v>21</v>
      </c>
      <c r="T1095" s="8" t="s">
        <v>21</v>
      </c>
      <c r="U1095" s="6">
        <f t="shared" si="144"/>
        <v>145.376</v>
      </c>
      <c r="V1095" s="6">
        <f t="shared" si="140"/>
        <v>145.376</v>
      </c>
    </row>
    <row r="1096" spans="1:22" x14ac:dyDescent="0.35">
      <c r="A1096" s="6" t="s">
        <v>1228</v>
      </c>
      <c r="B1096" s="6" t="s">
        <v>1229</v>
      </c>
      <c r="C1096" s="6" t="s">
        <v>1230</v>
      </c>
      <c r="D1096" s="6">
        <f t="shared" si="141"/>
        <v>0.5</v>
      </c>
      <c r="E1096" s="6" t="s">
        <v>19</v>
      </c>
      <c r="F1096" s="6" t="str">
        <f>MID(A1096,19,1)</f>
        <v>N</v>
      </c>
      <c r="G1096" s="6">
        <v>-23.205092780620671</v>
      </c>
      <c r="H1096" s="6">
        <v>-46.926018611653433</v>
      </c>
      <c r="I1096" s="9">
        <v>629.97</v>
      </c>
      <c r="K1096" s="6">
        <v>4.51</v>
      </c>
      <c r="L1096" s="6">
        <v>0</v>
      </c>
      <c r="N1096" s="1">
        <f t="shared" si="143"/>
        <v>0</v>
      </c>
      <c r="O1096" s="8"/>
      <c r="P1096" s="8"/>
      <c r="Q1096" s="8" t="s">
        <v>21</v>
      </c>
      <c r="R1096" s="8" t="s">
        <v>21</v>
      </c>
      <c r="S1096" s="8" t="s">
        <v>21</v>
      </c>
      <c r="T1096" s="8" t="s">
        <v>21</v>
      </c>
      <c r="U1096" s="6">
        <f t="shared" si="144"/>
        <v>0</v>
      </c>
      <c r="V1096" s="6">
        <f t="shared" si="140"/>
        <v>0</v>
      </c>
    </row>
    <row r="1097" spans="1:22" x14ac:dyDescent="0.35">
      <c r="A1097" s="6" t="s">
        <v>1231</v>
      </c>
      <c r="B1097" s="6" t="s">
        <v>1229</v>
      </c>
      <c r="C1097" s="6" t="s">
        <v>1230</v>
      </c>
      <c r="D1097" s="6">
        <f t="shared" si="141"/>
        <v>0.5</v>
      </c>
      <c r="E1097" s="6" t="s">
        <v>19</v>
      </c>
      <c r="F1097" s="6" t="str">
        <f>MID(A1097,19,1)</f>
        <v>N</v>
      </c>
      <c r="G1097" s="6">
        <v>-23.199272736061381</v>
      </c>
      <c r="H1097" s="6">
        <v>-46.928080157094527</v>
      </c>
      <c r="I1097" s="9">
        <v>1948.99</v>
      </c>
      <c r="K1097" s="6">
        <v>6.98</v>
      </c>
      <c r="L1097" s="6">
        <v>50</v>
      </c>
      <c r="N1097" s="1">
        <f t="shared" si="143"/>
        <v>0</v>
      </c>
      <c r="O1097" s="8" t="s">
        <v>20</v>
      </c>
      <c r="P1097" s="8"/>
      <c r="Q1097" s="8" t="s">
        <v>21</v>
      </c>
      <c r="R1097" s="8" t="s">
        <v>21</v>
      </c>
      <c r="S1097" s="8" t="s">
        <v>21</v>
      </c>
      <c r="T1097" s="8" t="s">
        <v>21</v>
      </c>
      <c r="U1097" s="6">
        <f t="shared" si="144"/>
        <v>974.495</v>
      </c>
      <c r="V1097" s="6">
        <f t="shared" si="140"/>
        <v>974.495</v>
      </c>
    </row>
    <row r="1098" spans="1:22" hidden="1" x14ac:dyDescent="0.35">
      <c r="A1098" s="6" t="s">
        <v>1232</v>
      </c>
      <c r="B1098" s="6" t="s">
        <v>1229</v>
      </c>
      <c r="C1098" s="6" t="s">
        <v>1230</v>
      </c>
      <c r="D1098" s="6">
        <f t="shared" si="141"/>
        <v>0.5</v>
      </c>
      <c r="E1098" s="6" t="s">
        <v>19</v>
      </c>
      <c r="F1098" s="6" t="str">
        <f>MID(A1098,19,1)</f>
        <v>S</v>
      </c>
      <c r="G1098" s="6">
        <v>-23.207266786270861</v>
      </c>
      <c r="H1098" s="6">
        <v>-46.898327960072173</v>
      </c>
      <c r="I1098" s="9">
        <v>1036.26</v>
      </c>
      <c r="K1098" s="6">
        <v>6.19</v>
      </c>
      <c r="L1098" s="6">
        <v>70</v>
      </c>
      <c r="N1098" s="1">
        <f t="shared" si="143"/>
        <v>0</v>
      </c>
      <c r="O1098" s="8" t="s">
        <v>20</v>
      </c>
      <c r="P1098" s="8"/>
      <c r="Q1098" s="8" t="s">
        <v>21</v>
      </c>
      <c r="R1098" s="8" t="s">
        <v>21</v>
      </c>
      <c r="S1098" s="8" t="s">
        <v>21</v>
      </c>
      <c r="T1098" s="8" t="s">
        <v>21</v>
      </c>
      <c r="U1098" s="6">
        <f t="shared" si="144"/>
        <v>725.38199999999995</v>
      </c>
      <c r="V1098" s="6">
        <f t="shared" si="140"/>
        <v>725.38199999999995</v>
      </c>
    </row>
    <row r="1099" spans="1:22" hidden="1" x14ac:dyDescent="0.35">
      <c r="A1099" s="6" t="s">
        <v>1233</v>
      </c>
      <c r="B1099" s="6" t="s">
        <v>1229</v>
      </c>
      <c r="C1099" s="6" t="s">
        <v>1230</v>
      </c>
      <c r="D1099" s="6">
        <f t="shared" si="141"/>
        <v>0.5</v>
      </c>
      <c r="E1099" s="6" t="s">
        <v>19</v>
      </c>
      <c r="F1099" s="6" t="str">
        <f>MID(A1099,19,1)</f>
        <v>S</v>
      </c>
      <c r="G1099" s="6">
        <v>-23.20612954959061</v>
      </c>
      <c r="H1099" s="6">
        <v>-46.899567155977707</v>
      </c>
      <c r="I1099" s="9">
        <v>542.95000000000005</v>
      </c>
      <c r="K1099" s="6">
        <v>2.56</v>
      </c>
      <c r="L1099" s="6">
        <v>70</v>
      </c>
      <c r="N1099" s="1">
        <f t="shared" si="143"/>
        <v>0</v>
      </c>
      <c r="O1099" s="8" t="s">
        <v>20</v>
      </c>
      <c r="P1099" s="8"/>
      <c r="Q1099" s="8" t="s">
        <v>21</v>
      </c>
      <c r="R1099" s="8" t="s">
        <v>21</v>
      </c>
      <c r="S1099" s="8" t="s">
        <v>21</v>
      </c>
      <c r="T1099" s="8" t="s">
        <v>21</v>
      </c>
      <c r="U1099" s="6">
        <f t="shared" si="144"/>
        <v>380.065</v>
      </c>
      <c r="V1099" s="6">
        <f t="shared" si="140"/>
        <v>380.065</v>
      </c>
    </row>
    <row r="1100" spans="1:22" hidden="1" x14ac:dyDescent="0.35">
      <c r="A1100" s="6" t="s">
        <v>1234</v>
      </c>
      <c r="B1100" s="6" t="s">
        <v>1229</v>
      </c>
      <c r="C1100" s="6" t="s">
        <v>1230</v>
      </c>
      <c r="D1100" s="6">
        <f t="shared" si="141"/>
        <v>0.5</v>
      </c>
      <c r="E1100" s="6" t="s">
        <v>19</v>
      </c>
      <c r="F1100" s="6" t="str">
        <f>MID(A1100,19,1)</f>
        <v>S</v>
      </c>
      <c r="G1100" s="6">
        <v>-23.205312035322141</v>
      </c>
      <c r="H1100" s="6">
        <v>-46.900396877674808</v>
      </c>
      <c r="I1100" s="9">
        <v>430.81</v>
      </c>
      <c r="K1100" s="6">
        <v>3.57</v>
      </c>
      <c r="L1100" s="6">
        <v>70</v>
      </c>
      <c r="N1100" s="1">
        <f t="shared" si="143"/>
        <v>0</v>
      </c>
      <c r="O1100" s="8" t="s">
        <v>20</v>
      </c>
      <c r="P1100" s="8"/>
      <c r="Q1100" s="8" t="s">
        <v>21</v>
      </c>
      <c r="R1100" s="8" t="s">
        <v>21</v>
      </c>
      <c r="S1100" s="8" t="s">
        <v>21</v>
      </c>
      <c r="T1100" s="8" t="s">
        <v>21</v>
      </c>
      <c r="U1100" s="6">
        <f t="shared" si="144"/>
        <v>301.56700000000001</v>
      </c>
      <c r="V1100" s="6">
        <f t="shared" ref="V1100:V1163" si="146">(I1100*(L1100/100))</f>
        <v>301.56700000000001</v>
      </c>
    </row>
    <row r="1101" spans="1:22" hidden="1" x14ac:dyDescent="0.35">
      <c r="A1101" s="6" t="s">
        <v>1235</v>
      </c>
      <c r="B1101" s="6" t="s">
        <v>1229</v>
      </c>
      <c r="C1101" s="6" t="s">
        <v>1230</v>
      </c>
      <c r="D1101" s="6">
        <f t="shared" si="141"/>
        <v>0.5</v>
      </c>
      <c r="E1101" s="6" t="s">
        <v>19</v>
      </c>
      <c r="F1101" s="6" t="str">
        <f>MID(A1101,19,1)</f>
        <v>S</v>
      </c>
      <c r="G1101" s="6">
        <v>-23.20402535705125</v>
      </c>
      <c r="H1101" s="6">
        <v>-46.901009083438552</v>
      </c>
      <c r="I1101" s="9">
        <v>8393.84</v>
      </c>
      <c r="K1101" s="6">
        <v>8.84</v>
      </c>
      <c r="L1101" s="6">
        <v>70</v>
      </c>
      <c r="N1101" s="1">
        <f t="shared" si="143"/>
        <v>0</v>
      </c>
      <c r="O1101" s="8" t="s">
        <v>20</v>
      </c>
      <c r="P1101" s="8"/>
      <c r="Q1101" s="8" t="s">
        <v>21</v>
      </c>
      <c r="R1101" s="8" t="s">
        <v>21</v>
      </c>
      <c r="S1101" s="8" t="s">
        <v>21</v>
      </c>
      <c r="T1101" s="8" t="s">
        <v>21</v>
      </c>
      <c r="U1101" s="6">
        <f t="shared" si="144"/>
        <v>5875.6880000000001</v>
      </c>
      <c r="V1101" s="6">
        <f t="shared" si="146"/>
        <v>5875.6880000000001</v>
      </c>
    </row>
    <row r="1102" spans="1:22" x14ac:dyDescent="0.35">
      <c r="A1102" s="6" t="s">
        <v>1236</v>
      </c>
      <c r="B1102" s="6" t="s">
        <v>1229</v>
      </c>
      <c r="C1102" s="6" t="s">
        <v>1230</v>
      </c>
      <c r="D1102" s="6">
        <f t="shared" ref="D1102:D1165" si="147">C1102-B1102</f>
        <v>0.5</v>
      </c>
      <c r="E1102" s="6" t="s">
        <v>19</v>
      </c>
      <c r="F1102" s="6" t="str">
        <f>MID(A1102,19,1)</f>
        <v>N</v>
      </c>
      <c r="G1102" s="6">
        <v>-23.201972361256608</v>
      </c>
      <c r="H1102" s="6">
        <v>-46.90177438371564</v>
      </c>
      <c r="I1102" s="9">
        <v>414.04</v>
      </c>
      <c r="K1102" s="6">
        <v>6.82</v>
      </c>
      <c r="L1102" s="6">
        <v>0</v>
      </c>
      <c r="N1102" s="1">
        <f t="shared" si="143"/>
        <v>0</v>
      </c>
      <c r="O1102" s="8"/>
      <c r="P1102" s="8"/>
      <c r="Q1102" s="8" t="s">
        <v>21</v>
      </c>
      <c r="R1102" s="8" t="s">
        <v>21</v>
      </c>
      <c r="S1102" s="8" t="s">
        <v>21</v>
      </c>
      <c r="T1102" s="8" t="s">
        <v>21</v>
      </c>
      <c r="U1102" s="6">
        <f t="shared" si="144"/>
        <v>0</v>
      </c>
      <c r="V1102" s="6">
        <f t="shared" si="146"/>
        <v>0</v>
      </c>
    </row>
    <row r="1103" spans="1:22" x14ac:dyDescent="0.35">
      <c r="A1103" s="6" t="s">
        <v>1237</v>
      </c>
      <c r="B1103" s="6" t="s">
        <v>1229</v>
      </c>
      <c r="C1103" s="6" t="s">
        <v>1230</v>
      </c>
      <c r="D1103" s="6">
        <f t="shared" si="147"/>
        <v>0.5</v>
      </c>
      <c r="E1103" s="6" t="s">
        <v>19</v>
      </c>
      <c r="F1103" s="6" t="str">
        <f>MID(A1103,19,1)</f>
        <v>N</v>
      </c>
      <c r="G1103" s="6">
        <v>-23.203940260735489</v>
      </c>
      <c r="H1103" s="6">
        <v>-46.900438414409251</v>
      </c>
      <c r="I1103" s="9">
        <v>1738.32</v>
      </c>
      <c r="K1103" s="6">
        <v>10.16</v>
      </c>
      <c r="L1103" s="6">
        <v>0</v>
      </c>
      <c r="N1103" s="1">
        <f t="shared" si="143"/>
        <v>0</v>
      </c>
      <c r="O1103" s="8"/>
      <c r="P1103" s="8"/>
      <c r="Q1103" s="8" t="s">
        <v>21</v>
      </c>
      <c r="R1103" s="8" t="s">
        <v>21</v>
      </c>
      <c r="S1103" s="8" t="s">
        <v>21</v>
      </c>
      <c r="T1103" s="8" t="s">
        <v>21</v>
      </c>
      <c r="U1103" s="6">
        <f t="shared" si="144"/>
        <v>0</v>
      </c>
      <c r="V1103" s="6">
        <f t="shared" si="146"/>
        <v>0</v>
      </c>
    </row>
    <row r="1104" spans="1:22" x14ac:dyDescent="0.35">
      <c r="A1104" s="6" t="s">
        <v>1238</v>
      </c>
      <c r="B1104" s="6" t="s">
        <v>1229</v>
      </c>
      <c r="C1104" s="6" t="s">
        <v>1230</v>
      </c>
      <c r="D1104" s="6">
        <f t="shared" si="147"/>
        <v>0.5</v>
      </c>
      <c r="E1104" s="6" t="s">
        <v>19</v>
      </c>
      <c r="F1104" s="6" t="str">
        <f>MID(A1104,19,1)</f>
        <v>N</v>
      </c>
      <c r="G1104" s="6">
        <v>-23.205933013803591</v>
      </c>
      <c r="H1104" s="6">
        <v>-46.898721845464181</v>
      </c>
      <c r="I1104" s="9">
        <v>532.16</v>
      </c>
      <c r="K1104" s="6">
        <v>5.32</v>
      </c>
      <c r="L1104" s="6">
        <v>40</v>
      </c>
      <c r="N1104" s="1">
        <f t="shared" si="143"/>
        <v>0</v>
      </c>
      <c r="O1104" s="8" t="s">
        <v>20</v>
      </c>
      <c r="P1104" s="8"/>
      <c r="Q1104" s="8" t="s">
        <v>21</v>
      </c>
      <c r="R1104" s="8" t="s">
        <v>21</v>
      </c>
      <c r="S1104" s="8" t="s">
        <v>21</v>
      </c>
      <c r="T1104" s="8" t="s">
        <v>21</v>
      </c>
      <c r="U1104" s="6">
        <f t="shared" si="144"/>
        <v>212.864</v>
      </c>
      <c r="V1104" s="6">
        <f t="shared" si="146"/>
        <v>212.864</v>
      </c>
    </row>
    <row r="1105" spans="1:22" hidden="1" x14ac:dyDescent="0.35">
      <c r="A1105" s="6" t="s">
        <v>1239</v>
      </c>
      <c r="B1105" s="6" t="s">
        <v>1229</v>
      </c>
      <c r="C1105" s="6" t="s">
        <v>1230</v>
      </c>
      <c r="D1105" s="6">
        <f t="shared" si="147"/>
        <v>0.5</v>
      </c>
      <c r="E1105" s="6" t="s">
        <v>19</v>
      </c>
      <c r="F1105" s="6" t="str">
        <f>MID(A1105,19,1)</f>
        <v>S</v>
      </c>
      <c r="G1105" s="6">
        <v>-23.206772506890449</v>
      </c>
      <c r="H1105" s="6">
        <v>-46.898566686300533</v>
      </c>
      <c r="I1105" s="9">
        <v>3274.07</v>
      </c>
      <c r="K1105" s="6">
        <v>4.43</v>
      </c>
      <c r="L1105" s="6">
        <v>70</v>
      </c>
      <c r="N1105" s="1">
        <f t="shared" si="143"/>
        <v>0</v>
      </c>
      <c r="O1105" s="8" t="s">
        <v>20</v>
      </c>
      <c r="P1105" s="8"/>
      <c r="Q1105" s="8" t="s">
        <v>21</v>
      </c>
      <c r="R1105" s="8" t="s">
        <v>21</v>
      </c>
      <c r="S1105" s="8" t="s">
        <v>21</v>
      </c>
      <c r="T1105" s="8" t="s">
        <v>21</v>
      </c>
      <c r="U1105" s="6">
        <f t="shared" si="144"/>
        <v>2291.8490000000002</v>
      </c>
      <c r="V1105" s="6">
        <f t="shared" si="146"/>
        <v>2291.8490000000002</v>
      </c>
    </row>
    <row r="1106" spans="1:22" hidden="1" x14ac:dyDescent="0.35">
      <c r="A1106" s="6" t="s">
        <v>1240</v>
      </c>
      <c r="B1106" s="6" t="s">
        <v>1229</v>
      </c>
      <c r="C1106" s="6" t="s">
        <v>1230</v>
      </c>
      <c r="D1106" s="6">
        <f t="shared" si="147"/>
        <v>0.5</v>
      </c>
      <c r="E1106" s="6" t="s">
        <v>19</v>
      </c>
      <c r="F1106" s="6" t="str">
        <f>MID(A1106,19,1)</f>
        <v>S</v>
      </c>
      <c r="G1106" s="6">
        <v>-23.19936612538276</v>
      </c>
      <c r="H1106" s="6">
        <v>-46.928719329597399</v>
      </c>
      <c r="I1106" s="9">
        <v>1950.38</v>
      </c>
      <c r="K1106" s="6">
        <v>5.76</v>
      </c>
      <c r="L1106" s="6">
        <v>60</v>
      </c>
      <c r="N1106" s="1">
        <f t="shared" si="143"/>
        <v>0</v>
      </c>
      <c r="O1106" s="8" t="s">
        <v>20</v>
      </c>
      <c r="P1106" s="8"/>
      <c r="Q1106" s="8" t="s">
        <v>21</v>
      </c>
      <c r="R1106" s="8" t="s">
        <v>21</v>
      </c>
      <c r="S1106" s="8" t="s">
        <v>21</v>
      </c>
      <c r="T1106" s="8" t="s">
        <v>21</v>
      </c>
      <c r="U1106" s="6">
        <f t="shared" si="144"/>
        <v>1170.2280000000001</v>
      </c>
      <c r="V1106" s="6">
        <f t="shared" si="146"/>
        <v>1170.2280000000001</v>
      </c>
    </row>
    <row r="1107" spans="1:22" x14ac:dyDescent="0.35">
      <c r="A1107" s="6" t="s">
        <v>1241</v>
      </c>
      <c r="B1107" s="6" t="s">
        <v>1229</v>
      </c>
      <c r="C1107" s="6" t="s">
        <v>1230</v>
      </c>
      <c r="D1107" s="6">
        <f t="shared" si="147"/>
        <v>0.5</v>
      </c>
      <c r="E1107" s="6" t="s">
        <v>19</v>
      </c>
      <c r="F1107" s="6" t="str">
        <f>MID(A1107,19,1)</f>
        <v>N</v>
      </c>
      <c r="G1107" s="6">
        <v>-23.208112760891449</v>
      </c>
      <c r="H1107" s="6">
        <v>-46.896317694405333</v>
      </c>
      <c r="I1107" s="9">
        <v>849.51</v>
      </c>
      <c r="K1107" s="6">
        <v>8.31</v>
      </c>
      <c r="L1107" s="6">
        <v>40</v>
      </c>
      <c r="N1107" s="1">
        <f t="shared" si="143"/>
        <v>0</v>
      </c>
      <c r="O1107" s="8" t="s">
        <v>20</v>
      </c>
      <c r="P1107" s="8"/>
      <c r="Q1107" s="8" t="s">
        <v>21</v>
      </c>
      <c r="R1107" s="8" t="s">
        <v>21</v>
      </c>
      <c r="S1107" s="8" t="s">
        <v>21</v>
      </c>
      <c r="T1107" s="8" t="s">
        <v>21</v>
      </c>
      <c r="U1107" s="6">
        <f t="shared" si="144"/>
        <v>339.80400000000003</v>
      </c>
      <c r="V1107" s="6">
        <f t="shared" si="146"/>
        <v>339.80400000000003</v>
      </c>
    </row>
    <row r="1108" spans="1:22" hidden="1" x14ac:dyDescent="0.35">
      <c r="A1108" s="6" t="s">
        <v>1242</v>
      </c>
      <c r="B1108" s="6" t="s">
        <v>1229</v>
      </c>
      <c r="C1108" s="6" t="s">
        <v>1230</v>
      </c>
      <c r="D1108" s="6">
        <f t="shared" si="147"/>
        <v>0.5</v>
      </c>
      <c r="E1108" s="6" t="s">
        <v>23</v>
      </c>
      <c r="F1108" s="6" t="str">
        <f>MID(A1108,19,1)</f>
        <v>C</v>
      </c>
      <c r="G1108" s="6">
        <v>-23.203591930055261</v>
      </c>
      <c r="H1108" s="6">
        <v>-46.926903352962583</v>
      </c>
      <c r="I1108" s="7">
        <v>13593.25</v>
      </c>
      <c r="J1108" s="9">
        <f t="shared" ref="J1108:J1109" si="148">I1108/500</f>
        <v>27.186499999999999</v>
      </c>
      <c r="K1108" s="6">
        <v>5</v>
      </c>
      <c r="L1108" s="6">
        <v>70</v>
      </c>
      <c r="N1108" s="1">
        <f t="shared" si="143"/>
        <v>0</v>
      </c>
      <c r="O1108" s="8" t="s">
        <v>185</v>
      </c>
      <c r="P1108" s="8"/>
      <c r="Q1108" s="8" t="s">
        <v>21</v>
      </c>
      <c r="R1108" s="8" t="s">
        <v>21</v>
      </c>
      <c r="S1108" s="8" t="s">
        <v>21</v>
      </c>
      <c r="T1108" s="8" t="s">
        <v>21</v>
      </c>
      <c r="U1108" s="6">
        <f t="shared" si="144"/>
        <v>9515.2749999999996</v>
      </c>
      <c r="V1108" s="6">
        <f t="shared" si="146"/>
        <v>9515.2749999999996</v>
      </c>
    </row>
    <row r="1109" spans="1:22" hidden="1" x14ac:dyDescent="0.35">
      <c r="A1109" s="6" t="s">
        <v>1243</v>
      </c>
      <c r="B1109" s="6" t="s">
        <v>1229</v>
      </c>
      <c r="C1109" s="6" t="s">
        <v>1230</v>
      </c>
      <c r="D1109" s="6">
        <f t="shared" si="147"/>
        <v>0.5</v>
      </c>
      <c r="E1109" s="6" t="s">
        <v>23</v>
      </c>
      <c r="F1109" s="6" t="str">
        <f>MID(A1109,19,1)</f>
        <v>C</v>
      </c>
      <c r="G1109" s="6">
        <v>-23.199326375883871</v>
      </c>
      <c r="H1109" s="6">
        <v>-46.928376786174468</v>
      </c>
      <c r="I1109" s="7">
        <v>12794.44</v>
      </c>
      <c r="J1109" s="9">
        <f t="shared" si="148"/>
        <v>25.58888</v>
      </c>
      <c r="K1109" s="6">
        <v>6.77</v>
      </c>
      <c r="L1109" s="6">
        <v>70</v>
      </c>
      <c r="N1109" s="1">
        <f t="shared" si="143"/>
        <v>0</v>
      </c>
      <c r="O1109" s="8" t="s">
        <v>185</v>
      </c>
      <c r="P1109" s="8"/>
      <c r="Q1109" s="8" t="s">
        <v>21</v>
      </c>
      <c r="R1109" s="8" t="s">
        <v>21</v>
      </c>
      <c r="S1109" s="8" t="s">
        <v>21</v>
      </c>
      <c r="T1109" s="8" t="s">
        <v>21</v>
      </c>
      <c r="U1109" s="6">
        <f t="shared" si="144"/>
        <v>8956.1080000000002</v>
      </c>
      <c r="V1109" s="6">
        <f t="shared" si="146"/>
        <v>8956.1080000000002</v>
      </c>
    </row>
    <row r="1110" spans="1:22" hidden="1" x14ac:dyDescent="0.35">
      <c r="A1110" s="6" t="s">
        <v>1244</v>
      </c>
      <c r="B1110" s="6" t="s">
        <v>1229</v>
      </c>
      <c r="C1110" s="6" t="s">
        <v>1230</v>
      </c>
      <c r="D1110" s="6">
        <f t="shared" si="147"/>
        <v>0.5</v>
      </c>
      <c r="E1110" s="6" t="s">
        <v>19</v>
      </c>
      <c r="F1110" s="6" t="str">
        <f>MID(A1110,19,1)</f>
        <v>S</v>
      </c>
      <c r="G1110" s="6">
        <v>-23.20254772806344</v>
      </c>
      <c r="H1110" s="6">
        <v>-46.927690662370807</v>
      </c>
      <c r="I1110" s="9">
        <v>1010.56</v>
      </c>
      <c r="K1110" s="6">
        <v>4.62</v>
      </c>
      <c r="L1110" s="6">
        <v>70</v>
      </c>
      <c r="N1110" s="1">
        <f t="shared" si="143"/>
        <v>0</v>
      </c>
      <c r="O1110" s="8" t="s">
        <v>20</v>
      </c>
      <c r="P1110" s="8"/>
      <c r="Q1110" s="8" t="s">
        <v>21</v>
      </c>
      <c r="R1110" s="8" t="s">
        <v>21</v>
      </c>
      <c r="S1110" s="8" t="s">
        <v>21</v>
      </c>
      <c r="T1110" s="8" t="s">
        <v>21</v>
      </c>
      <c r="U1110" s="6">
        <f t="shared" si="144"/>
        <v>707.39199999999994</v>
      </c>
      <c r="V1110" s="6">
        <f t="shared" si="146"/>
        <v>707.39199999999994</v>
      </c>
    </row>
    <row r="1111" spans="1:22" x14ac:dyDescent="0.35">
      <c r="A1111" s="6" t="s">
        <v>1245</v>
      </c>
      <c r="B1111" s="6" t="s">
        <v>1229</v>
      </c>
      <c r="C1111" s="6" t="s">
        <v>1230</v>
      </c>
      <c r="D1111" s="6">
        <f t="shared" si="147"/>
        <v>0.5</v>
      </c>
      <c r="E1111" s="6" t="s">
        <v>19</v>
      </c>
      <c r="F1111" s="6" t="str">
        <f>MID(A1111,19,1)</f>
        <v>N</v>
      </c>
      <c r="G1111" s="6">
        <v>-23.206710166484331</v>
      </c>
      <c r="H1111" s="6">
        <v>-46.897975836055167</v>
      </c>
      <c r="I1111" s="9">
        <v>1267.52</v>
      </c>
      <c r="K1111" s="6">
        <v>6.07</v>
      </c>
      <c r="L1111" s="6">
        <v>40</v>
      </c>
      <c r="N1111" s="1">
        <f t="shared" si="143"/>
        <v>0</v>
      </c>
      <c r="O1111" s="8" t="s">
        <v>20</v>
      </c>
      <c r="P1111" s="8"/>
      <c r="Q1111" s="8" t="s">
        <v>21</v>
      </c>
      <c r="R1111" s="8" t="s">
        <v>21</v>
      </c>
      <c r="S1111" s="8" t="s">
        <v>21</v>
      </c>
      <c r="T1111" s="8" t="s">
        <v>21</v>
      </c>
      <c r="U1111" s="6">
        <f t="shared" si="144"/>
        <v>507.00800000000004</v>
      </c>
      <c r="V1111" s="6">
        <f t="shared" si="146"/>
        <v>507.00800000000004</v>
      </c>
    </row>
    <row r="1112" spans="1:22" x14ac:dyDescent="0.35">
      <c r="A1112" s="6" t="s">
        <v>1246</v>
      </c>
      <c r="B1112" s="6" t="s">
        <v>1229</v>
      </c>
      <c r="C1112" s="6" t="s">
        <v>1230</v>
      </c>
      <c r="D1112" s="6">
        <f t="shared" si="147"/>
        <v>0.5</v>
      </c>
      <c r="E1112" s="6" t="s">
        <v>19</v>
      </c>
      <c r="F1112" s="6" t="str">
        <f>MID(A1112,19,1)</f>
        <v>N</v>
      </c>
      <c r="G1112" s="6">
        <v>-23.208014507926759</v>
      </c>
      <c r="H1112" s="6">
        <v>-46.896208150262737</v>
      </c>
      <c r="I1112" s="9">
        <v>630.89</v>
      </c>
      <c r="K1112" s="6">
        <v>8.26</v>
      </c>
      <c r="L1112" s="6">
        <v>40</v>
      </c>
      <c r="N1112" s="1">
        <f t="shared" si="143"/>
        <v>0</v>
      </c>
      <c r="O1112" s="8" t="s">
        <v>20</v>
      </c>
      <c r="P1112" s="8"/>
      <c r="Q1112" s="8" t="s">
        <v>21</v>
      </c>
      <c r="R1112" s="8" t="s">
        <v>21</v>
      </c>
      <c r="S1112" s="8" t="s">
        <v>21</v>
      </c>
      <c r="T1112" s="8" t="s">
        <v>21</v>
      </c>
      <c r="U1112" s="6">
        <f t="shared" si="144"/>
        <v>252.35599999999999</v>
      </c>
      <c r="V1112" s="6">
        <f t="shared" si="146"/>
        <v>252.35599999999999</v>
      </c>
    </row>
    <row r="1113" spans="1:22" x14ac:dyDescent="0.35">
      <c r="A1113" s="6" t="s">
        <v>1247</v>
      </c>
      <c r="B1113" s="6" t="s">
        <v>1229</v>
      </c>
      <c r="C1113" s="6" t="s">
        <v>1230</v>
      </c>
      <c r="D1113" s="6">
        <f t="shared" si="147"/>
        <v>0.5</v>
      </c>
      <c r="E1113" s="6" t="s">
        <v>19</v>
      </c>
      <c r="F1113" s="6" t="str">
        <f>MID(A1113,19,1)</f>
        <v>N</v>
      </c>
      <c r="G1113" s="6">
        <v>-23.20662510431815</v>
      </c>
      <c r="H1113" s="6">
        <v>-46.898299858830683</v>
      </c>
      <c r="I1113" s="9">
        <v>1820.24</v>
      </c>
      <c r="K1113" s="6">
        <v>5.58</v>
      </c>
      <c r="L1113" s="6">
        <v>40</v>
      </c>
      <c r="N1113" s="1">
        <f t="shared" si="143"/>
        <v>0</v>
      </c>
      <c r="O1113" s="8" t="s">
        <v>20</v>
      </c>
      <c r="P1113" s="8"/>
      <c r="Q1113" s="8" t="s">
        <v>21</v>
      </c>
      <c r="R1113" s="8" t="s">
        <v>21</v>
      </c>
      <c r="S1113" s="8" t="s">
        <v>21</v>
      </c>
      <c r="T1113" s="8" t="s">
        <v>21</v>
      </c>
      <c r="U1113" s="6">
        <f t="shared" si="144"/>
        <v>728.096</v>
      </c>
      <c r="V1113" s="6">
        <f t="shared" si="146"/>
        <v>728.096</v>
      </c>
    </row>
    <row r="1114" spans="1:22" x14ac:dyDescent="0.35">
      <c r="A1114" s="6" t="s">
        <v>1248</v>
      </c>
      <c r="B1114" s="6" t="s">
        <v>1229</v>
      </c>
      <c r="C1114" s="6" t="s">
        <v>1230</v>
      </c>
      <c r="D1114" s="6">
        <f t="shared" si="147"/>
        <v>0.5</v>
      </c>
      <c r="E1114" s="6" t="s">
        <v>19</v>
      </c>
      <c r="F1114" s="6" t="str">
        <f>MID(A1114,19,1)</f>
        <v>N</v>
      </c>
      <c r="G1114" s="6">
        <v>-23.203999720164589</v>
      </c>
      <c r="H1114" s="6">
        <v>-46.900602194740053</v>
      </c>
      <c r="I1114" s="9">
        <v>2363.5500000000002</v>
      </c>
      <c r="K1114" s="6">
        <v>9.43</v>
      </c>
      <c r="L1114" s="6">
        <v>0</v>
      </c>
      <c r="N1114" s="1">
        <f t="shared" si="143"/>
        <v>0</v>
      </c>
      <c r="O1114" s="8"/>
      <c r="P1114" s="8"/>
      <c r="Q1114" s="8" t="s">
        <v>21</v>
      </c>
      <c r="R1114" s="8" t="s">
        <v>21</v>
      </c>
      <c r="S1114" s="8" t="s">
        <v>21</v>
      </c>
      <c r="T1114" s="8" t="s">
        <v>21</v>
      </c>
      <c r="U1114" s="6">
        <f t="shared" si="144"/>
        <v>0</v>
      </c>
      <c r="V1114" s="6">
        <f t="shared" si="146"/>
        <v>0</v>
      </c>
    </row>
    <row r="1115" spans="1:22" hidden="1" x14ac:dyDescent="0.35">
      <c r="A1115" s="6" t="s">
        <v>1249</v>
      </c>
      <c r="B1115" s="6" t="s">
        <v>1229</v>
      </c>
      <c r="C1115" s="6" t="s">
        <v>1230</v>
      </c>
      <c r="D1115" s="6">
        <f t="shared" si="147"/>
        <v>0.5</v>
      </c>
      <c r="E1115" s="6" t="s">
        <v>23</v>
      </c>
      <c r="F1115" s="6" t="str">
        <f>MID(A1115,19,1)</f>
        <v>C</v>
      </c>
      <c r="G1115" s="6">
        <v>-23.204541540274029</v>
      </c>
      <c r="H1115" s="6">
        <v>-46.92695347244279</v>
      </c>
      <c r="I1115" s="7">
        <v>3113.87</v>
      </c>
      <c r="J1115" s="9">
        <f>I1115/500</f>
        <v>6.2277399999999998</v>
      </c>
      <c r="K1115" s="6">
        <v>5.7</v>
      </c>
      <c r="L1115" s="6">
        <v>70</v>
      </c>
      <c r="N1115" s="1">
        <f t="shared" si="143"/>
        <v>0</v>
      </c>
      <c r="O1115" s="8" t="s">
        <v>20</v>
      </c>
      <c r="P1115" s="8"/>
      <c r="Q1115" s="8" t="s">
        <v>21</v>
      </c>
      <c r="R1115" s="8" t="s">
        <v>21</v>
      </c>
      <c r="S1115" s="8" t="s">
        <v>21</v>
      </c>
      <c r="T1115" s="8" t="s">
        <v>21</v>
      </c>
      <c r="U1115" s="6">
        <f t="shared" si="144"/>
        <v>2179.7089999999998</v>
      </c>
      <c r="V1115" s="6">
        <f t="shared" si="146"/>
        <v>2179.7089999999998</v>
      </c>
    </row>
    <row r="1116" spans="1:22" hidden="1" x14ac:dyDescent="0.35">
      <c r="A1116" s="6" t="s">
        <v>1250</v>
      </c>
      <c r="B1116" s="6" t="s">
        <v>1229</v>
      </c>
      <c r="C1116" s="6" t="s">
        <v>1230</v>
      </c>
      <c r="D1116" s="6">
        <f t="shared" si="147"/>
        <v>0.5</v>
      </c>
      <c r="E1116" s="6" t="s">
        <v>19</v>
      </c>
      <c r="F1116" s="6" t="str">
        <f>MID(A1116,19,1)</f>
        <v>S</v>
      </c>
      <c r="G1116" s="6">
        <v>-23.208321539341661</v>
      </c>
      <c r="H1116" s="6">
        <v>-46.896517931961768</v>
      </c>
      <c r="I1116" s="9">
        <v>1205.23</v>
      </c>
      <c r="K1116" s="6">
        <v>5.81</v>
      </c>
      <c r="L1116" s="6">
        <v>70</v>
      </c>
      <c r="N1116" s="1">
        <f t="shared" si="143"/>
        <v>0</v>
      </c>
      <c r="O1116" s="8" t="s">
        <v>20</v>
      </c>
      <c r="P1116" s="8"/>
      <c r="Q1116" s="8" t="s">
        <v>21</v>
      </c>
      <c r="R1116" s="8" t="s">
        <v>21</v>
      </c>
      <c r="S1116" s="8" t="s">
        <v>21</v>
      </c>
      <c r="T1116" s="8" t="s">
        <v>21</v>
      </c>
      <c r="U1116" s="6">
        <f t="shared" si="144"/>
        <v>843.66099999999994</v>
      </c>
      <c r="V1116" s="6">
        <f t="shared" si="146"/>
        <v>843.66099999999994</v>
      </c>
    </row>
    <row r="1117" spans="1:22" hidden="1" x14ac:dyDescent="0.35">
      <c r="A1117" s="6" t="s">
        <v>1251</v>
      </c>
      <c r="B1117" s="6" t="s">
        <v>1229</v>
      </c>
      <c r="C1117" s="6" t="s">
        <v>1230</v>
      </c>
      <c r="D1117" s="6">
        <f t="shared" si="147"/>
        <v>0.5</v>
      </c>
      <c r="E1117" s="6" t="s">
        <v>19</v>
      </c>
      <c r="F1117" s="6" t="str">
        <f>MID(A1117,19,1)</f>
        <v>S</v>
      </c>
      <c r="G1117" s="6">
        <v>-23.208445632016911</v>
      </c>
      <c r="H1117" s="6">
        <v>-46.896670111335823</v>
      </c>
      <c r="I1117" s="9">
        <v>569.91</v>
      </c>
      <c r="K1117" s="6">
        <v>3.55</v>
      </c>
      <c r="L1117" s="6">
        <v>70</v>
      </c>
      <c r="N1117" s="1">
        <f t="shared" si="143"/>
        <v>0</v>
      </c>
      <c r="O1117" s="8" t="s">
        <v>20</v>
      </c>
      <c r="P1117" s="8"/>
      <c r="Q1117" s="8" t="s">
        <v>21</v>
      </c>
      <c r="R1117" s="8" t="s">
        <v>21</v>
      </c>
      <c r="S1117" s="8" t="s">
        <v>21</v>
      </c>
      <c r="T1117" s="8" t="s">
        <v>21</v>
      </c>
      <c r="U1117" s="6">
        <f t="shared" si="144"/>
        <v>398.93699999999995</v>
      </c>
      <c r="V1117" s="6">
        <f t="shared" si="146"/>
        <v>398.93699999999995</v>
      </c>
    </row>
    <row r="1118" spans="1:22" hidden="1" x14ac:dyDescent="0.35">
      <c r="A1118" s="6" t="s">
        <v>1252</v>
      </c>
      <c r="B1118" s="6" t="s">
        <v>1229</v>
      </c>
      <c r="C1118" s="6" t="s">
        <v>1230</v>
      </c>
      <c r="D1118" s="6">
        <f t="shared" si="147"/>
        <v>0.5</v>
      </c>
      <c r="E1118" s="6" t="s">
        <v>19</v>
      </c>
      <c r="F1118" s="6" t="str">
        <f>MID(A1118,19,1)</f>
        <v>S</v>
      </c>
      <c r="G1118" s="6">
        <v>-23.203562581726121</v>
      </c>
      <c r="H1118" s="6">
        <v>-46.901583869543707</v>
      </c>
      <c r="I1118" s="9">
        <v>1132.73</v>
      </c>
      <c r="K1118" s="6">
        <v>8.92</v>
      </c>
      <c r="L1118" s="6">
        <v>70</v>
      </c>
      <c r="N1118" s="1">
        <f t="shared" si="143"/>
        <v>0</v>
      </c>
      <c r="O1118" s="8" t="s">
        <v>20</v>
      </c>
      <c r="P1118" s="8"/>
      <c r="Q1118" s="8" t="s">
        <v>21</v>
      </c>
      <c r="R1118" s="8" t="s">
        <v>21</v>
      </c>
      <c r="S1118" s="8" t="s">
        <v>21</v>
      </c>
      <c r="T1118" s="8" t="s">
        <v>21</v>
      </c>
      <c r="U1118" s="6">
        <f t="shared" si="144"/>
        <v>792.91099999999994</v>
      </c>
      <c r="V1118" s="6">
        <f t="shared" si="146"/>
        <v>792.91099999999994</v>
      </c>
    </row>
    <row r="1119" spans="1:22" x14ac:dyDescent="0.35">
      <c r="A1119" s="6" t="s">
        <v>1253</v>
      </c>
      <c r="B1119" s="6" t="s">
        <v>1229</v>
      </c>
      <c r="C1119" s="6" t="s">
        <v>1230</v>
      </c>
      <c r="D1119" s="6">
        <f t="shared" si="147"/>
        <v>0.5</v>
      </c>
      <c r="E1119" s="6" t="s">
        <v>19</v>
      </c>
      <c r="F1119" s="6" t="str">
        <f>MID(A1119,19,1)</f>
        <v>N</v>
      </c>
      <c r="G1119" s="6">
        <v>-23.202941728096789</v>
      </c>
      <c r="H1119" s="6">
        <v>-46.926828465543693</v>
      </c>
      <c r="I1119" s="9">
        <v>1461.07</v>
      </c>
      <c r="K1119" s="6">
        <v>7.61</v>
      </c>
      <c r="L1119" s="6">
        <v>80</v>
      </c>
      <c r="N1119" s="1">
        <f t="shared" si="143"/>
        <v>0</v>
      </c>
      <c r="O1119" s="8" t="s">
        <v>20</v>
      </c>
      <c r="P1119" s="8"/>
      <c r="Q1119" s="8" t="s">
        <v>21</v>
      </c>
      <c r="R1119" s="8" t="s">
        <v>21</v>
      </c>
      <c r="S1119" s="8" t="s">
        <v>21</v>
      </c>
      <c r="T1119" s="8" t="s">
        <v>21</v>
      </c>
      <c r="U1119" s="6">
        <f t="shared" si="144"/>
        <v>1168.856</v>
      </c>
      <c r="V1119" s="6">
        <f t="shared" si="146"/>
        <v>1168.856</v>
      </c>
    </row>
    <row r="1120" spans="1:22" hidden="1" x14ac:dyDescent="0.35">
      <c r="A1120" s="6" t="s">
        <v>1254</v>
      </c>
      <c r="B1120" s="6" t="s">
        <v>1255</v>
      </c>
      <c r="C1120" s="6" t="s">
        <v>1256</v>
      </c>
      <c r="D1120" s="6">
        <f t="shared" si="147"/>
        <v>0.5</v>
      </c>
      <c r="E1120" s="6" t="s">
        <v>19</v>
      </c>
      <c r="F1120" s="6" t="str">
        <f>MID(A1120,19,1)</f>
        <v>S</v>
      </c>
      <c r="G1120" s="6">
        <v>-23.193628794111589</v>
      </c>
      <c r="H1120" s="6">
        <v>-46.930921701912943</v>
      </c>
      <c r="I1120" s="9">
        <v>699.91</v>
      </c>
      <c r="K1120" s="6">
        <v>3.98</v>
      </c>
      <c r="L1120" s="6">
        <v>0</v>
      </c>
      <c r="N1120" s="1">
        <f t="shared" si="143"/>
        <v>0</v>
      </c>
      <c r="O1120" s="8"/>
      <c r="P1120" s="8"/>
      <c r="Q1120" s="8" t="s">
        <v>21</v>
      </c>
      <c r="R1120" s="8" t="s">
        <v>21</v>
      </c>
      <c r="S1120" s="8" t="s">
        <v>21</v>
      </c>
      <c r="T1120" s="8" t="s">
        <v>21</v>
      </c>
      <c r="U1120" s="6">
        <f t="shared" si="144"/>
        <v>0</v>
      </c>
      <c r="V1120" s="6">
        <f t="shared" si="146"/>
        <v>0</v>
      </c>
    </row>
    <row r="1121" spans="1:22" x14ac:dyDescent="0.35">
      <c r="A1121" s="6" t="s">
        <v>1257</v>
      </c>
      <c r="B1121" s="6" t="s">
        <v>1255</v>
      </c>
      <c r="C1121" s="6" t="s">
        <v>1256</v>
      </c>
      <c r="D1121" s="6">
        <f t="shared" si="147"/>
        <v>0.5</v>
      </c>
      <c r="E1121" s="6" t="s">
        <v>19</v>
      </c>
      <c r="F1121" s="6" t="str">
        <f>MID(A1121,19,1)</f>
        <v>N</v>
      </c>
      <c r="G1121" s="6">
        <v>-23.199795885719318</v>
      </c>
      <c r="H1121" s="6">
        <v>-46.90244192219145</v>
      </c>
      <c r="I1121" s="9">
        <v>2306.41</v>
      </c>
      <c r="K1121" s="6">
        <v>6.23</v>
      </c>
      <c r="L1121" s="6">
        <v>0</v>
      </c>
      <c r="N1121" s="1">
        <f t="shared" si="143"/>
        <v>0</v>
      </c>
      <c r="O1121" s="8"/>
      <c r="P1121" s="8"/>
      <c r="Q1121" s="8" t="s">
        <v>21</v>
      </c>
      <c r="R1121" s="8" t="s">
        <v>21</v>
      </c>
      <c r="S1121" s="8" t="s">
        <v>21</v>
      </c>
      <c r="T1121" s="8" t="s">
        <v>21</v>
      </c>
      <c r="U1121" s="6">
        <f t="shared" si="144"/>
        <v>0</v>
      </c>
      <c r="V1121" s="6">
        <f t="shared" si="146"/>
        <v>0</v>
      </c>
    </row>
    <row r="1122" spans="1:22" hidden="1" x14ac:dyDescent="0.35">
      <c r="A1122" s="6" t="s">
        <v>1258</v>
      </c>
      <c r="B1122" s="6" t="s">
        <v>1255</v>
      </c>
      <c r="C1122" s="6" t="s">
        <v>1256</v>
      </c>
      <c r="D1122" s="6">
        <f t="shared" si="147"/>
        <v>0.5</v>
      </c>
      <c r="E1122" s="6" t="s">
        <v>23</v>
      </c>
      <c r="F1122" s="6" t="str">
        <f>MID(A1122,19,1)</f>
        <v>C</v>
      </c>
      <c r="G1122" s="6">
        <v>-23.190948928990629</v>
      </c>
      <c r="H1122" s="6">
        <v>-46.931218668231203</v>
      </c>
      <c r="I1122" s="7">
        <v>12805.7</v>
      </c>
      <c r="J1122" s="9">
        <f>I1122/500</f>
        <v>25.6114</v>
      </c>
      <c r="K1122" s="6">
        <v>4.84</v>
      </c>
      <c r="L1122" s="6">
        <v>60</v>
      </c>
      <c r="N1122" s="1">
        <f t="shared" si="143"/>
        <v>0</v>
      </c>
      <c r="O1122" s="8" t="s">
        <v>185</v>
      </c>
      <c r="P1122" s="8"/>
      <c r="Q1122" s="8" t="s">
        <v>21</v>
      </c>
      <c r="R1122" s="8" t="s">
        <v>21</v>
      </c>
      <c r="S1122" s="8" t="s">
        <v>21</v>
      </c>
      <c r="T1122" s="8" t="s">
        <v>21</v>
      </c>
      <c r="U1122" s="6">
        <f t="shared" si="144"/>
        <v>7683.42</v>
      </c>
      <c r="V1122" s="6">
        <f t="shared" si="146"/>
        <v>7683.42</v>
      </c>
    </row>
    <row r="1123" spans="1:22" hidden="1" x14ac:dyDescent="0.35">
      <c r="A1123" s="6" t="s">
        <v>1259</v>
      </c>
      <c r="B1123" s="6" t="s">
        <v>1255</v>
      </c>
      <c r="C1123" s="6" t="s">
        <v>1256</v>
      </c>
      <c r="D1123" s="6">
        <f t="shared" si="147"/>
        <v>0.5</v>
      </c>
      <c r="E1123" s="6" t="s">
        <v>19</v>
      </c>
      <c r="F1123" s="6" t="str">
        <f>MID(A1123,19,1)</f>
        <v>S</v>
      </c>
      <c r="G1123" s="6">
        <v>-23.193426606036951</v>
      </c>
      <c r="H1123" s="6">
        <v>-46.930900134508462</v>
      </c>
      <c r="I1123" s="9">
        <v>209.74</v>
      </c>
      <c r="K1123" s="6">
        <v>2.5499999999999998</v>
      </c>
      <c r="L1123" s="6">
        <v>0</v>
      </c>
      <c r="N1123" s="1">
        <f t="shared" si="143"/>
        <v>0</v>
      </c>
      <c r="O1123" s="8"/>
      <c r="P1123" s="8"/>
      <c r="Q1123" s="8" t="s">
        <v>21</v>
      </c>
      <c r="R1123" s="8" t="s">
        <v>21</v>
      </c>
      <c r="S1123" s="8" t="s">
        <v>21</v>
      </c>
      <c r="T1123" s="8" t="s">
        <v>21</v>
      </c>
      <c r="U1123" s="6">
        <f t="shared" si="144"/>
        <v>0</v>
      </c>
      <c r="V1123" s="6">
        <f t="shared" si="146"/>
        <v>0</v>
      </c>
    </row>
    <row r="1124" spans="1:22" hidden="1" x14ac:dyDescent="0.35">
      <c r="A1124" s="6" t="s">
        <v>1260</v>
      </c>
      <c r="B1124" s="6" t="s">
        <v>1255</v>
      </c>
      <c r="C1124" s="6" t="s">
        <v>1256</v>
      </c>
      <c r="D1124" s="6">
        <f t="shared" si="147"/>
        <v>0.5</v>
      </c>
      <c r="E1124" s="6" t="s">
        <v>19</v>
      </c>
      <c r="F1124" s="6" t="str">
        <f>MID(A1124,19,1)</f>
        <v>S</v>
      </c>
      <c r="G1124" s="6">
        <v>-23.19077929357508</v>
      </c>
      <c r="H1124" s="6">
        <v>-46.931721448642392</v>
      </c>
      <c r="I1124" s="9">
        <v>2078.31</v>
      </c>
      <c r="K1124" s="6">
        <v>5.18</v>
      </c>
      <c r="L1124" s="6">
        <v>0</v>
      </c>
      <c r="N1124" s="1">
        <f t="shared" si="143"/>
        <v>0</v>
      </c>
      <c r="O1124" s="8"/>
      <c r="P1124" s="8"/>
      <c r="Q1124" s="8" t="s">
        <v>21</v>
      </c>
      <c r="R1124" s="8" t="s">
        <v>21</v>
      </c>
      <c r="S1124" s="8" t="s">
        <v>21</v>
      </c>
      <c r="T1124" s="8" t="s">
        <v>21</v>
      </c>
      <c r="U1124" s="6">
        <f t="shared" si="144"/>
        <v>0</v>
      </c>
      <c r="V1124" s="6">
        <f t="shared" si="146"/>
        <v>0</v>
      </c>
    </row>
    <row r="1125" spans="1:22" hidden="1" x14ac:dyDescent="0.35">
      <c r="A1125" s="6" t="s">
        <v>1261</v>
      </c>
      <c r="B1125" s="6" t="s">
        <v>1255</v>
      </c>
      <c r="C1125" s="6" t="s">
        <v>1256</v>
      </c>
      <c r="D1125" s="6">
        <f t="shared" si="147"/>
        <v>0.5</v>
      </c>
      <c r="E1125" s="6" t="s">
        <v>19</v>
      </c>
      <c r="F1125" s="6" t="str">
        <f>MID(A1125,19,1)</f>
        <v>S</v>
      </c>
      <c r="G1125" s="6">
        <v>-23.192563294369378</v>
      </c>
      <c r="H1125" s="6">
        <v>-46.931099219853763</v>
      </c>
      <c r="I1125" s="9">
        <v>747.65</v>
      </c>
      <c r="K1125" s="6">
        <v>1.84</v>
      </c>
      <c r="L1125" s="6">
        <v>0</v>
      </c>
      <c r="N1125" s="1">
        <f t="shared" si="143"/>
        <v>0</v>
      </c>
      <c r="O1125" s="8"/>
      <c r="P1125" s="8"/>
      <c r="Q1125" s="8" t="s">
        <v>21</v>
      </c>
      <c r="R1125" s="8" t="s">
        <v>21</v>
      </c>
      <c r="S1125" s="8" t="s">
        <v>21</v>
      </c>
      <c r="T1125" s="8" t="s">
        <v>21</v>
      </c>
      <c r="U1125" s="6">
        <f t="shared" si="144"/>
        <v>0</v>
      </c>
      <c r="V1125" s="6">
        <f t="shared" si="146"/>
        <v>0</v>
      </c>
    </row>
    <row r="1126" spans="1:22" hidden="1" x14ac:dyDescent="0.35">
      <c r="A1126" s="6" t="s">
        <v>1262</v>
      </c>
      <c r="B1126" s="6" t="s">
        <v>1255</v>
      </c>
      <c r="C1126" s="6" t="s">
        <v>1256</v>
      </c>
      <c r="D1126" s="6">
        <f t="shared" si="147"/>
        <v>0.5</v>
      </c>
      <c r="E1126" s="6" t="s">
        <v>23</v>
      </c>
      <c r="F1126" s="6" t="str">
        <f>MID(A1126,19,1)</f>
        <v>C</v>
      </c>
      <c r="G1126" s="6">
        <v>-23.19509639077231</v>
      </c>
      <c r="H1126" s="6">
        <v>-46.929807934235093</v>
      </c>
      <c r="I1126" s="7">
        <v>12847.41</v>
      </c>
      <c r="J1126" s="9">
        <f>I1126/500</f>
        <v>25.69482</v>
      </c>
      <c r="K1126" s="6">
        <v>7.94</v>
      </c>
      <c r="L1126" s="6">
        <v>60</v>
      </c>
      <c r="N1126" s="1">
        <f t="shared" si="143"/>
        <v>0</v>
      </c>
      <c r="O1126" s="8" t="s">
        <v>185</v>
      </c>
      <c r="P1126" s="8"/>
      <c r="Q1126" s="8" t="s">
        <v>21</v>
      </c>
      <c r="R1126" s="8" t="s">
        <v>21</v>
      </c>
      <c r="S1126" s="8" t="s">
        <v>21</v>
      </c>
      <c r="T1126" s="8" t="s">
        <v>21</v>
      </c>
      <c r="U1126" s="6">
        <f t="shared" si="144"/>
        <v>7708.4459999999999</v>
      </c>
      <c r="V1126" s="6">
        <f t="shared" si="146"/>
        <v>7708.4459999999999</v>
      </c>
    </row>
    <row r="1127" spans="1:22" x14ac:dyDescent="0.35">
      <c r="A1127" s="6" t="s">
        <v>1263</v>
      </c>
      <c r="B1127" s="6" t="s">
        <v>1255</v>
      </c>
      <c r="C1127" s="6" t="s">
        <v>1256</v>
      </c>
      <c r="D1127" s="6">
        <f t="shared" si="147"/>
        <v>0.5</v>
      </c>
      <c r="E1127" s="6" t="s">
        <v>19</v>
      </c>
      <c r="F1127" s="6" t="str">
        <f>MID(A1127,19,1)</f>
        <v>N</v>
      </c>
      <c r="G1127" s="6">
        <v>-23.192944670264851</v>
      </c>
      <c r="H1127" s="6">
        <v>-46.904892248795448</v>
      </c>
      <c r="I1127" s="9">
        <v>4.96</v>
      </c>
      <c r="K1127" s="6">
        <v>4.87</v>
      </c>
      <c r="L1127" s="6">
        <v>50</v>
      </c>
      <c r="N1127" s="1">
        <f t="shared" si="143"/>
        <v>0</v>
      </c>
      <c r="O1127" s="8" t="s">
        <v>20</v>
      </c>
      <c r="P1127" s="8"/>
      <c r="Q1127" s="8" t="s">
        <v>21</v>
      </c>
      <c r="R1127" s="8" t="s">
        <v>21</v>
      </c>
      <c r="S1127" s="8" t="s">
        <v>21</v>
      </c>
      <c r="T1127" s="8" t="s">
        <v>21</v>
      </c>
      <c r="U1127" s="6">
        <f t="shared" si="144"/>
        <v>2.48</v>
      </c>
      <c r="V1127" s="6">
        <f t="shared" si="146"/>
        <v>2.48</v>
      </c>
    </row>
    <row r="1128" spans="1:22" hidden="1" x14ac:dyDescent="0.35">
      <c r="A1128" s="6" t="s">
        <v>1264</v>
      </c>
      <c r="B1128" s="6" t="s">
        <v>1255</v>
      </c>
      <c r="C1128" s="6" t="s">
        <v>1256</v>
      </c>
      <c r="D1128" s="6">
        <f t="shared" si="147"/>
        <v>0.5</v>
      </c>
      <c r="E1128" s="6" t="s">
        <v>19</v>
      </c>
      <c r="F1128" s="6" t="str">
        <f>MID(A1128,19,1)</f>
        <v>S</v>
      </c>
      <c r="G1128" s="6">
        <v>-23.198422872318499</v>
      </c>
      <c r="H1128" s="6">
        <v>-46.903443605044288</v>
      </c>
      <c r="I1128" s="9">
        <v>522.4</v>
      </c>
      <c r="K1128" s="6">
        <v>11.71</v>
      </c>
      <c r="L1128" s="6">
        <v>70</v>
      </c>
      <c r="N1128" s="1">
        <f t="shared" si="143"/>
        <v>0</v>
      </c>
      <c r="O1128" s="8" t="s">
        <v>20</v>
      </c>
      <c r="P1128" s="8"/>
      <c r="Q1128" s="8" t="s">
        <v>21</v>
      </c>
      <c r="R1128" s="8" t="s">
        <v>21</v>
      </c>
      <c r="S1128" s="8" t="s">
        <v>21</v>
      </c>
      <c r="T1128" s="8" t="s">
        <v>21</v>
      </c>
      <c r="U1128" s="6">
        <f t="shared" si="144"/>
        <v>365.67999999999995</v>
      </c>
      <c r="V1128" s="6">
        <f t="shared" si="146"/>
        <v>365.67999999999995</v>
      </c>
    </row>
    <row r="1129" spans="1:22" x14ac:dyDescent="0.35">
      <c r="A1129" s="6" t="s">
        <v>1265</v>
      </c>
      <c r="B1129" s="6" t="s">
        <v>1255</v>
      </c>
      <c r="C1129" s="6" t="s">
        <v>1256</v>
      </c>
      <c r="D1129" s="6">
        <f t="shared" si="147"/>
        <v>0.5</v>
      </c>
      <c r="E1129" s="6" t="s">
        <v>19</v>
      </c>
      <c r="F1129" s="6" t="str">
        <f>MID(A1129,19,1)</f>
        <v>N</v>
      </c>
      <c r="G1129" s="6">
        <v>-23.188744238948331</v>
      </c>
      <c r="H1129" s="6">
        <v>-46.93162702598525</v>
      </c>
      <c r="I1129" s="9">
        <v>140.69999999999999</v>
      </c>
      <c r="K1129" s="6">
        <v>4.1399999999999997</v>
      </c>
      <c r="L1129" s="6">
        <v>0</v>
      </c>
      <c r="N1129" s="1">
        <f t="shared" si="143"/>
        <v>0</v>
      </c>
      <c r="O1129" s="8"/>
      <c r="P1129" s="8"/>
      <c r="Q1129" s="8" t="s">
        <v>21</v>
      </c>
      <c r="R1129" s="8" t="s">
        <v>21</v>
      </c>
      <c r="S1129" s="8" t="s">
        <v>21</v>
      </c>
      <c r="T1129" s="8" t="s">
        <v>21</v>
      </c>
      <c r="U1129" s="6">
        <f t="shared" si="144"/>
        <v>0</v>
      </c>
      <c r="V1129" s="6">
        <f t="shared" si="146"/>
        <v>0</v>
      </c>
    </row>
    <row r="1130" spans="1:22" hidden="1" x14ac:dyDescent="0.35">
      <c r="A1130" s="6" t="s">
        <v>1266</v>
      </c>
      <c r="B1130" s="6" t="s">
        <v>1255</v>
      </c>
      <c r="C1130" s="6" t="s">
        <v>1256</v>
      </c>
      <c r="D1130" s="6">
        <f t="shared" si="147"/>
        <v>0.5</v>
      </c>
      <c r="E1130" s="6" t="s">
        <v>19</v>
      </c>
      <c r="F1130" s="6" t="str">
        <f>MID(A1130,19,1)</f>
        <v>S</v>
      </c>
      <c r="G1130" s="6">
        <v>-23.189296351618271</v>
      </c>
      <c r="H1130" s="6">
        <v>-46.932313943677791</v>
      </c>
      <c r="I1130" s="9">
        <v>274.02</v>
      </c>
      <c r="K1130" s="6">
        <v>6.85</v>
      </c>
      <c r="L1130" s="6">
        <v>0</v>
      </c>
      <c r="N1130" s="1">
        <f t="shared" si="143"/>
        <v>0</v>
      </c>
      <c r="O1130" s="8"/>
      <c r="P1130" s="8"/>
      <c r="Q1130" s="8" t="s">
        <v>21</v>
      </c>
      <c r="R1130" s="8" t="s">
        <v>21</v>
      </c>
      <c r="S1130" s="8" t="s">
        <v>21</v>
      </c>
      <c r="T1130" s="8" t="s">
        <v>21</v>
      </c>
      <c r="U1130" s="6">
        <f t="shared" si="144"/>
        <v>0</v>
      </c>
      <c r="V1130" s="6">
        <f t="shared" si="146"/>
        <v>0</v>
      </c>
    </row>
    <row r="1131" spans="1:22" x14ac:dyDescent="0.35">
      <c r="A1131" s="6" t="s">
        <v>1267</v>
      </c>
      <c r="B1131" s="6" t="s">
        <v>1255</v>
      </c>
      <c r="C1131" s="6" t="s">
        <v>1256</v>
      </c>
      <c r="D1131" s="6">
        <f t="shared" si="147"/>
        <v>0.5</v>
      </c>
      <c r="E1131" s="6" t="s">
        <v>19</v>
      </c>
      <c r="F1131" s="6" t="str">
        <f>MID(A1131,19,1)</f>
        <v>N</v>
      </c>
      <c r="G1131" s="6">
        <v>-23.19505751134411</v>
      </c>
      <c r="H1131" s="6">
        <v>-46.929512512581113</v>
      </c>
      <c r="I1131" s="9">
        <v>1965.88</v>
      </c>
      <c r="K1131" s="6">
        <v>9.1999999999999993</v>
      </c>
      <c r="L1131" s="6">
        <v>50</v>
      </c>
      <c r="N1131" s="1">
        <f t="shared" si="143"/>
        <v>0</v>
      </c>
      <c r="O1131" s="8" t="s">
        <v>20</v>
      </c>
      <c r="P1131" s="8"/>
      <c r="Q1131" s="8" t="s">
        <v>21</v>
      </c>
      <c r="R1131" s="8" t="s">
        <v>21</v>
      </c>
      <c r="S1131" s="8" t="s">
        <v>21</v>
      </c>
      <c r="T1131" s="8" t="s">
        <v>21</v>
      </c>
      <c r="U1131" s="6">
        <f t="shared" si="144"/>
        <v>982.94</v>
      </c>
      <c r="V1131" s="6">
        <f t="shared" si="146"/>
        <v>982.94</v>
      </c>
    </row>
    <row r="1132" spans="1:22" x14ac:dyDescent="0.35">
      <c r="A1132" s="6" t="s">
        <v>1268</v>
      </c>
      <c r="B1132" s="6" t="s">
        <v>1255</v>
      </c>
      <c r="C1132" s="6" t="s">
        <v>1256</v>
      </c>
      <c r="D1132" s="6">
        <f t="shared" si="147"/>
        <v>0.5</v>
      </c>
      <c r="E1132" s="6" t="s">
        <v>19</v>
      </c>
      <c r="F1132" s="6" t="str">
        <f>MID(A1132,19,1)</f>
        <v>N</v>
      </c>
      <c r="G1132" s="6">
        <v>-23.188608060045549</v>
      </c>
      <c r="H1132" s="6">
        <v>-46.931393889201658</v>
      </c>
      <c r="I1132" s="9">
        <v>1196.5899999999999</v>
      </c>
      <c r="K1132" s="6">
        <v>3.13</v>
      </c>
      <c r="L1132" s="6">
        <v>70</v>
      </c>
      <c r="N1132" s="1">
        <f t="shared" si="143"/>
        <v>0</v>
      </c>
      <c r="O1132" s="8" t="s">
        <v>20</v>
      </c>
      <c r="P1132" s="8"/>
      <c r="Q1132" s="8" t="s">
        <v>21</v>
      </c>
      <c r="R1132" s="8" t="s">
        <v>21</v>
      </c>
      <c r="S1132" s="8" t="s">
        <v>21</v>
      </c>
      <c r="T1132" s="8" t="s">
        <v>21</v>
      </c>
      <c r="U1132" s="6">
        <f t="shared" si="144"/>
        <v>837.61299999999994</v>
      </c>
      <c r="V1132" s="6">
        <f t="shared" si="146"/>
        <v>837.61299999999994</v>
      </c>
    </row>
    <row r="1133" spans="1:22" hidden="1" x14ac:dyDescent="0.35">
      <c r="A1133" s="6" t="s">
        <v>1269</v>
      </c>
      <c r="B1133" s="6" t="s">
        <v>1255</v>
      </c>
      <c r="C1133" s="6" t="s">
        <v>1256</v>
      </c>
      <c r="D1133" s="6">
        <f t="shared" si="147"/>
        <v>0.5</v>
      </c>
      <c r="E1133" s="6" t="s">
        <v>19</v>
      </c>
      <c r="F1133" s="6" t="str">
        <f>MID(A1133,19,1)</f>
        <v>S</v>
      </c>
      <c r="G1133" s="6">
        <v>-23.19528157662765</v>
      </c>
      <c r="H1133" s="6">
        <v>-46.90481014028726</v>
      </c>
      <c r="I1133" s="9">
        <v>2105.15</v>
      </c>
      <c r="K1133" s="6">
        <v>8.7799999999999994</v>
      </c>
      <c r="L1133" s="6">
        <v>60</v>
      </c>
      <c r="N1133" s="1">
        <f t="shared" si="143"/>
        <v>0</v>
      </c>
      <c r="O1133" s="8" t="s">
        <v>20</v>
      </c>
      <c r="P1133" s="8"/>
      <c r="Q1133" s="8" t="s">
        <v>21</v>
      </c>
      <c r="R1133" s="8" t="s">
        <v>21</v>
      </c>
      <c r="S1133" s="8" t="s">
        <v>21</v>
      </c>
      <c r="T1133" s="8" t="s">
        <v>21</v>
      </c>
      <c r="U1133" s="6">
        <f t="shared" si="144"/>
        <v>1263.0899999999999</v>
      </c>
      <c r="V1133" s="6">
        <f t="shared" si="146"/>
        <v>1263.0899999999999</v>
      </c>
    </row>
    <row r="1134" spans="1:22" hidden="1" x14ac:dyDescent="0.35">
      <c r="A1134" s="6" t="s">
        <v>1270</v>
      </c>
      <c r="B1134" s="6" t="s">
        <v>1255</v>
      </c>
      <c r="C1134" s="6" t="s">
        <v>1256</v>
      </c>
      <c r="D1134" s="6">
        <f t="shared" si="147"/>
        <v>0.5</v>
      </c>
      <c r="E1134" s="6" t="s">
        <v>19</v>
      </c>
      <c r="F1134" s="6" t="str">
        <f>MID(A1134,19,1)</f>
        <v>S</v>
      </c>
      <c r="G1134" s="6">
        <v>-23.199948667538251</v>
      </c>
      <c r="H1134" s="6">
        <v>-46.90306468282229</v>
      </c>
      <c r="I1134" s="9">
        <v>2301.9499999999998</v>
      </c>
      <c r="K1134" s="6">
        <v>7.57</v>
      </c>
      <c r="L1134" s="6">
        <v>70</v>
      </c>
      <c r="N1134" s="1">
        <f t="shared" si="143"/>
        <v>0</v>
      </c>
      <c r="O1134" s="8" t="s">
        <v>20</v>
      </c>
      <c r="P1134" s="8"/>
      <c r="Q1134" s="8" t="s">
        <v>21</v>
      </c>
      <c r="R1134" s="8" t="s">
        <v>21</v>
      </c>
      <c r="S1134" s="8" t="s">
        <v>21</v>
      </c>
      <c r="T1134" s="8" t="s">
        <v>21</v>
      </c>
      <c r="U1134" s="6">
        <f t="shared" si="144"/>
        <v>1611.3649999999998</v>
      </c>
      <c r="V1134" s="6">
        <f t="shared" si="146"/>
        <v>1611.3649999999998</v>
      </c>
    </row>
    <row r="1135" spans="1:22" hidden="1" x14ac:dyDescent="0.35">
      <c r="A1135" s="6" t="s">
        <v>1271</v>
      </c>
      <c r="B1135" s="6" t="s">
        <v>1255</v>
      </c>
      <c r="C1135" s="6" t="s">
        <v>1256</v>
      </c>
      <c r="D1135" s="6">
        <f t="shared" si="147"/>
        <v>0.5</v>
      </c>
      <c r="E1135" s="6" t="s">
        <v>19</v>
      </c>
      <c r="F1135" s="6" t="str">
        <f>MID(A1135,19,1)</f>
        <v>S</v>
      </c>
      <c r="G1135" s="6">
        <v>-23.201260250962029</v>
      </c>
      <c r="H1135" s="6">
        <v>-46.902409361461117</v>
      </c>
      <c r="I1135" s="9">
        <v>3480.27</v>
      </c>
      <c r="K1135" s="6">
        <v>4.5999999999999996</v>
      </c>
      <c r="L1135" s="6">
        <v>70</v>
      </c>
      <c r="N1135" s="1">
        <f t="shared" si="143"/>
        <v>0</v>
      </c>
      <c r="O1135" s="8" t="s">
        <v>20</v>
      </c>
      <c r="P1135" s="8"/>
      <c r="Q1135" s="8" t="s">
        <v>21</v>
      </c>
      <c r="R1135" s="8" t="s">
        <v>21</v>
      </c>
      <c r="S1135" s="8" t="s">
        <v>21</v>
      </c>
      <c r="T1135" s="8" t="s">
        <v>21</v>
      </c>
      <c r="U1135" s="6">
        <f t="shared" si="144"/>
        <v>2436.1889999999999</v>
      </c>
      <c r="V1135" s="6">
        <f t="shared" si="146"/>
        <v>2436.1889999999999</v>
      </c>
    </row>
    <row r="1136" spans="1:22" x14ac:dyDescent="0.35">
      <c r="A1136" s="6" t="s">
        <v>1272</v>
      </c>
      <c r="B1136" s="6" t="s">
        <v>1255</v>
      </c>
      <c r="C1136" s="6" t="s">
        <v>1256</v>
      </c>
      <c r="D1136" s="6">
        <f t="shared" si="147"/>
        <v>0.5</v>
      </c>
      <c r="E1136" s="6" t="s">
        <v>19</v>
      </c>
      <c r="F1136" s="6" t="str">
        <f>MID(A1136,19,1)</f>
        <v>N</v>
      </c>
      <c r="G1136" s="6">
        <v>-23.188922128792289</v>
      </c>
      <c r="H1136" s="6">
        <v>-46.931309132912851</v>
      </c>
      <c r="I1136" s="9">
        <v>215.28</v>
      </c>
      <c r="K1136" s="6">
        <v>3.49</v>
      </c>
      <c r="L1136" s="6">
        <v>70</v>
      </c>
      <c r="N1136" s="1">
        <f t="shared" si="143"/>
        <v>0</v>
      </c>
      <c r="O1136" s="8" t="s">
        <v>20</v>
      </c>
      <c r="P1136" s="8"/>
      <c r="Q1136" s="8" t="s">
        <v>21</v>
      </c>
      <c r="R1136" s="8" t="s">
        <v>21</v>
      </c>
      <c r="S1136" s="8" t="s">
        <v>21</v>
      </c>
      <c r="T1136" s="8" t="s">
        <v>21</v>
      </c>
      <c r="U1136" s="6">
        <f t="shared" si="144"/>
        <v>150.696</v>
      </c>
      <c r="V1136" s="6">
        <f t="shared" si="146"/>
        <v>150.696</v>
      </c>
    </row>
    <row r="1137" spans="1:22" x14ac:dyDescent="0.35">
      <c r="A1137" s="6" t="s">
        <v>1273</v>
      </c>
      <c r="B1137" s="6" t="s">
        <v>1255</v>
      </c>
      <c r="C1137" s="6" t="s">
        <v>1256</v>
      </c>
      <c r="D1137" s="6">
        <f t="shared" si="147"/>
        <v>0.5</v>
      </c>
      <c r="E1137" s="6" t="s">
        <v>19</v>
      </c>
      <c r="F1137" s="6" t="str">
        <f>MID(A1137,19,1)</f>
        <v>N</v>
      </c>
      <c r="G1137" s="6">
        <v>-23.189964218874039</v>
      </c>
      <c r="H1137" s="6">
        <v>-46.931183339510973</v>
      </c>
      <c r="I1137" s="9">
        <v>1226.48</v>
      </c>
      <c r="K1137" s="6">
        <v>3.18</v>
      </c>
      <c r="L1137" s="6">
        <v>70</v>
      </c>
      <c r="N1137" s="1">
        <f t="shared" si="143"/>
        <v>0</v>
      </c>
      <c r="O1137" s="8" t="s">
        <v>20</v>
      </c>
      <c r="P1137" s="8"/>
      <c r="Q1137" s="8" t="s">
        <v>21</v>
      </c>
      <c r="R1137" s="8" t="s">
        <v>21</v>
      </c>
      <c r="S1137" s="8" t="s">
        <v>21</v>
      </c>
      <c r="T1137" s="8" t="s">
        <v>21</v>
      </c>
      <c r="U1137" s="6">
        <f t="shared" si="144"/>
        <v>858.53599999999994</v>
      </c>
      <c r="V1137" s="6">
        <f t="shared" si="146"/>
        <v>858.53599999999994</v>
      </c>
    </row>
    <row r="1138" spans="1:22" hidden="1" x14ac:dyDescent="0.35">
      <c r="A1138" s="6" t="s">
        <v>1274</v>
      </c>
      <c r="B1138" s="6" t="s">
        <v>1255</v>
      </c>
      <c r="C1138" s="6" t="s">
        <v>1256</v>
      </c>
      <c r="D1138" s="6">
        <f t="shared" si="147"/>
        <v>0.5</v>
      </c>
      <c r="E1138" s="6" t="s">
        <v>19</v>
      </c>
      <c r="F1138" s="6" t="str">
        <f>MID(A1138,19,1)</f>
        <v>S</v>
      </c>
      <c r="G1138" s="6">
        <v>-23.189242608405191</v>
      </c>
      <c r="H1138" s="6">
        <v>-46.932148308054458</v>
      </c>
      <c r="I1138" s="9">
        <v>324.76</v>
      </c>
      <c r="K1138" s="6">
        <v>7</v>
      </c>
      <c r="L1138" s="6">
        <v>0</v>
      </c>
      <c r="N1138" s="1">
        <f t="shared" si="143"/>
        <v>0</v>
      </c>
      <c r="O1138" s="8"/>
      <c r="P1138" s="8"/>
      <c r="Q1138" s="8" t="s">
        <v>21</v>
      </c>
      <c r="R1138" s="8" t="s">
        <v>21</v>
      </c>
      <c r="S1138" s="8" t="s">
        <v>21</v>
      </c>
      <c r="T1138" s="8" t="s">
        <v>21</v>
      </c>
      <c r="U1138" s="6">
        <f t="shared" si="144"/>
        <v>0</v>
      </c>
      <c r="V1138" s="6">
        <f t="shared" si="146"/>
        <v>0</v>
      </c>
    </row>
    <row r="1139" spans="1:22" x14ac:dyDescent="0.35">
      <c r="A1139" s="6" t="s">
        <v>1275</v>
      </c>
      <c r="B1139" s="6" t="s">
        <v>1255</v>
      </c>
      <c r="C1139" s="6" t="s">
        <v>1256</v>
      </c>
      <c r="D1139" s="6">
        <f t="shared" si="147"/>
        <v>0.5</v>
      </c>
      <c r="E1139" s="6" t="s">
        <v>19</v>
      </c>
      <c r="F1139" s="6" t="str">
        <f>MID(A1139,19,1)</f>
        <v>N</v>
      </c>
      <c r="G1139" s="6">
        <v>-23.18880837837353</v>
      </c>
      <c r="H1139" s="6">
        <v>-46.931241067017062</v>
      </c>
      <c r="I1139" s="9">
        <v>363.05</v>
      </c>
      <c r="K1139" s="6">
        <v>2.13</v>
      </c>
      <c r="L1139" s="6">
        <v>70</v>
      </c>
      <c r="N1139" s="1">
        <f t="shared" si="143"/>
        <v>0</v>
      </c>
      <c r="O1139" s="8" t="s">
        <v>20</v>
      </c>
      <c r="P1139" s="8"/>
      <c r="Q1139" s="8" t="s">
        <v>21</v>
      </c>
      <c r="R1139" s="8" t="s">
        <v>21</v>
      </c>
      <c r="S1139" s="8" t="s">
        <v>21</v>
      </c>
      <c r="T1139" s="8" t="s">
        <v>21</v>
      </c>
      <c r="U1139" s="6">
        <f t="shared" si="144"/>
        <v>254.13499999999999</v>
      </c>
      <c r="V1139" s="6">
        <f t="shared" si="146"/>
        <v>254.13499999999999</v>
      </c>
    </row>
    <row r="1140" spans="1:22" hidden="1" x14ac:dyDescent="0.35">
      <c r="A1140" s="6" t="s">
        <v>1276</v>
      </c>
      <c r="B1140" s="6" t="s">
        <v>1255</v>
      </c>
      <c r="C1140" s="6" t="s">
        <v>1256</v>
      </c>
      <c r="D1140" s="6">
        <f t="shared" si="147"/>
        <v>0.5</v>
      </c>
      <c r="E1140" s="6" t="s">
        <v>19</v>
      </c>
      <c r="F1140" s="6" t="str">
        <f>MID(A1140,19,1)</f>
        <v>S</v>
      </c>
      <c r="G1140" s="6">
        <v>-23.195060663353338</v>
      </c>
      <c r="H1140" s="6">
        <v>-46.930261318882408</v>
      </c>
      <c r="I1140" s="9">
        <v>2149.2800000000002</v>
      </c>
      <c r="K1140" s="6">
        <v>7.18</v>
      </c>
      <c r="L1140" s="6">
        <v>60</v>
      </c>
      <c r="N1140" s="1">
        <f t="shared" si="143"/>
        <v>0</v>
      </c>
      <c r="O1140" s="8" t="s">
        <v>20</v>
      </c>
      <c r="P1140" s="8"/>
      <c r="Q1140" s="8" t="s">
        <v>21</v>
      </c>
      <c r="R1140" s="8" t="s">
        <v>21</v>
      </c>
      <c r="S1140" s="8" t="s">
        <v>21</v>
      </c>
      <c r="T1140" s="8" t="s">
        <v>21</v>
      </c>
      <c r="U1140" s="6">
        <f t="shared" si="144"/>
        <v>1289.568</v>
      </c>
      <c r="V1140" s="6">
        <f t="shared" si="146"/>
        <v>1289.568</v>
      </c>
    </row>
    <row r="1141" spans="1:22" hidden="1" x14ac:dyDescent="0.35">
      <c r="A1141" s="6" t="s">
        <v>1277</v>
      </c>
      <c r="B1141" s="6" t="s">
        <v>1255</v>
      </c>
      <c r="C1141" s="6" t="s">
        <v>1256</v>
      </c>
      <c r="D1141" s="6">
        <f t="shared" si="147"/>
        <v>0.5</v>
      </c>
      <c r="E1141" s="6" t="s">
        <v>23</v>
      </c>
      <c r="F1141" s="6" t="str">
        <f>MID(A1141,19,1)</f>
        <v>C</v>
      </c>
      <c r="G1141" s="6">
        <v>-23.19431769829605</v>
      </c>
      <c r="H1141" s="6">
        <v>-46.905111039838879</v>
      </c>
      <c r="I1141" s="9">
        <v>3266.19</v>
      </c>
      <c r="J1141" s="9">
        <f>I1141/500</f>
        <v>6.5323799999999999</v>
      </c>
      <c r="K1141" s="6">
        <v>8.08</v>
      </c>
      <c r="L1141" s="6">
        <v>60</v>
      </c>
      <c r="N1141" s="1">
        <f t="shared" si="143"/>
        <v>0</v>
      </c>
      <c r="O1141" s="8" t="s">
        <v>20</v>
      </c>
      <c r="P1141" s="8"/>
      <c r="Q1141" s="8" t="s">
        <v>21</v>
      </c>
      <c r="R1141" s="8" t="s">
        <v>21</v>
      </c>
      <c r="S1141" s="8" t="s">
        <v>21</v>
      </c>
      <c r="T1141" s="8" t="s">
        <v>21</v>
      </c>
      <c r="U1141" s="6">
        <f t="shared" si="144"/>
        <v>1959.7139999999999</v>
      </c>
      <c r="V1141" s="6">
        <f t="shared" si="146"/>
        <v>1959.7139999999999</v>
      </c>
    </row>
    <row r="1142" spans="1:22" x14ac:dyDescent="0.35">
      <c r="A1142" s="6" t="s">
        <v>1278</v>
      </c>
      <c r="B1142" s="6" t="s">
        <v>1255</v>
      </c>
      <c r="C1142" s="6" t="s">
        <v>1256</v>
      </c>
      <c r="D1142" s="6">
        <f t="shared" si="147"/>
        <v>0.5</v>
      </c>
      <c r="E1142" s="6" t="s">
        <v>19</v>
      </c>
      <c r="F1142" s="6" t="str">
        <f>MID(A1142,19,1)</f>
        <v>N</v>
      </c>
      <c r="G1142" s="6">
        <v>-23.191569881949381</v>
      </c>
      <c r="H1142" s="6">
        <v>-46.930604806373744</v>
      </c>
      <c r="I1142" s="9">
        <v>1261.02</v>
      </c>
      <c r="K1142" s="6">
        <v>5.95</v>
      </c>
      <c r="L1142" s="6">
        <v>70</v>
      </c>
      <c r="N1142" s="1">
        <f t="shared" si="143"/>
        <v>0</v>
      </c>
      <c r="O1142" s="8" t="s">
        <v>20</v>
      </c>
      <c r="P1142" s="8"/>
      <c r="Q1142" s="8" t="s">
        <v>21</v>
      </c>
      <c r="R1142" s="8" t="s">
        <v>21</v>
      </c>
      <c r="S1142" s="8" t="s">
        <v>21</v>
      </c>
      <c r="T1142" s="8" t="s">
        <v>21</v>
      </c>
      <c r="U1142" s="6">
        <f t="shared" si="144"/>
        <v>882.71399999999994</v>
      </c>
      <c r="V1142" s="6">
        <f t="shared" si="146"/>
        <v>882.71399999999994</v>
      </c>
    </row>
    <row r="1143" spans="1:22" hidden="1" x14ac:dyDescent="0.35">
      <c r="A1143" s="6" t="s">
        <v>1279</v>
      </c>
      <c r="B1143" s="6" t="s">
        <v>1255</v>
      </c>
      <c r="C1143" s="6" t="s">
        <v>1256</v>
      </c>
      <c r="D1143" s="6">
        <f t="shared" si="147"/>
        <v>0.5</v>
      </c>
      <c r="E1143" s="6" t="s">
        <v>23</v>
      </c>
      <c r="F1143" s="6" t="str">
        <f>MID(A1143,19,1)</f>
        <v>C</v>
      </c>
      <c r="G1143" s="6">
        <v>-23.193198724183841</v>
      </c>
      <c r="H1143" s="6">
        <v>-46.90582757045793</v>
      </c>
      <c r="I1143" s="9">
        <v>2856.15</v>
      </c>
      <c r="J1143" s="9">
        <f>I1143/500</f>
        <v>5.7122999999999999</v>
      </c>
      <c r="K1143" s="6">
        <v>4.82</v>
      </c>
      <c r="L1143" s="6">
        <v>60</v>
      </c>
      <c r="N1143" s="1">
        <f t="shared" si="143"/>
        <v>0</v>
      </c>
      <c r="O1143" s="8" t="s">
        <v>20</v>
      </c>
      <c r="P1143" s="8"/>
      <c r="Q1143" s="8" t="s">
        <v>21</v>
      </c>
      <c r="R1143" s="8" t="s">
        <v>21</v>
      </c>
      <c r="S1143" s="8" t="s">
        <v>21</v>
      </c>
      <c r="T1143" s="8" t="s">
        <v>21</v>
      </c>
      <c r="U1143" s="6">
        <f t="shared" si="144"/>
        <v>1713.69</v>
      </c>
      <c r="V1143" s="6">
        <f t="shared" si="146"/>
        <v>1713.69</v>
      </c>
    </row>
    <row r="1144" spans="1:22" hidden="1" x14ac:dyDescent="0.35">
      <c r="A1144" s="6" t="s">
        <v>1280</v>
      </c>
      <c r="B1144" s="6" t="s">
        <v>1255</v>
      </c>
      <c r="C1144" s="6" t="s">
        <v>1256</v>
      </c>
      <c r="D1144" s="6">
        <f t="shared" si="147"/>
        <v>0.5</v>
      </c>
      <c r="E1144" s="6" t="s">
        <v>19</v>
      </c>
      <c r="F1144" s="6" t="str">
        <f>MID(A1144,19,1)</f>
        <v>S</v>
      </c>
      <c r="G1144" s="6">
        <v>-23.19111336336432</v>
      </c>
      <c r="H1144" s="6">
        <v>-46.932023418765283</v>
      </c>
      <c r="I1144" s="9">
        <v>2274.5300000000002</v>
      </c>
      <c r="K1144" s="6">
        <v>5.13</v>
      </c>
      <c r="L1144" s="6">
        <v>0</v>
      </c>
      <c r="N1144" s="1">
        <f t="shared" si="143"/>
        <v>0</v>
      </c>
      <c r="O1144" s="8"/>
      <c r="P1144" s="8"/>
      <c r="Q1144" s="8" t="s">
        <v>21</v>
      </c>
      <c r="R1144" s="8" t="s">
        <v>21</v>
      </c>
      <c r="S1144" s="8" t="s">
        <v>21</v>
      </c>
      <c r="T1144" s="8" t="s">
        <v>21</v>
      </c>
      <c r="U1144" s="6">
        <f t="shared" si="144"/>
        <v>0</v>
      </c>
      <c r="V1144" s="6">
        <f t="shared" si="146"/>
        <v>0</v>
      </c>
    </row>
    <row r="1145" spans="1:22" x14ac:dyDescent="0.35">
      <c r="A1145" s="6" t="s">
        <v>1281</v>
      </c>
      <c r="B1145" s="6" t="s">
        <v>1255</v>
      </c>
      <c r="C1145" s="6" t="s">
        <v>1256</v>
      </c>
      <c r="D1145" s="6">
        <f t="shared" si="147"/>
        <v>0.5</v>
      </c>
      <c r="E1145" s="6" t="s">
        <v>19</v>
      </c>
      <c r="F1145" s="6" t="str">
        <f>MID(A1145,19,1)</f>
        <v>N</v>
      </c>
      <c r="G1145" s="6">
        <v>-23.1928835576613</v>
      </c>
      <c r="H1145" s="6">
        <v>-46.904782675108713</v>
      </c>
      <c r="I1145" s="9">
        <v>23.97</v>
      </c>
      <c r="K1145" s="6">
        <v>6.57</v>
      </c>
      <c r="L1145" s="6">
        <v>50</v>
      </c>
      <c r="N1145" s="1">
        <f t="shared" si="143"/>
        <v>0</v>
      </c>
      <c r="O1145" s="8" t="s">
        <v>20</v>
      </c>
      <c r="P1145" s="8"/>
      <c r="Q1145" s="8" t="s">
        <v>21</v>
      </c>
      <c r="R1145" s="8" t="s">
        <v>21</v>
      </c>
      <c r="S1145" s="8" t="s">
        <v>21</v>
      </c>
      <c r="T1145" s="8" t="s">
        <v>21</v>
      </c>
      <c r="U1145" s="6">
        <f t="shared" si="144"/>
        <v>11.984999999999999</v>
      </c>
      <c r="V1145" s="6">
        <f t="shared" si="146"/>
        <v>11.984999999999999</v>
      </c>
    </row>
    <row r="1146" spans="1:22" hidden="1" x14ac:dyDescent="0.35">
      <c r="A1146" s="6" t="s">
        <v>1282</v>
      </c>
      <c r="B1146" s="6" t="s">
        <v>1255</v>
      </c>
      <c r="C1146" s="6" t="s">
        <v>1256</v>
      </c>
      <c r="D1146" s="6">
        <f t="shared" si="147"/>
        <v>0.5</v>
      </c>
      <c r="E1146" s="6" t="s">
        <v>19</v>
      </c>
      <c r="F1146" s="6" t="str">
        <f>MID(A1146,19,1)</f>
        <v>S</v>
      </c>
      <c r="G1146" s="6">
        <v>-23.193358853344868</v>
      </c>
      <c r="H1146" s="6">
        <v>-46.930758301638157</v>
      </c>
      <c r="I1146" s="9">
        <v>338.45</v>
      </c>
      <c r="K1146" s="6">
        <v>2.65</v>
      </c>
      <c r="L1146" s="6">
        <v>0</v>
      </c>
      <c r="N1146" s="1">
        <f t="shared" si="143"/>
        <v>0</v>
      </c>
      <c r="O1146" s="8"/>
      <c r="P1146" s="8"/>
      <c r="Q1146" s="8" t="s">
        <v>21</v>
      </c>
      <c r="R1146" s="8" t="s">
        <v>21</v>
      </c>
      <c r="S1146" s="8" t="s">
        <v>21</v>
      </c>
      <c r="T1146" s="8" t="s">
        <v>21</v>
      </c>
      <c r="U1146" s="6">
        <f t="shared" si="144"/>
        <v>0</v>
      </c>
      <c r="V1146" s="6">
        <f t="shared" si="146"/>
        <v>0</v>
      </c>
    </row>
    <row r="1147" spans="1:22" hidden="1" x14ac:dyDescent="0.35">
      <c r="A1147" s="6" t="s">
        <v>1283</v>
      </c>
      <c r="B1147" s="6" t="s">
        <v>1255</v>
      </c>
      <c r="C1147" s="6" t="s">
        <v>1256</v>
      </c>
      <c r="D1147" s="6">
        <f t="shared" si="147"/>
        <v>0.5</v>
      </c>
      <c r="E1147" s="6" t="s">
        <v>19</v>
      </c>
      <c r="F1147" s="6" t="str">
        <f>MID(A1147,19,1)</f>
        <v>S</v>
      </c>
      <c r="G1147" s="6">
        <v>-23.189965722666141</v>
      </c>
      <c r="H1147" s="6">
        <v>-46.932343885325579</v>
      </c>
      <c r="I1147" s="9">
        <v>601.6</v>
      </c>
      <c r="K1147" s="6">
        <v>6.14</v>
      </c>
      <c r="L1147" s="6">
        <v>0</v>
      </c>
      <c r="N1147" s="1">
        <f t="shared" si="143"/>
        <v>0</v>
      </c>
      <c r="O1147" s="8"/>
      <c r="P1147" s="8"/>
      <c r="Q1147" s="8" t="s">
        <v>21</v>
      </c>
      <c r="R1147" s="8" t="s">
        <v>21</v>
      </c>
      <c r="S1147" s="8" t="s">
        <v>21</v>
      </c>
      <c r="T1147" s="8" t="s">
        <v>21</v>
      </c>
      <c r="U1147" s="6">
        <f t="shared" si="144"/>
        <v>0</v>
      </c>
      <c r="V1147" s="6">
        <f t="shared" si="146"/>
        <v>0</v>
      </c>
    </row>
    <row r="1148" spans="1:22" hidden="1" x14ac:dyDescent="0.35">
      <c r="A1148" s="6" t="s">
        <v>1284</v>
      </c>
      <c r="B1148" s="6" t="s">
        <v>1255</v>
      </c>
      <c r="C1148" s="6" t="s">
        <v>1256</v>
      </c>
      <c r="D1148" s="6">
        <f t="shared" si="147"/>
        <v>0.5</v>
      </c>
      <c r="E1148" s="6" t="s">
        <v>19</v>
      </c>
      <c r="F1148" s="6" t="str">
        <f>MID(A1148,19,1)</f>
        <v>S</v>
      </c>
      <c r="G1148" s="6">
        <v>-23.192163640661771</v>
      </c>
      <c r="H1148" s="6">
        <v>-46.931193464578683</v>
      </c>
      <c r="I1148" s="9">
        <v>133.02000000000001</v>
      </c>
      <c r="K1148" s="6">
        <v>1.9</v>
      </c>
      <c r="L1148" s="6">
        <v>0</v>
      </c>
      <c r="N1148" s="1">
        <f t="shared" si="143"/>
        <v>0</v>
      </c>
      <c r="O1148" s="8"/>
      <c r="P1148" s="8"/>
      <c r="Q1148" s="8" t="s">
        <v>21</v>
      </c>
      <c r="R1148" s="8" t="s">
        <v>21</v>
      </c>
      <c r="S1148" s="8" t="s">
        <v>21</v>
      </c>
      <c r="T1148" s="8" t="s">
        <v>21</v>
      </c>
      <c r="U1148" s="6">
        <f t="shared" si="144"/>
        <v>0</v>
      </c>
      <c r="V1148" s="6">
        <f t="shared" si="146"/>
        <v>0</v>
      </c>
    </row>
    <row r="1149" spans="1:22" x14ac:dyDescent="0.35">
      <c r="A1149" s="6" t="s">
        <v>1285</v>
      </c>
      <c r="B1149" s="6" t="s">
        <v>1255</v>
      </c>
      <c r="C1149" s="6" t="s">
        <v>1256</v>
      </c>
      <c r="D1149" s="6">
        <f t="shared" si="147"/>
        <v>0.5</v>
      </c>
      <c r="E1149" s="6" t="s">
        <v>19</v>
      </c>
      <c r="F1149" s="6" t="str">
        <f>MID(A1149,19,1)</f>
        <v>N</v>
      </c>
      <c r="G1149" s="6">
        <v>-23.194285934177429</v>
      </c>
      <c r="H1149" s="6">
        <v>-46.904595499182037</v>
      </c>
      <c r="I1149" s="9">
        <v>3224.43</v>
      </c>
      <c r="K1149" s="6">
        <v>6.26</v>
      </c>
      <c r="L1149" s="6">
        <v>50</v>
      </c>
      <c r="N1149" s="1">
        <f t="shared" si="143"/>
        <v>0</v>
      </c>
      <c r="O1149" s="8" t="s">
        <v>20</v>
      </c>
      <c r="P1149" s="8"/>
      <c r="Q1149" s="8" t="s">
        <v>21</v>
      </c>
      <c r="R1149" s="8" t="s">
        <v>21</v>
      </c>
      <c r="S1149" s="8" t="s">
        <v>21</v>
      </c>
      <c r="T1149" s="8" t="s">
        <v>21</v>
      </c>
      <c r="U1149" s="6">
        <f t="shared" si="144"/>
        <v>1612.2149999999999</v>
      </c>
      <c r="V1149" s="6">
        <f t="shared" si="146"/>
        <v>1612.2149999999999</v>
      </c>
    </row>
    <row r="1150" spans="1:22" x14ac:dyDescent="0.35">
      <c r="A1150" s="6" t="s">
        <v>1286</v>
      </c>
      <c r="B1150" s="6" t="s">
        <v>1255</v>
      </c>
      <c r="C1150" s="6" t="s">
        <v>1256</v>
      </c>
      <c r="D1150" s="6">
        <f t="shared" si="147"/>
        <v>0.5</v>
      </c>
      <c r="E1150" s="6" t="s">
        <v>19</v>
      </c>
      <c r="F1150" s="6" t="str">
        <f>MID(A1150,19,1)</f>
        <v>N</v>
      </c>
      <c r="G1150" s="6">
        <v>-23.19513212686515</v>
      </c>
      <c r="H1150" s="6">
        <v>-46.904116148485102</v>
      </c>
      <c r="I1150" s="9">
        <v>2050.0100000000002</v>
      </c>
      <c r="K1150" s="6">
        <v>7.09</v>
      </c>
      <c r="L1150" s="6">
        <v>50</v>
      </c>
      <c r="N1150" s="1">
        <f t="shared" si="143"/>
        <v>0</v>
      </c>
      <c r="O1150" s="8" t="s">
        <v>20</v>
      </c>
      <c r="P1150" s="8"/>
      <c r="Q1150" s="8" t="s">
        <v>21</v>
      </c>
      <c r="R1150" s="8" t="s">
        <v>21</v>
      </c>
      <c r="S1150" s="8" t="s">
        <v>21</v>
      </c>
      <c r="T1150" s="8" t="s">
        <v>21</v>
      </c>
      <c r="U1150" s="6">
        <f t="shared" si="144"/>
        <v>1025.0050000000001</v>
      </c>
      <c r="V1150" s="6">
        <f t="shared" si="146"/>
        <v>1025.0050000000001</v>
      </c>
    </row>
    <row r="1151" spans="1:22" x14ac:dyDescent="0.35">
      <c r="A1151" s="6" t="s">
        <v>1287</v>
      </c>
      <c r="B1151" s="6" t="s">
        <v>1255</v>
      </c>
      <c r="C1151" s="6" t="s">
        <v>1256</v>
      </c>
      <c r="D1151" s="6">
        <f t="shared" si="147"/>
        <v>0.5</v>
      </c>
      <c r="E1151" s="6" t="s">
        <v>19</v>
      </c>
      <c r="F1151" s="6" t="str">
        <f>MID(A1151,19,1)</f>
        <v>N</v>
      </c>
      <c r="G1151" s="6">
        <v>-23.196680099308011</v>
      </c>
      <c r="H1151" s="6">
        <v>-46.903749598645042</v>
      </c>
      <c r="I1151" s="9">
        <v>1098.99</v>
      </c>
      <c r="K1151" s="6">
        <v>8.11</v>
      </c>
      <c r="L1151" s="6">
        <v>50</v>
      </c>
      <c r="N1151" s="1">
        <f t="shared" si="143"/>
        <v>0</v>
      </c>
      <c r="O1151" s="8" t="s">
        <v>20</v>
      </c>
      <c r="P1151" s="8"/>
      <c r="Q1151" s="8" t="s">
        <v>21</v>
      </c>
      <c r="R1151" s="8" t="s">
        <v>21</v>
      </c>
      <c r="S1151" s="8" t="s">
        <v>21</v>
      </c>
      <c r="T1151" s="8" t="s">
        <v>21</v>
      </c>
      <c r="U1151" s="6">
        <f t="shared" si="144"/>
        <v>549.495</v>
      </c>
      <c r="V1151" s="6">
        <f t="shared" si="146"/>
        <v>549.495</v>
      </c>
    </row>
    <row r="1152" spans="1:22" x14ac:dyDescent="0.35">
      <c r="A1152" s="6" t="s">
        <v>1288</v>
      </c>
      <c r="B1152" s="6" t="s">
        <v>1255</v>
      </c>
      <c r="C1152" s="6" t="s">
        <v>1256</v>
      </c>
      <c r="D1152" s="6">
        <f t="shared" si="147"/>
        <v>0.5</v>
      </c>
      <c r="E1152" s="6" t="s">
        <v>19</v>
      </c>
      <c r="F1152" s="6" t="str">
        <f>MID(A1152,19,1)</f>
        <v>N</v>
      </c>
      <c r="G1152" s="6">
        <v>-23.198976027335441</v>
      </c>
      <c r="H1152" s="6">
        <v>-46.902908110394229</v>
      </c>
      <c r="I1152" s="9">
        <v>2543.88</v>
      </c>
      <c r="K1152" s="6">
        <v>6.58</v>
      </c>
      <c r="L1152" s="6">
        <v>0</v>
      </c>
      <c r="N1152" s="1">
        <f t="shared" si="143"/>
        <v>0</v>
      </c>
      <c r="O1152" s="8"/>
      <c r="P1152" s="8"/>
      <c r="Q1152" s="8" t="s">
        <v>21</v>
      </c>
      <c r="R1152" s="8" t="s">
        <v>21</v>
      </c>
      <c r="S1152" s="8" t="s">
        <v>21</v>
      </c>
      <c r="T1152" s="8" t="s">
        <v>21</v>
      </c>
      <c r="U1152" s="6">
        <f t="shared" si="144"/>
        <v>0</v>
      </c>
      <c r="V1152" s="6">
        <f t="shared" si="146"/>
        <v>0</v>
      </c>
    </row>
    <row r="1153" spans="1:22" hidden="1" x14ac:dyDescent="0.35">
      <c r="A1153" s="6" t="s">
        <v>1289</v>
      </c>
      <c r="B1153" s="6" t="s">
        <v>1255</v>
      </c>
      <c r="C1153" s="6" t="s">
        <v>1256</v>
      </c>
      <c r="D1153" s="6">
        <f t="shared" si="147"/>
        <v>0.5</v>
      </c>
      <c r="E1153" s="6" t="s">
        <v>19</v>
      </c>
      <c r="F1153" s="6" t="str">
        <f>MID(A1153,19,1)</f>
        <v>S</v>
      </c>
      <c r="G1153" s="6">
        <v>-23.191119618206692</v>
      </c>
      <c r="H1153" s="6">
        <v>-46.931830801109427</v>
      </c>
      <c r="I1153" s="9">
        <v>1174.1300000000001</v>
      </c>
      <c r="K1153" s="6">
        <v>4.66</v>
      </c>
      <c r="L1153" s="6">
        <v>0</v>
      </c>
      <c r="N1153" s="1">
        <f t="shared" si="143"/>
        <v>0</v>
      </c>
      <c r="O1153" s="8"/>
      <c r="P1153" s="8"/>
      <c r="Q1153" s="8" t="s">
        <v>21</v>
      </c>
      <c r="R1153" s="8" t="s">
        <v>21</v>
      </c>
      <c r="S1153" s="8" t="s">
        <v>21</v>
      </c>
      <c r="T1153" s="8" t="s">
        <v>21</v>
      </c>
      <c r="U1153" s="6">
        <f t="shared" si="144"/>
        <v>0</v>
      </c>
      <c r="V1153" s="6">
        <f t="shared" si="146"/>
        <v>0</v>
      </c>
    </row>
    <row r="1154" spans="1:22" x14ac:dyDescent="0.35">
      <c r="A1154" s="6" t="s">
        <v>1290</v>
      </c>
      <c r="B1154" s="6" t="s">
        <v>1291</v>
      </c>
      <c r="C1154" s="6" t="s">
        <v>1292</v>
      </c>
      <c r="D1154" s="6">
        <f t="shared" si="147"/>
        <v>0.5</v>
      </c>
      <c r="E1154" s="6" t="s">
        <v>19</v>
      </c>
      <c r="F1154" s="6" t="str">
        <f>MID(A1154,19,1)</f>
        <v>N</v>
      </c>
      <c r="G1154" s="6">
        <v>-23.186764588920159</v>
      </c>
      <c r="H1154" s="6">
        <v>-46.932207754414307</v>
      </c>
      <c r="I1154" s="9">
        <v>3941.17</v>
      </c>
      <c r="K1154" s="6">
        <v>4.34</v>
      </c>
      <c r="L1154" s="6">
        <v>70</v>
      </c>
      <c r="N1154" s="1">
        <f t="shared" ref="N1154:N1217" si="149">IF(OR(R1154="Sim",S1154="Sim",T1154="Sim"),(L1154/100)*I1154,0)</f>
        <v>0</v>
      </c>
      <c r="O1154" s="8" t="s">
        <v>20</v>
      </c>
      <c r="P1154" s="8"/>
      <c r="Q1154" s="8" t="s">
        <v>21</v>
      </c>
      <c r="R1154" s="8" t="s">
        <v>21</v>
      </c>
      <c r="S1154" s="8" t="s">
        <v>21</v>
      </c>
      <c r="T1154" s="8" t="s">
        <v>21</v>
      </c>
      <c r="U1154" s="6">
        <f t="shared" si="144"/>
        <v>2758.819</v>
      </c>
      <c r="V1154" s="6">
        <f t="shared" si="146"/>
        <v>2758.819</v>
      </c>
    </row>
    <row r="1155" spans="1:22" hidden="1" x14ac:dyDescent="0.35">
      <c r="A1155" s="6" t="s">
        <v>1293</v>
      </c>
      <c r="B1155" s="6" t="s">
        <v>1291</v>
      </c>
      <c r="C1155" s="6" t="s">
        <v>1292</v>
      </c>
      <c r="D1155" s="6">
        <f t="shared" si="147"/>
        <v>0.5</v>
      </c>
      <c r="E1155" s="6" t="s">
        <v>19</v>
      </c>
      <c r="F1155" s="6" t="str">
        <f>MID(A1155,19,1)</f>
        <v>S</v>
      </c>
      <c r="G1155" s="6">
        <v>-23.185189264236751</v>
      </c>
      <c r="H1155" s="6">
        <v>-46.933523961378832</v>
      </c>
      <c r="I1155" s="9">
        <v>649.08000000000004</v>
      </c>
      <c r="K1155" s="6">
        <v>4.28</v>
      </c>
      <c r="L1155" s="6">
        <v>0</v>
      </c>
      <c r="N1155" s="1">
        <f t="shared" si="149"/>
        <v>0</v>
      </c>
      <c r="O1155" s="8"/>
      <c r="P1155" s="8"/>
      <c r="Q1155" s="8" t="s">
        <v>21</v>
      </c>
      <c r="R1155" s="8" t="s">
        <v>21</v>
      </c>
      <c r="S1155" s="8" t="s">
        <v>21</v>
      </c>
      <c r="T1155" s="8" t="s">
        <v>21</v>
      </c>
      <c r="U1155" s="6">
        <f t="shared" ref="U1155:U1218" si="150">IF(N1155=0,(I1155*(L1155/100)),0)</f>
        <v>0</v>
      </c>
      <c r="V1155" s="6">
        <f t="shared" si="146"/>
        <v>0</v>
      </c>
    </row>
    <row r="1156" spans="1:22" hidden="1" x14ac:dyDescent="0.35">
      <c r="A1156" s="6" t="s">
        <v>1294</v>
      </c>
      <c r="B1156" s="6" t="s">
        <v>1291</v>
      </c>
      <c r="C1156" s="6" t="s">
        <v>1292</v>
      </c>
      <c r="D1156" s="6">
        <f t="shared" si="147"/>
        <v>0.5</v>
      </c>
      <c r="E1156" s="6" t="s">
        <v>23</v>
      </c>
      <c r="F1156" s="6" t="str">
        <f>MID(A1156,19,1)</f>
        <v>C</v>
      </c>
      <c r="G1156" s="6">
        <v>-23.18754580817129</v>
      </c>
      <c r="H1156" s="6">
        <v>-46.932372375495348</v>
      </c>
      <c r="I1156" s="7">
        <v>8365.77</v>
      </c>
      <c r="J1156" s="9">
        <f>I1156/500</f>
        <v>16.731540000000003</v>
      </c>
      <c r="K1156" s="6">
        <v>6.1</v>
      </c>
      <c r="L1156" s="6">
        <v>60</v>
      </c>
      <c r="N1156" s="1">
        <f t="shared" si="149"/>
        <v>0</v>
      </c>
      <c r="O1156" s="8" t="s">
        <v>185</v>
      </c>
      <c r="P1156" s="8"/>
      <c r="Q1156" s="8" t="s">
        <v>21</v>
      </c>
      <c r="R1156" s="8" t="s">
        <v>21</v>
      </c>
      <c r="S1156" s="8" t="s">
        <v>21</v>
      </c>
      <c r="T1156" s="8" t="s">
        <v>21</v>
      </c>
      <c r="U1156" s="6">
        <f t="shared" si="150"/>
        <v>5019.4620000000004</v>
      </c>
      <c r="V1156" s="6">
        <f t="shared" si="146"/>
        <v>5019.4620000000004</v>
      </c>
    </row>
    <row r="1157" spans="1:22" hidden="1" x14ac:dyDescent="0.35">
      <c r="A1157" s="6" t="s">
        <v>1295</v>
      </c>
      <c r="B1157" s="6" t="s">
        <v>1291</v>
      </c>
      <c r="C1157" s="6" t="s">
        <v>1292</v>
      </c>
      <c r="D1157" s="6">
        <f t="shared" si="147"/>
        <v>0.5</v>
      </c>
      <c r="E1157" s="6" t="s">
        <v>19</v>
      </c>
      <c r="F1157" s="6" t="str">
        <f>MID(A1157,19,1)</f>
        <v>S</v>
      </c>
      <c r="G1157" s="6">
        <v>-23.18863235220071</v>
      </c>
      <c r="H1157" s="6">
        <v>-46.907276942269817</v>
      </c>
      <c r="I1157" s="9">
        <v>79.48</v>
      </c>
      <c r="K1157" s="6">
        <v>3.76</v>
      </c>
      <c r="L1157" s="6">
        <v>60</v>
      </c>
      <c r="N1157" s="1">
        <f t="shared" si="149"/>
        <v>0</v>
      </c>
      <c r="O1157" s="8" t="s">
        <v>20</v>
      </c>
      <c r="P1157" s="8"/>
      <c r="Q1157" s="8" t="s">
        <v>21</v>
      </c>
      <c r="R1157" s="8" t="s">
        <v>21</v>
      </c>
      <c r="S1157" s="8" t="s">
        <v>21</v>
      </c>
      <c r="T1157" s="8" t="s">
        <v>21</v>
      </c>
      <c r="U1157" s="6">
        <f t="shared" si="150"/>
        <v>47.688000000000002</v>
      </c>
      <c r="V1157" s="6">
        <f t="shared" si="146"/>
        <v>47.688000000000002</v>
      </c>
    </row>
    <row r="1158" spans="1:22" hidden="1" x14ac:dyDescent="0.35">
      <c r="A1158" s="6" t="s">
        <v>1296</v>
      </c>
      <c r="B1158" s="6" t="s">
        <v>1291</v>
      </c>
      <c r="C1158" s="6" t="s">
        <v>1292</v>
      </c>
      <c r="D1158" s="6">
        <f t="shared" si="147"/>
        <v>0.5</v>
      </c>
      <c r="E1158" s="6" t="s">
        <v>19</v>
      </c>
      <c r="F1158" s="6" t="str">
        <f>MID(A1158,19,1)</f>
        <v>S</v>
      </c>
      <c r="G1158" s="6">
        <v>-23.188873390131729</v>
      </c>
      <c r="H1158" s="6">
        <v>-46.907164018836333</v>
      </c>
      <c r="I1158" s="9">
        <v>109.4</v>
      </c>
      <c r="K1158" s="6">
        <v>6.2</v>
      </c>
      <c r="L1158" s="6">
        <v>60</v>
      </c>
      <c r="N1158" s="1">
        <f t="shared" si="149"/>
        <v>0</v>
      </c>
      <c r="O1158" s="8" t="s">
        <v>20</v>
      </c>
      <c r="P1158" s="8"/>
      <c r="Q1158" s="8" t="s">
        <v>21</v>
      </c>
      <c r="R1158" s="8" t="s">
        <v>21</v>
      </c>
      <c r="S1158" s="8" t="s">
        <v>21</v>
      </c>
      <c r="T1158" s="8" t="s">
        <v>21</v>
      </c>
      <c r="U1158" s="6">
        <f t="shared" si="150"/>
        <v>65.64</v>
      </c>
      <c r="V1158" s="6">
        <f t="shared" si="146"/>
        <v>65.64</v>
      </c>
    </row>
    <row r="1159" spans="1:22" hidden="1" x14ac:dyDescent="0.35">
      <c r="A1159" s="6" t="s">
        <v>1297</v>
      </c>
      <c r="B1159" s="6" t="s">
        <v>1291</v>
      </c>
      <c r="C1159" s="6" t="s">
        <v>1292</v>
      </c>
      <c r="D1159" s="6">
        <f t="shared" si="147"/>
        <v>0.5</v>
      </c>
      <c r="E1159" s="6" t="s">
        <v>19</v>
      </c>
      <c r="F1159" s="6" t="str">
        <f>MID(A1159,19,1)</f>
        <v>S</v>
      </c>
      <c r="G1159" s="6">
        <v>-23.191480766453331</v>
      </c>
      <c r="H1159" s="6">
        <v>-46.90691612868941</v>
      </c>
      <c r="I1159" s="9">
        <v>916.81</v>
      </c>
      <c r="K1159" s="6">
        <v>2.02</v>
      </c>
      <c r="L1159" s="6">
        <v>60</v>
      </c>
      <c r="N1159" s="1">
        <f t="shared" si="149"/>
        <v>0</v>
      </c>
      <c r="O1159" s="8" t="s">
        <v>20</v>
      </c>
      <c r="P1159" s="8"/>
      <c r="Q1159" s="8" t="s">
        <v>21</v>
      </c>
      <c r="R1159" s="8" t="s">
        <v>21</v>
      </c>
      <c r="S1159" s="8" t="s">
        <v>21</v>
      </c>
      <c r="T1159" s="8" t="s">
        <v>21</v>
      </c>
      <c r="U1159" s="6">
        <f t="shared" si="150"/>
        <v>550.0859999999999</v>
      </c>
      <c r="V1159" s="6">
        <f t="shared" si="146"/>
        <v>550.0859999999999</v>
      </c>
    </row>
    <row r="1160" spans="1:22" x14ac:dyDescent="0.35">
      <c r="A1160" s="6" t="s">
        <v>1298</v>
      </c>
      <c r="B1160" s="6" t="s">
        <v>1291</v>
      </c>
      <c r="C1160" s="6" t="s">
        <v>1292</v>
      </c>
      <c r="D1160" s="6">
        <f t="shared" si="147"/>
        <v>0.5</v>
      </c>
      <c r="E1160" s="6" t="s">
        <v>19</v>
      </c>
      <c r="F1160" s="6" t="str">
        <f>MID(A1160,19,1)</f>
        <v>N</v>
      </c>
      <c r="G1160" s="6">
        <v>-23.184724747250709</v>
      </c>
      <c r="H1160" s="6">
        <v>-46.908203847060342</v>
      </c>
      <c r="I1160" s="9">
        <v>78.989999999999995</v>
      </c>
      <c r="K1160" s="6">
        <v>4.51</v>
      </c>
      <c r="L1160" s="6">
        <v>60</v>
      </c>
      <c r="N1160" s="1">
        <f t="shared" si="149"/>
        <v>0</v>
      </c>
      <c r="O1160" s="8" t="s">
        <v>20</v>
      </c>
      <c r="P1160" s="8"/>
      <c r="Q1160" s="8" t="s">
        <v>21</v>
      </c>
      <c r="R1160" s="8" t="s">
        <v>21</v>
      </c>
      <c r="S1160" s="8" t="s">
        <v>21</v>
      </c>
      <c r="T1160" s="8" t="s">
        <v>21</v>
      </c>
      <c r="U1160" s="6">
        <f t="shared" si="150"/>
        <v>47.393999999999998</v>
      </c>
      <c r="V1160" s="6">
        <f t="shared" si="146"/>
        <v>47.393999999999998</v>
      </c>
    </row>
    <row r="1161" spans="1:22" x14ac:dyDescent="0.35">
      <c r="A1161" s="6" t="s">
        <v>1299</v>
      </c>
      <c r="B1161" s="6" t="s">
        <v>1291</v>
      </c>
      <c r="C1161" s="6" t="s">
        <v>1292</v>
      </c>
      <c r="D1161" s="6">
        <f t="shared" si="147"/>
        <v>0.5</v>
      </c>
      <c r="E1161" s="6" t="s">
        <v>19</v>
      </c>
      <c r="F1161" s="6" t="str">
        <f>MID(A1161,19,1)</f>
        <v>N</v>
      </c>
      <c r="G1161" s="6">
        <v>-23.18670523492202</v>
      </c>
      <c r="H1161" s="6">
        <v>-46.907506079347137</v>
      </c>
      <c r="I1161" s="9">
        <v>3000.46</v>
      </c>
      <c r="K1161" s="6">
        <v>4.04</v>
      </c>
      <c r="L1161" s="6">
        <v>60</v>
      </c>
      <c r="N1161" s="1">
        <f t="shared" si="149"/>
        <v>0</v>
      </c>
      <c r="O1161" s="8" t="s">
        <v>20</v>
      </c>
      <c r="P1161" s="8"/>
      <c r="Q1161" s="8" t="s">
        <v>21</v>
      </c>
      <c r="R1161" s="8" t="s">
        <v>21</v>
      </c>
      <c r="S1161" s="8" t="s">
        <v>21</v>
      </c>
      <c r="T1161" s="8" t="s">
        <v>21</v>
      </c>
      <c r="U1161" s="6">
        <f t="shared" si="150"/>
        <v>1800.2760000000001</v>
      </c>
      <c r="V1161" s="6">
        <f t="shared" si="146"/>
        <v>1800.2760000000001</v>
      </c>
    </row>
    <row r="1162" spans="1:22" x14ac:dyDescent="0.35">
      <c r="A1162" s="6" t="s">
        <v>1300</v>
      </c>
      <c r="B1162" s="6" t="s">
        <v>1291</v>
      </c>
      <c r="C1162" s="6" t="s">
        <v>1292</v>
      </c>
      <c r="D1162" s="6">
        <f t="shared" si="147"/>
        <v>0.5</v>
      </c>
      <c r="E1162" s="6" t="s">
        <v>19</v>
      </c>
      <c r="F1162" s="6" t="str">
        <f>MID(A1162,19,1)</f>
        <v>N</v>
      </c>
      <c r="G1162" s="6">
        <v>-23.189370836330031</v>
      </c>
      <c r="H1162" s="6">
        <v>-46.906192536406373</v>
      </c>
      <c r="I1162" s="9">
        <v>846.68</v>
      </c>
      <c r="K1162" s="6">
        <v>2.31</v>
      </c>
      <c r="L1162" s="6">
        <v>50</v>
      </c>
      <c r="N1162" s="1">
        <f t="shared" si="149"/>
        <v>0</v>
      </c>
      <c r="O1162" s="8" t="s">
        <v>20</v>
      </c>
      <c r="P1162" s="8"/>
      <c r="Q1162" s="8" t="s">
        <v>21</v>
      </c>
      <c r="R1162" s="8" t="s">
        <v>21</v>
      </c>
      <c r="S1162" s="8" t="s">
        <v>21</v>
      </c>
      <c r="T1162" s="8" t="s">
        <v>21</v>
      </c>
      <c r="U1162" s="6">
        <f t="shared" si="150"/>
        <v>423.34</v>
      </c>
      <c r="V1162" s="6">
        <f t="shared" si="146"/>
        <v>423.34</v>
      </c>
    </row>
    <row r="1163" spans="1:22" x14ac:dyDescent="0.35">
      <c r="A1163" s="6" t="s">
        <v>1301</v>
      </c>
      <c r="B1163" s="6" t="s">
        <v>1291</v>
      </c>
      <c r="C1163" s="6" t="s">
        <v>1292</v>
      </c>
      <c r="D1163" s="6">
        <f t="shared" si="147"/>
        <v>0.5</v>
      </c>
      <c r="E1163" s="6" t="s">
        <v>19</v>
      </c>
      <c r="F1163" s="6" t="str">
        <f>MID(A1163,19,1)</f>
        <v>N</v>
      </c>
      <c r="G1163" s="6">
        <v>-23.1901724870843</v>
      </c>
      <c r="H1163" s="6">
        <v>-46.906127564918222</v>
      </c>
      <c r="I1163" s="9">
        <v>3118.04</v>
      </c>
      <c r="K1163" s="6">
        <v>2.34</v>
      </c>
      <c r="L1163" s="6">
        <v>50</v>
      </c>
      <c r="N1163" s="1">
        <f t="shared" si="149"/>
        <v>0</v>
      </c>
      <c r="O1163" s="8" t="s">
        <v>20</v>
      </c>
      <c r="P1163" s="8"/>
      <c r="Q1163" s="8" t="s">
        <v>21</v>
      </c>
      <c r="R1163" s="8" t="s">
        <v>21</v>
      </c>
      <c r="S1163" s="8" t="s">
        <v>21</v>
      </c>
      <c r="T1163" s="8" t="s">
        <v>21</v>
      </c>
      <c r="U1163" s="6">
        <f t="shared" si="150"/>
        <v>1559.02</v>
      </c>
      <c r="V1163" s="6">
        <f t="shared" si="146"/>
        <v>1559.02</v>
      </c>
    </row>
    <row r="1164" spans="1:22" hidden="1" x14ac:dyDescent="0.35">
      <c r="A1164" s="6" t="s">
        <v>1302</v>
      </c>
      <c r="B1164" s="6" t="s">
        <v>1291</v>
      </c>
      <c r="C1164" s="6" t="s">
        <v>1292</v>
      </c>
      <c r="D1164" s="6">
        <f t="shared" si="147"/>
        <v>0.5</v>
      </c>
      <c r="E1164" s="6" t="s">
        <v>19</v>
      </c>
      <c r="F1164" s="6" t="str">
        <f>MID(A1164,19,1)</f>
        <v>S</v>
      </c>
      <c r="G1164" s="6">
        <v>-23.185337740588501</v>
      </c>
      <c r="H1164" s="6">
        <v>-46.908828602597183</v>
      </c>
      <c r="I1164" s="9">
        <v>51.17</v>
      </c>
      <c r="K1164" s="6">
        <v>12.47</v>
      </c>
      <c r="L1164" s="6">
        <v>60</v>
      </c>
      <c r="N1164" s="1">
        <f t="shared" si="149"/>
        <v>0</v>
      </c>
      <c r="O1164" s="8" t="s">
        <v>20</v>
      </c>
      <c r="P1164" s="8"/>
      <c r="Q1164" s="8" t="s">
        <v>21</v>
      </c>
      <c r="R1164" s="8" t="s">
        <v>21</v>
      </c>
      <c r="S1164" s="8" t="s">
        <v>21</v>
      </c>
      <c r="T1164" s="8" t="s">
        <v>21</v>
      </c>
      <c r="U1164" s="6">
        <f t="shared" si="150"/>
        <v>30.701999999999998</v>
      </c>
      <c r="V1164" s="6">
        <f t="shared" ref="V1164:V1227" si="151">(I1164*(L1164/100))</f>
        <v>30.701999999999998</v>
      </c>
    </row>
    <row r="1165" spans="1:22" hidden="1" x14ac:dyDescent="0.35">
      <c r="A1165" s="6" t="s">
        <v>1303</v>
      </c>
      <c r="B1165" s="6" t="s">
        <v>1291</v>
      </c>
      <c r="C1165" s="6" t="s">
        <v>1292</v>
      </c>
      <c r="D1165" s="6">
        <f t="shared" si="147"/>
        <v>0.5</v>
      </c>
      <c r="E1165" s="6" t="s">
        <v>19</v>
      </c>
      <c r="F1165" s="6" t="str">
        <f>MID(A1165,19,1)</f>
        <v>S</v>
      </c>
      <c r="G1165" s="6">
        <v>-23.18867709325745</v>
      </c>
      <c r="H1165" s="6">
        <v>-46.90721086987282</v>
      </c>
      <c r="I1165" s="9">
        <v>0.09</v>
      </c>
      <c r="K1165" s="6">
        <v>4.5999999999999996</v>
      </c>
      <c r="N1165" s="1">
        <f t="shared" si="149"/>
        <v>0</v>
      </c>
      <c r="O1165" s="8"/>
      <c r="P1165" s="8"/>
      <c r="Q1165" s="8" t="s">
        <v>21</v>
      </c>
      <c r="R1165" s="8" t="s">
        <v>21</v>
      </c>
      <c r="S1165" s="8" t="s">
        <v>21</v>
      </c>
      <c r="T1165" s="8" t="s">
        <v>21</v>
      </c>
      <c r="U1165" s="6">
        <f t="shared" si="150"/>
        <v>0</v>
      </c>
      <c r="V1165" s="6">
        <f t="shared" si="151"/>
        <v>0</v>
      </c>
    </row>
    <row r="1166" spans="1:22" hidden="1" x14ac:dyDescent="0.35">
      <c r="A1166" s="6" t="s">
        <v>1304</v>
      </c>
      <c r="B1166" s="6" t="s">
        <v>1291</v>
      </c>
      <c r="C1166" s="6" t="s">
        <v>1292</v>
      </c>
      <c r="D1166" s="6">
        <f t="shared" ref="D1166:D1229" si="152">C1166-B1166</f>
        <v>0.5</v>
      </c>
      <c r="E1166" s="6" t="s">
        <v>19</v>
      </c>
      <c r="F1166" s="6" t="str">
        <f>MID(A1166,19,1)</f>
        <v>S</v>
      </c>
      <c r="G1166" s="6">
        <v>-23.188650466511969</v>
      </c>
      <c r="H1166" s="6">
        <v>-46.932354229643003</v>
      </c>
      <c r="I1166" s="9">
        <v>492.15</v>
      </c>
      <c r="K1166" s="6">
        <v>5.77</v>
      </c>
      <c r="L1166" s="6">
        <v>0</v>
      </c>
      <c r="N1166" s="1">
        <f t="shared" si="149"/>
        <v>0</v>
      </c>
      <c r="O1166" s="8"/>
      <c r="P1166" s="8"/>
      <c r="Q1166" s="8" t="s">
        <v>21</v>
      </c>
      <c r="R1166" s="8" t="s">
        <v>21</v>
      </c>
      <c r="S1166" s="8" t="s">
        <v>21</v>
      </c>
      <c r="T1166" s="8" t="s">
        <v>21</v>
      </c>
      <c r="U1166" s="6">
        <f t="shared" si="150"/>
        <v>0</v>
      </c>
      <c r="V1166" s="6">
        <f t="shared" si="151"/>
        <v>0</v>
      </c>
    </row>
    <row r="1167" spans="1:22" hidden="1" x14ac:dyDescent="0.35">
      <c r="A1167" s="6" t="s">
        <v>1305</v>
      </c>
      <c r="B1167" s="6" t="s">
        <v>1291</v>
      </c>
      <c r="C1167" s="6" t="s">
        <v>1292</v>
      </c>
      <c r="D1167" s="6">
        <f t="shared" si="152"/>
        <v>0.5</v>
      </c>
      <c r="E1167" s="6" t="s">
        <v>23</v>
      </c>
      <c r="F1167" s="6" t="str">
        <f>MID(A1167,19,1)</f>
        <v>C</v>
      </c>
      <c r="G1167" s="6">
        <v>-23.191196001645011</v>
      </c>
      <c r="H1167" s="6">
        <v>-46.906412060270647</v>
      </c>
      <c r="I1167" s="9">
        <v>12618.13</v>
      </c>
      <c r="J1167" s="9">
        <f>I1167/500</f>
        <v>25.236259999999998</v>
      </c>
      <c r="K1167" s="6">
        <v>2.61</v>
      </c>
      <c r="L1167" s="6">
        <v>60</v>
      </c>
      <c r="N1167" s="1">
        <f t="shared" si="149"/>
        <v>0</v>
      </c>
      <c r="O1167" s="8" t="s">
        <v>20</v>
      </c>
      <c r="P1167" s="8"/>
      <c r="Q1167" s="8" t="s">
        <v>21</v>
      </c>
      <c r="R1167" s="8" t="s">
        <v>21</v>
      </c>
      <c r="S1167" s="8" t="s">
        <v>21</v>
      </c>
      <c r="T1167" s="8" t="s">
        <v>21</v>
      </c>
      <c r="U1167" s="6">
        <f t="shared" si="150"/>
        <v>7570.8779999999988</v>
      </c>
      <c r="V1167" s="6">
        <f t="shared" si="151"/>
        <v>7570.8779999999988</v>
      </c>
    </row>
    <row r="1168" spans="1:22" hidden="1" x14ac:dyDescent="0.35">
      <c r="A1168" s="6" t="s">
        <v>1306</v>
      </c>
      <c r="B1168" s="6" t="s">
        <v>1291</v>
      </c>
      <c r="C1168" s="6" t="s">
        <v>1292</v>
      </c>
      <c r="D1168" s="6">
        <f t="shared" si="152"/>
        <v>0.5</v>
      </c>
      <c r="E1168" s="6" t="s">
        <v>19</v>
      </c>
      <c r="F1168" s="6" t="str">
        <f>MID(A1168,19,1)</f>
        <v>S</v>
      </c>
      <c r="G1168" s="6">
        <v>-23.182432408127319</v>
      </c>
      <c r="H1168" s="6">
        <v>-46.934458419787603</v>
      </c>
      <c r="I1168" s="9">
        <v>1916.7</v>
      </c>
      <c r="K1168" s="6">
        <v>4.53</v>
      </c>
      <c r="L1168" s="6">
        <v>50</v>
      </c>
      <c r="N1168" s="1">
        <f t="shared" si="149"/>
        <v>0</v>
      </c>
      <c r="O1168" s="8" t="s">
        <v>20</v>
      </c>
      <c r="P1168" s="8"/>
      <c r="Q1168" s="8" t="s">
        <v>21</v>
      </c>
      <c r="R1168" s="8" t="s">
        <v>21</v>
      </c>
      <c r="S1168" s="8" t="s">
        <v>21</v>
      </c>
      <c r="T1168" s="8" t="s">
        <v>21</v>
      </c>
      <c r="U1168" s="6">
        <f t="shared" si="150"/>
        <v>958.35</v>
      </c>
      <c r="V1168" s="6">
        <f t="shared" si="151"/>
        <v>958.35</v>
      </c>
    </row>
    <row r="1169" spans="1:22" hidden="1" x14ac:dyDescent="0.35">
      <c r="A1169" s="6" t="s">
        <v>1307</v>
      </c>
      <c r="B1169" s="6" t="s">
        <v>1291</v>
      </c>
      <c r="C1169" s="6" t="s">
        <v>1292</v>
      </c>
      <c r="D1169" s="6">
        <f t="shared" si="152"/>
        <v>0.5</v>
      </c>
      <c r="E1169" s="6" t="s">
        <v>23</v>
      </c>
      <c r="F1169" s="6" t="str">
        <f>MID(A1169,19,1)</f>
        <v>C</v>
      </c>
      <c r="G1169" s="6">
        <v>-23.192661088548029</v>
      </c>
      <c r="H1169" s="6">
        <v>-46.905909389007853</v>
      </c>
      <c r="I1169" s="9">
        <v>7771.2</v>
      </c>
      <c r="J1169" s="9">
        <f>I1169/500</f>
        <v>15.542399999999999</v>
      </c>
      <c r="K1169" s="6">
        <v>4.58</v>
      </c>
      <c r="L1169" s="6">
        <v>60</v>
      </c>
      <c r="N1169" s="1">
        <f t="shared" si="149"/>
        <v>0</v>
      </c>
      <c r="O1169" s="8" t="s">
        <v>20</v>
      </c>
      <c r="P1169" s="8"/>
      <c r="Q1169" s="8" t="s">
        <v>21</v>
      </c>
      <c r="R1169" s="8" t="s">
        <v>21</v>
      </c>
      <c r="S1169" s="8" t="s">
        <v>21</v>
      </c>
      <c r="T1169" s="8" t="s">
        <v>21</v>
      </c>
      <c r="U1169" s="6">
        <f t="shared" si="150"/>
        <v>4662.7199999999993</v>
      </c>
      <c r="V1169" s="6">
        <f t="shared" si="151"/>
        <v>4662.7199999999993</v>
      </c>
    </row>
    <row r="1170" spans="1:22" x14ac:dyDescent="0.35">
      <c r="A1170" s="6" t="s">
        <v>1308</v>
      </c>
      <c r="B1170" s="6" t="s">
        <v>1291</v>
      </c>
      <c r="C1170" s="6" t="s">
        <v>1292</v>
      </c>
      <c r="D1170" s="6">
        <f t="shared" si="152"/>
        <v>0.5</v>
      </c>
      <c r="E1170" s="6" t="s">
        <v>19</v>
      </c>
      <c r="F1170" s="6" t="str">
        <f>MID(A1170,19,1)</f>
        <v>N</v>
      </c>
      <c r="G1170" s="6">
        <v>-23.188421520446681</v>
      </c>
      <c r="H1170" s="6">
        <v>-46.90654025299964</v>
      </c>
      <c r="I1170" s="9">
        <v>42.82</v>
      </c>
      <c r="K1170" s="6">
        <v>1.31</v>
      </c>
      <c r="L1170" s="6">
        <v>50</v>
      </c>
      <c r="N1170" s="1">
        <f t="shared" si="149"/>
        <v>0</v>
      </c>
      <c r="O1170" s="8" t="s">
        <v>20</v>
      </c>
      <c r="P1170" s="8"/>
      <c r="Q1170" s="8" t="s">
        <v>21</v>
      </c>
      <c r="R1170" s="8" t="s">
        <v>21</v>
      </c>
      <c r="S1170" s="8" t="s">
        <v>21</v>
      </c>
      <c r="T1170" s="8" t="s">
        <v>21</v>
      </c>
      <c r="U1170" s="6">
        <f t="shared" si="150"/>
        <v>21.41</v>
      </c>
      <c r="V1170" s="6">
        <f t="shared" si="151"/>
        <v>21.41</v>
      </c>
    </row>
    <row r="1171" spans="1:22" hidden="1" x14ac:dyDescent="0.35">
      <c r="A1171" s="6" t="s">
        <v>1309</v>
      </c>
      <c r="B1171" s="6" t="s">
        <v>1291</v>
      </c>
      <c r="C1171" s="6" t="s">
        <v>1292</v>
      </c>
      <c r="D1171" s="6">
        <f t="shared" si="152"/>
        <v>0.5</v>
      </c>
      <c r="E1171" s="6" t="s">
        <v>23</v>
      </c>
      <c r="F1171" s="6" t="str">
        <f>MID(A1171,19,1)</f>
        <v>C</v>
      </c>
      <c r="G1171" s="6">
        <v>-23.19209727625708</v>
      </c>
      <c r="H1171" s="6">
        <v>-46.906167770040661</v>
      </c>
      <c r="I1171" s="9">
        <v>277.07</v>
      </c>
      <c r="J1171" s="9">
        <f>I1171/500</f>
        <v>0.55413999999999997</v>
      </c>
      <c r="K1171" s="6">
        <v>4.58</v>
      </c>
      <c r="L1171" s="6">
        <v>60</v>
      </c>
      <c r="N1171" s="1">
        <f t="shared" si="149"/>
        <v>0</v>
      </c>
      <c r="O1171" s="8" t="s">
        <v>20</v>
      </c>
      <c r="P1171" s="8"/>
      <c r="Q1171" s="8" t="s">
        <v>21</v>
      </c>
      <c r="R1171" s="8" t="s">
        <v>21</v>
      </c>
      <c r="S1171" s="8" t="s">
        <v>21</v>
      </c>
      <c r="T1171" s="8" t="s">
        <v>21</v>
      </c>
      <c r="U1171" s="6">
        <f t="shared" si="150"/>
        <v>166.24199999999999</v>
      </c>
      <c r="V1171" s="6">
        <f t="shared" si="151"/>
        <v>166.24199999999999</v>
      </c>
    </row>
    <row r="1172" spans="1:22" x14ac:dyDescent="0.35">
      <c r="A1172" s="6" t="s">
        <v>1310</v>
      </c>
      <c r="B1172" s="6" t="s">
        <v>1291</v>
      </c>
      <c r="C1172" s="6" t="s">
        <v>1292</v>
      </c>
      <c r="D1172" s="6">
        <f t="shared" si="152"/>
        <v>0.5</v>
      </c>
      <c r="E1172" s="6" t="s">
        <v>19</v>
      </c>
      <c r="F1172" s="6" t="str">
        <f>MID(A1172,19,1)</f>
        <v>N</v>
      </c>
      <c r="G1172" s="6">
        <v>-23.182223935517531</v>
      </c>
      <c r="H1172" s="6">
        <v>-46.933861195649293</v>
      </c>
      <c r="I1172" s="9">
        <v>1850.89</v>
      </c>
      <c r="K1172" s="6">
        <v>6.99</v>
      </c>
      <c r="L1172" s="6">
        <v>50</v>
      </c>
      <c r="N1172" s="1">
        <f t="shared" si="149"/>
        <v>0</v>
      </c>
      <c r="O1172" s="8" t="s">
        <v>20</v>
      </c>
      <c r="P1172" s="8"/>
      <c r="Q1172" s="8" t="s">
        <v>21</v>
      </c>
      <c r="R1172" s="8" t="s">
        <v>21</v>
      </c>
      <c r="S1172" s="8" t="s">
        <v>21</v>
      </c>
      <c r="T1172" s="8" t="s">
        <v>21</v>
      </c>
      <c r="U1172" s="6">
        <f t="shared" si="150"/>
        <v>925.44500000000005</v>
      </c>
      <c r="V1172" s="6">
        <f t="shared" si="151"/>
        <v>925.44500000000005</v>
      </c>
    </row>
    <row r="1173" spans="1:22" x14ac:dyDescent="0.35">
      <c r="A1173" s="6" t="s">
        <v>1311</v>
      </c>
      <c r="B1173" s="6" t="s">
        <v>1291</v>
      </c>
      <c r="C1173" s="6" t="s">
        <v>1292</v>
      </c>
      <c r="D1173" s="6">
        <f t="shared" si="152"/>
        <v>0.5</v>
      </c>
      <c r="E1173" s="6" t="s">
        <v>19</v>
      </c>
      <c r="F1173" s="6" t="str">
        <f>MID(A1173,19,1)</f>
        <v>N</v>
      </c>
      <c r="G1173" s="6">
        <v>-23.18731514712529</v>
      </c>
      <c r="H1173" s="6">
        <v>-46.931910074290847</v>
      </c>
      <c r="I1173" s="9">
        <v>1187.47</v>
      </c>
      <c r="K1173" s="6">
        <v>3.74</v>
      </c>
      <c r="L1173" s="6">
        <v>70</v>
      </c>
      <c r="N1173" s="1">
        <f t="shared" si="149"/>
        <v>0</v>
      </c>
      <c r="O1173" s="8" t="s">
        <v>20</v>
      </c>
      <c r="P1173" s="8"/>
      <c r="Q1173" s="8" t="s">
        <v>21</v>
      </c>
      <c r="R1173" s="8" t="s">
        <v>21</v>
      </c>
      <c r="S1173" s="8" t="s">
        <v>21</v>
      </c>
      <c r="T1173" s="8" t="s">
        <v>21</v>
      </c>
      <c r="U1173" s="6">
        <f t="shared" si="150"/>
        <v>831.22899999999993</v>
      </c>
      <c r="V1173" s="6">
        <f t="shared" si="151"/>
        <v>831.22899999999993</v>
      </c>
    </row>
    <row r="1174" spans="1:22" hidden="1" x14ac:dyDescent="0.35">
      <c r="A1174" s="6" t="s">
        <v>1312</v>
      </c>
      <c r="B1174" s="6" t="s">
        <v>1291</v>
      </c>
      <c r="C1174" s="6" t="s">
        <v>1292</v>
      </c>
      <c r="D1174" s="6">
        <f t="shared" si="152"/>
        <v>0.5</v>
      </c>
      <c r="E1174" s="6" t="s">
        <v>19</v>
      </c>
      <c r="F1174" s="6" t="str">
        <f>MID(A1174,19,1)</f>
        <v>S</v>
      </c>
      <c r="G1174" s="6">
        <v>-23.18690789868235</v>
      </c>
      <c r="H1174" s="6">
        <v>-46.907909946142382</v>
      </c>
      <c r="I1174" s="9">
        <v>1584.61</v>
      </c>
      <c r="K1174" s="6">
        <v>4.3600000000000003</v>
      </c>
      <c r="L1174" s="6">
        <v>60</v>
      </c>
      <c r="N1174" s="1">
        <f t="shared" si="149"/>
        <v>0</v>
      </c>
      <c r="O1174" s="8" t="s">
        <v>20</v>
      </c>
      <c r="P1174" s="8"/>
      <c r="Q1174" s="8" t="s">
        <v>21</v>
      </c>
      <c r="R1174" s="8" t="s">
        <v>21</v>
      </c>
      <c r="S1174" s="8" t="s">
        <v>21</v>
      </c>
      <c r="T1174" s="8" t="s">
        <v>21</v>
      </c>
      <c r="U1174" s="6">
        <f t="shared" si="150"/>
        <v>950.76599999999985</v>
      </c>
      <c r="V1174" s="6">
        <f t="shared" si="151"/>
        <v>950.76599999999985</v>
      </c>
    </row>
    <row r="1175" spans="1:22" hidden="1" x14ac:dyDescent="0.35">
      <c r="A1175" s="6" t="s">
        <v>1313</v>
      </c>
      <c r="B1175" s="6" t="s">
        <v>1291</v>
      </c>
      <c r="C1175" s="6" t="s">
        <v>1292</v>
      </c>
      <c r="D1175" s="6">
        <f t="shared" si="152"/>
        <v>0.5</v>
      </c>
      <c r="E1175" s="6" t="s">
        <v>19</v>
      </c>
      <c r="F1175" s="6" t="str">
        <f>MID(A1175,19,1)</f>
        <v>S</v>
      </c>
      <c r="G1175" s="6">
        <v>-23.186838984972351</v>
      </c>
      <c r="H1175" s="6">
        <v>-46.907784517636948</v>
      </c>
      <c r="I1175" s="9">
        <v>4031.4</v>
      </c>
      <c r="K1175" s="6">
        <v>4.21</v>
      </c>
      <c r="L1175" s="6">
        <v>60</v>
      </c>
      <c r="N1175" s="1">
        <f t="shared" si="149"/>
        <v>0</v>
      </c>
      <c r="O1175" s="8" t="s">
        <v>20</v>
      </c>
      <c r="P1175" s="8"/>
      <c r="Q1175" s="8" t="s">
        <v>21</v>
      </c>
      <c r="R1175" s="8" t="s">
        <v>21</v>
      </c>
      <c r="S1175" s="8" t="s">
        <v>21</v>
      </c>
      <c r="T1175" s="8" t="s">
        <v>21</v>
      </c>
      <c r="U1175" s="6">
        <f t="shared" si="150"/>
        <v>2418.84</v>
      </c>
      <c r="V1175" s="6">
        <f t="shared" si="151"/>
        <v>2418.84</v>
      </c>
    </row>
    <row r="1176" spans="1:22" hidden="1" x14ac:dyDescent="0.35">
      <c r="A1176" s="6" t="s">
        <v>1314</v>
      </c>
      <c r="B1176" s="6" t="s">
        <v>1291</v>
      </c>
      <c r="C1176" s="6" t="s">
        <v>1292</v>
      </c>
      <c r="D1176" s="6">
        <f t="shared" si="152"/>
        <v>0.5</v>
      </c>
      <c r="E1176" s="6" t="s">
        <v>19</v>
      </c>
      <c r="F1176" s="6" t="str">
        <f>MID(A1176,19,1)</f>
        <v>S</v>
      </c>
      <c r="G1176" s="6">
        <v>-23.189531564805691</v>
      </c>
      <c r="H1176" s="6">
        <v>-46.906917593790602</v>
      </c>
      <c r="I1176" s="9">
        <v>564.04</v>
      </c>
      <c r="K1176" s="6">
        <v>2.5299999999999998</v>
      </c>
      <c r="L1176" s="6">
        <v>60</v>
      </c>
      <c r="N1176" s="1">
        <f t="shared" si="149"/>
        <v>0</v>
      </c>
      <c r="O1176" s="8" t="s">
        <v>20</v>
      </c>
      <c r="P1176" s="8"/>
      <c r="Q1176" s="8" t="s">
        <v>21</v>
      </c>
      <c r="R1176" s="8" t="s">
        <v>21</v>
      </c>
      <c r="S1176" s="8" t="s">
        <v>21</v>
      </c>
      <c r="T1176" s="8" t="s">
        <v>21</v>
      </c>
      <c r="U1176" s="6">
        <f t="shared" si="150"/>
        <v>338.42399999999998</v>
      </c>
      <c r="V1176" s="6">
        <f t="shared" si="151"/>
        <v>338.42399999999998</v>
      </c>
    </row>
    <row r="1177" spans="1:22" hidden="1" x14ac:dyDescent="0.35">
      <c r="A1177" s="6" t="s">
        <v>1315</v>
      </c>
      <c r="B1177" s="6" t="s">
        <v>1291</v>
      </c>
      <c r="C1177" s="6" t="s">
        <v>1292</v>
      </c>
      <c r="D1177" s="6">
        <f t="shared" si="152"/>
        <v>0.5</v>
      </c>
      <c r="E1177" s="6" t="s">
        <v>19</v>
      </c>
      <c r="F1177" s="6" t="str">
        <f>MID(A1177,19,1)</f>
        <v>S</v>
      </c>
      <c r="G1177" s="6">
        <v>-23.189963221259621</v>
      </c>
      <c r="H1177" s="6">
        <v>-46.906735999795302</v>
      </c>
      <c r="I1177" s="9">
        <v>3335.54</v>
      </c>
      <c r="K1177" s="6">
        <v>2.46</v>
      </c>
      <c r="L1177" s="6">
        <v>60</v>
      </c>
      <c r="N1177" s="1">
        <f t="shared" si="149"/>
        <v>0</v>
      </c>
      <c r="O1177" s="8" t="s">
        <v>20</v>
      </c>
      <c r="P1177" s="8"/>
      <c r="Q1177" s="8" t="s">
        <v>21</v>
      </c>
      <c r="R1177" s="8" t="s">
        <v>21</v>
      </c>
      <c r="S1177" s="8" t="s">
        <v>21</v>
      </c>
      <c r="T1177" s="8" t="s">
        <v>21</v>
      </c>
      <c r="U1177" s="6">
        <f t="shared" si="150"/>
        <v>2001.3239999999998</v>
      </c>
      <c r="V1177" s="6">
        <f t="shared" si="151"/>
        <v>2001.3239999999998</v>
      </c>
    </row>
    <row r="1178" spans="1:22" hidden="1" x14ac:dyDescent="0.35">
      <c r="A1178" s="6" t="s">
        <v>1316</v>
      </c>
      <c r="B1178" s="6" t="s">
        <v>1291</v>
      </c>
      <c r="C1178" s="6" t="s">
        <v>1292</v>
      </c>
      <c r="D1178" s="6">
        <f t="shared" si="152"/>
        <v>0.5</v>
      </c>
      <c r="E1178" s="6" t="s">
        <v>19</v>
      </c>
      <c r="F1178" s="6" t="str">
        <f>MID(A1178,19,1)</f>
        <v>S</v>
      </c>
      <c r="G1178" s="6">
        <v>-23.19319736700184</v>
      </c>
      <c r="H1178" s="6">
        <v>-46.906483329047937</v>
      </c>
      <c r="I1178" s="9">
        <v>38.68</v>
      </c>
      <c r="K1178" s="6">
        <v>2.97</v>
      </c>
      <c r="L1178" s="6">
        <v>60</v>
      </c>
      <c r="N1178" s="1">
        <f t="shared" si="149"/>
        <v>0</v>
      </c>
      <c r="O1178" s="8" t="s">
        <v>20</v>
      </c>
      <c r="P1178" s="8"/>
      <c r="Q1178" s="8" t="s">
        <v>21</v>
      </c>
      <c r="R1178" s="8" t="s">
        <v>21</v>
      </c>
      <c r="S1178" s="8" t="s">
        <v>21</v>
      </c>
      <c r="T1178" s="8" t="s">
        <v>21</v>
      </c>
      <c r="U1178" s="6">
        <f t="shared" si="150"/>
        <v>23.207999999999998</v>
      </c>
      <c r="V1178" s="6">
        <f t="shared" si="151"/>
        <v>23.207999999999998</v>
      </c>
    </row>
    <row r="1179" spans="1:22" hidden="1" x14ac:dyDescent="0.35">
      <c r="A1179" s="6" t="s">
        <v>1317</v>
      </c>
      <c r="B1179" s="6" t="s">
        <v>1291</v>
      </c>
      <c r="C1179" s="6" t="s">
        <v>1292</v>
      </c>
      <c r="D1179" s="6">
        <f t="shared" si="152"/>
        <v>0.5</v>
      </c>
      <c r="E1179" s="6" t="s">
        <v>19</v>
      </c>
      <c r="F1179" s="6" t="str">
        <f>MID(A1179,19,1)</f>
        <v>S</v>
      </c>
      <c r="G1179" s="6">
        <v>-23.192252187776081</v>
      </c>
      <c r="H1179" s="6">
        <v>-46.906849488342047</v>
      </c>
      <c r="I1179" s="9">
        <v>4151.7</v>
      </c>
      <c r="K1179" s="6">
        <v>3.3</v>
      </c>
      <c r="L1179" s="6">
        <v>60</v>
      </c>
      <c r="N1179" s="1">
        <f t="shared" si="149"/>
        <v>0</v>
      </c>
      <c r="O1179" s="8" t="s">
        <v>20</v>
      </c>
      <c r="P1179" s="8"/>
      <c r="Q1179" s="8" t="s">
        <v>21</v>
      </c>
      <c r="R1179" s="8" t="s">
        <v>21</v>
      </c>
      <c r="S1179" s="8" t="s">
        <v>21</v>
      </c>
      <c r="T1179" s="8" t="s">
        <v>21</v>
      </c>
      <c r="U1179" s="6">
        <f t="shared" si="150"/>
        <v>2491.02</v>
      </c>
      <c r="V1179" s="6">
        <f t="shared" si="151"/>
        <v>2491.02</v>
      </c>
    </row>
    <row r="1180" spans="1:22" x14ac:dyDescent="0.35">
      <c r="A1180" s="6" t="s">
        <v>1318</v>
      </c>
      <c r="B1180" s="6" t="s">
        <v>1291</v>
      </c>
      <c r="C1180" s="6" t="s">
        <v>1292</v>
      </c>
      <c r="D1180" s="6">
        <f t="shared" si="152"/>
        <v>0.5</v>
      </c>
      <c r="E1180" s="6" t="s">
        <v>19</v>
      </c>
      <c r="F1180" s="6" t="str">
        <f>MID(A1180,19,1)</f>
        <v>N</v>
      </c>
      <c r="G1180" s="6">
        <v>-23.185002139097989</v>
      </c>
      <c r="H1180" s="6">
        <v>-46.932920780686352</v>
      </c>
      <c r="I1180" s="9">
        <v>728.45</v>
      </c>
      <c r="K1180" s="6">
        <v>9.0500000000000007</v>
      </c>
      <c r="L1180" s="6">
        <v>70</v>
      </c>
      <c r="N1180" s="1">
        <f t="shared" si="149"/>
        <v>0</v>
      </c>
      <c r="O1180" s="8" t="s">
        <v>20</v>
      </c>
      <c r="P1180" s="8"/>
      <c r="Q1180" s="8" t="s">
        <v>21</v>
      </c>
      <c r="R1180" s="8" t="s">
        <v>21</v>
      </c>
      <c r="S1180" s="8" t="s">
        <v>21</v>
      </c>
      <c r="T1180" s="8" t="s">
        <v>21</v>
      </c>
      <c r="U1180" s="6">
        <f t="shared" si="150"/>
        <v>509.91500000000002</v>
      </c>
      <c r="V1180" s="6">
        <f t="shared" si="151"/>
        <v>509.91500000000002</v>
      </c>
    </row>
    <row r="1181" spans="1:22" x14ac:dyDescent="0.35">
      <c r="A1181" s="6" t="s">
        <v>1319</v>
      </c>
      <c r="B1181" s="6" t="s">
        <v>1291</v>
      </c>
      <c r="C1181" s="6" t="s">
        <v>1292</v>
      </c>
      <c r="D1181" s="6">
        <f t="shared" si="152"/>
        <v>0.5</v>
      </c>
      <c r="E1181" s="6" t="s">
        <v>19</v>
      </c>
      <c r="F1181" s="6" t="str">
        <f>MID(A1181,19,1)</f>
        <v>N</v>
      </c>
      <c r="G1181" s="6">
        <v>-23.1850219797279</v>
      </c>
      <c r="H1181" s="6">
        <v>-46.908066056115253</v>
      </c>
      <c r="I1181" s="9">
        <v>216.35</v>
      </c>
      <c r="K1181" s="6">
        <v>4.72</v>
      </c>
      <c r="L1181" s="6">
        <v>60</v>
      </c>
      <c r="N1181" s="1">
        <f t="shared" si="149"/>
        <v>0</v>
      </c>
      <c r="O1181" s="8" t="s">
        <v>20</v>
      </c>
      <c r="P1181" s="8"/>
      <c r="Q1181" s="8" t="s">
        <v>21</v>
      </c>
      <c r="R1181" s="8" t="s">
        <v>21</v>
      </c>
      <c r="S1181" s="8" t="s">
        <v>21</v>
      </c>
      <c r="T1181" s="8" t="s">
        <v>21</v>
      </c>
      <c r="U1181" s="6">
        <f t="shared" si="150"/>
        <v>129.81</v>
      </c>
      <c r="V1181" s="6">
        <f t="shared" si="151"/>
        <v>129.81</v>
      </c>
    </row>
    <row r="1182" spans="1:22" x14ac:dyDescent="0.35">
      <c r="A1182" s="6" t="s">
        <v>1320</v>
      </c>
      <c r="B1182" s="6" t="s">
        <v>1291</v>
      </c>
      <c r="C1182" s="6" t="s">
        <v>1292</v>
      </c>
      <c r="D1182" s="6">
        <f t="shared" si="152"/>
        <v>0.5</v>
      </c>
      <c r="E1182" s="6" t="s">
        <v>19</v>
      </c>
      <c r="F1182" s="6" t="str">
        <f>MID(A1182,19,1)</f>
        <v>N</v>
      </c>
      <c r="G1182" s="6">
        <v>-23.185856107319061</v>
      </c>
      <c r="H1182" s="6">
        <v>-46.907586897722993</v>
      </c>
      <c r="I1182" s="9">
        <v>125.66</v>
      </c>
      <c r="K1182" s="6">
        <v>5.6</v>
      </c>
      <c r="L1182" s="6">
        <v>60</v>
      </c>
      <c r="N1182" s="1">
        <f t="shared" si="149"/>
        <v>0</v>
      </c>
      <c r="O1182" s="8" t="s">
        <v>20</v>
      </c>
      <c r="P1182" s="8"/>
      <c r="Q1182" s="8" t="s">
        <v>21</v>
      </c>
      <c r="R1182" s="8" t="s">
        <v>21</v>
      </c>
      <c r="S1182" s="8" t="s">
        <v>21</v>
      </c>
      <c r="T1182" s="8" t="s">
        <v>21</v>
      </c>
      <c r="U1182" s="6">
        <f t="shared" si="150"/>
        <v>75.396000000000001</v>
      </c>
      <c r="V1182" s="6">
        <f t="shared" si="151"/>
        <v>75.396000000000001</v>
      </c>
    </row>
    <row r="1183" spans="1:22" x14ac:dyDescent="0.35">
      <c r="A1183" s="6" t="s">
        <v>1321</v>
      </c>
      <c r="B1183" s="6" t="s">
        <v>1291</v>
      </c>
      <c r="C1183" s="6" t="s">
        <v>1292</v>
      </c>
      <c r="D1183" s="6">
        <f t="shared" si="152"/>
        <v>0.5</v>
      </c>
      <c r="E1183" s="6" t="s">
        <v>19</v>
      </c>
      <c r="F1183" s="6" t="str">
        <f>MID(A1183,19,1)</f>
        <v>N</v>
      </c>
      <c r="G1183" s="6">
        <v>-23.186278824227031</v>
      </c>
      <c r="H1183" s="6">
        <v>-46.907374844917932</v>
      </c>
      <c r="I1183" s="9">
        <v>210.39</v>
      </c>
      <c r="K1183" s="6">
        <v>5.14</v>
      </c>
      <c r="L1183" s="6">
        <v>60</v>
      </c>
      <c r="N1183" s="1">
        <f t="shared" si="149"/>
        <v>0</v>
      </c>
      <c r="O1183" s="8" t="s">
        <v>20</v>
      </c>
      <c r="P1183" s="8"/>
      <c r="Q1183" s="8" t="s">
        <v>21</v>
      </c>
      <c r="R1183" s="8" t="s">
        <v>21</v>
      </c>
      <c r="S1183" s="8" t="s">
        <v>21</v>
      </c>
      <c r="T1183" s="8" t="s">
        <v>21</v>
      </c>
      <c r="U1183" s="6">
        <f t="shared" si="150"/>
        <v>126.23399999999998</v>
      </c>
      <c r="V1183" s="6">
        <f t="shared" si="151"/>
        <v>126.23399999999998</v>
      </c>
    </row>
    <row r="1184" spans="1:22" x14ac:dyDescent="0.35">
      <c r="A1184" s="6" t="s">
        <v>1322</v>
      </c>
      <c r="B1184" s="6" t="s">
        <v>1291</v>
      </c>
      <c r="C1184" s="6" t="s">
        <v>1292</v>
      </c>
      <c r="D1184" s="6">
        <f t="shared" si="152"/>
        <v>0.5</v>
      </c>
      <c r="E1184" s="6" t="s">
        <v>19</v>
      </c>
      <c r="F1184" s="6" t="str">
        <f>MID(A1184,19,1)</f>
        <v>N</v>
      </c>
      <c r="G1184" s="6">
        <v>-23.1869473839945</v>
      </c>
      <c r="H1184" s="6">
        <v>-46.907072351776762</v>
      </c>
      <c r="I1184" s="9">
        <v>418.9</v>
      </c>
      <c r="K1184" s="6">
        <v>3.56</v>
      </c>
      <c r="L1184" s="6">
        <v>60</v>
      </c>
      <c r="N1184" s="1">
        <f t="shared" si="149"/>
        <v>0</v>
      </c>
      <c r="O1184" s="8" t="s">
        <v>20</v>
      </c>
      <c r="P1184" s="8"/>
      <c r="Q1184" s="8" t="s">
        <v>21</v>
      </c>
      <c r="R1184" s="8" t="s">
        <v>21</v>
      </c>
      <c r="S1184" s="8" t="s">
        <v>21</v>
      </c>
      <c r="T1184" s="8" t="s">
        <v>21</v>
      </c>
      <c r="U1184" s="6">
        <f t="shared" si="150"/>
        <v>251.33999999999997</v>
      </c>
      <c r="V1184" s="6">
        <f t="shared" si="151"/>
        <v>251.33999999999997</v>
      </c>
    </row>
    <row r="1185" spans="1:22" x14ac:dyDescent="0.35">
      <c r="A1185" s="6" t="s">
        <v>1323</v>
      </c>
      <c r="B1185" s="6" t="s">
        <v>1291</v>
      </c>
      <c r="C1185" s="6" t="s">
        <v>1292</v>
      </c>
      <c r="D1185" s="6">
        <f t="shared" si="152"/>
        <v>0.5</v>
      </c>
      <c r="E1185" s="6" t="s">
        <v>19</v>
      </c>
      <c r="F1185" s="6" t="str">
        <f>MID(A1185,19,1)</f>
        <v>N</v>
      </c>
      <c r="G1185" s="6">
        <v>-23.187843903085611</v>
      </c>
      <c r="H1185" s="6">
        <v>-46.906721968483453</v>
      </c>
      <c r="I1185" s="9">
        <v>561.63</v>
      </c>
      <c r="K1185" s="6">
        <v>1.48</v>
      </c>
      <c r="L1185" s="6">
        <v>60</v>
      </c>
      <c r="N1185" s="1">
        <f t="shared" si="149"/>
        <v>0</v>
      </c>
      <c r="O1185" s="8" t="s">
        <v>20</v>
      </c>
      <c r="P1185" s="8"/>
      <c r="Q1185" s="8" t="s">
        <v>21</v>
      </c>
      <c r="R1185" s="8" t="s">
        <v>21</v>
      </c>
      <c r="S1185" s="8" t="s">
        <v>21</v>
      </c>
      <c r="T1185" s="8" t="s">
        <v>21</v>
      </c>
      <c r="U1185" s="6">
        <f t="shared" si="150"/>
        <v>336.97800000000001</v>
      </c>
      <c r="V1185" s="6">
        <f t="shared" si="151"/>
        <v>336.97800000000001</v>
      </c>
    </row>
    <row r="1186" spans="1:22" x14ac:dyDescent="0.35">
      <c r="A1186" s="6" t="s">
        <v>1324</v>
      </c>
      <c r="B1186" s="6" t="s">
        <v>1291</v>
      </c>
      <c r="C1186" s="6" t="s">
        <v>1292</v>
      </c>
      <c r="D1186" s="6">
        <f t="shared" si="152"/>
        <v>0.5</v>
      </c>
      <c r="E1186" s="6" t="s">
        <v>19</v>
      </c>
      <c r="F1186" s="6" t="str">
        <f>MID(A1186,19,1)</f>
        <v>N</v>
      </c>
      <c r="G1186" s="6">
        <v>-23.190620030743631</v>
      </c>
      <c r="H1186" s="6">
        <v>-46.905725166107921</v>
      </c>
      <c r="I1186" s="9">
        <v>1935.44</v>
      </c>
      <c r="K1186" s="6">
        <v>1.99</v>
      </c>
      <c r="L1186" s="6">
        <v>50</v>
      </c>
      <c r="N1186" s="1">
        <f t="shared" si="149"/>
        <v>0</v>
      </c>
      <c r="O1186" s="8" t="s">
        <v>20</v>
      </c>
      <c r="P1186" s="8"/>
      <c r="Q1186" s="8" t="s">
        <v>21</v>
      </c>
      <c r="R1186" s="8" t="s">
        <v>21</v>
      </c>
      <c r="S1186" s="8" t="s">
        <v>21</v>
      </c>
      <c r="T1186" s="8" t="s">
        <v>21</v>
      </c>
      <c r="U1186" s="6">
        <f t="shared" si="150"/>
        <v>967.72</v>
      </c>
      <c r="V1186" s="6">
        <f t="shared" si="151"/>
        <v>967.72</v>
      </c>
    </row>
    <row r="1187" spans="1:22" x14ac:dyDescent="0.35">
      <c r="A1187" s="6" t="s">
        <v>1325</v>
      </c>
      <c r="B1187" s="6" t="s">
        <v>1291</v>
      </c>
      <c r="C1187" s="6" t="s">
        <v>1292</v>
      </c>
      <c r="D1187" s="6">
        <f t="shared" si="152"/>
        <v>0.5</v>
      </c>
      <c r="E1187" s="6" t="s">
        <v>19</v>
      </c>
      <c r="F1187" s="6" t="str">
        <f>MID(A1187,19,1)</f>
        <v>N</v>
      </c>
      <c r="G1187" s="6">
        <v>-23.191401591305251</v>
      </c>
      <c r="H1187" s="6">
        <v>-46.905397629506083</v>
      </c>
      <c r="I1187" s="9">
        <v>1390.71</v>
      </c>
      <c r="K1187" s="6">
        <v>2.41</v>
      </c>
      <c r="L1187" s="6">
        <v>50</v>
      </c>
      <c r="N1187" s="1">
        <f t="shared" si="149"/>
        <v>0</v>
      </c>
      <c r="O1187" s="8" t="s">
        <v>20</v>
      </c>
      <c r="P1187" s="8"/>
      <c r="Q1187" s="8" t="s">
        <v>21</v>
      </c>
      <c r="R1187" s="8" t="s">
        <v>21</v>
      </c>
      <c r="S1187" s="8" t="s">
        <v>21</v>
      </c>
      <c r="T1187" s="8" t="s">
        <v>21</v>
      </c>
      <c r="U1187" s="6">
        <f t="shared" si="150"/>
        <v>695.35500000000002</v>
      </c>
      <c r="V1187" s="6">
        <f t="shared" si="151"/>
        <v>695.35500000000002</v>
      </c>
    </row>
    <row r="1188" spans="1:22" x14ac:dyDescent="0.35">
      <c r="A1188" s="6" t="s">
        <v>1326</v>
      </c>
      <c r="B1188" s="6" t="s">
        <v>1291</v>
      </c>
      <c r="C1188" s="6" t="s">
        <v>1292</v>
      </c>
      <c r="D1188" s="6">
        <f t="shared" si="152"/>
        <v>0.5</v>
      </c>
      <c r="E1188" s="6" t="s">
        <v>19</v>
      </c>
      <c r="F1188" s="6" t="str">
        <f>MID(A1188,19,1)</f>
        <v>N</v>
      </c>
      <c r="G1188" s="6">
        <v>-23.192495532559889</v>
      </c>
      <c r="H1188" s="6">
        <v>-46.905273926962643</v>
      </c>
      <c r="I1188" s="9">
        <v>855.85</v>
      </c>
      <c r="K1188" s="6">
        <v>4.7699999999999996</v>
      </c>
      <c r="L1188" s="6">
        <v>50</v>
      </c>
      <c r="N1188" s="1">
        <f t="shared" si="149"/>
        <v>0</v>
      </c>
      <c r="O1188" s="8" t="s">
        <v>20</v>
      </c>
      <c r="P1188" s="8"/>
      <c r="Q1188" s="8" t="s">
        <v>21</v>
      </c>
      <c r="R1188" s="8" t="s">
        <v>21</v>
      </c>
      <c r="S1188" s="8" t="s">
        <v>21</v>
      </c>
      <c r="T1188" s="8" t="s">
        <v>21</v>
      </c>
      <c r="U1188" s="6">
        <f t="shared" si="150"/>
        <v>427.92500000000001</v>
      </c>
      <c r="V1188" s="6">
        <f t="shared" si="151"/>
        <v>427.92500000000001</v>
      </c>
    </row>
    <row r="1189" spans="1:22" x14ac:dyDescent="0.35">
      <c r="A1189" s="6" t="s">
        <v>1327</v>
      </c>
      <c r="B1189" s="6" t="s">
        <v>1291</v>
      </c>
      <c r="C1189" s="6" t="s">
        <v>1292</v>
      </c>
      <c r="D1189" s="6">
        <f t="shared" si="152"/>
        <v>0.5</v>
      </c>
      <c r="E1189" s="6" t="s">
        <v>19</v>
      </c>
      <c r="F1189" s="6" t="str">
        <f>MID(A1189,19,1)</f>
        <v>N</v>
      </c>
      <c r="G1189" s="6">
        <v>-23.192460968933961</v>
      </c>
      <c r="H1189" s="6">
        <v>-46.905050420276417</v>
      </c>
      <c r="I1189" s="9">
        <v>577.87</v>
      </c>
      <c r="K1189" s="6">
        <v>4.82</v>
      </c>
      <c r="L1189" s="6">
        <v>50</v>
      </c>
      <c r="N1189" s="1">
        <f t="shared" si="149"/>
        <v>0</v>
      </c>
      <c r="O1189" s="8" t="s">
        <v>20</v>
      </c>
      <c r="P1189" s="8"/>
      <c r="Q1189" s="8" t="s">
        <v>21</v>
      </c>
      <c r="R1189" s="8" t="s">
        <v>21</v>
      </c>
      <c r="S1189" s="8" t="s">
        <v>21</v>
      </c>
      <c r="T1189" s="8" t="s">
        <v>21</v>
      </c>
      <c r="U1189" s="6">
        <f t="shared" si="150"/>
        <v>288.935</v>
      </c>
      <c r="V1189" s="6">
        <f t="shared" si="151"/>
        <v>288.935</v>
      </c>
    </row>
    <row r="1190" spans="1:22" x14ac:dyDescent="0.35">
      <c r="A1190" s="6" t="s">
        <v>1328</v>
      </c>
      <c r="B1190" s="6" t="s">
        <v>1291</v>
      </c>
      <c r="C1190" s="6" t="s">
        <v>1292</v>
      </c>
      <c r="D1190" s="6">
        <f t="shared" si="152"/>
        <v>0.5</v>
      </c>
      <c r="E1190" s="6" t="s">
        <v>19</v>
      </c>
      <c r="F1190" s="6" t="str">
        <f>MID(A1190,19,1)</f>
        <v>N</v>
      </c>
      <c r="G1190" s="6">
        <v>-23.188518427952928</v>
      </c>
      <c r="H1190" s="6">
        <v>-46.906697281206597</v>
      </c>
      <c r="I1190" s="9">
        <v>0.4</v>
      </c>
      <c r="K1190" s="6">
        <v>2.2000000000000002</v>
      </c>
      <c r="N1190" s="1">
        <f t="shared" si="149"/>
        <v>0</v>
      </c>
      <c r="O1190" s="8"/>
      <c r="P1190" s="8"/>
      <c r="Q1190" s="8" t="s">
        <v>21</v>
      </c>
      <c r="R1190" s="8" t="s">
        <v>21</v>
      </c>
      <c r="S1190" s="8" t="s">
        <v>21</v>
      </c>
      <c r="T1190" s="8" t="s">
        <v>21</v>
      </c>
      <c r="U1190" s="6">
        <f t="shared" si="150"/>
        <v>0</v>
      </c>
      <c r="V1190" s="6">
        <f t="shared" si="151"/>
        <v>0</v>
      </c>
    </row>
    <row r="1191" spans="1:22" hidden="1" x14ac:dyDescent="0.35">
      <c r="A1191" s="6" t="s">
        <v>1329</v>
      </c>
      <c r="B1191" s="6" t="s">
        <v>1291</v>
      </c>
      <c r="C1191" s="6" t="s">
        <v>1292</v>
      </c>
      <c r="D1191" s="6">
        <f t="shared" si="152"/>
        <v>0.5</v>
      </c>
      <c r="E1191" s="6" t="s">
        <v>19</v>
      </c>
      <c r="F1191" s="6" t="str">
        <f>MID(A1191,19,1)</f>
        <v>S</v>
      </c>
      <c r="G1191" s="6">
        <v>-23.187654060791239</v>
      </c>
      <c r="H1191" s="6">
        <v>-46.932935901655974</v>
      </c>
      <c r="I1191" s="9">
        <v>1290.02</v>
      </c>
      <c r="K1191" s="6">
        <v>7.13</v>
      </c>
      <c r="L1191" s="6">
        <v>0</v>
      </c>
      <c r="N1191" s="1">
        <f t="shared" si="149"/>
        <v>0</v>
      </c>
      <c r="O1191" s="8"/>
      <c r="P1191" s="8"/>
      <c r="Q1191" s="8" t="s">
        <v>21</v>
      </c>
      <c r="R1191" s="8" t="s">
        <v>21</v>
      </c>
      <c r="S1191" s="8" t="s">
        <v>21</v>
      </c>
      <c r="T1191" s="8" t="s">
        <v>21</v>
      </c>
      <c r="U1191" s="6">
        <f t="shared" si="150"/>
        <v>0</v>
      </c>
      <c r="V1191" s="6">
        <f t="shared" si="151"/>
        <v>0</v>
      </c>
    </row>
    <row r="1192" spans="1:22" hidden="1" x14ac:dyDescent="0.35">
      <c r="A1192" s="6" t="s">
        <v>1330</v>
      </c>
      <c r="B1192" s="6" t="s">
        <v>1291</v>
      </c>
      <c r="C1192" s="6" t="s">
        <v>1292</v>
      </c>
      <c r="D1192" s="6">
        <f t="shared" si="152"/>
        <v>0.5</v>
      </c>
      <c r="E1192" s="6" t="s">
        <v>23</v>
      </c>
      <c r="F1192" s="6" t="str">
        <f>MID(A1192,19,1)</f>
        <v>C</v>
      </c>
      <c r="G1192" s="6">
        <v>-23.182327945451291</v>
      </c>
      <c r="H1192" s="6">
        <v>-46.934139871207591</v>
      </c>
      <c r="I1192" s="7">
        <v>11838.09</v>
      </c>
      <c r="J1192" s="9">
        <f>I1192/500</f>
        <v>23.676179999999999</v>
      </c>
      <c r="K1192" s="6">
        <v>5.32</v>
      </c>
      <c r="L1192" s="6">
        <v>60</v>
      </c>
      <c r="N1192" s="1">
        <f t="shared" si="149"/>
        <v>0</v>
      </c>
      <c r="O1192" s="8" t="s">
        <v>185</v>
      </c>
      <c r="P1192" s="8"/>
      <c r="Q1192" s="8" t="s">
        <v>21</v>
      </c>
      <c r="R1192" s="8" t="s">
        <v>21</v>
      </c>
      <c r="S1192" s="8" t="s">
        <v>21</v>
      </c>
      <c r="T1192" s="8" t="s">
        <v>21</v>
      </c>
      <c r="U1192" s="6">
        <f t="shared" si="150"/>
        <v>7102.8540000000003</v>
      </c>
      <c r="V1192" s="6">
        <f t="shared" si="151"/>
        <v>7102.8540000000003</v>
      </c>
    </row>
    <row r="1193" spans="1:22" hidden="1" x14ac:dyDescent="0.35">
      <c r="A1193" s="6" t="s">
        <v>1331</v>
      </c>
      <c r="B1193" s="6" t="s">
        <v>1291</v>
      </c>
      <c r="C1193" s="6" t="s">
        <v>1292</v>
      </c>
      <c r="D1193" s="6">
        <f t="shared" si="152"/>
        <v>0.5</v>
      </c>
      <c r="E1193" s="6" t="s">
        <v>19</v>
      </c>
      <c r="F1193" s="6" t="str">
        <f>MID(A1193,19,1)</f>
        <v>S</v>
      </c>
      <c r="G1193" s="6">
        <v>-23.19294746797058</v>
      </c>
      <c r="H1193" s="6">
        <v>-46.90660225680719</v>
      </c>
      <c r="I1193" s="9">
        <v>517.14</v>
      </c>
      <c r="K1193" s="6">
        <v>2.9</v>
      </c>
      <c r="L1193" s="6">
        <v>60</v>
      </c>
      <c r="N1193" s="1">
        <f t="shared" si="149"/>
        <v>0</v>
      </c>
      <c r="O1193" s="8" t="s">
        <v>20</v>
      </c>
      <c r="P1193" s="8"/>
      <c r="Q1193" s="8" t="s">
        <v>21</v>
      </c>
      <c r="R1193" s="8" t="s">
        <v>21</v>
      </c>
      <c r="S1193" s="8" t="s">
        <v>21</v>
      </c>
      <c r="T1193" s="8" t="s">
        <v>21</v>
      </c>
      <c r="U1193" s="6">
        <f t="shared" si="150"/>
        <v>310.28399999999999</v>
      </c>
      <c r="V1193" s="6">
        <f t="shared" si="151"/>
        <v>310.28399999999999</v>
      </c>
    </row>
    <row r="1194" spans="1:22" hidden="1" x14ac:dyDescent="0.35">
      <c r="A1194" s="6" t="s">
        <v>1332</v>
      </c>
      <c r="B1194" s="6" t="s">
        <v>1291</v>
      </c>
      <c r="C1194" s="6" t="s">
        <v>1292</v>
      </c>
      <c r="D1194" s="6">
        <f t="shared" si="152"/>
        <v>0.5</v>
      </c>
      <c r="E1194" s="6" t="s">
        <v>23</v>
      </c>
      <c r="F1194" s="6" t="str">
        <f>MID(A1194,19,1)</f>
        <v>C</v>
      </c>
      <c r="G1194" s="6">
        <v>-23.185108253927201</v>
      </c>
      <c r="H1194" s="6">
        <v>-46.933195028759272</v>
      </c>
      <c r="I1194" s="7">
        <v>4447.9399999999996</v>
      </c>
      <c r="J1194" s="9">
        <f>I1194/500</f>
        <v>8.89588</v>
      </c>
      <c r="K1194" s="6">
        <v>7.21</v>
      </c>
      <c r="L1194" s="6">
        <v>60</v>
      </c>
      <c r="N1194" s="1">
        <f t="shared" si="149"/>
        <v>0</v>
      </c>
      <c r="O1194" s="8" t="s">
        <v>185</v>
      </c>
      <c r="P1194" s="8"/>
      <c r="Q1194" s="8" t="s">
        <v>21</v>
      </c>
      <c r="R1194" s="8" t="s">
        <v>21</v>
      </c>
      <c r="S1194" s="8" t="s">
        <v>21</v>
      </c>
      <c r="T1194" s="8" t="s">
        <v>21</v>
      </c>
      <c r="U1194" s="6">
        <f t="shared" si="150"/>
        <v>2668.7639999999997</v>
      </c>
      <c r="V1194" s="6">
        <f t="shared" si="151"/>
        <v>2668.7639999999997</v>
      </c>
    </row>
    <row r="1195" spans="1:22" hidden="1" x14ac:dyDescent="0.35">
      <c r="A1195" s="6" t="s">
        <v>1333</v>
      </c>
      <c r="B1195" s="6" t="s">
        <v>1291</v>
      </c>
      <c r="C1195" s="6" t="s">
        <v>1292</v>
      </c>
      <c r="D1195" s="6">
        <f t="shared" si="152"/>
        <v>0.5</v>
      </c>
      <c r="E1195" s="6" t="s">
        <v>19</v>
      </c>
      <c r="F1195" s="6" t="str">
        <f>MID(A1195,19,1)</f>
        <v>S</v>
      </c>
      <c r="G1195" s="6">
        <v>-23.187231108853549</v>
      </c>
      <c r="H1195" s="6">
        <v>-46.932919672126957</v>
      </c>
      <c r="I1195" s="9">
        <v>3252.09</v>
      </c>
      <c r="K1195" s="6">
        <v>7.9</v>
      </c>
      <c r="L1195" s="6">
        <v>0</v>
      </c>
      <c r="N1195" s="1">
        <f t="shared" si="149"/>
        <v>0</v>
      </c>
      <c r="O1195" s="8"/>
      <c r="P1195" s="8"/>
      <c r="Q1195" s="8" t="s">
        <v>21</v>
      </c>
      <c r="R1195" s="8" t="s">
        <v>21</v>
      </c>
      <c r="S1195" s="8" t="s">
        <v>21</v>
      </c>
      <c r="T1195" s="8" t="s">
        <v>21</v>
      </c>
      <c r="U1195" s="6">
        <f t="shared" si="150"/>
        <v>0</v>
      </c>
      <c r="V1195" s="6">
        <f t="shared" si="151"/>
        <v>0</v>
      </c>
    </row>
    <row r="1196" spans="1:22" x14ac:dyDescent="0.35">
      <c r="A1196" s="6" t="s">
        <v>1334</v>
      </c>
      <c r="B1196" s="6" t="s">
        <v>1335</v>
      </c>
      <c r="C1196" s="6" t="s">
        <v>1336</v>
      </c>
      <c r="D1196" s="6">
        <f t="shared" si="152"/>
        <v>0.5</v>
      </c>
      <c r="E1196" s="6" t="s">
        <v>19</v>
      </c>
      <c r="F1196" s="6" t="str">
        <f>MID(A1196,19,1)</f>
        <v>N</v>
      </c>
      <c r="G1196" s="6">
        <v>-23.18431115701134</v>
      </c>
      <c r="H1196" s="6">
        <v>-46.908492517986211</v>
      </c>
      <c r="I1196" s="9">
        <v>206.9</v>
      </c>
      <c r="K1196" s="6">
        <v>5.75</v>
      </c>
      <c r="L1196" s="6">
        <v>60</v>
      </c>
      <c r="N1196" s="1">
        <f t="shared" si="149"/>
        <v>0</v>
      </c>
      <c r="O1196" s="8" t="s">
        <v>20</v>
      </c>
      <c r="P1196" s="8"/>
      <c r="Q1196" s="8" t="s">
        <v>21</v>
      </c>
      <c r="R1196" s="8" t="s">
        <v>21</v>
      </c>
      <c r="S1196" s="8" t="s">
        <v>21</v>
      </c>
      <c r="T1196" s="8" t="s">
        <v>21</v>
      </c>
      <c r="U1196" s="6">
        <f t="shared" si="150"/>
        <v>124.14</v>
      </c>
      <c r="V1196" s="6">
        <f t="shared" si="151"/>
        <v>124.14</v>
      </c>
    </row>
    <row r="1197" spans="1:22" hidden="1" x14ac:dyDescent="0.35">
      <c r="A1197" s="6" t="s">
        <v>1337</v>
      </c>
      <c r="B1197" s="6" t="s">
        <v>1335</v>
      </c>
      <c r="C1197" s="6" t="s">
        <v>1336</v>
      </c>
      <c r="D1197" s="6">
        <f t="shared" si="152"/>
        <v>0.5</v>
      </c>
      <c r="E1197" s="6" t="s">
        <v>19</v>
      </c>
      <c r="F1197" s="6" t="str">
        <f>MID(A1197,19,1)</f>
        <v>S</v>
      </c>
      <c r="G1197" s="6">
        <v>-23.18332259196297</v>
      </c>
      <c r="H1197" s="6">
        <v>-46.910170346384163</v>
      </c>
      <c r="I1197" s="9">
        <v>2090.21</v>
      </c>
      <c r="K1197" s="6">
        <v>9.09</v>
      </c>
      <c r="L1197" s="6">
        <v>60</v>
      </c>
      <c r="N1197" s="1">
        <f t="shared" si="149"/>
        <v>0</v>
      </c>
      <c r="O1197" s="8" t="s">
        <v>20</v>
      </c>
      <c r="P1197" s="8"/>
      <c r="Q1197" s="8" t="s">
        <v>21</v>
      </c>
      <c r="R1197" s="8" t="s">
        <v>21</v>
      </c>
      <c r="S1197" s="8" t="s">
        <v>21</v>
      </c>
      <c r="T1197" s="8" t="s">
        <v>21</v>
      </c>
      <c r="U1197" s="6">
        <f t="shared" si="150"/>
        <v>1254.126</v>
      </c>
      <c r="V1197" s="6">
        <f t="shared" si="151"/>
        <v>1254.126</v>
      </c>
    </row>
    <row r="1198" spans="1:22" x14ac:dyDescent="0.35">
      <c r="A1198" s="6" t="s">
        <v>1338</v>
      </c>
      <c r="B1198" s="6" t="s">
        <v>1335</v>
      </c>
      <c r="C1198" s="6" t="s">
        <v>1336</v>
      </c>
      <c r="D1198" s="6">
        <f t="shared" si="152"/>
        <v>0.5</v>
      </c>
      <c r="E1198" s="6" t="s">
        <v>19</v>
      </c>
      <c r="F1198" s="6" t="str">
        <f>MID(A1198,19,1)</f>
        <v>N</v>
      </c>
      <c r="G1198" s="6">
        <v>-23.176502094132729</v>
      </c>
      <c r="H1198" s="6">
        <v>-46.93584901781049</v>
      </c>
      <c r="I1198" s="9">
        <v>1044.9100000000001</v>
      </c>
      <c r="K1198" s="6">
        <v>10.19</v>
      </c>
      <c r="L1198" s="6">
        <v>70</v>
      </c>
      <c r="N1198" s="1">
        <f t="shared" si="149"/>
        <v>0</v>
      </c>
      <c r="O1198" s="8" t="s">
        <v>20</v>
      </c>
      <c r="P1198" s="8"/>
      <c r="Q1198" s="8" t="s">
        <v>21</v>
      </c>
      <c r="R1198" s="8" t="s">
        <v>21</v>
      </c>
      <c r="S1198" s="8" t="s">
        <v>21</v>
      </c>
      <c r="T1198" s="8" t="s">
        <v>21</v>
      </c>
      <c r="U1198" s="6">
        <f t="shared" si="150"/>
        <v>731.43700000000001</v>
      </c>
      <c r="V1198" s="6">
        <f t="shared" si="151"/>
        <v>731.43700000000001</v>
      </c>
    </row>
    <row r="1199" spans="1:22" hidden="1" x14ac:dyDescent="0.35">
      <c r="A1199" s="6" t="s">
        <v>1339</v>
      </c>
      <c r="B1199" s="6" t="s">
        <v>1335</v>
      </c>
      <c r="C1199" s="6" t="s">
        <v>1336</v>
      </c>
      <c r="D1199" s="6">
        <f t="shared" si="152"/>
        <v>0.5</v>
      </c>
      <c r="E1199" s="6" t="s">
        <v>23</v>
      </c>
      <c r="F1199" s="6" t="str">
        <f>MID(A1199,19,1)</f>
        <v>C</v>
      </c>
      <c r="G1199" s="6">
        <v>-23.17387356359767</v>
      </c>
      <c r="H1199" s="6">
        <v>-46.936311719263678</v>
      </c>
      <c r="I1199" s="7">
        <v>18156.95</v>
      </c>
      <c r="J1199" s="9">
        <f>I1199/500</f>
        <v>36.313900000000004</v>
      </c>
      <c r="K1199" s="6">
        <v>8.36</v>
      </c>
      <c r="L1199" s="6">
        <v>70</v>
      </c>
      <c r="N1199" s="1">
        <f t="shared" si="149"/>
        <v>0</v>
      </c>
      <c r="O1199" s="8" t="s">
        <v>20</v>
      </c>
      <c r="P1199" s="8"/>
      <c r="Q1199" s="8" t="s">
        <v>21</v>
      </c>
      <c r="R1199" s="8" t="s">
        <v>21</v>
      </c>
      <c r="S1199" s="8" t="s">
        <v>21</v>
      </c>
      <c r="T1199" s="8" t="s">
        <v>21</v>
      </c>
      <c r="U1199" s="6">
        <f t="shared" si="150"/>
        <v>12709.865</v>
      </c>
      <c r="V1199" s="6">
        <f t="shared" si="151"/>
        <v>12709.865</v>
      </c>
    </row>
    <row r="1200" spans="1:22" hidden="1" x14ac:dyDescent="0.35">
      <c r="A1200" s="6" t="s">
        <v>1340</v>
      </c>
      <c r="B1200" s="6" t="s">
        <v>1335</v>
      </c>
      <c r="C1200" s="6" t="s">
        <v>1336</v>
      </c>
      <c r="D1200" s="6">
        <f t="shared" si="152"/>
        <v>0.5</v>
      </c>
      <c r="E1200" s="6" t="s">
        <v>19</v>
      </c>
      <c r="F1200" s="6" t="str">
        <f>MID(A1200,19,1)</f>
        <v>S</v>
      </c>
      <c r="G1200" s="6">
        <v>-23.18096580612681</v>
      </c>
      <c r="H1200" s="6">
        <v>-46.911940185875338</v>
      </c>
      <c r="I1200" s="9">
        <v>1579.68</v>
      </c>
      <c r="K1200" s="6">
        <v>3.1</v>
      </c>
      <c r="L1200" s="6">
        <v>60</v>
      </c>
      <c r="N1200" s="1">
        <f t="shared" si="149"/>
        <v>0</v>
      </c>
      <c r="O1200" s="8" t="s">
        <v>20</v>
      </c>
      <c r="P1200" s="8"/>
      <c r="Q1200" s="8" t="s">
        <v>21</v>
      </c>
      <c r="R1200" s="8" t="s">
        <v>21</v>
      </c>
      <c r="S1200" s="8" t="s">
        <v>21</v>
      </c>
      <c r="T1200" s="8" t="s">
        <v>21</v>
      </c>
      <c r="U1200" s="6">
        <f t="shared" si="150"/>
        <v>947.80799999999999</v>
      </c>
      <c r="V1200" s="6">
        <f t="shared" si="151"/>
        <v>947.80799999999999</v>
      </c>
    </row>
    <row r="1201" spans="1:22" hidden="1" x14ac:dyDescent="0.35">
      <c r="A1201" s="6" t="s">
        <v>1341</v>
      </c>
      <c r="B1201" s="6" t="s">
        <v>1335</v>
      </c>
      <c r="C1201" s="6" t="s">
        <v>1336</v>
      </c>
      <c r="D1201" s="6">
        <f t="shared" si="152"/>
        <v>0.5</v>
      </c>
      <c r="E1201" s="6" t="s">
        <v>23</v>
      </c>
      <c r="F1201" s="6" t="str">
        <f>MID(A1201,19,1)</f>
        <v>C</v>
      </c>
      <c r="G1201" s="6">
        <v>-23.173070263876671</v>
      </c>
      <c r="H1201" s="6">
        <v>-46.937004736762987</v>
      </c>
      <c r="I1201" s="7">
        <v>13691.75</v>
      </c>
      <c r="J1201" s="9">
        <f>I1201/500</f>
        <v>27.383500000000002</v>
      </c>
      <c r="K1201" s="6">
        <v>5.87</v>
      </c>
      <c r="L1201" s="6">
        <v>70</v>
      </c>
      <c r="N1201" s="1">
        <f t="shared" si="149"/>
        <v>0</v>
      </c>
      <c r="O1201" s="8" t="s">
        <v>20</v>
      </c>
      <c r="P1201" s="8"/>
      <c r="Q1201" s="8" t="s">
        <v>21</v>
      </c>
      <c r="R1201" s="8" t="s">
        <v>21</v>
      </c>
      <c r="S1201" s="8" t="s">
        <v>21</v>
      </c>
      <c r="T1201" s="8" t="s">
        <v>21</v>
      </c>
      <c r="U1201" s="6">
        <f t="shared" si="150"/>
        <v>9584.2249999999985</v>
      </c>
      <c r="V1201" s="6">
        <f t="shared" si="151"/>
        <v>9584.2249999999985</v>
      </c>
    </row>
    <row r="1202" spans="1:22" x14ac:dyDescent="0.35">
      <c r="A1202" s="6" t="s">
        <v>1342</v>
      </c>
      <c r="B1202" s="6" t="s">
        <v>1335</v>
      </c>
      <c r="C1202" s="6" t="s">
        <v>1336</v>
      </c>
      <c r="D1202" s="6">
        <f t="shared" si="152"/>
        <v>0.5</v>
      </c>
      <c r="E1202" s="6" t="s">
        <v>19</v>
      </c>
      <c r="F1202" s="6" t="str">
        <f>MID(A1202,19,1)</f>
        <v>N</v>
      </c>
      <c r="G1202" s="6">
        <v>-23.172049613604081</v>
      </c>
      <c r="H1202" s="6">
        <v>-46.936189331105417</v>
      </c>
      <c r="I1202" s="9">
        <v>14443.87</v>
      </c>
      <c r="K1202" s="6">
        <v>2.82</v>
      </c>
      <c r="L1202" s="6">
        <v>70</v>
      </c>
      <c r="N1202" s="1">
        <f t="shared" si="149"/>
        <v>0</v>
      </c>
      <c r="O1202" s="8" t="s">
        <v>20</v>
      </c>
      <c r="P1202" s="8"/>
      <c r="Q1202" s="8" t="s">
        <v>21</v>
      </c>
      <c r="R1202" s="8" t="s">
        <v>21</v>
      </c>
      <c r="S1202" s="8" t="s">
        <v>21</v>
      </c>
      <c r="T1202" s="8" t="s">
        <v>21</v>
      </c>
      <c r="U1202" s="6">
        <f t="shared" si="150"/>
        <v>10110.709000000001</v>
      </c>
      <c r="V1202" s="6">
        <f t="shared" si="151"/>
        <v>10110.709000000001</v>
      </c>
    </row>
    <row r="1203" spans="1:22" hidden="1" x14ac:dyDescent="0.35">
      <c r="A1203" s="6" t="s">
        <v>1343</v>
      </c>
      <c r="B1203" s="6" t="s">
        <v>1335</v>
      </c>
      <c r="C1203" s="6" t="s">
        <v>1336</v>
      </c>
      <c r="D1203" s="6">
        <f t="shared" si="152"/>
        <v>0.5</v>
      </c>
      <c r="E1203" s="6" t="s">
        <v>19</v>
      </c>
      <c r="F1203" s="6" t="str">
        <f>MID(A1203,19,1)</f>
        <v>S</v>
      </c>
      <c r="G1203" s="6">
        <v>-23.181292021533501</v>
      </c>
      <c r="H1203" s="6">
        <v>-46.911950768321887</v>
      </c>
      <c r="I1203" s="9">
        <v>322.81</v>
      </c>
      <c r="K1203" s="6">
        <v>1.28</v>
      </c>
      <c r="L1203" s="6">
        <v>60</v>
      </c>
      <c r="N1203" s="1">
        <f t="shared" si="149"/>
        <v>0</v>
      </c>
      <c r="O1203" s="8" t="s">
        <v>20</v>
      </c>
      <c r="P1203" s="8"/>
      <c r="Q1203" s="8" t="s">
        <v>21</v>
      </c>
      <c r="R1203" s="8" t="s">
        <v>21</v>
      </c>
      <c r="S1203" s="8" t="s">
        <v>21</v>
      </c>
      <c r="T1203" s="8" t="s">
        <v>21</v>
      </c>
      <c r="U1203" s="6">
        <f t="shared" si="150"/>
        <v>193.68600000000001</v>
      </c>
      <c r="V1203" s="6">
        <f t="shared" si="151"/>
        <v>193.68600000000001</v>
      </c>
    </row>
    <row r="1204" spans="1:22" hidden="1" x14ac:dyDescent="0.35">
      <c r="A1204" s="6" t="s">
        <v>1344</v>
      </c>
      <c r="B1204" s="6" t="s">
        <v>1335</v>
      </c>
      <c r="C1204" s="6" t="s">
        <v>1336</v>
      </c>
      <c r="D1204" s="6">
        <f t="shared" si="152"/>
        <v>0.5</v>
      </c>
      <c r="E1204" s="6" t="s">
        <v>19</v>
      </c>
      <c r="F1204" s="6" t="str">
        <f>MID(A1204,19,1)</f>
        <v>S</v>
      </c>
      <c r="G1204" s="6">
        <v>-23.181429730205689</v>
      </c>
      <c r="H1204" s="6">
        <v>-46.911819139996773</v>
      </c>
      <c r="I1204" s="9">
        <v>158.06</v>
      </c>
      <c r="K1204" s="6">
        <v>2.21</v>
      </c>
      <c r="L1204" s="6">
        <v>60</v>
      </c>
      <c r="N1204" s="1">
        <f t="shared" si="149"/>
        <v>0</v>
      </c>
      <c r="O1204" s="8" t="s">
        <v>20</v>
      </c>
      <c r="P1204" s="8"/>
      <c r="Q1204" s="8" t="s">
        <v>21</v>
      </c>
      <c r="R1204" s="8" t="s">
        <v>21</v>
      </c>
      <c r="S1204" s="8" t="s">
        <v>21</v>
      </c>
      <c r="T1204" s="8" t="s">
        <v>21</v>
      </c>
      <c r="U1204" s="6">
        <f t="shared" si="150"/>
        <v>94.835999999999999</v>
      </c>
      <c r="V1204" s="6">
        <f t="shared" si="151"/>
        <v>94.835999999999999</v>
      </c>
    </row>
    <row r="1205" spans="1:22" hidden="1" x14ac:dyDescent="0.35">
      <c r="A1205" s="6" t="s">
        <v>1345</v>
      </c>
      <c r="B1205" s="6" t="s">
        <v>1335</v>
      </c>
      <c r="C1205" s="6" t="s">
        <v>1336</v>
      </c>
      <c r="D1205" s="6">
        <f t="shared" si="152"/>
        <v>0.5</v>
      </c>
      <c r="E1205" s="6" t="s">
        <v>19</v>
      </c>
      <c r="F1205" s="6" t="str">
        <f>MID(A1205,19,1)</f>
        <v>S</v>
      </c>
      <c r="G1205" s="6">
        <v>-23.179692231871091</v>
      </c>
      <c r="H1205" s="6">
        <v>-46.913630987178117</v>
      </c>
      <c r="I1205" s="9">
        <v>1808.46</v>
      </c>
      <c r="K1205" s="6">
        <v>8.48</v>
      </c>
      <c r="L1205" s="6">
        <v>60</v>
      </c>
      <c r="N1205" s="1">
        <f t="shared" si="149"/>
        <v>0</v>
      </c>
      <c r="O1205" s="8" t="s">
        <v>20</v>
      </c>
      <c r="P1205" s="8"/>
      <c r="Q1205" s="8" t="s">
        <v>21</v>
      </c>
      <c r="R1205" s="8" t="s">
        <v>21</v>
      </c>
      <c r="S1205" s="8" t="s">
        <v>21</v>
      </c>
      <c r="T1205" s="8" t="s">
        <v>21</v>
      </c>
      <c r="U1205" s="6">
        <f t="shared" si="150"/>
        <v>1085.076</v>
      </c>
      <c r="V1205" s="6">
        <f t="shared" si="151"/>
        <v>1085.076</v>
      </c>
    </row>
    <row r="1206" spans="1:22" x14ac:dyDescent="0.35">
      <c r="A1206" s="6" t="s">
        <v>1346</v>
      </c>
      <c r="B1206" s="6" t="s">
        <v>1335</v>
      </c>
      <c r="C1206" s="6" t="s">
        <v>1336</v>
      </c>
      <c r="D1206" s="6">
        <f t="shared" si="152"/>
        <v>0.5</v>
      </c>
      <c r="E1206" s="6" t="s">
        <v>19</v>
      </c>
      <c r="F1206" s="6" t="str">
        <f>MID(A1206,19,1)</f>
        <v>N</v>
      </c>
      <c r="G1206" s="6">
        <v>-23.171899972921288</v>
      </c>
      <c r="H1206" s="6">
        <v>-46.936144874857042</v>
      </c>
      <c r="I1206" s="9">
        <v>13404.66</v>
      </c>
      <c r="K1206" s="6">
        <v>4.71</v>
      </c>
      <c r="L1206" s="6">
        <v>70</v>
      </c>
      <c r="N1206" s="1">
        <f t="shared" si="149"/>
        <v>0</v>
      </c>
      <c r="O1206" s="8" t="s">
        <v>20</v>
      </c>
      <c r="P1206" s="8"/>
      <c r="Q1206" s="8" t="s">
        <v>21</v>
      </c>
      <c r="R1206" s="8" t="s">
        <v>21</v>
      </c>
      <c r="S1206" s="8" t="s">
        <v>21</v>
      </c>
      <c r="T1206" s="8" t="s">
        <v>21</v>
      </c>
      <c r="U1206" s="6">
        <f t="shared" si="150"/>
        <v>9383.2619999999988</v>
      </c>
      <c r="V1206" s="6">
        <f t="shared" si="151"/>
        <v>9383.2619999999988</v>
      </c>
    </row>
    <row r="1207" spans="1:22" x14ac:dyDescent="0.35">
      <c r="A1207" s="6" t="s">
        <v>1347</v>
      </c>
      <c r="B1207" s="6" t="s">
        <v>1335</v>
      </c>
      <c r="C1207" s="6" t="s">
        <v>1336</v>
      </c>
      <c r="D1207" s="6">
        <f t="shared" si="152"/>
        <v>0.5</v>
      </c>
      <c r="E1207" s="6" t="s">
        <v>19</v>
      </c>
      <c r="F1207" s="6" t="str">
        <f>MID(A1207,19,1)</f>
        <v>N</v>
      </c>
      <c r="G1207" s="6">
        <v>-23.18065122721616</v>
      </c>
      <c r="H1207" s="6">
        <v>-46.91168956959141</v>
      </c>
      <c r="I1207" s="9">
        <v>1146.67</v>
      </c>
      <c r="K1207" s="6">
        <v>3.93</v>
      </c>
      <c r="L1207" s="6">
        <v>70</v>
      </c>
      <c r="N1207" s="1">
        <f t="shared" si="149"/>
        <v>0</v>
      </c>
      <c r="O1207" s="8" t="s">
        <v>20</v>
      </c>
      <c r="P1207" s="8"/>
      <c r="Q1207" s="8" t="s">
        <v>21</v>
      </c>
      <c r="R1207" s="8" t="s">
        <v>21</v>
      </c>
      <c r="S1207" s="8" t="s">
        <v>21</v>
      </c>
      <c r="T1207" s="8" t="s">
        <v>21</v>
      </c>
      <c r="U1207" s="6">
        <f t="shared" si="150"/>
        <v>802.66899999999998</v>
      </c>
      <c r="V1207" s="6">
        <f t="shared" si="151"/>
        <v>802.66899999999998</v>
      </c>
    </row>
    <row r="1208" spans="1:22" x14ac:dyDescent="0.35">
      <c r="A1208" s="6" t="s">
        <v>1348</v>
      </c>
      <c r="B1208" s="6" t="s">
        <v>1335</v>
      </c>
      <c r="C1208" s="6" t="s">
        <v>1336</v>
      </c>
      <c r="D1208" s="6">
        <f t="shared" si="152"/>
        <v>0.5</v>
      </c>
      <c r="E1208" s="6" t="s">
        <v>19</v>
      </c>
      <c r="F1208" s="6" t="str">
        <f>MID(A1208,19,1)</f>
        <v>N</v>
      </c>
      <c r="G1208" s="6">
        <v>-23.17812823957507</v>
      </c>
      <c r="H1208" s="6">
        <v>-46.935208868044057</v>
      </c>
      <c r="I1208" s="9">
        <v>1943.18</v>
      </c>
      <c r="K1208" s="6">
        <v>8.6</v>
      </c>
      <c r="L1208" s="6">
        <v>60</v>
      </c>
      <c r="N1208" s="1">
        <f t="shared" si="149"/>
        <v>0</v>
      </c>
      <c r="O1208" s="8" t="s">
        <v>20</v>
      </c>
      <c r="P1208" s="8"/>
      <c r="Q1208" s="8" t="s">
        <v>21</v>
      </c>
      <c r="R1208" s="8" t="s">
        <v>21</v>
      </c>
      <c r="S1208" s="8" t="s">
        <v>21</v>
      </c>
      <c r="T1208" s="8" t="s">
        <v>21</v>
      </c>
      <c r="U1208" s="6">
        <f t="shared" si="150"/>
        <v>1165.9079999999999</v>
      </c>
      <c r="V1208" s="6">
        <f t="shared" si="151"/>
        <v>1165.9079999999999</v>
      </c>
    </row>
    <row r="1209" spans="1:22" x14ac:dyDescent="0.35">
      <c r="A1209" s="6" t="s">
        <v>1349</v>
      </c>
      <c r="B1209" s="6" t="s">
        <v>1335</v>
      </c>
      <c r="C1209" s="6" t="s">
        <v>1336</v>
      </c>
      <c r="D1209" s="6">
        <f t="shared" si="152"/>
        <v>0.5</v>
      </c>
      <c r="E1209" s="6" t="s">
        <v>19</v>
      </c>
      <c r="F1209" s="6" t="str">
        <f>MID(A1209,19,1)</f>
        <v>N</v>
      </c>
      <c r="G1209" s="6">
        <v>-23.182644256017301</v>
      </c>
      <c r="H1209" s="6">
        <v>-46.910006808113927</v>
      </c>
      <c r="I1209" s="9">
        <v>5474.55</v>
      </c>
      <c r="K1209" s="6">
        <v>5.38</v>
      </c>
      <c r="L1209" s="6">
        <v>60</v>
      </c>
      <c r="N1209" s="1">
        <f t="shared" si="149"/>
        <v>0</v>
      </c>
      <c r="O1209" s="8" t="s">
        <v>20</v>
      </c>
      <c r="P1209" s="8"/>
      <c r="Q1209" s="8" t="s">
        <v>21</v>
      </c>
      <c r="R1209" s="8" t="s">
        <v>21</v>
      </c>
      <c r="S1209" s="8" t="s">
        <v>21</v>
      </c>
      <c r="T1209" s="8" t="s">
        <v>21</v>
      </c>
      <c r="U1209" s="6">
        <f t="shared" si="150"/>
        <v>3284.73</v>
      </c>
      <c r="V1209" s="6">
        <f t="shared" si="151"/>
        <v>3284.73</v>
      </c>
    </row>
    <row r="1210" spans="1:22" hidden="1" x14ac:dyDescent="0.35">
      <c r="A1210" s="6" t="s">
        <v>1350</v>
      </c>
      <c r="B1210" s="6" t="s">
        <v>1335</v>
      </c>
      <c r="C1210" s="6" t="s">
        <v>1336</v>
      </c>
      <c r="D1210" s="6">
        <f t="shared" si="152"/>
        <v>0.5</v>
      </c>
      <c r="E1210" s="6" t="s">
        <v>19</v>
      </c>
      <c r="F1210" s="6" t="str">
        <f>MID(A1210,19,1)</f>
        <v>S</v>
      </c>
      <c r="G1210" s="6">
        <v>-23.17932340905223</v>
      </c>
      <c r="H1210" s="6">
        <v>-46.913786206360562</v>
      </c>
      <c r="I1210" s="9">
        <v>6736.26</v>
      </c>
      <c r="K1210" s="6">
        <v>7.61</v>
      </c>
      <c r="L1210" s="6">
        <v>60</v>
      </c>
      <c r="N1210" s="1">
        <f t="shared" si="149"/>
        <v>0</v>
      </c>
      <c r="O1210" s="8" t="s">
        <v>20</v>
      </c>
      <c r="P1210" s="8"/>
      <c r="Q1210" s="8" t="s">
        <v>21</v>
      </c>
      <c r="R1210" s="8" t="s">
        <v>21</v>
      </c>
      <c r="S1210" s="8" t="s">
        <v>21</v>
      </c>
      <c r="T1210" s="8" t="s">
        <v>21</v>
      </c>
      <c r="U1210" s="6">
        <f t="shared" si="150"/>
        <v>4041.7559999999999</v>
      </c>
      <c r="V1210" s="6">
        <f t="shared" si="151"/>
        <v>4041.7559999999999</v>
      </c>
    </row>
    <row r="1211" spans="1:22" hidden="1" x14ac:dyDescent="0.35">
      <c r="A1211" s="6" t="s">
        <v>1351</v>
      </c>
      <c r="B1211" s="6" t="s">
        <v>1335</v>
      </c>
      <c r="C1211" s="6" t="s">
        <v>1336</v>
      </c>
      <c r="D1211" s="6">
        <f t="shared" si="152"/>
        <v>0.5</v>
      </c>
      <c r="E1211" s="6" t="s">
        <v>19</v>
      </c>
      <c r="F1211" s="6" t="str">
        <f>MID(A1211,19,1)</f>
        <v>S</v>
      </c>
      <c r="G1211" s="6">
        <v>-23.178194773886901</v>
      </c>
      <c r="H1211" s="6">
        <v>-46.93592667547474</v>
      </c>
      <c r="I1211" s="9">
        <v>2026.84</v>
      </c>
      <c r="K1211" s="6">
        <v>5.36</v>
      </c>
      <c r="L1211" s="6">
        <v>50</v>
      </c>
      <c r="N1211" s="1">
        <f t="shared" si="149"/>
        <v>0</v>
      </c>
      <c r="O1211" s="8" t="s">
        <v>20</v>
      </c>
      <c r="P1211" s="8"/>
      <c r="Q1211" s="8" t="s">
        <v>21</v>
      </c>
      <c r="R1211" s="8" t="s">
        <v>21</v>
      </c>
      <c r="S1211" s="8" t="s">
        <v>21</v>
      </c>
      <c r="T1211" s="8" t="s">
        <v>21</v>
      </c>
      <c r="U1211" s="6">
        <f t="shared" si="150"/>
        <v>1013.42</v>
      </c>
      <c r="V1211" s="6">
        <f t="shared" si="151"/>
        <v>1013.42</v>
      </c>
    </row>
    <row r="1212" spans="1:22" hidden="1" x14ac:dyDescent="0.35">
      <c r="A1212" s="6" t="s">
        <v>1352</v>
      </c>
      <c r="B1212" s="6" t="s">
        <v>1335</v>
      </c>
      <c r="C1212" s="6" t="s">
        <v>1336</v>
      </c>
      <c r="D1212" s="6">
        <f t="shared" si="152"/>
        <v>0.5</v>
      </c>
      <c r="E1212" s="6" t="s">
        <v>19</v>
      </c>
      <c r="F1212" s="6" t="str">
        <f>MID(A1212,19,1)</f>
        <v>S</v>
      </c>
      <c r="G1212" s="6">
        <v>-23.174326024267849</v>
      </c>
      <c r="H1212" s="6">
        <v>-46.937985159003681</v>
      </c>
      <c r="I1212" s="9">
        <v>1836.55</v>
      </c>
      <c r="K1212" s="6">
        <v>7.4</v>
      </c>
      <c r="L1212" s="6">
        <v>30</v>
      </c>
      <c r="N1212" s="1">
        <f t="shared" si="149"/>
        <v>0</v>
      </c>
      <c r="O1212" s="8" t="s">
        <v>20</v>
      </c>
      <c r="P1212" s="8"/>
      <c r="Q1212" s="8" t="s">
        <v>21</v>
      </c>
      <c r="R1212" s="8" t="s">
        <v>21</v>
      </c>
      <c r="S1212" s="8" t="s">
        <v>21</v>
      </c>
      <c r="T1212" s="8" t="s">
        <v>21</v>
      </c>
      <c r="U1212" s="6">
        <f t="shared" si="150"/>
        <v>550.96499999999992</v>
      </c>
      <c r="V1212" s="6">
        <f t="shared" si="151"/>
        <v>550.96499999999992</v>
      </c>
    </row>
    <row r="1213" spans="1:22" hidden="1" x14ac:dyDescent="0.35">
      <c r="A1213" s="6" t="s">
        <v>1353</v>
      </c>
      <c r="B1213" s="6" t="s">
        <v>1335</v>
      </c>
      <c r="C1213" s="6" t="s">
        <v>1336</v>
      </c>
      <c r="D1213" s="6">
        <f t="shared" si="152"/>
        <v>0.5</v>
      </c>
      <c r="E1213" s="6" t="s">
        <v>19</v>
      </c>
      <c r="F1213" s="6" t="str">
        <f>MID(A1213,19,1)</f>
        <v>S</v>
      </c>
      <c r="G1213" s="6">
        <v>-23.17325814657044</v>
      </c>
      <c r="H1213" s="6">
        <v>-46.938503113294807</v>
      </c>
      <c r="I1213" s="9">
        <v>11534.21</v>
      </c>
      <c r="K1213" s="6">
        <v>7.26</v>
      </c>
      <c r="L1213" s="6">
        <v>30</v>
      </c>
      <c r="N1213" s="1">
        <f t="shared" si="149"/>
        <v>0</v>
      </c>
      <c r="O1213" s="8" t="s">
        <v>20</v>
      </c>
      <c r="P1213" s="8"/>
      <c r="Q1213" s="8" t="s">
        <v>21</v>
      </c>
      <c r="R1213" s="8" t="s">
        <v>21</v>
      </c>
      <c r="S1213" s="8" t="s">
        <v>21</v>
      </c>
      <c r="T1213" s="8" t="s">
        <v>21</v>
      </c>
      <c r="U1213" s="6">
        <f t="shared" si="150"/>
        <v>3460.2629999999995</v>
      </c>
      <c r="V1213" s="6">
        <f t="shared" si="151"/>
        <v>3460.2629999999995</v>
      </c>
    </row>
    <row r="1214" spans="1:22" x14ac:dyDescent="0.35">
      <c r="A1214" s="6" t="s">
        <v>1354</v>
      </c>
      <c r="B1214" s="6" t="s">
        <v>1335</v>
      </c>
      <c r="C1214" s="6" t="s">
        <v>1336</v>
      </c>
      <c r="D1214" s="6">
        <f t="shared" si="152"/>
        <v>0.5</v>
      </c>
      <c r="E1214" s="6" t="s">
        <v>19</v>
      </c>
      <c r="F1214" s="6" t="str">
        <f>MID(A1214,19,1)</f>
        <v>N</v>
      </c>
      <c r="G1214" s="6">
        <v>-23.182332898706569</v>
      </c>
      <c r="H1214" s="6">
        <v>-46.909950236995321</v>
      </c>
      <c r="I1214" s="9">
        <v>1658.53</v>
      </c>
      <c r="K1214" s="6">
        <v>5.68</v>
      </c>
      <c r="L1214" s="6">
        <v>60</v>
      </c>
      <c r="N1214" s="1">
        <f t="shared" si="149"/>
        <v>0</v>
      </c>
      <c r="O1214" s="8" t="s">
        <v>20</v>
      </c>
      <c r="P1214" s="8"/>
      <c r="Q1214" s="8" t="s">
        <v>21</v>
      </c>
      <c r="R1214" s="8" t="s">
        <v>21</v>
      </c>
      <c r="S1214" s="8" t="s">
        <v>21</v>
      </c>
      <c r="T1214" s="8" t="s">
        <v>21</v>
      </c>
      <c r="U1214" s="6">
        <f t="shared" si="150"/>
        <v>995.11799999999994</v>
      </c>
      <c r="V1214" s="6">
        <f t="shared" si="151"/>
        <v>995.11799999999994</v>
      </c>
    </row>
    <row r="1215" spans="1:22" x14ac:dyDescent="0.35">
      <c r="A1215" s="6" t="s">
        <v>1355</v>
      </c>
      <c r="B1215" s="6" t="s">
        <v>1335</v>
      </c>
      <c r="C1215" s="6" t="s">
        <v>1336</v>
      </c>
      <c r="D1215" s="6">
        <f t="shared" si="152"/>
        <v>0.5</v>
      </c>
      <c r="E1215" s="6" t="s">
        <v>19</v>
      </c>
      <c r="F1215" s="6" t="str">
        <f>MID(A1215,19,1)</f>
        <v>N</v>
      </c>
      <c r="G1215" s="6">
        <v>-23.172997572992578</v>
      </c>
      <c r="H1215" s="6">
        <v>-46.934973031138632</v>
      </c>
      <c r="I1215" s="9">
        <v>2249.06</v>
      </c>
      <c r="K1215" s="6">
        <v>9.42</v>
      </c>
      <c r="L1215" s="6">
        <v>70</v>
      </c>
      <c r="N1215" s="1">
        <f t="shared" si="149"/>
        <v>0</v>
      </c>
      <c r="O1215" s="8" t="s">
        <v>20</v>
      </c>
      <c r="P1215" s="8"/>
      <c r="Q1215" s="8" t="s">
        <v>21</v>
      </c>
      <c r="R1215" s="8" t="s">
        <v>21</v>
      </c>
      <c r="S1215" s="8" t="s">
        <v>21</v>
      </c>
      <c r="T1215" s="8" t="s">
        <v>21</v>
      </c>
      <c r="U1215" s="6">
        <f t="shared" si="150"/>
        <v>1574.3419999999999</v>
      </c>
      <c r="V1215" s="6">
        <f t="shared" si="151"/>
        <v>1574.3419999999999</v>
      </c>
    </row>
    <row r="1216" spans="1:22" hidden="1" x14ac:dyDescent="0.35">
      <c r="A1216" s="6" t="s">
        <v>1356</v>
      </c>
      <c r="B1216" s="6" t="s">
        <v>1335</v>
      </c>
      <c r="C1216" s="6" t="s">
        <v>1336</v>
      </c>
      <c r="D1216" s="6">
        <f t="shared" si="152"/>
        <v>0.5</v>
      </c>
      <c r="E1216" s="6" t="s">
        <v>23</v>
      </c>
      <c r="F1216" s="6" t="str">
        <f>MID(A1216,19,1)</f>
        <v>C</v>
      </c>
      <c r="G1216" s="6">
        <v>-23.178144232239589</v>
      </c>
      <c r="H1216" s="6">
        <v>-46.935578659478608</v>
      </c>
      <c r="I1216" s="7">
        <v>12816.99</v>
      </c>
      <c r="J1216" s="9">
        <f t="shared" ref="J1216:J1217" si="153">I1216/500</f>
        <v>25.633980000000001</v>
      </c>
      <c r="K1216" s="6">
        <v>6.36</v>
      </c>
      <c r="L1216" s="6">
        <v>80</v>
      </c>
      <c r="N1216" s="1">
        <f t="shared" si="149"/>
        <v>0</v>
      </c>
      <c r="O1216" s="8" t="s">
        <v>185</v>
      </c>
      <c r="P1216" s="8"/>
      <c r="Q1216" s="8" t="s">
        <v>21</v>
      </c>
      <c r="R1216" s="8" t="s">
        <v>21</v>
      </c>
      <c r="S1216" s="8" t="s">
        <v>21</v>
      </c>
      <c r="T1216" s="8" t="s">
        <v>21</v>
      </c>
      <c r="U1216" s="6">
        <f t="shared" si="150"/>
        <v>10253.592000000001</v>
      </c>
      <c r="V1216" s="6">
        <f t="shared" si="151"/>
        <v>10253.592000000001</v>
      </c>
    </row>
    <row r="1217" spans="1:22" hidden="1" x14ac:dyDescent="0.35">
      <c r="A1217" s="6" t="s">
        <v>1357</v>
      </c>
      <c r="B1217" s="6" t="s">
        <v>1335</v>
      </c>
      <c r="C1217" s="6" t="s">
        <v>1336</v>
      </c>
      <c r="D1217" s="6">
        <f t="shared" si="152"/>
        <v>0.5</v>
      </c>
      <c r="E1217" s="6" t="s">
        <v>23</v>
      </c>
      <c r="F1217" s="6" t="str">
        <f>MID(A1217,19,1)</f>
        <v>C</v>
      </c>
      <c r="G1217" s="6">
        <v>-23.174155014345232</v>
      </c>
      <c r="H1217" s="6">
        <v>-46.937340954017309</v>
      </c>
      <c r="I1217" s="7">
        <v>12569.45</v>
      </c>
      <c r="J1217" s="9">
        <f t="shared" si="153"/>
        <v>25.138900000000003</v>
      </c>
      <c r="K1217" s="6">
        <v>6.51</v>
      </c>
      <c r="L1217" s="6">
        <v>90</v>
      </c>
      <c r="N1217" s="1">
        <f t="shared" si="149"/>
        <v>0</v>
      </c>
      <c r="O1217" s="8" t="s">
        <v>185</v>
      </c>
      <c r="P1217" s="8"/>
      <c r="Q1217" s="8" t="s">
        <v>21</v>
      </c>
      <c r="R1217" s="8" t="s">
        <v>21</v>
      </c>
      <c r="S1217" s="8" t="s">
        <v>21</v>
      </c>
      <c r="T1217" s="8" t="s">
        <v>21</v>
      </c>
      <c r="U1217" s="6">
        <f t="shared" si="150"/>
        <v>11312.505000000001</v>
      </c>
      <c r="V1217" s="6">
        <f t="shared" si="151"/>
        <v>11312.505000000001</v>
      </c>
    </row>
    <row r="1218" spans="1:22" x14ac:dyDescent="0.35">
      <c r="A1218" s="6" t="s">
        <v>1358</v>
      </c>
      <c r="B1218" s="6" t="s">
        <v>1335</v>
      </c>
      <c r="C1218" s="6" t="s">
        <v>1336</v>
      </c>
      <c r="D1218" s="6">
        <f t="shared" si="152"/>
        <v>0.5</v>
      </c>
      <c r="E1218" s="6" t="s">
        <v>19</v>
      </c>
      <c r="F1218" s="6" t="str">
        <f>MID(A1218,19,1)</f>
        <v>N</v>
      </c>
      <c r="G1218" s="6">
        <v>-23.180693091268839</v>
      </c>
      <c r="H1218" s="6">
        <v>-46.911317768683929</v>
      </c>
      <c r="I1218" s="9">
        <v>176.43</v>
      </c>
      <c r="K1218" s="6">
        <v>3.58</v>
      </c>
      <c r="L1218" s="6">
        <v>70</v>
      </c>
      <c r="N1218" s="1">
        <f t="shared" ref="N1218:N1281" si="154">IF(OR(R1218="Sim",S1218="Sim",T1218="Sim"),(L1218/100)*I1218,0)</f>
        <v>0</v>
      </c>
      <c r="O1218" s="8" t="s">
        <v>20</v>
      </c>
      <c r="P1218" s="8"/>
      <c r="Q1218" s="8" t="s">
        <v>21</v>
      </c>
      <c r="R1218" s="8" t="s">
        <v>21</v>
      </c>
      <c r="S1218" s="8" t="s">
        <v>21</v>
      </c>
      <c r="T1218" s="8" t="s">
        <v>21</v>
      </c>
      <c r="U1218" s="6">
        <f t="shared" si="150"/>
        <v>123.50099999999999</v>
      </c>
      <c r="V1218" s="6">
        <f t="shared" si="151"/>
        <v>123.50099999999999</v>
      </c>
    </row>
    <row r="1219" spans="1:22" x14ac:dyDescent="0.35">
      <c r="A1219" s="6" t="s">
        <v>1359</v>
      </c>
      <c r="B1219" s="6" t="s">
        <v>1335</v>
      </c>
      <c r="C1219" s="6" t="s">
        <v>1336</v>
      </c>
      <c r="D1219" s="6">
        <f t="shared" si="152"/>
        <v>0.5</v>
      </c>
      <c r="E1219" s="6" t="s">
        <v>19</v>
      </c>
      <c r="F1219" s="6" t="str">
        <f>MID(A1219,19,1)</f>
        <v>N</v>
      </c>
      <c r="G1219" s="6">
        <v>-23.171738243536112</v>
      </c>
      <c r="H1219" s="6">
        <v>-46.93545249984701</v>
      </c>
      <c r="I1219" s="9">
        <v>1688.01</v>
      </c>
      <c r="K1219" s="6">
        <v>7.94</v>
      </c>
      <c r="L1219" s="6">
        <v>70</v>
      </c>
      <c r="N1219" s="1">
        <f t="shared" si="154"/>
        <v>0</v>
      </c>
      <c r="O1219" s="8" t="s">
        <v>20</v>
      </c>
      <c r="P1219" s="8"/>
      <c r="Q1219" s="8" t="s">
        <v>21</v>
      </c>
      <c r="R1219" s="8" t="s">
        <v>21</v>
      </c>
      <c r="S1219" s="8" t="s">
        <v>21</v>
      </c>
      <c r="T1219" s="8" t="s">
        <v>21</v>
      </c>
      <c r="U1219" s="6">
        <f t="shared" ref="U1219:U1282" si="155">IF(N1219=0,(I1219*(L1219/100)),0)</f>
        <v>1181.607</v>
      </c>
      <c r="V1219" s="6">
        <f t="shared" si="151"/>
        <v>1181.607</v>
      </c>
    </row>
    <row r="1220" spans="1:22" x14ac:dyDescent="0.35">
      <c r="A1220" s="6" t="s">
        <v>1360</v>
      </c>
      <c r="B1220" s="6" t="s">
        <v>1335</v>
      </c>
      <c r="C1220" s="6" t="s">
        <v>1336</v>
      </c>
      <c r="D1220" s="6">
        <f t="shared" si="152"/>
        <v>0.5</v>
      </c>
      <c r="E1220" s="6" t="s">
        <v>19</v>
      </c>
      <c r="F1220" s="6" t="str">
        <f>MID(A1220,19,1)</f>
        <v>N</v>
      </c>
      <c r="G1220" s="6">
        <v>-23.174136193804401</v>
      </c>
      <c r="H1220" s="6">
        <v>-46.935633968143499</v>
      </c>
      <c r="I1220" s="9">
        <v>1955.16</v>
      </c>
      <c r="K1220" s="6">
        <v>10.94</v>
      </c>
      <c r="L1220" s="6">
        <v>70</v>
      </c>
      <c r="N1220" s="1">
        <f t="shared" si="154"/>
        <v>0</v>
      </c>
      <c r="O1220" s="8" t="s">
        <v>20</v>
      </c>
      <c r="P1220" s="8"/>
      <c r="Q1220" s="8" t="s">
        <v>21</v>
      </c>
      <c r="R1220" s="8" t="s">
        <v>21</v>
      </c>
      <c r="S1220" s="8" t="s">
        <v>21</v>
      </c>
      <c r="T1220" s="8" t="s">
        <v>21</v>
      </c>
      <c r="U1220" s="6">
        <f t="shared" si="155"/>
        <v>1368.6120000000001</v>
      </c>
      <c r="V1220" s="6">
        <f t="shared" si="151"/>
        <v>1368.6120000000001</v>
      </c>
    </row>
    <row r="1221" spans="1:22" x14ac:dyDescent="0.35">
      <c r="A1221" s="6" t="s">
        <v>1361</v>
      </c>
      <c r="B1221" s="6" t="s">
        <v>1335</v>
      </c>
      <c r="C1221" s="6" t="s">
        <v>1336</v>
      </c>
      <c r="D1221" s="6">
        <f t="shared" si="152"/>
        <v>0.5</v>
      </c>
      <c r="E1221" s="6" t="s">
        <v>19</v>
      </c>
      <c r="F1221" s="6" t="str">
        <f>MID(A1221,19,1)</f>
        <v>N</v>
      </c>
      <c r="G1221" s="6">
        <v>-23.179106924534679</v>
      </c>
      <c r="H1221" s="6">
        <v>-46.913029428709038</v>
      </c>
      <c r="I1221" s="9">
        <v>468.33</v>
      </c>
      <c r="K1221" s="6">
        <v>2.73</v>
      </c>
      <c r="L1221" s="6">
        <v>70</v>
      </c>
      <c r="N1221" s="1">
        <f t="shared" si="154"/>
        <v>0</v>
      </c>
      <c r="O1221" s="8" t="s">
        <v>20</v>
      </c>
      <c r="P1221" s="8"/>
      <c r="Q1221" s="8" t="s">
        <v>21</v>
      </c>
      <c r="R1221" s="8" t="s">
        <v>21</v>
      </c>
      <c r="S1221" s="8" t="s">
        <v>21</v>
      </c>
      <c r="T1221" s="8" t="s">
        <v>21</v>
      </c>
      <c r="U1221" s="6">
        <f t="shared" si="155"/>
        <v>327.83099999999996</v>
      </c>
      <c r="V1221" s="6">
        <f t="shared" si="151"/>
        <v>327.83099999999996</v>
      </c>
    </row>
    <row r="1222" spans="1:22" x14ac:dyDescent="0.35">
      <c r="A1222" s="6" t="s">
        <v>1362</v>
      </c>
      <c r="B1222" s="6" t="s">
        <v>1335</v>
      </c>
      <c r="C1222" s="6" t="s">
        <v>1336</v>
      </c>
      <c r="D1222" s="6">
        <f t="shared" si="152"/>
        <v>0.5</v>
      </c>
      <c r="E1222" s="6" t="s">
        <v>19</v>
      </c>
      <c r="F1222" s="6" t="str">
        <f>MID(A1222,19,1)</f>
        <v>N</v>
      </c>
      <c r="G1222" s="6">
        <v>-23.17815426605803</v>
      </c>
      <c r="H1222" s="6">
        <v>-46.914245068769837</v>
      </c>
      <c r="I1222" s="9">
        <v>677.06</v>
      </c>
      <c r="K1222" s="6">
        <v>2.94</v>
      </c>
      <c r="L1222" s="6">
        <v>70</v>
      </c>
      <c r="N1222" s="1">
        <f t="shared" si="154"/>
        <v>0</v>
      </c>
      <c r="O1222" s="8" t="s">
        <v>20</v>
      </c>
      <c r="P1222" s="8"/>
      <c r="Q1222" s="8" t="s">
        <v>21</v>
      </c>
      <c r="R1222" s="8" t="s">
        <v>21</v>
      </c>
      <c r="S1222" s="8" t="s">
        <v>21</v>
      </c>
      <c r="T1222" s="8" t="s">
        <v>21</v>
      </c>
      <c r="U1222" s="6">
        <f t="shared" si="155"/>
        <v>473.94199999999995</v>
      </c>
      <c r="V1222" s="6">
        <f t="shared" si="151"/>
        <v>473.94199999999995</v>
      </c>
    </row>
    <row r="1223" spans="1:22" x14ac:dyDescent="0.35">
      <c r="A1223" s="6" t="s">
        <v>1363</v>
      </c>
      <c r="B1223" s="6" t="s">
        <v>1335</v>
      </c>
      <c r="C1223" s="6" t="s">
        <v>1336</v>
      </c>
      <c r="D1223" s="6">
        <f t="shared" si="152"/>
        <v>0.5</v>
      </c>
      <c r="E1223" s="6" t="s">
        <v>19</v>
      </c>
      <c r="F1223" s="6" t="str">
        <f>MID(A1223,19,1)</f>
        <v>N</v>
      </c>
      <c r="G1223" s="6">
        <v>-23.179072183847961</v>
      </c>
      <c r="H1223" s="6">
        <v>-46.913394631170469</v>
      </c>
      <c r="I1223" s="9">
        <v>8426.39</v>
      </c>
      <c r="K1223" s="6">
        <v>3.9</v>
      </c>
      <c r="L1223" s="6">
        <v>70</v>
      </c>
      <c r="N1223" s="1">
        <f t="shared" si="154"/>
        <v>0</v>
      </c>
      <c r="O1223" s="8" t="s">
        <v>20</v>
      </c>
      <c r="P1223" s="8"/>
      <c r="Q1223" s="8" t="s">
        <v>21</v>
      </c>
      <c r="R1223" s="8" t="s">
        <v>21</v>
      </c>
      <c r="S1223" s="8" t="s">
        <v>21</v>
      </c>
      <c r="T1223" s="8" t="s">
        <v>21</v>
      </c>
      <c r="U1223" s="6">
        <f t="shared" si="155"/>
        <v>5898.472999999999</v>
      </c>
      <c r="V1223" s="6">
        <f t="shared" si="151"/>
        <v>5898.472999999999</v>
      </c>
    </row>
    <row r="1224" spans="1:22" hidden="1" x14ac:dyDescent="0.35">
      <c r="A1224" s="6" t="s">
        <v>1364</v>
      </c>
      <c r="B1224" s="6" t="s">
        <v>1335</v>
      </c>
      <c r="C1224" s="6" t="s">
        <v>1336</v>
      </c>
      <c r="D1224" s="6">
        <f t="shared" si="152"/>
        <v>0.5</v>
      </c>
      <c r="E1224" s="6" t="s">
        <v>19</v>
      </c>
      <c r="F1224" s="6" t="str">
        <f>MID(A1224,19,1)</f>
        <v>S</v>
      </c>
      <c r="G1224" s="6">
        <v>-23.183057978044111</v>
      </c>
      <c r="H1224" s="6">
        <v>-46.910147236563049</v>
      </c>
      <c r="I1224" s="9">
        <v>10079.56</v>
      </c>
      <c r="K1224" s="6">
        <v>7.12</v>
      </c>
      <c r="L1224" s="6">
        <v>60</v>
      </c>
      <c r="N1224" s="1">
        <f t="shared" si="154"/>
        <v>0</v>
      </c>
      <c r="O1224" s="8" t="s">
        <v>20</v>
      </c>
      <c r="P1224" s="8"/>
      <c r="Q1224" s="8" t="s">
        <v>21</v>
      </c>
      <c r="R1224" s="8" t="s">
        <v>21</v>
      </c>
      <c r="S1224" s="8" t="s">
        <v>21</v>
      </c>
      <c r="T1224" s="8" t="s">
        <v>21</v>
      </c>
      <c r="U1224" s="6">
        <f t="shared" si="155"/>
        <v>6047.7359999999999</v>
      </c>
      <c r="V1224" s="6">
        <f t="shared" si="151"/>
        <v>6047.7359999999999</v>
      </c>
    </row>
    <row r="1225" spans="1:22" x14ac:dyDescent="0.35">
      <c r="A1225" s="6" t="s">
        <v>1365</v>
      </c>
      <c r="B1225" s="6" t="s">
        <v>1335</v>
      </c>
      <c r="C1225" s="6" t="s">
        <v>1336</v>
      </c>
      <c r="D1225" s="6">
        <f t="shared" si="152"/>
        <v>0.5</v>
      </c>
      <c r="E1225" s="6" t="s">
        <v>19</v>
      </c>
      <c r="F1225" s="6" t="str">
        <f>MID(A1225,19,1)</f>
        <v>N</v>
      </c>
      <c r="G1225" s="6">
        <v>-23.18007137136863</v>
      </c>
      <c r="H1225" s="6">
        <v>-46.911903622340432</v>
      </c>
      <c r="I1225" s="9">
        <v>57.25</v>
      </c>
      <c r="K1225" s="6">
        <v>3.89</v>
      </c>
      <c r="L1225" s="6">
        <v>70</v>
      </c>
      <c r="N1225" s="1">
        <f t="shared" si="154"/>
        <v>0</v>
      </c>
      <c r="O1225" s="8" t="s">
        <v>20</v>
      </c>
      <c r="P1225" s="8"/>
      <c r="Q1225" s="8" t="s">
        <v>21</v>
      </c>
      <c r="R1225" s="8" t="s">
        <v>21</v>
      </c>
      <c r="S1225" s="8" t="s">
        <v>21</v>
      </c>
      <c r="T1225" s="8" t="s">
        <v>21</v>
      </c>
      <c r="U1225" s="6">
        <f t="shared" si="155"/>
        <v>40.074999999999996</v>
      </c>
      <c r="V1225" s="6">
        <f t="shared" si="151"/>
        <v>40.074999999999996</v>
      </c>
    </row>
    <row r="1226" spans="1:22" x14ac:dyDescent="0.35">
      <c r="A1226" s="6" t="s">
        <v>1366</v>
      </c>
      <c r="B1226" s="6" t="s">
        <v>1367</v>
      </c>
      <c r="C1226" s="6" t="s">
        <v>1368</v>
      </c>
      <c r="D1226" s="6">
        <f t="shared" si="152"/>
        <v>0.5</v>
      </c>
      <c r="E1226" s="6" t="s">
        <v>19</v>
      </c>
      <c r="F1226" s="6" t="str">
        <f>MID(A1226,19,1)</f>
        <v>N</v>
      </c>
      <c r="G1226" s="6">
        <v>-23.175904580290041</v>
      </c>
      <c r="H1226" s="6">
        <v>-46.917110771376528</v>
      </c>
      <c r="I1226" s="9">
        <v>43.7</v>
      </c>
      <c r="K1226" s="6">
        <v>4.21</v>
      </c>
      <c r="L1226" s="6">
        <v>70</v>
      </c>
      <c r="N1226" s="1">
        <f t="shared" si="154"/>
        <v>0</v>
      </c>
      <c r="O1226" s="8" t="s">
        <v>20</v>
      </c>
      <c r="P1226" s="8"/>
      <c r="Q1226" s="8" t="s">
        <v>21</v>
      </c>
      <c r="R1226" s="8" t="s">
        <v>21</v>
      </c>
      <c r="S1226" s="8" t="s">
        <v>21</v>
      </c>
      <c r="T1226" s="8" t="s">
        <v>21</v>
      </c>
      <c r="U1226" s="6">
        <f t="shared" si="155"/>
        <v>30.59</v>
      </c>
      <c r="V1226" s="6">
        <f t="shared" si="151"/>
        <v>30.59</v>
      </c>
    </row>
    <row r="1227" spans="1:22" x14ac:dyDescent="0.35">
      <c r="A1227" s="6" t="s">
        <v>1369</v>
      </c>
      <c r="B1227" s="6" t="s">
        <v>1367</v>
      </c>
      <c r="C1227" s="6" t="s">
        <v>1368</v>
      </c>
      <c r="D1227" s="6">
        <f t="shared" si="152"/>
        <v>0.5</v>
      </c>
      <c r="E1227" s="6" t="s">
        <v>19</v>
      </c>
      <c r="F1227" s="6" t="str">
        <f>MID(A1227,19,1)</f>
        <v>N</v>
      </c>
      <c r="G1227" s="6">
        <v>-23.177230405126618</v>
      </c>
      <c r="H1227" s="6">
        <v>-46.915418932824018</v>
      </c>
      <c r="I1227" s="9">
        <v>264.77</v>
      </c>
      <c r="K1227" s="6">
        <v>0.79</v>
      </c>
      <c r="L1227" s="6">
        <v>70</v>
      </c>
      <c r="N1227" s="1">
        <f t="shared" si="154"/>
        <v>0</v>
      </c>
      <c r="O1227" s="8" t="s">
        <v>20</v>
      </c>
      <c r="P1227" s="8"/>
      <c r="Q1227" s="8" t="s">
        <v>21</v>
      </c>
      <c r="R1227" s="8" t="s">
        <v>21</v>
      </c>
      <c r="S1227" s="8" t="s">
        <v>21</v>
      </c>
      <c r="T1227" s="8" t="s">
        <v>21</v>
      </c>
      <c r="U1227" s="6">
        <f t="shared" si="155"/>
        <v>185.33899999999997</v>
      </c>
      <c r="V1227" s="6">
        <f t="shared" si="151"/>
        <v>185.33899999999997</v>
      </c>
    </row>
    <row r="1228" spans="1:22" x14ac:dyDescent="0.35">
      <c r="A1228" s="6" t="s">
        <v>1370</v>
      </c>
      <c r="B1228" s="6" t="s">
        <v>1367</v>
      </c>
      <c r="C1228" s="6" t="s">
        <v>1368</v>
      </c>
      <c r="D1228" s="6">
        <f t="shared" si="152"/>
        <v>0.5</v>
      </c>
      <c r="E1228" s="6" t="s">
        <v>19</v>
      </c>
      <c r="F1228" s="6" t="str">
        <f>MID(A1228,19,1)</f>
        <v>N</v>
      </c>
      <c r="G1228" s="6">
        <v>-23.17737839670534</v>
      </c>
      <c r="H1228" s="6">
        <v>-46.915604209781861</v>
      </c>
      <c r="I1228" s="9">
        <v>2989.67</v>
      </c>
      <c r="K1228" s="6">
        <v>2.2599999999999998</v>
      </c>
      <c r="L1228" s="6">
        <v>70</v>
      </c>
      <c r="N1228" s="1">
        <f t="shared" si="154"/>
        <v>0</v>
      </c>
      <c r="O1228" s="8" t="s">
        <v>20</v>
      </c>
      <c r="P1228" s="8"/>
      <c r="Q1228" s="8" t="s">
        <v>21</v>
      </c>
      <c r="R1228" s="8" t="s">
        <v>21</v>
      </c>
      <c r="S1228" s="8" t="s">
        <v>21</v>
      </c>
      <c r="T1228" s="8" t="s">
        <v>21</v>
      </c>
      <c r="U1228" s="6">
        <f t="shared" si="155"/>
        <v>2092.7689999999998</v>
      </c>
      <c r="V1228" s="6">
        <f t="shared" ref="V1228:V1291" si="156">(I1228*(L1228/100))</f>
        <v>2092.7689999999998</v>
      </c>
    </row>
    <row r="1229" spans="1:22" x14ac:dyDescent="0.35">
      <c r="A1229" s="6" t="s">
        <v>1371</v>
      </c>
      <c r="B1229" s="6" t="s">
        <v>1367</v>
      </c>
      <c r="C1229" s="6" t="s">
        <v>1368</v>
      </c>
      <c r="D1229" s="6">
        <f t="shared" si="152"/>
        <v>0.5</v>
      </c>
      <c r="E1229" s="6" t="s">
        <v>19</v>
      </c>
      <c r="F1229" s="6" t="str">
        <f>MID(A1229,19,1)</f>
        <v>N</v>
      </c>
      <c r="G1229" s="6">
        <v>-23.17624744977325</v>
      </c>
      <c r="H1229" s="6">
        <v>-46.91667494422925</v>
      </c>
      <c r="I1229" s="9">
        <v>220.8</v>
      </c>
      <c r="K1229" s="6">
        <v>2.42</v>
      </c>
      <c r="L1229" s="6">
        <v>70</v>
      </c>
      <c r="N1229" s="1">
        <f t="shared" si="154"/>
        <v>0</v>
      </c>
      <c r="O1229" s="8" t="s">
        <v>20</v>
      </c>
      <c r="P1229" s="8"/>
      <c r="Q1229" s="8" t="s">
        <v>21</v>
      </c>
      <c r="R1229" s="8" t="s">
        <v>21</v>
      </c>
      <c r="S1229" s="8" t="s">
        <v>21</v>
      </c>
      <c r="T1229" s="8" t="s">
        <v>21</v>
      </c>
      <c r="U1229" s="6">
        <f t="shared" si="155"/>
        <v>154.56</v>
      </c>
      <c r="V1229" s="6">
        <f t="shared" si="156"/>
        <v>154.56</v>
      </c>
    </row>
    <row r="1230" spans="1:22" hidden="1" x14ac:dyDescent="0.35">
      <c r="A1230" s="6" t="s">
        <v>1372</v>
      </c>
      <c r="B1230" s="6" t="s">
        <v>1367</v>
      </c>
      <c r="C1230" s="6" t="s">
        <v>1368</v>
      </c>
      <c r="D1230" s="6">
        <f t="shared" ref="D1230:D1293" si="157">C1230-B1230</f>
        <v>0.5</v>
      </c>
      <c r="E1230" s="6" t="s">
        <v>19</v>
      </c>
      <c r="F1230" s="6" t="str">
        <f>MID(A1230,19,1)</f>
        <v>S</v>
      </c>
      <c r="G1230" s="6">
        <v>-23.170455613512949</v>
      </c>
      <c r="H1230" s="6">
        <v>-46.941960317986101</v>
      </c>
      <c r="I1230" s="9">
        <v>2069.04</v>
      </c>
      <c r="K1230" s="6">
        <v>3.84</v>
      </c>
      <c r="L1230" s="6">
        <v>30</v>
      </c>
      <c r="N1230" s="1">
        <f t="shared" si="154"/>
        <v>0</v>
      </c>
      <c r="O1230" s="8" t="s">
        <v>20</v>
      </c>
      <c r="P1230" s="8"/>
      <c r="Q1230" s="8" t="s">
        <v>21</v>
      </c>
      <c r="R1230" s="8" t="s">
        <v>21</v>
      </c>
      <c r="S1230" s="8" t="s">
        <v>21</v>
      </c>
      <c r="T1230" s="8" t="s">
        <v>21</v>
      </c>
      <c r="U1230" s="6">
        <f t="shared" si="155"/>
        <v>620.71199999999999</v>
      </c>
      <c r="V1230" s="6">
        <f t="shared" si="156"/>
        <v>620.71199999999999</v>
      </c>
    </row>
    <row r="1231" spans="1:22" hidden="1" x14ac:dyDescent="0.35">
      <c r="A1231" s="6" t="s">
        <v>1373</v>
      </c>
      <c r="B1231" s="6" t="s">
        <v>1367</v>
      </c>
      <c r="C1231" s="6" t="s">
        <v>1368</v>
      </c>
      <c r="D1231" s="6">
        <f t="shared" si="157"/>
        <v>0.5</v>
      </c>
      <c r="E1231" s="6" t="s">
        <v>19</v>
      </c>
      <c r="F1231" s="6" t="str">
        <f>MID(A1231,19,1)</f>
        <v>S</v>
      </c>
      <c r="G1231" s="6">
        <v>-23.16564417956079</v>
      </c>
      <c r="H1231" s="6">
        <v>-46.944752437499737</v>
      </c>
      <c r="I1231" s="9">
        <v>846.26</v>
      </c>
      <c r="K1231" s="6">
        <v>3.09</v>
      </c>
      <c r="L1231" s="6">
        <v>20</v>
      </c>
      <c r="N1231" s="1">
        <f t="shared" si="154"/>
        <v>0</v>
      </c>
      <c r="O1231" s="8" t="s">
        <v>20</v>
      </c>
      <c r="P1231" s="8"/>
      <c r="Q1231" s="8" t="s">
        <v>21</v>
      </c>
      <c r="R1231" s="8" t="s">
        <v>21</v>
      </c>
      <c r="S1231" s="8" t="s">
        <v>21</v>
      </c>
      <c r="T1231" s="8" t="s">
        <v>21</v>
      </c>
      <c r="U1231" s="6">
        <f t="shared" si="155"/>
        <v>169.25200000000001</v>
      </c>
      <c r="V1231" s="6">
        <f t="shared" si="156"/>
        <v>169.25200000000001</v>
      </c>
    </row>
    <row r="1232" spans="1:22" hidden="1" x14ac:dyDescent="0.35">
      <c r="A1232" s="6" t="s">
        <v>1374</v>
      </c>
      <c r="B1232" s="6" t="s">
        <v>1367</v>
      </c>
      <c r="C1232" s="6" t="s">
        <v>1368</v>
      </c>
      <c r="D1232" s="6">
        <f t="shared" si="157"/>
        <v>0.5</v>
      </c>
      <c r="E1232" s="6" t="s">
        <v>19</v>
      </c>
      <c r="F1232" s="6" t="str">
        <f>MID(A1232,19,1)</f>
        <v>S</v>
      </c>
      <c r="G1232" s="6">
        <v>-23.167364358317911</v>
      </c>
      <c r="H1232" s="6">
        <v>-46.942924276176967</v>
      </c>
      <c r="I1232" s="9">
        <v>1488.9</v>
      </c>
      <c r="K1232" s="6">
        <v>3.1</v>
      </c>
      <c r="L1232" s="6">
        <v>20</v>
      </c>
      <c r="N1232" s="1">
        <f t="shared" si="154"/>
        <v>0</v>
      </c>
      <c r="O1232" s="8" t="s">
        <v>20</v>
      </c>
      <c r="P1232" s="8"/>
      <c r="Q1232" s="8" t="s">
        <v>21</v>
      </c>
      <c r="R1232" s="8" t="s">
        <v>21</v>
      </c>
      <c r="S1232" s="8" t="s">
        <v>21</v>
      </c>
      <c r="T1232" s="8" t="s">
        <v>21</v>
      </c>
      <c r="U1232" s="6">
        <f t="shared" si="155"/>
        <v>297.78000000000003</v>
      </c>
      <c r="V1232" s="6">
        <f t="shared" si="156"/>
        <v>297.78000000000003</v>
      </c>
    </row>
    <row r="1233" spans="1:22" hidden="1" x14ac:dyDescent="0.35">
      <c r="A1233" s="6" t="s">
        <v>1375</v>
      </c>
      <c r="B1233" s="6" t="s">
        <v>1367</v>
      </c>
      <c r="C1233" s="6" t="s">
        <v>1368</v>
      </c>
      <c r="D1233" s="6">
        <f t="shared" si="157"/>
        <v>0.5</v>
      </c>
      <c r="E1233" s="6" t="s">
        <v>19</v>
      </c>
      <c r="F1233" s="6" t="str">
        <f>MID(A1233,19,1)</f>
        <v>S</v>
      </c>
      <c r="G1233" s="6">
        <v>-23.174009804167849</v>
      </c>
      <c r="H1233" s="6">
        <v>-46.921033338135977</v>
      </c>
      <c r="I1233" s="9">
        <v>283.44</v>
      </c>
      <c r="K1233" s="6">
        <v>2.71</v>
      </c>
      <c r="L1233" s="6">
        <v>40</v>
      </c>
      <c r="N1233" s="1">
        <f t="shared" si="154"/>
        <v>0</v>
      </c>
      <c r="O1233" s="8" t="s">
        <v>20</v>
      </c>
      <c r="P1233" s="8"/>
      <c r="Q1233" s="8" t="s">
        <v>21</v>
      </c>
      <c r="R1233" s="8" t="s">
        <v>21</v>
      </c>
      <c r="S1233" s="8" t="s">
        <v>21</v>
      </c>
      <c r="T1233" s="8" t="s">
        <v>21</v>
      </c>
      <c r="U1233" s="6">
        <f t="shared" si="155"/>
        <v>113.376</v>
      </c>
      <c r="V1233" s="6">
        <f t="shared" si="156"/>
        <v>113.376</v>
      </c>
    </row>
    <row r="1234" spans="1:22" x14ac:dyDescent="0.35">
      <c r="A1234" s="6" t="s">
        <v>1376</v>
      </c>
      <c r="B1234" s="6" t="s">
        <v>1367</v>
      </c>
      <c r="C1234" s="6" t="s">
        <v>1368</v>
      </c>
      <c r="D1234" s="6">
        <f t="shared" si="157"/>
        <v>0.5</v>
      </c>
      <c r="E1234" s="6" t="s">
        <v>19</v>
      </c>
      <c r="F1234" s="6" t="str">
        <f>MID(A1234,19,1)</f>
        <v>N</v>
      </c>
      <c r="G1234" s="6">
        <v>-23.17144867786843</v>
      </c>
      <c r="H1234" s="6">
        <v>-46.938278589480568</v>
      </c>
      <c r="I1234" s="9">
        <v>5772.69</v>
      </c>
      <c r="K1234" s="6">
        <v>3.72</v>
      </c>
      <c r="L1234" s="6">
        <v>70</v>
      </c>
      <c r="N1234" s="1">
        <f t="shared" si="154"/>
        <v>0</v>
      </c>
      <c r="O1234" s="8" t="s">
        <v>20</v>
      </c>
      <c r="P1234" s="8"/>
      <c r="Q1234" s="8" t="s">
        <v>21</v>
      </c>
      <c r="R1234" s="8" t="s">
        <v>21</v>
      </c>
      <c r="S1234" s="8" t="s">
        <v>21</v>
      </c>
      <c r="T1234" s="8" t="s">
        <v>21</v>
      </c>
      <c r="U1234" s="6">
        <f t="shared" si="155"/>
        <v>4040.8829999999994</v>
      </c>
      <c r="V1234" s="6">
        <f t="shared" si="156"/>
        <v>4040.8829999999994</v>
      </c>
    </row>
    <row r="1235" spans="1:22" x14ac:dyDescent="0.35">
      <c r="A1235" s="6" t="s">
        <v>1377</v>
      </c>
      <c r="B1235" s="6" t="s">
        <v>1367</v>
      </c>
      <c r="C1235" s="6" t="s">
        <v>1368</v>
      </c>
      <c r="D1235" s="6">
        <f t="shared" si="157"/>
        <v>0.5</v>
      </c>
      <c r="E1235" s="6" t="s">
        <v>19</v>
      </c>
      <c r="F1235" s="6" t="str">
        <f>MID(A1235,19,1)</f>
        <v>N</v>
      </c>
      <c r="G1235" s="6">
        <v>-23.167043913095739</v>
      </c>
      <c r="H1235" s="6">
        <v>-46.942322103568749</v>
      </c>
      <c r="I1235" s="9">
        <v>1365.64</v>
      </c>
      <c r="K1235" s="6">
        <v>4.21</v>
      </c>
      <c r="L1235" s="6">
        <v>0</v>
      </c>
      <c r="N1235" s="1">
        <f t="shared" si="154"/>
        <v>0</v>
      </c>
      <c r="O1235" s="8"/>
      <c r="P1235" s="8"/>
      <c r="Q1235" s="8" t="s">
        <v>21</v>
      </c>
      <c r="R1235" s="8" t="s">
        <v>21</v>
      </c>
      <c r="S1235" s="8" t="s">
        <v>21</v>
      </c>
      <c r="T1235" s="8" t="s">
        <v>21</v>
      </c>
      <c r="U1235" s="6">
        <f t="shared" si="155"/>
        <v>0</v>
      </c>
      <c r="V1235" s="6">
        <f t="shared" si="156"/>
        <v>0</v>
      </c>
    </row>
    <row r="1236" spans="1:22" hidden="1" x14ac:dyDescent="0.35">
      <c r="A1236" s="6" t="s">
        <v>1378</v>
      </c>
      <c r="B1236" s="6" t="s">
        <v>1367</v>
      </c>
      <c r="C1236" s="6" t="s">
        <v>1368</v>
      </c>
      <c r="D1236" s="6">
        <f t="shared" si="157"/>
        <v>0.5</v>
      </c>
      <c r="E1236" s="6" t="s">
        <v>19</v>
      </c>
      <c r="F1236" s="6" t="str">
        <f>MID(A1236,19,1)</f>
        <v>S</v>
      </c>
      <c r="G1236" s="6">
        <v>-23.174343245431611</v>
      </c>
      <c r="H1236" s="6">
        <v>-46.9205370076807</v>
      </c>
      <c r="I1236" s="9">
        <v>99.72</v>
      </c>
      <c r="K1236" s="6">
        <v>1.29</v>
      </c>
      <c r="L1236" s="6">
        <v>40</v>
      </c>
      <c r="N1236" s="1">
        <f t="shared" si="154"/>
        <v>0</v>
      </c>
      <c r="O1236" s="8" t="s">
        <v>20</v>
      </c>
      <c r="P1236" s="8"/>
      <c r="Q1236" s="8" t="s">
        <v>21</v>
      </c>
      <c r="R1236" s="8" t="s">
        <v>21</v>
      </c>
      <c r="S1236" s="8" t="s">
        <v>21</v>
      </c>
      <c r="T1236" s="8" t="s">
        <v>21</v>
      </c>
      <c r="U1236" s="6">
        <f t="shared" si="155"/>
        <v>39.888000000000005</v>
      </c>
      <c r="V1236" s="6">
        <f t="shared" si="156"/>
        <v>39.888000000000005</v>
      </c>
    </row>
    <row r="1237" spans="1:22" hidden="1" x14ac:dyDescent="0.35">
      <c r="A1237" s="6" t="s">
        <v>1379</v>
      </c>
      <c r="B1237" s="6" t="s">
        <v>1367</v>
      </c>
      <c r="C1237" s="6" t="s">
        <v>1368</v>
      </c>
      <c r="D1237" s="6">
        <f t="shared" si="157"/>
        <v>0.5</v>
      </c>
      <c r="E1237" s="6" t="s">
        <v>19</v>
      </c>
      <c r="F1237" s="6" t="str">
        <f>MID(A1237,19,1)</f>
        <v>S</v>
      </c>
      <c r="G1237" s="6">
        <v>-23.17617488020181</v>
      </c>
      <c r="H1237" s="6">
        <v>-46.917837985238009</v>
      </c>
      <c r="I1237" s="9">
        <v>4332.62</v>
      </c>
      <c r="K1237" s="6">
        <v>4.37</v>
      </c>
      <c r="L1237" s="6">
        <v>60</v>
      </c>
      <c r="N1237" s="1">
        <f t="shared" si="154"/>
        <v>0</v>
      </c>
      <c r="O1237" s="8" t="s">
        <v>20</v>
      </c>
      <c r="P1237" s="8"/>
      <c r="Q1237" s="8" t="s">
        <v>21</v>
      </c>
      <c r="R1237" s="8" t="s">
        <v>21</v>
      </c>
      <c r="S1237" s="8" t="s">
        <v>21</v>
      </c>
      <c r="T1237" s="8" t="s">
        <v>21</v>
      </c>
      <c r="U1237" s="6">
        <f t="shared" si="155"/>
        <v>2599.5719999999997</v>
      </c>
      <c r="V1237" s="6">
        <f t="shared" si="156"/>
        <v>2599.5719999999997</v>
      </c>
    </row>
    <row r="1238" spans="1:22" hidden="1" x14ac:dyDescent="0.35">
      <c r="A1238" s="6" t="s">
        <v>1380</v>
      </c>
      <c r="B1238" s="6" t="s">
        <v>1367</v>
      </c>
      <c r="C1238" s="6" t="s">
        <v>1368</v>
      </c>
      <c r="D1238" s="6">
        <f t="shared" si="157"/>
        <v>0.5</v>
      </c>
      <c r="E1238" s="6" t="s">
        <v>19</v>
      </c>
      <c r="F1238" s="6" t="str">
        <f>MID(A1238,19,1)</f>
        <v>S</v>
      </c>
      <c r="G1238" s="6">
        <v>-23.173684367793609</v>
      </c>
      <c r="H1238" s="6">
        <v>-46.921357498224353</v>
      </c>
      <c r="I1238" s="9">
        <v>11881.85</v>
      </c>
      <c r="K1238" s="6">
        <v>3.82</v>
      </c>
      <c r="L1238" s="6">
        <v>40</v>
      </c>
      <c r="N1238" s="1">
        <f t="shared" si="154"/>
        <v>0</v>
      </c>
      <c r="O1238" s="8" t="s">
        <v>20</v>
      </c>
      <c r="P1238" s="8"/>
      <c r="Q1238" s="8" t="s">
        <v>21</v>
      </c>
      <c r="R1238" s="8" t="s">
        <v>21</v>
      </c>
      <c r="S1238" s="8" t="s">
        <v>21</v>
      </c>
      <c r="T1238" s="8" t="s">
        <v>21</v>
      </c>
      <c r="U1238" s="6">
        <f t="shared" si="155"/>
        <v>4752.7400000000007</v>
      </c>
      <c r="V1238" s="6">
        <f t="shared" si="156"/>
        <v>4752.7400000000007</v>
      </c>
    </row>
    <row r="1239" spans="1:22" hidden="1" x14ac:dyDescent="0.35">
      <c r="A1239" s="6" t="s">
        <v>1381</v>
      </c>
      <c r="B1239" s="6" t="s">
        <v>1367</v>
      </c>
      <c r="C1239" s="6" t="s">
        <v>1368</v>
      </c>
      <c r="D1239" s="6">
        <f t="shared" si="157"/>
        <v>0.5</v>
      </c>
      <c r="E1239" s="6" t="s">
        <v>19</v>
      </c>
      <c r="F1239" s="6" t="str">
        <f>MID(A1239,19,1)</f>
        <v>S</v>
      </c>
      <c r="G1239" s="6">
        <v>-23.176927207223489</v>
      </c>
      <c r="H1239" s="6">
        <v>-46.917137002935966</v>
      </c>
      <c r="I1239" s="9">
        <v>1969.46</v>
      </c>
      <c r="K1239" s="6">
        <v>4.9000000000000004</v>
      </c>
      <c r="L1239" s="6">
        <v>60</v>
      </c>
      <c r="N1239" s="1">
        <f t="shared" si="154"/>
        <v>0</v>
      </c>
      <c r="O1239" s="8" t="s">
        <v>20</v>
      </c>
      <c r="P1239" s="8"/>
      <c r="Q1239" s="8" t="s">
        <v>21</v>
      </c>
      <c r="R1239" s="8" t="s">
        <v>21</v>
      </c>
      <c r="S1239" s="8" t="s">
        <v>21</v>
      </c>
      <c r="T1239" s="8" t="s">
        <v>21</v>
      </c>
      <c r="U1239" s="6">
        <f t="shared" si="155"/>
        <v>1181.6759999999999</v>
      </c>
      <c r="V1239" s="6">
        <f t="shared" si="156"/>
        <v>1181.6759999999999</v>
      </c>
    </row>
    <row r="1240" spans="1:22" hidden="1" x14ac:dyDescent="0.35">
      <c r="A1240" s="6" t="s">
        <v>1382</v>
      </c>
      <c r="B1240" s="6" t="s">
        <v>1367</v>
      </c>
      <c r="C1240" s="6" t="s">
        <v>1368</v>
      </c>
      <c r="D1240" s="6">
        <f t="shared" si="157"/>
        <v>0.5</v>
      </c>
      <c r="E1240" s="6" t="s">
        <v>19</v>
      </c>
      <c r="F1240" s="6" t="str">
        <f>MID(A1240,19,1)</f>
        <v>S</v>
      </c>
      <c r="G1240" s="6">
        <v>-23.177637126229499</v>
      </c>
      <c r="H1240" s="6">
        <v>-46.915918925084483</v>
      </c>
      <c r="I1240" s="9">
        <v>3385.47</v>
      </c>
      <c r="K1240" s="6">
        <v>4.34</v>
      </c>
      <c r="L1240" s="6">
        <v>60</v>
      </c>
      <c r="N1240" s="1">
        <f t="shared" si="154"/>
        <v>0</v>
      </c>
      <c r="O1240" s="8" t="s">
        <v>20</v>
      </c>
      <c r="P1240" s="8"/>
      <c r="Q1240" s="8" t="s">
        <v>21</v>
      </c>
      <c r="R1240" s="8" t="s">
        <v>21</v>
      </c>
      <c r="S1240" s="8" t="s">
        <v>21</v>
      </c>
      <c r="T1240" s="8" t="s">
        <v>21</v>
      </c>
      <c r="U1240" s="6">
        <f t="shared" si="155"/>
        <v>2031.2819999999997</v>
      </c>
      <c r="V1240" s="6">
        <f t="shared" si="156"/>
        <v>2031.2819999999997</v>
      </c>
    </row>
    <row r="1241" spans="1:22" hidden="1" x14ac:dyDescent="0.35">
      <c r="A1241" s="6" t="s">
        <v>1383</v>
      </c>
      <c r="B1241" s="6" t="s">
        <v>1367</v>
      </c>
      <c r="C1241" s="6" t="s">
        <v>1368</v>
      </c>
      <c r="D1241" s="6">
        <f t="shared" si="157"/>
        <v>0.5</v>
      </c>
      <c r="E1241" s="6" t="s">
        <v>19</v>
      </c>
      <c r="F1241" s="6" t="str">
        <f>MID(A1241,19,1)</f>
        <v>S</v>
      </c>
      <c r="G1241" s="6">
        <v>-23.172684757825749</v>
      </c>
      <c r="H1241" s="6">
        <v>-46.922784392807849</v>
      </c>
      <c r="I1241" s="9">
        <v>430.74</v>
      </c>
      <c r="K1241" s="6">
        <v>5.13</v>
      </c>
      <c r="L1241" s="6">
        <v>40</v>
      </c>
      <c r="N1241" s="1">
        <f t="shared" si="154"/>
        <v>0</v>
      </c>
      <c r="O1241" s="8" t="s">
        <v>20</v>
      </c>
      <c r="P1241" s="8"/>
      <c r="Q1241" s="8" t="s">
        <v>21</v>
      </c>
      <c r="R1241" s="8" t="s">
        <v>21</v>
      </c>
      <c r="S1241" s="8" t="s">
        <v>21</v>
      </c>
      <c r="T1241" s="8" t="s">
        <v>21</v>
      </c>
      <c r="U1241" s="6">
        <f t="shared" si="155"/>
        <v>172.29600000000002</v>
      </c>
      <c r="V1241" s="6">
        <f t="shared" si="156"/>
        <v>172.29600000000002</v>
      </c>
    </row>
    <row r="1242" spans="1:22" hidden="1" x14ac:dyDescent="0.35">
      <c r="A1242" s="6" t="s">
        <v>1384</v>
      </c>
      <c r="B1242" s="6" t="s">
        <v>1367</v>
      </c>
      <c r="C1242" s="6" t="s">
        <v>1368</v>
      </c>
      <c r="D1242" s="6">
        <f t="shared" si="157"/>
        <v>0.5</v>
      </c>
      <c r="E1242" s="6" t="s">
        <v>19</v>
      </c>
      <c r="F1242" s="6" t="str">
        <f>MID(A1242,19,1)</f>
        <v>S</v>
      </c>
      <c r="G1242" s="6">
        <v>-23.172635028968958</v>
      </c>
      <c r="H1242" s="6">
        <v>-46.922348222797787</v>
      </c>
      <c r="I1242" s="9">
        <v>2119.1799999999998</v>
      </c>
      <c r="K1242" s="6">
        <v>3.93</v>
      </c>
      <c r="L1242" s="6">
        <v>40</v>
      </c>
      <c r="N1242" s="1">
        <f t="shared" si="154"/>
        <v>0</v>
      </c>
      <c r="O1242" s="8" t="s">
        <v>20</v>
      </c>
      <c r="P1242" s="8"/>
      <c r="Q1242" s="8" t="s">
        <v>21</v>
      </c>
      <c r="R1242" s="8" t="s">
        <v>21</v>
      </c>
      <c r="S1242" s="8" t="s">
        <v>21</v>
      </c>
      <c r="T1242" s="8" t="s">
        <v>21</v>
      </c>
      <c r="U1242" s="6">
        <f t="shared" si="155"/>
        <v>847.67200000000003</v>
      </c>
      <c r="V1242" s="6">
        <f t="shared" si="156"/>
        <v>847.67200000000003</v>
      </c>
    </row>
    <row r="1243" spans="1:22" hidden="1" x14ac:dyDescent="0.35">
      <c r="A1243" s="6" t="s">
        <v>1385</v>
      </c>
      <c r="B1243" s="6" t="s">
        <v>1367</v>
      </c>
      <c r="C1243" s="6" t="s">
        <v>1368</v>
      </c>
      <c r="D1243" s="6">
        <f t="shared" si="157"/>
        <v>0.5</v>
      </c>
      <c r="E1243" s="6" t="s">
        <v>19</v>
      </c>
      <c r="F1243" s="6" t="str">
        <f>MID(A1243,19,1)</f>
        <v>S</v>
      </c>
      <c r="G1243" s="6">
        <v>-23.17226514054417</v>
      </c>
      <c r="H1243" s="6">
        <v>-46.941044788608771</v>
      </c>
      <c r="I1243" s="9">
        <v>1348.68</v>
      </c>
      <c r="K1243" s="6">
        <v>4.55</v>
      </c>
      <c r="L1243" s="6">
        <v>30</v>
      </c>
      <c r="N1243" s="1">
        <f t="shared" si="154"/>
        <v>0</v>
      </c>
      <c r="O1243" s="8" t="s">
        <v>20</v>
      </c>
      <c r="P1243" s="8"/>
      <c r="Q1243" s="8" t="s">
        <v>21</v>
      </c>
      <c r="R1243" s="8" t="s">
        <v>21</v>
      </c>
      <c r="S1243" s="8" t="s">
        <v>21</v>
      </c>
      <c r="T1243" s="8" t="s">
        <v>21</v>
      </c>
      <c r="U1243" s="6">
        <f t="shared" si="155"/>
        <v>404.60399999999998</v>
      </c>
      <c r="V1243" s="6">
        <f t="shared" si="156"/>
        <v>404.60399999999998</v>
      </c>
    </row>
    <row r="1244" spans="1:22" hidden="1" x14ac:dyDescent="0.35">
      <c r="A1244" s="6" t="s">
        <v>1386</v>
      </c>
      <c r="B1244" s="6" t="s">
        <v>1367</v>
      </c>
      <c r="C1244" s="6" t="s">
        <v>1368</v>
      </c>
      <c r="D1244" s="6">
        <f t="shared" si="157"/>
        <v>0.5</v>
      </c>
      <c r="E1244" s="6" t="s">
        <v>19</v>
      </c>
      <c r="F1244" s="6" t="str">
        <f>MID(A1244,19,1)</f>
        <v>S</v>
      </c>
      <c r="G1244" s="6">
        <v>-23.174679352854589</v>
      </c>
      <c r="H1244" s="6">
        <v>-46.920047479940003</v>
      </c>
      <c r="I1244" s="9">
        <v>308.35000000000002</v>
      </c>
      <c r="K1244" s="6">
        <v>1.89</v>
      </c>
      <c r="L1244" s="6">
        <v>40</v>
      </c>
      <c r="N1244" s="1">
        <f t="shared" si="154"/>
        <v>0</v>
      </c>
      <c r="O1244" s="8" t="s">
        <v>20</v>
      </c>
      <c r="P1244" s="8"/>
      <c r="Q1244" s="8" t="s">
        <v>21</v>
      </c>
      <c r="R1244" s="8" t="s">
        <v>21</v>
      </c>
      <c r="S1244" s="8" t="s">
        <v>21</v>
      </c>
      <c r="T1244" s="8" t="s">
        <v>21</v>
      </c>
      <c r="U1244" s="6">
        <f t="shared" si="155"/>
        <v>123.34000000000002</v>
      </c>
      <c r="V1244" s="6">
        <f t="shared" si="156"/>
        <v>123.34000000000002</v>
      </c>
    </row>
    <row r="1245" spans="1:22" hidden="1" x14ac:dyDescent="0.35">
      <c r="A1245" s="6" t="s">
        <v>1387</v>
      </c>
      <c r="B1245" s="6" t="s">
        <v>1367</v>
      </c>
      <c r="C1245" s="6" t="s">
        <v>1368</v>
      </c>
      <c r="D1245" s="6">
        <f t="shared" si="157"/>
        <v>0.5</v>
      </c>
      <c r="E1245" s="6" t="s">
        <v>19</v>
      </c>
      <c r="F1245" s="6" t="str">
        <f>MID(A1245,19,1)</f>
        <v>S</v>
      </c>
      <c r="G1245" s="6">
        <v>-23.175095298940949</v>
      </c>
      <c r="H1245" s="6">
        <v>-46.91947792906543</v>
      </c>
      <c r="I1245" s="9">
        <v>214.12</v>
      </c>
      <c r="K1245" s="6">
        <v>2.73</v>
      </c>
      <c r="L1245" s="6">
        <v>40</v>
      </c>
      <c r="N1245" s="1">
        <f t="shared" si="154"/>
        <v>0</v>
      </c>
      <c r="O1245" s="8" t="s">
        <v>20</v>
      </c>
      <c r="P1245" s="8"/>
      <c r="Q1245" s="8" t="s">
        <v>21</v>
      </c>
      <c r="R1245" s="8" t="s">
        <v>21</v>
      </c>
      <c r="S1245" s="8" t="s">
        <v>21</v>
      </c>
      <c r="T1245" s="8" t="s">
        <v>21</v>
      </c>
      <c r="U1245" s="6">
        <f t="shared" si="155"/>
        <v>85.64800000000001</v>
      </c>
      <c r="V1245" s="6">
        <f t="shared" si="156"/>
        <v>85.64800000000001</v>
      </c>
    </row>
    <row r="1246" spans="1:22" hidden="1" x14ac:dyDescent="0.35">
      <c r="A1246" s="6" t="s">
        <v>1388</v>
      </c>
      <c r="B1246" s="6" t="s">
        <v>1367</v>
      </c>
      <c r="C1246" s="6" t="s">
        <v>1368</v>
      </c>
      <c r="D1246" s="6">
        <f t="shared" si="157"/>
        <v>0.5</v>
      </c>
      <c r="E1246" s="6" t="s">
        <v>19</v>
      </c>
      <c r="F1246" s="6" t="str">
        <f>MID(A1246,19,1)</f>
        <v>S</v>
      </c>
      <c r="G1246" s="6">
        <v>-23.175367443799018</v>
      </c>
      <c r="H1246" s="6">
        <v>-46.919125300653967</v>
      </c>
      <c r="I1246" s="9">
        <v>107.16</v>
      </c>
      <c r="K1246" s="6">
        <v>6.09</v>
      </c>
      <c r="L1246" s="6">
        <v>40</v>
      </c>
      <c r="N1246" s="1">
        <f t="shared" si="154"/>
        <v>0</v>
      </c>
      <c r="O1246" s="8" t="s">
        <v>20</v>
      </c>
      <c r="P1246" s="8"/>
      <c r="Q1246" s="8" t="s">
        <v>21</v>
      </c>
      <c r="R1246" s="8" t="s">
        <v>21</v>
      </c>
      <c r="S1246" s="8" t="s">
        <v>21</v>
      </c>
      <c r="T1246" s="8" t="s">
        <v>21</v>
      </c>
      <c r="U1246" s="6">
        <f t="shared" si="155"/>
        <v>42.864000000000004</v>
      </c>
      <c r="V1246" s="6">
        <f t="shared" si="156"/>
        <v>42.864000000000004</v>
      </c>
    </row>
    <row r="1247" spans="1:22" x14ac:dyDescent="0.35">
      <c r="A1247" s="6" t="s">
        <v>1389</v>
      </c>
      <c r="B1247" s="6" t="s">
        <v>1367</v>
      </c>
      <c r="C1247" s="6" t="s">
        <v>1368</v>
      </c>
      <c r="D1247" s="6">
        <f t="shared" si="157"/>
        <v>0.5</v>
      </c>
      <c r="E1247" s="6" t="s">
        <v>19</v>
      </c>
      <c r="F1247" s="6" t="str">
        <f>MID(A1247,19,1)</f>
        <v>N</v>
      </c>
      <c r="G1247" s="6">
        <v>-23.174745042524101</v>
      </c>
      <c r="H1247" s="6">
        <v>-46.918601494113133</v>
      </c>
      <c r="I1247" s="9">
        <v>242.31</v>
      </c>
      <c r="K1247" s="6">
        <v>3.07</v>
      </c>
      <c r="L1247" s="6">
        <v>0</v>
      </c>
      <c r="N1247" s="1">
        <f t="shared" si="154"/>
        <v>0</v>
      </c>
      <c r="O1247" s="8"/>
      <c r="P1247" s="8"/>
      <c r="Q1247" s="8" t="s">
        <v>21</v>
      </c>
      <c r="R1247" s="8" t="s">
        <v>21</v>
      </c>
      <c r="S1247" s="8" t="s">
        <v>21</v>
      </c>
      <c r="T1247" s="8" t="s">
        <v>21</v>
      </c>
      <c r="U1247" s="6">
        <f t="shared" si="155"/>
        <v>0</v>
      </c>
      <c r="V1247" s="6">
        <f t="shared" si="156"/>
        <v>0</v>
      </c>
    </row>
    <row r="1248" spans="1:22" hidden="1" x14ac:dyDescent="0.35">
      <c r="A1248" s="6" t="s">
        <v>1390</v>
      </c>
      <c r="B1248" s="6" t="s">
        <v>1367</v>
      </c>
      <c r="C1248" s="6" t="s">
        <v>1368</v>
      </c>
      <c r="D1248" s="6">
        <f t="shared" si="157"/>
        <v>0.5</v>
      </c>
      <c r="E1248" s="6" t="s">
        <v>23</v>
      </c>
      <c r="F1248" s="6" t="str">
        <f>MID(A1248,19,1)</f>
        <v>C</v>
      </c>
      <c r="G1248" s="6">
        <v>-23.170100762249088</v>
      </c>
      <c r="H1248" s="6">
        <v>-46.940007186976473</v>
      </c>
      <c r="I1248" s="9">
        <v>14738.43</v>
      </c>
      <c r="J1248" s="9">
        <f t="shared" ref="J1248:J1250" si="158">I1248/500</f>
        <v>29.476860000000002</v>
      </c>
      <c r="K1248" s="6">
        <v>3.62</v>
      </c>
      <c r="L1248" s="6">
        <v>90</v>
      </c>
      <c r="N1248" s="1">
        <f t="shared" si="154"/>
        <v>0</v>
      </c>
      <c r="O1248" s="8" t="s">
        <v>185</v>
      </c>
      <c r="P1248" s="8"/>
      <c r="Q1248" s="8" t="s">
        <v>21</v>
      </c>
      <c r="R1248" s="8" t="s">
        <v>21</v>
      </c>
      <c r="S1248" s="8" t="s">
        <v>21</v>
      </c>
      <c r="T1248" s="8" t="s">
        <v>21</v>
      </c>
      <c r="U1248" s="6">
        <f t="shared" si="155"/>
        <v>13264.587000000001</v>
      </c>
      <c r="V1248" s="6">
        <f t="shared" si="156"/>
        <v>13264.587000000001</v>
      </c>
    </row>
    <row r="1249" spans="1:22" hidden="1" x14ac:dyDescent="0.35">
      <c r="A1249" s="6" t="s">
        <v>1391</v>
      </c>
      <c r="B1249" s="6" t="s">
        <v>1367</v>
      </c>
      <c r="C1249" s="6" t="s">
        <v>1368</v>
      </c>
      <c r="D1249" s="6">
        <f t="shared" si="157"/>
        <v>0.5</v>
      </c>
      <c r="E1249" s="6" t="s">
        <v>23</v>
      </c>
      <c r="F1249" s="6" t="str">
        <f>MID(A1249,19,1)</f>
        <v>C</v>
      </c>
      <c r="G1249" s="6">
        <v>-23.165371489657279</v>
      </c>
      <c r="H1249" s="6">
        <v>-46.944584155110192</v>
      </c>
      <c r="I1249" s="9">
        <v>6032.15</v>
      </c>
      <c r="J1249" s="9">
        <f t="shared" si="158"/>
        <v>12.064299999999999</v>
      </c>
      <c r="K1249" s="6">
        <v>3.27</v>
      </c>
      <c r="L1249" s="6">
        <v>90</v>
      </c>
      <c r="N1249" s="1">
        <f t="shared" si="154"/>
        <v>0</v>
      </c>
      <c r="O1249" s="8" t="s">
        <v>185</v>
      </c>
      <c r="P1249" s="8"/>
      <c r="Q1249" s="8" t="s">
        <v>21</v>
      </c>
      <c r="R1249" s="8" t="s">
        <v>21</v>
      </c>
      <c r="S1249" s="8" t="s">
        <v>21</v>
      </c>
      <c r="T1249" s="8" t="s">
        <v>21</v>
      </c>
      <c r="U1249" s="6">
        <f t="shared" si="155"/>
        <v>5428.9349999999995</v>
      </c>
      <c r="V1249" s="6">
        <f t="shared" si="156"/>
        <v>5428.9349999999995</v>
      </c>
    </row>
    <row r="1250" spans="1:22" hidden="1" x14ac:dyDescent="0.35">
      <c r="A1250" s="6" t="s">
        <v>1392</v>
      </c>
      <c r="B1250" s="6" t="s">
        <v>1367</v>
      </c>
      <c r="C1250" s="6" t="s">
        <v>1368</v>
      </c>
      <c r="D1250" s="6">
        <f t="shared" si="157"/>
        <v>0.5</v>
      </c>
      <c r="E1250" s="6" t="s">
        <v>23</v>
      </c>
      <c r="F1250" s="6" t="str">
        <f>MID(A1250,19,1)</f>
        <v>C</v>
      </c>
      <c r="G1250" s="6">
        <v>-23.171252318133579</v>
      </c>
      <c r="H1250" s="6">
        <v>-46.940068995431957</v>
      </c>
      <c r="I1250" s="9">
        <v>12651.32</v>
      </c>
      <c r="J1250" s="9">
        <f t="shared" si="158"/>
        <v>25.30264</v>
      </c>
      <c r="K1250" s="6">
        <v>6.17</v>
      </c>
      <c r="L1250" s="6">
        <v>30</v>
      </c>
      <c r="N1250" s="1">
        <f t="shared" si="154"/>
        <v>0</v>
      </c>
      <c r="O1250" s="8" t="s">
        <v>20</v>
      </c>
      <c r="P1250" s="8"/>
      <c r="Q1250" s="8" t="s">
        <v>21</v>
      </c>
      <c r="R1250" s="8" t="s">
        <v>21</v>
      </c>
      <c r="S1250" s="8" t="s">
        <v>21</v>
      </c>
      <c r="T1250" s="8" t="s">
        <v>21</v>
      </c>
      <c r="U1250" s="6">
        <f t="shared" si="155"/>
        <v>3795.3959999999997</v>
      </c>
      <c r="V1250" s="6">
        <f t="shared" si="156"/>
        <v>3795.3959999999997</v>
      </c>
    </row>
    <row r="1251" spans="1:22" x14ac:dyDescent="0.35">
      <c r="A1251" s="6" t="s">
        <v>1393</v>
      </c>
      <c r="B1251" s="6" t="s">
        <v>1367</v>
      </c>
      <c r="C1251" s="6" t="s">
        <v>1368</v>
      </c>
      <c r="D1251" s="6">
        <f t="shared" si="157"/>
        <v>0.5</v>
      </c>
      <c r="E1251" s="6" t="s">
        <v>19</v>
      </c>
      <c r="F1251" s="6" t="str">
        <f>MID(A1251,19,1)</f>
        <v>N</v>
      </c>
      <c r="G1251" s="6">
        <v>-23.17533346208667</v>
      </c>
      <c r="H1251" s="6">
        <v>-46.91784613970264</v>
      </c>
      <c r="I1251" s="9">
        <v>437.54</v>
      </c>
      <c r="K1251" s="6">
        <v>2.4</v>
      </c>
      <c r="L1251" s="6">
        <v>70</v>
      </c>
      <c r="N1251" s="1">
        <f t="shared" si="154"/>
        <v>0</v>
      </c>
      <c r="O1251" s="8" t="s">
        <v>20</v>
      </c>
      <c r="P1251" s="8"/>
      <c r="Q1251" s="8" t="s">
        <v>21</v>
      </c>
      <c r="R1251" s="8" t="s">
        <v>21</v>
      </c>
      <c r="S1251" s="8" t="s">
        <v>21</v>
      </c>
      <c r="T1251" s="8" t="s">
        <v>21</v>
      </c>
      <c r="U1251" s="6">
        <f t="shared" si="155"/>
        <v>306.27800000000002</v>
      </c>
      <c r="V1251" s="6">
        <f t="shared" si="156"/>
        <v>306.27800000000002</v>
      </c>
    </row>
    <row r="1252" spans="1:22" hidden="1" x14ac:dyDescent="0.35">
      <c r="A1252" s="6" t="s">
        <v>1394</v>
      </c>
      <c r="B1252" s="6" t="s">
        <v>1367</v>
      </c>
      <c r="C1252" s="6" t="s">
        <v>1368</v>
      </c>
      <c r="D1252" s="6">
        <f t="shared" si="157"/>
        <v>0.5</v>
      </c>
      <c r="E1252" s="6" t="s">
        <v>19</v>
      </c>
      <c r="F1252" s="6" t="str">
        <f>MID(A1252,19,1)</f>
        <v>S</v>
      </c>
      <c r="G1252" s="6">
        <v>-23.172208834710499</v>
      </c>
      <c r="H1252" s="6">
        <v>-46.93969868313156</v>
      </c>
      <c r="I1252" s="9">
        <v>1416.88</v>
      </c>
      <c r="K1252" s="6">
        <v>3.7</v>
      </c>
      <c r="L1252" s="6">
        <v>30</v>
      </c>
      <c r="N1252" s="1">
        <f t="shared" si="154"/>
        <v>0</v>
      </c>
      <c r="O1252" s="8" t="s">
        <v>20</v>
      </c>
      <c r="P1252" s="8"/>
      <c r="Q1252" s="8" t="s">
        <v>21</v>
      </c>
      <c r="R1252" s="8" t="s">
        <v>21</v>
      </c>
      <c r="S1252" s="8" t="s">
        <v>21</v>
      </c>
      <c r="T1252" s="8" t="s">
        <v>21</v>
      </c>
      <c r="U1252" s="6">
        <f t="shared" si="155"/>
        <v>425.06400000000002</v>
      </c>
      <c r="V1252" s="6">
        <f t="shared" si="156"/>
        <v>425.06400000000002</v>
      </c>
    </row>
    <row r="1253" spans="1:22" hidden="1" x14ac:dyDescent="0.35">
      <c r="A1253" s="6" t="s">
        <v>1395</v>
      </c>
      <c r="B1253" s="6" t="s">
        <v>1367</v>
      </c>
      <c r="C1253" s="6" t="s">
        <v>1368</v>
      </c>
      <c r="D1253" s="6">
        <f t="shared" si="157"/>
        <v>0.5</v>
      </c>
      <c r="E1253" s="6" t="s">
        <v>19</v>
      </c>
      <c r="F1253" s="6" t="str">
        <f>MID(A1253,19,1)</f>
        <v>S</v>
      </c>
      <c r="G1253" s="6">
        <v>-23.17127477026229</v>
      </c>
      <c r="H1253" s="6">
        <v>-46.941717148197498</v>
      </c>
      <c r="I1253" s="9">
        <v>8150.03</v>
      </c>
      <c r="K1253" s="6">
        <v>3.71</v>
      </c>
      <c r="L1253" s="6">
        <v>30</v>
      </c>
      <c r="N1253" s="1">
        <f t="shared" si="154"/>
        <v>0</v>
      </c>
      <c r="O1253" s="8" t="s">
        <v>20</v>
      </c>
      <c r="P1253" s="8"/>
      <c r="Q1253" s="8" t="s">
        <v>21</v>
      </c>
      <c r="R1253" s="8" t="s">
        <v>21</v>
      </c>
      <c r="S1253" s="8" t="s">
        <v>21</v>
      </c>
      <c r="T1253" s="8" t="s">
        <v>21</v>
      </c>
      <c r="U1253" s="6">
        <f t="shared" si="155"/>
        <v>2445.009</v>
      </c>
      <c r="V1253" s="6">
        <f t="shared" si="156"/>
        <v>2445.009</v>
      </c>
    </row>
    <row r="1254" spans="1:22" hidden="1" x14ac:dyDescent="0.35">
      <c r="A1254" s="6" t="s">
        <v>1396</v>
      </c>
      <c r="B1254" s="6" t="s">
        <v>1367</v>
      </c>
      <c r="C1254" s="6" t="s">
        <v>1368</v>
      </c>
      <c r="D1254" s="6">
        <f t="shared" si="157"/>
        <v>0.5</v>
      </c>
      <c r="E1254" s="6" t="s">
        <v>23</v>
      </c>
      <c r="F1254" s="6" t="str">
        <f>MID(A1254,19,1)</f>
        <v>C</v>
      </c>
      <c r="G1254" s="6">
        <v>-23.170323926294309</v>
      </c>
      <c r="H1254" s="6">
        <v>-46.940742604528637</v>
      </c>
      <c r="I1254" s="9">
        <v>13073.24</v>
      </c>
      <c r="J1254" s="9">
        <f>I1254/500</f>
        <v>26.14648</v>
      </c>
      <c r="K1254" s="6">
        <v>3.9</v>
      </c>
      <c r="L1254" s="6">
        <v>30</v>
      </c>
      <c r="N1254" s="1">
        <f t="shared" si="154"/>
        <v>0</v>
      </c>
      <c r="O1254" s="8" t="s">
        <v>20</v>
      </c>
      <c r="P1254" s="8"/>
      <c r="Q1254" s="8" t="s">
        <v>21</v>
      </c>
      <c r="R1254" s="8" t="s">
        <v>21</v>
      </c>
      <c r="S1254" s="8" t="s">
        <v>21</v>
      </c>
      <c r="T1254" s="8" t="s">
        <v>21</v>
      </c>
      <c r="U1254" s="6">
        <f t="shared" si="155"/>
        <v>3921.9719999999998</v>
      </c>
      <c r="V1254" s="6">
        <f t="shared" si="156"/>
        <v>3921.9719999999998</v>
      </c>
    </row>
    <row r="1255" spans="1:22" hidden="1" x14ac:dyDescent="0.35">
      <c r="A1255" s="6" t="s">
        <v>1397</v>
      </c>
      <c r="B1255" s="6" t="s">
        <v>1367</v>
      </c>
      <c r="C1255" s="6" t="s">
        <v>1368</v>
      </c>
      <c r="D1255" s="6">
        <f t="shared" si="157"/>
        <v>0.5</v>
      </c>
      <c r="E1255" s="6" t="s">
        <v>19</v>
      </c>
      <c r="F1255" s="6" t="str">
        <f>MID(A1255,19,1)</f>
        <v>S</v>
      </c>
      <c r="G1255" s="6">
        <v>-23.168458306590662</v>
      </c>
      <c r="H1255" s="6">
        <v>-46.941773822131772</v>
      </c>
      <c r="I1255" s="9">
        <v>130.21</v>
      </c>
      <c r="K1255" s="6">
        <v>0.95</v>
      </c>
      <c r="L1255" s="6">
        <v>20</v>
      </c>
      <c r="N1255" s="1">
        <f t="shared" si="154"/>
        <v>0</v>
      </c>
      <c r="O1255" s="8" t="s">
        <v>20</v>
      </c>
      <c r="P1255" s="8"/>
      <c r="Q1255" s="8" t="s">
        <v>21</v>
      </c>
      <c r="R1255" s="8" t="s">
        <v>21</v>
      </c>
      <c r="S1255" s="8" t="s">
        <v>21</v>
      </c>
      <c r="T1255" s="8" t="s">
        <v>21</v>
      </c>
      <c r="U1255" s="6">
        <f t="shared" si="155"/>
        <v>26.042000000000002</v>
      </c>
      <c r="V1255" s="6">
        <f t="shared" si="156"/>
        <v>26.042000000000002</v>
      </c>
    </row>
    <row r="1256" spans="1:22" hidden="1" x14ac:dyDescent="0.35">
      <c r="A1256" s="6" t="s">
        <v>1398</v>
      </c>
      <c r="B1256" s="6" t="s">
        <v>1367</v>
      </c>
      <c r="C1256" s="6" t="s">
        <v>1368</v>
      </c>
      <c r="D1256" s="6">
        <f t="shared" si="157"/>
        <v>0.5</v>
      </c>
      <c r="E1256" s="6" t="s">
        <v>23</v>
      </c>
      <c r="F1256" s="6" t="str">
        <f>MID(A1256,19,1)</f>
        <v>C</v>
      </c>
      <c r="G1256" s="6">
        <v>-23.16720137396123</v>
      </c>
      <c r="H1256" s="6">
        <v>-46.942602723411639</v>
      </c>
      <c r="I1256" s="9">
        <v>10947.95</v>
      </c>
      <c r="J1256" s="9">
        <f>I1256/500</f>
        <v>21.895900000000001</v>
      </c>
      <c r="K1256" s="6">
        <v>4.33</v>
      </c>
      <c r="L1256" s="6">
        <v>90</v>
      </c>
      <c r="N1256" s="1">
        <f t="shared" si="154"/>
        <v>0</v>
      </c>
      <c r="O1256" s="8" t="s">
        <v>185</v>
      </c>
      <c r="P1256" s="8"/>
      <c r="Q1256" s="8" t="s">
        <v>21</v>
      </c>
      <c r="R1256" s="8" t="s">
        <v>21</v>
      </c>
      <c r="S1256" s="8" t="s">
        <v>21</v>
      </c>
      <c r="T1256" s="8" t="s">
        <v>21</v>
      </c>
      <c r="U1256" s="6">
        <f t="shared" si="155"/>
        <v>9853.1550000000007</v>
      </c>
      <c r="V1256" s="6">
        <f t="shared" si="156"/>
        <v>9853.1550000000007</v>
      </c>
    </row>
    <row r="1257" spans="1:22" x14ac:dyDescent="0.35">
      <c r="A1257" s="6" t="s">
        <v>1399</v>
      </c>
      <c r="B1257" s="6" t="s">
        <v>1367</v>
      </c>
      <c r="C1257" s="6" t="s">
        <v>1368</v>
      </c>
      <c r="D1257" s="6">
        <f t="shared" si="157"/>
        <v>0.5</v>
      </c>
      <c r="E1257" s="6" t="s">
        <v>19</v>
      </c>
      <c r="F1257" s="6" t="str">
        <f>MID(A1257,19,1)</f>
        <v>N</v>
      </c>
      <c r="G1257" s="6">
        <v>-23.175923718983949</v>
      </c>
      <c r="H1257" s="6">
        <v>-46.917393104595099</v>
      </c>
      <c r="I1257" s="9">
        <v>6054.31</v>
      </c>
      <c r="K1257" s="6">
        <v>2.5299999999999998</v>
      </c>
      <c r="L1257" s="6">
        <v>70</v>
      </c>
      <c r="N1257" s="1">
        <f t="shared" si="154"/>
        <v>0</v>
      </c>
      <c r="O1257" s="8" t="s">
        <v>20</v>
      </c>
      <c r="P1257" s="8"/>
      <c r="Q1257" s="8" t="s">
        <v>21</v>
      </c>
      <c r="R1257" s="8" t="s">
        <v>21</v>
      </c>
      <c r="S1257" s="8" t="s">
        <v>21</v>
      </c>
      <c r="T1257" s="8" t="s">
        <v>21</v>
      </c>
      <c r="U1257" s="6">
        <f t="shared" si="155"/>
        <v>4238.0169999999998</v>
      </c>
      <c r="V1257" s="6">
        <f t="shared" si="156"/>
        <v>4238.0169999999998</v>
      </c>
    </row>
    <row r="1258" spans="1:22" hidden="1" x14ac:dyDescent="0.35">
      <c r="A1258" s="6" t="s">
        <v>1400</v>
      </c>
      <c r="B1258" s="6" t="s">
        <v>1367</v>
      </c>
      <c r="C1258" s="6" t="s">
        <v>1368</v>
      </c>
      <c r="D1258" s="6">
        <f t="shared" si="157"/>
        <v>0.5</v>
      </c>
      <c r="E1258" s="6" t="s">
        <v>19</v>
      </c>
      <c r="F1258" s="6" t="str">
        <f>MID(A1258,19,1)</f>
        <v>S</v>
      </c>
      <c r="G1258" s="6">
        <v>-23.172327797618099</v>
      </c>
      <c r="H1258" s="6">
        <v>-46.940125094606692</v>
      </c>
      <c r="I1258" s="9">
        <v>7373.97</v>
      </c>
      <c r="K1258" s="6">
        <v>4.78</v>
      </c>
      <c r="L1258" s="6">
        <v>30</v>
      </c>
      <c r="N1258" s="1">
        <f t="shared" si="154"/>
        <v>0</v>
      </c>
      <c r="O1258" s="8" t="s">
        <v>20</v>
      </c>
      <c r="P1258" s="8"/>
      <c r="Q1258" s="8" t="s">
        <v>21</v>
      </c>
      <c r="R1258" s="8" t="s">
        <v>21</v>
      </c>
      <c r="S1258" s="8" t="s">
        <v>21</v>
      </c>
      <c r="T1258" s="8" t="s">
        <v>21</v>
      </c>
      <c r="U1258" s="6">
        <f t="shared" si="155"/>
        <v>2212.1909999999998</v>
      </c>
      <c r="V1258" s="6">
        <f t="shared" si="156"/>
        <v>2212.1909999999998</v>
      </c>
    </row>
    <row r="1259" spans="1:22" x14ac:dyDescent="0.35">
      <c r="A1259" s="6" t="s">
        <v>1401</v>
      </c>
      <c r="B1259" s="6" t="s">
        <v>1367</v>
      </c>
      <c r="C1259" s="6" t="s">
        <v>1368</v>
      </c>
      <c r="D1259" s="6">
        <f t="shared" si="157"/>
        <v>0.5</v>
      </c>
      <c r="E1259" s="6" t="s">
        <v>19</v>
      </c>
      <c r="F1259" s="6" t="str">
        <f>MID(A1259,19,1)</f>
        <v>N</v>
      </c>
      <c r="G1259" s="6">
        <v>-23.165169885256169</v>
      </c>
      <c r="H1259" s="6">
        <v>-46.944352238774293</v>
      </c>
      <c r="I1259" s="9">
        <v>805.3</v>
      </c>
      <c r="K1259" s="6">
        <v>4.4800000000000004</v>
      </c>
      <c r="L1259" s="6">
        <v>0</v>
      </c>
      <c r="N1259" s="1">
        <f t="shared" si="154"/>
        <v>0</v>
      </c>
      <c r="O1259" s="8"/>
      <c r="P1259" s="8"/>
      <c r="Q1259" s="8" t="s">
        <v>21</v>
      </c>
      <c r="R1259" s="8" t="s">
        <v>21</v>
      </c>
      <c r="S1259" s="8" t="s">
        <v>21</v>
      </c>
      <c r="T1259" s="8" t="s">
        <v>21</v>
      </c>
      <c r="U1259" s="6">
        <f t="shared" si="155"/>
        <v>0</v>
      </c>
      <c r="V1259" s="6">
        <f t="shared" si="156"/>
        <v>0</v>
      </c>
    </row>
    <row r="1260" spans="1:22" x14ac:dyDescent="0.35">
      <c r="A1260" s="6" t="s">
        <v>1402</v>
      </c>
      <c r="B1260" s="6" t="s">
        <v>1367</v>
      </c>
      <c r="C1260" s="6" t="s">
        <v>1368</v>
      </c>
      <c r="D1260" s="6">
        <f t="shared" si="157"/>
        <v>0.5</v>
      </c>
      <c r="E1260" s="6" t="s">
        <v>19</v>
      </c>
      <c r="F1260" s="6" t="str">
        <f>MID(A1260,19,1)</f>
        <v>N</v>
      </c>
      <c r="G1260" s="6">
        <v>-23.17001136825473</v>
      </c>
      <c r="H1260" s="6">
        <v>-46.939439894735521</v>
      </c>
      <c r="I1260" s="9">
        <v>2186.4699999999998</v>
      </c>
      <c r="K1260" s="6">
        <v>3.09</v>
      </c>
      <c r="L1260" s="6">
        <v>70</v>
      </c>
      <c r="N1260" s="1">
        <f t="shared" si="154"/>
        <v>0</v>
      </c>
      <c r="O1260" s="8" t="s">
        <v>20</v>
      </c>
      <c r="P1260" s="8"/>
      <c r="Q1260" s="8" t="s">
        <v>21</v>
      </c>
      <c r="R1260" s="8" t="s">
        <v>21</v>
      </c>
      <c r="S1260" s="8" t="s">
        <v>21</v>
      </c>
      <c r="T1260" s="8" t="s">
        <v>21</v>
      </c>
      <c r="U1260" s="6">
        <f t="shared" si="155"/>
        <v>1530.5289999999998</v>
      </c>
      <c r="V1260" s="6">
        <f t="shared" si="156"/>
        <v>1530.5289999999998</v>
      </c>
    </row>
    <row r="1261" spans="1:22" x14ac:dyDescent="0.35">
      <c r="A1261" s="6" t="s">
        <v>1403</v>
      </c>
      <c r="B1261" s="6" t="s">
        <v>1367</v>
      </c>
      <c r="C1261" s="6" t="s">
        <v>1368</v>
      </c>
      <c r="D1261" s="6">
        <f t="shared" si="157"/>
        <v>0.5</v>
      </c>
      <c r="E1261" s="6" t="s">
        <v>19</v>
      </c>
      <c r="F1261" s="6" t="str">
        <f>MID(A1261,19,1)</f>
        <v>N</v>
      </c>
      <c r="G1261" s="6">
        <v>-23.17252026576698</v>
      </c>
      <c r="H1261" s="6">
        <v>-46.921053038279517</v>
      </c>
      <c r="I1261" s="9">
        <v>3143.26</v>
      </c>
      <c r="K1261" s="6">
        <v>4.8</v>
      </c>
      <c r="L1261" s="6">
        <v>0</v>
      </c>
      <c r="N1261" s="1">
        <f t="shared" si="154"/>
        <v>0</v>
      </c>
      <c r="O1261" s="8"/>
      <c r="P1261" s="8"/>
      <c r="Q1261" s="8" t="s">
        <v>21</v>
      </c>
      <c r="R1261" s="8" t="s">
        <v>21</v>
      </c>
      <c r="S1261" s="8" t="s">
        <v>21</v>
      </c>
      <c r="T1261" s="8" t="s">
        <v>21</v>
      </c>
      <c r="U1261" s="6">
        <f t="shared" si="155"/>
        <v>0</v>
      </c>
      <c r="V1261" s="6">
        <f t="shared" si="156"/>
        <v>0</v>
      </c>
    </row>
    <row r="1262" spans="1:22" x14ac:dyDescent="0.35">
      <c r="A1262" s="6" t="s">
        <v>1404</v>
      </c>
      <c r="B1262" s="6" t="s">
        <v>1367</v>
      </c>
      <c r="C1262" s="6" t="s">
        <v>1368</v>
      </c>
      <c r="D1262" s="6">
        <f t="shared" si="157"/>
        <v>0.5</v>
      </c>
      <c r="E1262" s="6" t="s">
        <v>19</v>
      </c>
      <c r="F1262" s="6" t="str">
        <f>MID(A1262,19,1)</f>
        <v>N</v>
      </c>
      <c r="G1262" s="6">
        <v>-23.172456824018528</v>
      </c>
      <c r="H1262" s="6">
        <v>-46.921567044133248</v>
      </c>
      <c r="I1262" s="9">
        <v>10017.01</v>
      </c>
      <c r="K1262" s="6">
        <v>4.18</v>
      </c>
      <c r="L1262" s="6">
        <v>0</v>
      </c>
      <c r="N1262" s="1">
        <f t="shared" si="154"/>
        <v>0</v>
      </c>
      <c r="O1262" s="8"/>
      <c r="P1262" s="8"/>
      <c r="Q1262" s="8" t="s">
        <v>21</v>
      </c>
      <c r="R1262" s="8" t="s">
        <v>21</v>
      </c>
      <c r="S1262" s="8" t="s">
        <v>21</v>
      </c>
      <c r="T1262" s="8" t="s">
        <v>21</v>
      </c>
      <c r="U1262" s="6">
        <f t="shared" si="155"/>
        <v>0</v>
      </c>
      <c r="V1262" s="6">
        <f t="shared" si="156"/>
        <v>0</v>
      </c>
    </row>
    <row r="1263" spans="1:22" x14ac:dyDescent="0.35">
      <c r="A1263" s="6" t="s">
        <v>1405</v>
      </c>
      <c r="B1263" s="6" t="s">
        <v>1367</v>
      </c>
      <c r="C1263" s="6" t="s">
        <v>1368</v>
      </c>
      <c r="D1263" s="6">
        <f t="shared" si="157"/>
        <v>0.5</v>
      </c>
      <c r="E1263" s="6" t="s">
        <v>19</v>
      </c>
      <c r="F1263" s="6" t="str">
        <f>MID(A1263,19,1)</f>
        <v>N</v>
      </c>
      <c r="G1263" s="6">
        <v>-23.17418311682178</v>
      </c>
      <c r="H1263" s="6">
        <v>-46.919578999371808</v>
      </c>
      <c r="I1263" s="9">
        <v>6816.15</v>
      </c>
      <c r="K1263" s="6">
        <v>3.46</v>
      </c>
      <c r="L1263" s="6">
        <v>0</v>
      </c>
      <c r="N1263" s="1">
        <f t="shared" si="154"/>
        <v>0</v>
      </c>
      <c r="O1263" s="8"/>
      <c r="P1263" s="8"/>
      <c r="Q1263" s="8" t="s">
        <v>21</v>
      </c>
      <c r="R1263" s="8" t="s">
        <v>21</v>
      </c>
      <c r="S1263" s="8" t="s">
        <v>21</v>
      </c>
      <c r="T1263" s="8" t="s">
        <v>21</v>
      </c>
      <c r="U1263" s="6">
        <f t="shared" si="155"/>
        <v>0</v>
      </c>
      <c r="V1263" s="6">
        <f t="shared" si="156"/>
        <v>0</v>
      </c>
    </row>
    <row r="1264" spans="1:22" hidden="1" x14ac:dyDescent="0.35">
      <c r="A1264" s="6" t="s">
        <v>1406</v>
      </c>
      <c r="B1264" s="6" t="s">
        <v>1407</v>
      </c>
      <c r="C1264" s="6" t="s">
        <v>1408</v>
      </c>
      <c r="D1264" s="6">
        <f t="shared" si="157"/>
        <v>0.5</v>
      </c>
      <c r="E1264" s="6" t="s">
        <v>19</v>
      </c>
      <c r="F1264" s="6" t="str">
        <f>MID(A1264,19,1)</f>
        <v>S</v>
      </c>
      <c r="G1264" s="6">
        <v>-23.168565550756</v>
      </c>
      <c r="H1264" s="6">
        <v>-46.92704227338298</v>
      </c>
      <c r="I1264" s="9">
        <v>785.83</v>
      </c>
      <c r="K1264" s="6">
        <v>2.72</v>
      </c>
      <c r="L1264" s="6">
        <v>0</v>
      </c>
      <c r="N1264" s="1">
        <f t="shared" si="154"/>
        <v>0</v>
      </c>
      <c r="O1264" s="8"/>
      <c r="P1264" s="8"/>
      <c r="Q1264" s="8" t="s">
        <v>21</v>
      </c>
      <c r="R1264" s="8" t="s">
        <v>21</v>
      </c>
      <c r="S1264" s="8" t="s">
        <v>21</v>
      </c>
      <c r="T1264" s="8" t="s">
        <v>21</v>
      </c>
      <c r="U1264" s="6">
        <f t="shared" si="155"/>
        <v>0</v>
      </c>
      <c r="V1264" s="6">
        <f t="shared" si="156"/>
        <v>0</v>
      </c>
    </row>
    <row r="1265" spans="1:22" hidden="1" x14ac:dyDescent="0.35">
      <c r="A1265" s="6" t="s">
        <v>1409</v>
      </c>
      <c r="B1265" s="6" t="s">
        <v>1407</v>
      </c>
      <c r="C1265" s="6" t="s">
        <v>1408</v>
      </c>
      <c r="D1265" s="6">
        <f t="shared" si="157"/>
        <v>0.5</v>
      </c>
      <c r="E1265" s="6" t="s">
        <v>19</v>
      </c>
      <c r="F1265" s="6" t="str">
        <f>MID(A1265,19,1)</f>
        <v>S</v>
      </c>
      <c r="G1265" s="6">
        <v>-23.166934382881109</v>
      </c>
      <c r="H1265" s="6">
        <v>-46.928191559640837</v>
      </c>
      <c r="I1265" s="9">
        <v>829.03</v>
      </c>
      <c r="K1265" s="6">
        <v>4.7699999999999996</v>
      </c>
      <c r="L1265" s="6">
        <v>0</v>
      </c>
      <c r="N1265" s="1">
        <f t="shared" si="154"/>
        <v>0</v>
      </c>
      <c r="O1265" s="8"/>
      <c r="P1265" s="8"/>
      <c r="Q1265" s="8" t="s">
        <v>21</v>
      </c>
      <c r="R1265" s="8" t="s">
        <v>21</v>
      </c>
      <c r="S1265" s="8" t="s">
        <v>21</v>
      </c>
      <c r="T1265" s="8" t="s">
        <v>21</v>
      </c>
      <c r="U1265" s="6">
        <f t="shared" si="155"/>
        <v>0</v>
      </c>
      <c r="V1265" s="6">
        <f t="shared" si="156"/>
        <v>0</v>
      </c>
    </row>
    <row r="1266" spans="1:22" x14ac:dyDescent="0.35">
      <c r="A1266" s="6" t="s">
        <v>1410</v>
      </c>
      <c r="B1266" s="6" t="s">
        <v>1407</v>
      </c>
      <c r="C1266" s="6" t="s">
        <v>1408</v>
      </c>
      <c r="D1266" s="6">
        <f t="shared" si="157"/>
        <v>0.5</v>
      </c>
      <c r="E1266" s="6" t="s">
        <v>19</v>
      </c>
      <c r="F1266" s="6" t="str">
        <f>MID(A1266,19,1)</f>
        <v>N</v>
      </c>
      <c r="G1266" s="6">
        <v>-23.160023602057318</v>
      </c>
      <c r="H1266" s="6">
        <v>-46.950058864581017</v>
      </c>
      <c r="I1266" s="9">
        <v>2125.08</v>
      </c>
      <c r="K1266" s="6">
        <v>11.78</v>
      </c>
      <c r="L1266" s="6">
        <v>30</v>
      </c>
      <c r="N1266" s="1">
        <f t="shared" si="154"/>
        <v>0</v>
      </c>
      <c r="O1266" s="8" t="s">
        <v>20</v>
      </c>
      <c r="P1266" s="8"/>
      <c r="Q1266" s="8" t="s">
        <v>21</v>
      </c>
      <c r="R1266" s="8" t="s">
        <v>21</v>
      </c>
      <c r="S1266" s="8" t="s">
        <v>21</v>
      </c>
      <c r="T1266" s="8" t="s">
        <v>21</v>
      </c>
      <c r="U1266" s="6">
        <f t="shared" si="155"/>
        <v>637.524</v>
      </c>
      <c r="V1266" s="6">
        <f t="shared" si="156"/>
        <v>637.524</v>
      </c>
    </row>
    <row r="1267" spans="1:22" hidden="1" x14ac:dyDescent="0.35">
      <c r="A1267" s="6" t="s">
        <v>1411</v>
      </c>
      <c r="B1267" s="6" t="s">
        <v>1407</v>
      </c>
      <c r="C1267" s="6" t="s">
        <v>1408</v>
      </c>
      <c r="D1267" s="6">
        <f t="shared" si="157"/>
        <v>0.5</v>
      </c>
      <c r="E1267" s="6" t="s">
        <v>23</v>
      </c>
      <c r="F1267" s="6" t="str">
        <f>MID(A1267,19,1)</f>
        <v>C</v>
      </c>
      <c r="G1267" s="6">
        <v>-23.16255393551323</v>
      </c>
      <c r="H1267" s="6">
        <v>-46.947715918448523</v>
      </c>
      <c r="I1267" s="9">
        <v>6938.7</v>
      </c>
      <c r="J1267" s="9">
        <f>I1267/500</f>
        <v>13.8774</v>
      </c>
      <c r="K1267" s="6">
        <v>5.91</v>
      </c>
      <c r="L1267" s="6">
        <v>90</v>
      </c>
      <c r="N1267" s="1">
        <f t="shared" si="154"/>
        <v>0</v>
      </c>
      <c r="O1267" s="8" t="s">
        <v>185</v>
      </c>
      <c r="P1267" s="8"/>
      <c r="Q1267" s="8" t="s">
        <v>21</v>
      </c>
      <c r="R1267" s="8" t="s">
        <v>21</v>
      </c>
      <c r="S1267" s="8" t="s">
        <v>21</v>
      </c>
      <c r="T1267" s="8" t="s">
        <v>21</v>
      </c>
      <c r="U1267" s="6">
        <f t="shared" si="155"/>
        <v>6244.83</v>
      </c>
      <c r="V1267" s="6">
        <f t="shared" si="156"/>
        <v>6244.83</v>
      </c>
    </row>
    <row r="1268" spans="1:22" x14ac:dyDescent="0.35">
      <c r="A1268" s="6" t="s">
        <v>1412</v>
      </c>
      <c r="B1268" s="6" t="s">
        <v>1407</v>
      </c>
      <c r="C1268" s="6" t="s">
        <v>1408</v>
      </c>
      <c r="D1268" s="6">
        <f t="shared" si="157"/>
        <v>0.5</v>
      </c>
      <c r="E1268" s="6" t="s">
        <v>19</v>
      </c>
      <c r="F1268" s="6" t="str">
        <f>MID(A1268,19,1)</f>
        <v>N</v>
      </c>
      <c r="G1268" s="6">
        <v>-23.169764784910971</v>
      </c>
      <c r="H1268" s="6">
        <v>-46.924039935896907</v>
      </c>
      <c r="I1268" s="9">
        <v>4918.34</v>
      </c>
      <c r="K1268" s="6">
        <v>4.6100000000000003</v>
      </c>
      <c r="L1268" s="6">
        <v>60</v>
      </c>
      <c r="N1268" s="1">
        <f t="shared" si="154"/>
        <v>0</v>
      </c>
      <c r="O1268" s="8" t="s">
        <v>20</v>
      </c>
      <c r="P1268" s="8"/>
      <c r="Q1268" s="8" t="s">
        <v>21</v>
      </c>
      <c r="R1268" s="8" t="s">
        <v>21</v>
      </c>
      <c r="S1268" s="8" t="s">
        <v>21</v>
      </c>
      <c r="T1268" s="8" t="s">
        <v>21</v>
      </c>
      <c r="U1268" s="6">
        <f t="shared" si="155"/>
        <v>2951.0039999999999</v>
      </c>
      <c r="V1268" s="6">
        <f t="shared" si="156"/>
        <v>2951.0039999999999</v>
      </c>
    </row>
    <row r="1269" spans="1:22" hidden="1" x14ac:dyDescent="0.35">
      <c r="A1269" s="6" t="s">
        <v>1413</v>
      </c>
      <c r="B1269" s="6" t="s">
        <v>1407</v>
      </c>
      <c r="C1269" s="6" t="s">
        <v>1408</v>
      </c>
      <c r="D1269" s="6">
        <f t="shared" si="157"/>
        <v>0.5</v>
      </c>
      <c r="E1269" s="6" t="s">
        <v>23</v>
      </c>
      <c r="F1269" s="6" t="str">
        <f>MID(A1269,19,1)</f>
        <v>C</v>
      </c>
      <c r="G1269" s="6">
        <v>-23.171123133493278</v>
      </c>
      <c r="H1269" s="6">
        <v>-46.923115454692422</v>
      </c>
      <c r="I1269" s="9">
        <v>7240.71</v>
      </c>
      <c r="J1269" s="9">
        <f>I1269/500</f>
        <v>14.48142</v>
      </c>
      <c r="K1269" s="6">
        <v>2.4500000000000002</v>
      </c>
      <c r="L1269" s="6">
        <v>60</v>
      </c>
      <c r="N1269" s="1">
        <f t="shared" si="154"/>
        <v>0</v>
      </c>
      <c r="O1269" s="8" t="s">
        <v>20</v>
      </c>
      <c r="P1269" s="8"/>
      <c r="Q1269" s="8" t="s">
        <v>21</v>
      </c>
      <c r="R1269" s="8" t="s">
        <v>21</v>
      </c>
      <c r="S1269" s="8" t="s">
        <v>21</v>
      </c>
      <c r="T1269" s="8" t="s">
        <v>21</v>
      </c>
      <c r="U1269" s="6">
        <f t="shared" si="155"/>
        <v>4344.4259999999995</v>
      </c>
      <c r="V1269" s="6">
        <f t="shared" si="156"/>
        <v>4344.4259999999995</v>
      </c>
    </row>
    <row r="1270" spans="1:22" x14ac:dyDescent="0.35">
      <c r="A1270" s="6" t="s">
        <v>1414</v>
      </c>
      <c r="B1270" s="6" t="s">
        <v>1407</v>
      </c>
      <c r="C1270" s="6" t="s">
        <v>1408</v>
      </c>
      <c r="D1270" s="6">
        <f t="shared" si="157"/>
        <v>0.5</v>
      </c>
      <c r="E1270" s="6" t="s">
        <v>19</v>
      </c>
      <c r="F1270" s="6" t="str">
        <f>MID(A1270,19,1)</f>
        <v>N</v>
      </c>
      <c r="G1270" s="6">
        <v>-23.168862975941639</v>
      </c>
      <c r="H1270" s="6">
        <v>-46.926110906964283</v>
      </c>
      <c r="I1270" s="9">
        <v>9.7100000000000009</v>
      </c>
      <c r="K1270" s="6">
        <v>1.67</v>
      </c>
      <c r="N1270" s="1">
        <f t="shared" si="154"/>
        <v>0</v>
      </c>
      <c r="O1270" s="8"/>
      <c r="P1270" s="8"/>
      <c r="Q1270" s="8" t="s">
        <v>21</v>
      </c>
      <c r="R1270" s="8" t="s">
        <v>21</v>
      </c>
      <c r="S1270" s="8" t="s">
        <v>21</v>
      </c>
      <c r="T1270" s="8" t="s">
        <v>21</v>
      </c>
      <c r="U1270" s="6">
        <f t="shared" si="155"/>
        <v>0</v>
      </c>
      <c r="V1270" s="6">
        <f t="shared" si="156"/>
        <v>0</v>
      </c>
    </row>
    <row r="1271" spans="1:22" hidden="1" x14ac:dyDescent="0.35">
      <c r="A1271" s="6" t="s">
        <v>1415</v>
      </c>
      <c r="B1271" s="6" t="s">
        <v>1407</v>
      </c>
      <c r="C1271" s="6" t="s">
        <v>1408</v>
      </c>
      <c r="D1271" s="6">
        <f t="shared" si="157"/>
        <v>0.5</v>
      </c>
      <c r="E1271" s="6" t="s">
        <v>23</v>
      </c>
      <c r="F1271" s="6" t="str">
        <f>MID(A1271,19,1)</f>
        <v>C</v>
      </c>
      <c r="G1271" s="6">
        <v>-23.160214270450972</v>
      </c>
      <c r="H1271" s="6">
        <v>-46.950303548344522</v>
      </c>
      <c r="I1271" s="9">
        <v>15770.49</v>
      </c>
      <c r="J1271" s="9">
        <f>I1271/500</f>
        <v>31.540980000000001</v>
      </c>
      <c r="K1271" s="6">
        <v>7.71</v>
      </c>
      <c r="L1271" s="6">
        <v>90</v>
      </c>
      <c r="N1271" s="1">
        <f t="shared" si="154"/>
        <v>0</v>
      </c>
      <c r="O1271" s="8" t="s">
        <v>185</v>
      </c>
      <c r="P1271" s="8"/>
      <c r="Q1271" s="8" t="s">
        <v>21</v>
      </c>
      <c r="R1271" s="8" t="s">
        <v>21</v>
      </c>
      <c r="S1271" s="8" t="s">
        <v>21</v>
      </c>
      <c r="T1271" s="8" t="s">
        <v>21</v>
      </c>
      <c r="U1271" s="6">
        <f t="shared" si="155"/>
        <v>14193.441000000001</v>
      </c>
      <c r="V1271" s="6">
        <f t="shared" si="156"/>
        <v>14193.441000000001</v>
      </c>
    </row>
    <row r="1272" spans="1:22" x14ac:dyDescent="0.35">
      <c r="A1272" s="6" t="s">
        <v>1416</v>
      </c>
      <c r="B1272" s="6" t="s">
        <v>1407</v>
      </c>
      <c r="C1272" s="6" t="s">
        <v>1408</v>
      </c>
      <c r="D1272" s="6">
        <f t="shared" si="157"/>
        <v>0.5</v>
      </c>
      <c r="E1272" s="6" t="s">
        <v>19</v>
      </c>
      <c r="F1272" s="6" t="str">
        <f>MID(A1272,19,1)</f>
        <v>N</v>
      </c>
      <c r="G1272" s="6">
        <v>-23.162391734121371</v>
      </c>
      <c r="H1272" s="6">
        <v>-46.947436303616648</v>
      </c>
      <c r="I1272" s="9">
        <v>878.18</v>
      </c>
      <c r="K1272" s="6">
        <v>7.51</v>
      </c>
      <c r="L1272" s="6">
        <v>0</v>
      </c>
      <c r="N1272" s="1">
        <f t="shared" si="154"/>
        <v>0</v>
      </c>
      <c r="O1272" s="8"/>
      <c r="P1272" s="8"/>
      <c r="Q1272" s="8" t="s">
        <v>21</v>
      </c>
      <c r="R1272" s="8" t="s">
        <v>21</v>
      </c>
      <c r="S1272" s="8" t="s">
        <v>21</v>
      </c>
      <c r="T1272" s="8" t="s">
        <v>21</v>
      </c>
      <c r="U1272" s="6">
        <f t="shared" si="155"/>
        <v>0</v>
      </c>
      <c r="V1272" s="6">
        <f t="shared" si="156"/>
        <v>0</v>
      </c>
    </row>
    <row r="1273" spans="1:22" x14ac:dyDescent="0.35">
      <c r="A1273" s="6" t="s">
        <v>1417</v>
      </c>
      <c r="B1273" s="6" t="s">
        <v>1407</v>
      </c>
      <c r="C1273" s="6" t="s">
        <v>1408</v>
      </c>
      <c r="D1273" s="6">
        <f t="shared" si="157"/>
        <v>0.5</v>
      </c>
      <c r="E1273" s="6" t="s">
        <v>19</v>
      </c>
      <c r="F1273" s="6" t="str">
        <f>MID(A1273,19,1)</f>
        <v>N</v>
      </c>
      <c r="G1273" s="6">
        <v>-23.170157122187319</v>
      </c>
      <c r="H1273" s="6">
        <v>-46.924282341043941</v>
      </c>
      <c r="I1273" s="9">
        <v>15289.58</v>
      </c>
      <c r="K1273" s="6">
        <v>4.3</v>
      </c>
      <c r="L1273" s="6">
        <v>60</v>
      </c>
      <c r="N1273" s="1">
        <f t="shared" si="154"/>
        <v>0</v>
      </c>
      <c r="O1273" s="8" t="s">
        <v>20</v>
      </c>
      <c r="P1273" s="8"/>
      <c r="Q1273" s="8" t="s">
        <v>21</v>
      </c>
      <c r="R1273" s="8" t="s">
        <v>21</v>
      </c>
      <c r="S1273" s="8" t="s">
        <v>21</v>
      </c>
      <c r="T1273" s="8" t="s">
        <v>21</v>
      </c>
      <c r="U1273" s="6">
        <f t="shared" si="155"/>
        <v>9173.7479999999996</v>
      </c>
      <c r="V1273" s="6">
        <f t="shared" si="156"/>
        <v>9173.7479999999996</v>
      </c>
    </row>
    <row r="1274" spans="1:22" x14ac:dyDescent="0.35">
      <c r="A1274" s="6" t="s">
        <v>1418</v>
      </c>
      <c r="B1274" s="6" t="s">
        <v>1407</v>
      </c>
      <c r="C1274" s="6" t="s">
        <v>1408</v>
      </c>
      <c r="D1274" s="6">
        <f t="shared" si="157"/>
        <v>0.5</v>
      </c>
      <c r="E1274" s="6" t="s">
        <v>19</v>
      </c>
      <c r="F1274" s="6" t="str">
        <f>MID(A1274,19,1)</f>
        <v>N</v>
      </c>
      <c r="G1274" s="6">
        <v>-23.165648714305071</v>
      </c>
      <c r="H1274" s="6">
        <v>-46.928574548405059</v>
      </c>
      <c r="I1274" s="9">
        <v>85.06</v>
      </c>
      <c r="K1274" s="6">
        <v>2.21</v>
      </c>
      <c r="L1274" s="6">
        <v>0</v>
      </c>
      <c r="N1274" s="1">
        <f t="shared" si="154"/>
        <v>0</v>
      </c>
      <c r="O1274" s="8"/>
      <c r="P1274" s="8"/>
      <c r="Q1274" s="8" t="s">
        <v>21</v>
      </c>
      <c r="R1274" s="8" t="s">
        <v>21</v>
      </c>
      <c r="S1274" s="8" t="s">
        <v>21</v>
      </c>
      <c r="T1274" s="8" t="s">
        <v>21</v>
      </c>
      <c r="U1274" s="6">
        <f t="shared" si="155"/>
        <v>0</v>
      </c>
      <c r="V1274" s="6">
        <f t="shared" si="156"/>
        <v>0</v>
      </c>
    </row>
    <row r="1275" spans="1:22" x14ac:dyDescent="0.35">
      <c r="A1275" s="6" t="s">
        <v>1419</v>
      </c>
      <c r="B1275" s="6" t="s">
        <v>1407</v>
      </c>
      <c r="C1275" s="6" t="s">
        <v>1408</v>
      </c>
      <c r="D1275" s="6">
        <f t="shared" si="157"/>
        <v>0.5</v>
      </c>
      <c r="E1275" s="6" t="s">
        <v>19</v>
      </c>
      <c r="F1275" s="6" t="str">
        <f>MID(A1275,19,1)</f>
        <v>N</v>
      </c>
      <c r="G1275" s="6">
        <v>-23.171195924694981</v>
      </c>
      <c r="H1275" s="6">
        <v>-46.922189324168961</v>
      </c>
      <c r="I1275" s="9">
        <v>1399.6</v>
      </c>
      <c r="K1275" s="6">
        <v>6.89</v>
      </c>
      <c r="L1275" s="6">
        <v>60</v>
      </c>
      <c r="N1275" s="1">
        <f t="shared" si="154"/>
        <v>0</v>
      </c>
      <c r="O1275" s="8" t="s">
        <v>20</v>
      </c>
      <c r="P1275" s="8"/>
      <c r="Q1275" s="8" t="s">
        <v>21</v>
      </c>
      <c r="R1275" s="8" t="s">
        <v>21</v>
      </c>
      <c r="S1275" s="8" t="s">
        <v>21</v>
      </c>
      <c r="T1275" s="8" t="s">
        <v>21</v>
      </c>
      <c r="U1275" s="6">
        <f t="shared" si="155"/>
        <v>839.75999999999988</v>
      </c>
      <c r="V1275" s="6">
        <f t="shared" si="156"/>
        <v>839.75999999999988</v>
      </c>
    </row>
    <row r="1276" spans="1:22" hidden="1" x14ac:dyDescent="0.35">
      <c r="A1276" s="6" t="s">
        <v>1420</v>
      </c>
      <c r="B1276" s="6" t="s">
        <v>1407</v>
      </c>
      <c r="C1276" s="6" t="s">
        <v>1408</v>
      </c>
      <c r="D1276" s="6">
        <f t="shared" si="157"/>
        <v>0.5</v>
      </c>
      <c r="E1276" s="6" t="s">
        <v>19</v>
      </c>
      <c r="F1276" s="6" t="str">
        <f>MID(A1276,19,1)</f>
        <v>S</v>
      </c>
      <c r="G1276" s="6">
        <v>-23.17224513494352</v>
      </c>
      <c r="H1276" s="6">
        <v>-46.923349279797122</v>
      </c>
      <c r="I1276" s="9">
        <v>4878.1400000000003</v>
      </c>
      <c r="K1276" s="6">
        <v>3.57</v>
      </c>
      <c r="L1276" s="6">
        <v>40</v>
      </c>
      <c r="N1276" s="1">
        <f t="shared" si="154"/>
        <v>0</v>
      </c>
      <c r="O1276" s="8" t="s">
        <v>20</v>
      </c>
      <c r="P1276" s="8"/>
      <c r="Q1276" s="8" t="s">
        <v>21</v>
      </c>
      <c r="R1276" s="8" t="s">
        <v>21</v>
      </c>
      <c r="S1276" s="8" t="s">
        <v>21</v>
      </c>
      <c r="T1276" s="8" t="s">
        <v>21</v>
      </c>
      <c r="U1276" s="6">
        <f t="shared" si="155"/>
        <v>1951.2560000000003</v>
      </c>
      <c r="V1276" s="6">
        <f t="shared" si="156"/>
        <v>1951.2560000000003</v>
      </c>
    </row>
    <row r="1277" spans="1:22" hidden="1" x14ac:dyDescent="0.35">
      <c r="A1277" s="6" t="s">
        <v>1421</v>
      </c>
      <c r="B1277" s="6" t="s">
        <v>1407</v>
      </c>
      <c r="C1277" s="6" t="s">
        <v>1408</v>
      </c>
      <c r="D1277" s="6">
        <f t="shared" si="157"/>
        <v>0.5</v>
      </c>
      <c r="E1277" s="6" t="s">
        <v>19</v>
      </c>
      <c r="F1277" s="6" t="str">
        <f>MID(A1277,19,1)</f>
        <v>S</v>
      </c>
      <c r="G1277" s="6">
        <v>-23.171305788748441</v>
      </c>
      <c r="H1277" s="6">
        <v>-46.925636517225662</v>
      </c>
      <c r="I1277" s="9">
        <v>622.79</v>
      </c>
      <c r="K1277" s="6">
        <v>3.88</v>
      </c>
      <c r="L1277" s="6">
        <v>40</v>
      </c>
      <c r="N1277" s="1">
        <f t="shared" si="154"/>
        <v>0</v>
      </c>
      <c r="O1277" s="8" t="s">
        <v>20</v>
      </c>
      <c r="P1277" s="8"/>
      <c r="Q1277" s="8" t="s">
        <v>21</v>
      </c>
      <c r="R1277" s="8" t="s">
        <v>21</v>
      </c>
      <c r="S1277" s="8" t="s">
        <v>21</v>
      </c>
      <c r="T1277" s="8" t="s">
        <v>21</v>
      </c>
      <c r="U1277" s="6">
        <f t="shared" si="155"/>
        <v>249.11599999999999</v>
      </c>
      <c r="V1277" s="6">
        <f t="shared" si="156"/>
        <v>249.11599999999999</v>
      </c>
    </row>
    <row r="1278" spans="1:22" hidden="1" x14ac:dyDescent="0.35">
      <c r="A1278" s="6" t="s">
        <v>1422</v>
      </c>
      <c r="B1278" s="6" t="s">
        <v>1407</v>
      </c>
      <c r="C1278" s="6" t="s">
        <v>1408</v>
      </c>
      <c r="D1278" s="6">
        <f t="shared" si="157"/>
        <v>0.5</v>
      </c>
      <c r="E1278" s="6" t="s">
        <v>19</v>
      </c>
      <c r="F1278" s="6" t="str">
        <f>MID(A1278,19,1)</f>
        <v>S</v>
      </c>
      <c r="G1278" s="6">
        <v>-23.17291718208547</v>
      </c>
      <c r="H1278" s="6">
        <v>-46.925438332376928</v>
      </c>
      <c r="I1278" s="9">
        <v>497.38</v>
      </c>
      <c r="K1278" s="6">
        <v>5.08</v>
      </c>
      <c r="L1278" s="6">
        <v>40</v>
      </c>
      <c r="N1278" s="1">
        <f t="shared" si="154"/>
        <v>0</v>
      </c>
      <c r="O1278" s="8" t="s">
        <v>20</v>
      </c>
      <c r="P1278" s="8"/>
      <c r="Q1278" s="8" t="s">
        <v>21</v>
      </c>
      <c r="R1278" s="8" t="s">
        <v>21</v>
      </c>
      <c r="S1278" s="8" t="s">
        <v>21</v>
      </c>
      <c r="T1278" s="8" t="s">
        <v>21</v>
      </c>
      <c r="U1278" s="6">
        <f t="shared" si="155"/>
        <v>198.952</v>
      </c>
      <c r="V1278" s="6">
        <f t="shared" si="156"/>
        <v>198.952</v>
      </c>
    </row>
    <row r="1279" spans="1:22" hidden="1" x14ac:dyDescent="0.35">
      <c r="A1279" s="6" t="s">
        <v>1423</v>
      </c>
      <c r="B1279" s="6" t="s">
        <v>1407</v>
      </c>
      <c r="C1279" s="6" t="s">
        <v>1408</v>
      </c>
      <c r="D1279" s="6">
        <f t="shared" si="157"/>
        <v>0.5</v>
      </c>
      <c r="E1279" s="6" t="s">
        <v>19</v>
      </c>
      <c r="F1279" s="6" t="str">
        <f>MID(A1279,19,1)</f>
        <v>S</v>
      </c>
      <c r="G1279" s="6">
        <v>-23.17169397464896</v>
      </c>
      <c r="H1279" s="6">
        <v>-46.924024728972611</v>
      </c>
      <c r="I1279" s="9">
        <v>6845.82</v>
      </c>
      <c r="K1279" s="6">
        <v>3.01</v>
      </c>
      <c r="L1279" s="6">
        <v>40</v>
      </c>
      <c r="N1279" s="1">
        <f t="shared" si="154"/>
        <v>0</v>
      </c>
      <c r="O1279" s="8" t="s">
        <v>20</v>
      </c>
      <c r="P1279" s="8"/>
      <c r="Q1279" s="8" t="s">
        <v>21</v>
      </c>
      <c r="R1279" s="8" t="s">
        <v>21</v>
      </c>
      <c r="S1279" s="8" t="s">
        <v>21</v>
      </c>
      <c r="T1279" s="8" t="s">
        <v>21</v>
      </c>
      <c r="U1279" s="6">
        <f t="shared" si="155"/>
        <v>2738.328</v>
      </c>
      <c r="V1279" s="6">
        <f t="shared" si="156"/>
        <v>2738.328</v>
      </c>
    </row>
    <row r="1280" spans="1:22" hidden="1" x14ac:dyDescent="0.35">
      <c r="A1280" s="6" t="s">
        <v>1424</v>
      </c>
      <c r="B1280" s="6" t="s">
        <v>1407</v>
      </c>
      <c r="C1280" s="6" t="s">
        <v>1408</v>
      </c>
      <c r="D1280" s="6">
        <f t="shared" si="157"/>
        <v>0.5</v>
      </c>
      <c r="E1280" s="6" t="s">
        <v>23</v>
      </c>
      <c r="F1280" s="6" t="str">
        <f>MID(A1280,19,1)</f>
        <v>C</v>
      </c>
      <c r="G1280" s="6">
        <v>-23.171639800278729</v>
      </c>
      <c r="H1280" s="6">
        <v>-46.922436082220287</v>
      </c>
      <c r="I1280" s="9">
        <v>4942.1499999999996</v>
      </c>
      <c r="J1280" s="9">
        <f>I1280/500</f>
        <v>9.8842999999999996</v>
      </c>
      <c r="K1280" s="6">
        <v>2.7</v>
      </c>
      <c r="L1280" s="6">
        <v>60</v>
      </c>
      <c r="N1280" s="1">
        <f t="shared" si="154"/>
        <v>0</v>
      </c>
      <c r="O1280" s="8" t="s">
        <v>20</v>
      </c>
      <c r="P1280" s="8"/>
      <c r="Q1280" s="8" t="s">
        <v>21</v>
      </c>
      <c r="R1280" s="8" t="s">
        <v>21</v>
      </c>
      <c r="S1280" s="8" t="s">
        <v>21</v>
      </c>
      <c r="T1280" s="8" t="s">
        <v>21</v>
      </c>
      <c r="U1280" s="6">
        <f t="shared" si="155"/>
        <v>2965.2899999999995</v>
      </c>
      <c r="V1280" s="6">
        <f t="shared" si="156"/>
        <v>2965.2899999999995</v>
      </c>
    </row>
    <row r="1281" spans="1:22" hidden="1" x14ac:dyDescent="0.35">
      <c r="A1281" s="6" t="s">
        <v>1425</v>
      </c>
      <c r="B1281" s="6" t="s">
        <v>1407</v>
      </c>
      <c r="C1281" s="6" t="s">
        <v>1408</v>
      </c>
      <c r="D1281" s="6">
        <f t="shared" si="157"/>
        <v>0.5</v>
      </c>
      <c r="E1281" s="6" t="s">
        <v>19</v>
      </c>
      <c r="F1281" s="6" t="str">
        <f>MID(A1281,19,1)</f>
        <v>S</v>
      </c>
      <c r="G1281" s="6">
        <v>-23.16264924611675</v>
      </c>
      <c r="H1281" s="6">
        <v>-46.948046460622308</v>
      </c>
      <c r="I1281" s="9">
        <v>863.01</v>
      </c>
      <c r="K1281" s="6">
        <v>4.99</v>
      </c>
      <c r="L1281" s="6">
        <v>20</v>
      </c>
      <c r="N1281" s="1">
        <f t="shared" si="154"/>
        <v>0</v>
      </c>
      <c r="O1281" s="8" t="s">
        <v>20</v>
      </c>
      <c r="P1281" s="8"/>
      <c r="Q1281" s="8" t="s">
        <v>21</v>
      </c>
      <c r="R1281" s="8" t="s">
        <v>21</v>
      </c>
      <c r="S1281" s="8" t="s">
        <v>21</v>
      </c>
      <c r="T1281" s="8" t="s">
        <v>21</v>
      </c>
      <c r="U1281" s="6">
        <f t="shared" si="155"/>
        <v>172.602</v>
      </c>
      <c r="V1281" s="6">
        <f t="shared" si="156"/>
        <v>172.602</v>
      </c>
    </row>
    <row r="1282" spans="1:22" hidden="1" x14ac:dyDescent="0.35">
      <c r="A1282" s="6" t="s">
        <v>1426</v>
      </c>
      <c r="B1282" s="6" t="s">
        <v>1407</v>
      </c>
      <c r="C1282" s="6" t="s">
        <v>1408</v>
      </c>
      <c r="D1282" s="6">
        <f t="shared" si="157"/>
        <v>0.5</v>
      </c>
      <c r="E1282" s="6" t="s">
        <v>19</v>
      </c>
      <c r="F1282" s="6" t="str">
        <f>MID(A1282,19,1)</f>
        <v>S</v>
      </c>
      <c r="G1282" s="6">
        <v>-23.17185904198368</v>
      </c>
      <c r="H1282" s="6">
        <v>-46.925353411767183</v>
      </c>
      <c r="I1282" s="9">
        <v>4094.92</v>
      </c>
      <c r="K1282" s="6">
        <v>4.7</v>
      </c>
      <c r="L1282" s="6">
        <v>40</v>
      </c>
      <c r="N1282" s="1">
        <f t="shared" ref="N1282:N1345" si="159">IF(OR(R1282="Sim",S1282="Sim",T1282="Sim"),(L1282/100)*I1282,0)</f>
        <v>0</v>
      </c>
      <c r="O1282" s="8" t="s">
        <v>20</v>
      </c>
      <c r="P1282" s="8"/>
      <c r="Q1282" s="8" t="s">
        <v>21</v>
      </c>
      <c r="R1282" s="8" t="s">
        <v>21</v>
      </c>
      <c r="S1282" s="8" t="s">
        <v>21</v>
      </c>
      <c r="T1282" s="8" t="s">
        <v>21</v>
      </c>
      <c r="U1282" s="6">
        <f t="shared" si="155"/>
        <v>1637.9680000000001</v>
      </c>
      <c r="V1282" s="6">
        <f t="shared" si="156"/>
        <v>1637.9680000000001</v>
      </c>
    </row>
    <row r="1283" spans="1:22" hidden="1" x14ac:dyDescent="0.35">
      <c r="A1283" s="6" t="s">
        <v>1427</v>
      </c>
      <c r="B1283" s="6" t="s">
        <v>1407</v>
      </c>
      <c r="C1283" s="6" t="s">
        <v>1408</v>
      </c>
      <c r="D1283" s="6">
        <f t="shared" si="157"/>
        <v>0.5</v>
      </c>
      <c r="E1283" s="6" t="s">
        <v>19</v>
      </c>
      <c r="F1283" s="6" t="str">
        <f>MID(A1283,19,1)</f>
        <v>S</v>
      </c>
      <c r="G1283" s="6">
        <v>-23.164671236490278</v>
      </c>
      <c r="H1283" s="6">
        <v>-46.945838070148511</v>
      </c>
      <c r="I1283" s="9">
        <v>394.88</v>
      </c>
      <c r="K1283" s="6">
        <v>1.97</v>
      </c>
      <c r="L1283" s="6">
        <v>20</v>
      </c>
      <c r="N1283" s="1">
        <f t="shared" si="159"/>
        <v>0</v>
      </c>
      <c r="O1283" s="8" t="s">
        <v>20</v>
      </c>
      <c r="P1283" s="8"/>
      <c r="Q1283" s="8" t="s">
        <v>21</v>
      </c>
      <c r="R1283" s="8" t="s">
        <v>21</v>
      </c>
      <c r="S1283" s="8" t="s">
        <v>21</v>
      </c>
      <c r="T1283" s="8" t="s">
        <v>21</v>
      </c>
      <c r="U1283" s="6">
        <f t="shared" ref="U1283:U1346" si="160">IF(N1283=0,(I1283*(L1283/100)),0)</f>
        <v>78.975999999999999</v>
      </c>
      <c r="V1283" s="6">
        <f t="shared" si="156"/>
        <v>78.975999999999999</v>
      </c>
    </row>
    <row r="1284" spans="1:22" hidden="1" x14ac:dyDescent="0.35">
      <c r="A1284" s="6" t="s">
        <v>1428</v>
      </c>
      <c r="B1284" s="6" t="s">
        <v>1407</v>
      </c>
      <c r="C1284" s="6" t="s">
        <v>1408</v>
      </c>
      <c r="D1284" s="6">
        <f t="shared" si="157"/>
        <v>0.5</v>
      </c>
      <c r="E1284" s="6" t="s">
        <v>23</v>
      </c>
      <c r="F1284" s="6" t="str">
        <f>MID(A1284,19,1)</f>
        <v>C</v>
      </c>
      <c r="G1284" s="6">
        <v>-23.171119189663461</v>
      </c>
      <c r="H1284" s="6">
        <v>-46.924738148284582</v>
      </c>
      <c r="I1284" s="9">
        <v>6855.58</v>
      </c>
      <c r="J1284" s="9">
        <f>I1284/500</f>
        <v>13.71116</v>
      </c>
      <c r="K1284" s="6">
        <v>4.83</v>
      </c>
      <c r="L1284" s="6">
        <v>40</v>
      </c>
      <c r="N1284" s="1">
        <f t="shared" si="159"/>
        <v>0</v>
      </c>
      <c r="O1284" s="8" t="s">
        <v>20</v>
      </c>
      <c r="P1284" s="8"/>
      <c r="Q1284" s="8" t="s">
        <v>21</v>
      </c>
      <c r="R1284" s="8" t="s">
        <v>21</v>
      </c>
      <c r="S1284" s="8" t="s">
        <v>21</v>
      </c>
      <c r="T1284" s="8" t="s">
        <v>21</v>
      </c>
      <c r="U1284" s="6">
        <f t="shared" si="160"/>
        <v>2742.232</v>
      </c>
      <c r="V1284" s="6">
        <f t="shared" si="156"/>
        <v>2742.232</v>
      </c>
    </row>
    <row r="1285" spans="1:22" hidden="1" x14ac:dyDescent="0.35">
      <c r="A1285" s="6" t="s">
        <v>1429</v>
      </c>
      <c r="B1285" s="6" t="s">
        <v>1407</v>
      </c>
      <c r="C1285" s="6" t="s">
        <v>1408</v>
      </c>
      <c r="D1285" s="6">
        <f t="shared" si="157"/>
        <v>0.5</v>
      </c>
      <c r="E1285" s="6" t="s">
        <v>19</v>
      </c>
      <c r="F1285" s="6" t="str">
        <f>MID(A1285,19,1)</f>
        <v>S</v>
      </c>
      <c r="G1285" s="6">
        <v>-23.172246338385388</v>
      </c>
      <c r="H1285" s="6">
        <v>-46.924747604503267</v>
      </c>
      <c r="I1285" s="9">
        <v>4315</v>
      </c>
      <c r="K1285" s="6">
        <v>3.98</v>
      </c>
      <c r="L1285" s="6">
        <v>40</v>
      </c>
      <c r="N1285" s="1">
        <f t="shared" si="159"/>
        <v>0</v>
      </c>
      <c r="O1285" s="8" t="s">
        <v>20</v>
      </c>
      <c r="P1285" s="8"/>
      <c r="Q1285" s="8" t="s">
        <v>21</v>
      </c>
      <c r="R1285" s="8" t="s">
        <v>21</v>
      </c>
      <c r="S1285" s="8" t="s">
        <v>21</v>
      </c>
      <c r="T1285" s="8" t="s">
        <v>21</v>
      </c>
      <c r="U1285" s="6">
        <f t="shared" si="160"/>
        <v>1726</v>
      </c>
      <c r="V1285" s="6">
        <f t="shared" si="156"/>
        <v>1726</v>
      </c>
    </row>
    <row r="1286" spans="1:22" hidden="1" x14ac:dyDescent="0.35">
      <c r="A1286" s="6" t="s">
        <v>1430</v>
      </c>
      <c r="B1286" s="6" t="s">
        <v>1407</v>
      </c>
      <c r="C1286" s="6" t="s">
        <v>1408</v>
      </c>
      <c r="D1286" s="6">
        <f t="shared" si="157"/>
        <v>0.5</v>
      </c>
      <c r="E1286" s="6" t="s">
        <v>23</v>
      </c>
      <c r="F1286" s="6" t="str">
        <f>MID(A1286,19,1)</f>
        <v>C</v>
      </c>
      <c r="G1286" s="6">
        <v>-23.170280316492729</v>
      </c>
      <c r="H1286" s="6">
        <v>-46.92546411139579</v>
      </c>
      <c r="I1286" s="9">
        <v>10667.78</v>
      </c>
      <c r="J1286" s="9">
        <f>I1286/500</f>
        <v>21.335560000000001</v>
      </c>
      <c r="K1286" s="6">
        <v>4.95</v>
      </c>
      <c r="L1286" s="6">
        <v>40</v>
      </c>
      <c r="N1286" s="1">
        <f t="shared" si="159"/>
        <v>0</v>
      </c>
      <c r="O1286" s="8" t="s">
        <v>20</v>
      </c>
      <c r="P1286" s="8"/>
      <c r="Q1286" s="8" t="s">
        <v>21</v>
      </c>
      <c r="R1286" s="8" t="s">
        <v>21</v>
      </c>
      <c r="S1286" s="8" t="s">
        <v>21</v>
      </c>
      <c r="T1286" s="8" t="s">
        <v>21</v>
      </c>
      <c r="U1286" s="6">
        <f t="shared" si="160"/>
        <v>4267.1120000000001</v>
      </c>
      <c r="V1286" s="6">
        <f t="shared" si="156"/>
        <v>4267.1120000000001</v>
      </c>
    </row>
    <row r="1287" spans="1:22" hidden="1" x14ac:dyDescent="0.35">
      <c r="A1287" s="6" t="s">
        <v>1431</v>
      </c>
      <c r="B1287" s="6" t="s">
        <v>1407</v>
      </c>
      <c r="C1287" s="6" t="s">
        <v>1408</v>
      </c>
      <c r="D1287" s="6">
        <f t="shared" si="157"/>
        <v>0.5</v>
      </c>
      <c r="E1287" s="6" t="s">
        <v>19</v>
      </c>
      <c r="F1287" s="6" t="str">
        <f>MID(A1287,19,1)</f>
        <v>S</v>
      </c>
      <c r="G1287" s="6">
        <v>-23.172583358087511</v>
      </c>
      <c r="H1287" s="6">
        <v>-46.923650224586943</v>
      </c>
      <c r="I1287" s="9">
        <v>1884.93</v>
      </c>
      <c r="K1287" s="6">
        <v>4.28</v>
      </c>
      <c r="L1287" s="6">
        <v>40</v>
      </c>
      <c r="N1287" s="1">
        <f t="shared" si="159"/>
        <v>0</v>
      </c>
      <c r="O1287" s="8" t="s">
        <v>20</v>
      </c>
      <c r="P1287" s="8"/>
      <c r="Q1287" s="8" t="s">
        <v>21</v>
      </c>
      <c r="R1287" s="8" t="s">
        <v>21</v>
      </c>
      <c r="S1287" s="8" t="s">
        <v>21</v>
      </c>
      <c r="T1287" s="8" t="s">
        <v>21</v>
      </c>
      <c r="U1287" s="6">
        <f t="shared" si="160"/>
        <v>753.97200000000009</v>
      </c>
      <c r="V1287" s="6">
        <f t="shared" si="156"/>
        <v>753.97200000000009</v>
      </c>
    </row>
    <row r="1288" spans="1:22" hidden="1" x14ac:dyDescent="0.35">
      <c r="A1288" s="6" t="s">
        <v>1432</v>
      </c>
      <c r="B1288" s="6" t="s">
        <v>1407</v>
      </c>
      <c r="C1288" s="6" t="s">
        <v>1408</v>
      </c>
      <c r="D1288" s="6">
        <f t="shared" si="157"/>
        <v>0.5</v>
      </c>
      <c r="E1288" s="6" t="s">
        <v>23</v>
      </c>
      <c r="F1288" s="6" t="str">
        <f>MID(A1288,19,1)</f>
        <v>C</v>
      </c>
      <c r="G1288" s="6">
        <v>-23.164464368294421</v>
      </c>
      <c r="H1288" s="6">
        <v>-46.945603097786183</v>
      </c>
      <c r="I1288" s="9">
        <v>2815.15</v>
      </c>
      <c r="J1288" s="9">
        <f>I1288/500</f>
        <v>5.6303000000000001</v>
      </c>
      <c r="K1288" s="6">
        <v>2.5099999999999998</v>
      </c>
      <c r="L1288" s="6">
        <v>90</v>
      </c>
      <c r="N1288" s="1">
        <f t="shared" si="159"/>
        <v>0</v>
      </c>
      <c r="O1288" s="8" t="s">
        <v>185</v>
      </c>
      <c r="P1288" s="8"/>
      <c r="Q1288" s="8" t="s">
        <v>21</v>
      </c>
      <c r="R1288" s="8" t="s">
        <v>21</v>
      </c>
      <c r="S1288" s="8" t="s">
        <v>21</v>
      </c>
      <c r="T1288" s="8" t="s">
        <v>21</v>
      </c>
      <c r="U1288" s="6">
        <f t="shared" si="160"/>
        <v>2533.6350000000002</v>
      </c>
      <c r="V1288" s="6">
        <f t="shared" si="156"/>
        <v>2533.6350000000002</v>
      </c>
    </row>
    <row r="1289" spans="1:22" hidden="1" x14ac:dyDescent="0.35">
      <c r="A1289" s="6" t="s">
        <v>1433</v>
      </c>
      <c r="B1289" s="6" t="s">
        <v>1407</v>
      </c>
      <c r="C1289" s="6" t="s">
        <v>1408</v>
      </c>
      <c r="D1289" s="6">
        <f t="shared" si="157"/>
        <v>0.5</v>
      </c>
      <c r="E1289" s="6" t="s">
        <v>19</v>
      </c>
      <c r="F1289" s="6" t="str">
        <f>MID(A1289,19,1)</f>
        <v>S</v>
      </c>
      <c r="G1289" s="6">
        <v>-23.172558822893819</v>
      </c>
      <c r="H1289" s="6">
        <v>-46.924347394256714</v>
      </c>
      <c r="I1289" s="9">
        <v>172.44</v>
      </c>
      <c r="K1289" s="6">
        <v>3.37</v>
      </c>
      <c r="L1289" s="6">
        <v>40</v>
      </c>
      <c r="N1289" s="1">
        <f t="shared" si="159"/>
        <v>0</v>
      </c>
      <c r="O1289" s="8" t="s">
        <v>20</v>
      </c>
      <c r="P1289" s="8"/>
      <c r="Q1289" s="8" t="s">
        <v>21</v>
      </c>
      <c r="R1289" s="8" t="s">
        <v>21</v>
      </c>
      <c r="S1289" s="8" t="s">
        <v>21</v>
      </c>
      <c r="T1289" s="8" t="s">
        <v>21</v>
      </c>
      <c r="U1289" s="6">
        <f t="shared" si="160"/>
        <v>68.975999999999999</v>
      </c>
      <c r="V1289" s="6">
        <f t="shared" si="156"/>
        <v>68.975999999999999</v>
      </c>
    </row>
    <row r="1290" spans="1:22" x14ac:dyDescent="0.35">
      <c r="A1290" s="6" t="s">
        <v>1434</v>
      </c>
      <c r="B1290" s="6" t="s">
        <v>1407</v>
      </c>
      <c r="C1290" s="6" t="s">
        <v>1408</v>
      </c>
      <c r="D1290" s="6">
        <f t="shared" si="157"/>
        <v>0.5</v>
      </c>
      <c r="E1290" s="6" t="s">
        <v>19</v>
      </c>
      <c r="F1290" s="6" t="str">
        <f>MID(A1290,19,1)</f>
        <v>N</v>
      </c>
      <c r="G1290" s="6">
        <v>-23.171857784571969</v>
      </c>
      <c r="H1290" s="6">
        <v>-46.922110710242883</v>
      </c>
      <c r="I1290" s="9">
        <v>1723.51</v>
      </c>
      <c r="K1290" s="6">
        <v>3.92</v>
      </c>
      <c r="L1290" s="6">
        <v>0</v>
      </c>
      <c r="N1290" s="1">
        <f t="shared" si="159"/>
        <v>0</v>
      </c>
      <c r="O1290" s="8"/>
      <c r="P1290" s="8"/>
      <c r="Q1290" s="8" t="s">
        <v>21</v>
      </c>
      <c r="R1290" s="8" t="s">
        <v>21</v>
      </c>
      <c r="S1290" s="8" t="s">
        <v>21</v>
      </c>
      <c r="T1290" s="8" t="s">
        <v>21</v>
      </c>
      <c r="U1290" s="6">
        <f t="shared" si="160"/>
        <v>0</v>
      </c>
      <c r="V1290" s="6">
        <f t="shared" si="156"/>
        <v>0</v>
      </c>
    </row>
    <row r="1291" spans="1:22" x14ac:dyDescent="0.35">
      <c r="A1291" s="6" t="s">
        <v>1435</v>
      </c>
      <c r="B1291" s="6" t="s">
        <v>1407</v>
      </c>
      <c r="C1291" s="6" t="s">
        <v>1408</v>
      </c>
      <c r="D1291" s="6">
        <f t="shared" si="157"/>
        <v>0.5</v>
      </c>
      <c r="E1291" s="6" t="s">
        <v>19</v>
      </c>
      <c r="F1291" s="6" t="str">
        <f>MID(A1291,19,1)</f>
        <v>N</v>
      </c>
      <c r="G1291" s="6">
        <v>-23.167349717489628</v>
      </c>
      <c r="H1291" s="6">
        <v>-46.927231721003949</v>
      </c>
      <c r="I1291" s="9">
        <v>6636.18</v>
      </c>
      <c r="K1291" s="6">
        <v>2.2400000000000002</v>
      </c>
      <c r="L1291" s="6">
        <v>0</v>
      </c>
      <c r="N1291" s="1">
        <f t="shared" si="159"/>
        <v>0</v>
      </c>
      <c r="O1291" s="8"/>
      <c r="P1291" s="8"/>
      <c r="Q1291" s="8" t="s">
        <v>21</v>
      </c>
      <c r="R1291" s="8" t="s">
        <v>21</v>
      </c>
      <c r="S1291" s="8" t="s">
        <v>21</v>
      </c>
      <c r="T1291" s="8" t="s">
        <v>21</v>
      </c>
      <c r="U1291" s="6">
        <f t="shared" si="160"/>
        <v>0</v>
      </c>
      <c r="V1291" s="6">
        <f t="shared" si="156"/>
        <v>0</v>
      </c>
    </row>
    <row r="1292" spans="1:22" x14ac:dyDescent="0.35">
      <c r="A1292" s="6" t="s">
        <v>1436</v>
      </c>
      <c r="B1292" s="6" t="s">
        <v>1407</v>
      </c>
      <c r="C1292" s="6" t="s">
        <v>1408</v>
      </c>
      <c r="D1292" s="6">
        <f t="shared" si="157"/>
        <v>0.5</v>
      </c>
      <c r="E1292" s="6" t="s">
        <v>19</v>
      </c>
      <c r="F1292" s="6" t="str">
        <f>MID(A1292,19,1)</f>
        <v>N</v>
      </c>
      <c r="G1292" s="6">
        <v>-23.164269361240979</v>
      </c>
      <c r="H1292" s="6">
        <v>-46.94535523451475</v>
      </c>
      <c r="I1292" s="9">
        <v>340.96</v>
      </c>
      <c r="K1292" s="6">
        <v>3.83</v>
      </c>
      <c r="L1292" s="6">
        <v>0</v>
      </c>
      <c r="N1292" s="1">
        <f t="shared" si="159"/>
        <v>0</v>
      </c>
      <c r="O1292" s="8"/>
      <c r="P1292" s="8"/>
      <c r="Q1292" s="8" t="s">
        <v>21</v>
      </c>
      <c r="R1292" s="8" t="s">
        <v>21</v>
      </c>
      <c r="S1292" s="8" t="s">
        <v>21</v>
      </c>
      <c r="T1292" s="8" t="s">
        <v>21</v>
      </c>
      <c r="U1292" s="6">
        <f t="shared" si="160"/>
        <v>0</v>
      </c>
      <c r="V1292" s="6">
        <f t="shared" ref="V1292:V1355" si="161">(I1292*(L1292/100))</f>
        <v>0</v>
      </c>
    </row>
    <row r="1293" spans="1:22" hidden="1" x14ac:dyDescent="0.35">
      <c r="A1293" s="6" t="s">
        <v>1437</v>
      </c>
      <c r="B1293" s="6" t="s">
        <v>1407</v>
      </c>
      <c r="C1293" s="6" t="s">
        <v>1408</v>
      </c>
      <c r="D1293" s="6">
        <f t="shared" si="157"/>
        <v>0.5</v>
      </c>
      <c r="E1293" s="6" t="s">
        <v>19</v>
      </c>
      <c r="F1293" s="6" t="str">
        <f>MID(A1293,19,1)</f>
        <v>S</v>
      </c>
      <c r="G1293" s="6">
        <v>-23.160378526308261</v>
      </c>
      <c r="H1293" s="6">
        <v>-46.950564454200659</v>
      </c>
      <c r="I1293" s="9">
        <v>2018.73</v>
      </c>
      <c r="K1293" s="6">
        <v>4.09</v>
      </c>
      <c r="L1293" s="6">
        <v>70</v>
      </c>
      <c r="N1293" s="1">
        <f t="shared" si="159"/>
        <v>0</v>
      </c>
      <c r="O1293" s="8" t="s">
        <v>20</v>
      </c>
      <c r="P1293" s="8"/>
      <c r="Q1293" s="8" t="s">
        <v>21</v>
      </c>
      <c r="R1293" s="8" t="s">
        <v>21</v>
      </c>
      <c r="S1293" s="8" t="s">
        <v>21</v>
      </c>
      <c r="T1293" s="8" t="s">
        <v>21</v>
      </c>
      <c r="U1293" s="6">
        <f t="shared" si="160"/>
        <v>1413.1109999999999</v>
      </c>
      <c r="V1293" s="6">
        <f t="shared" si="161"/>
        <v>1413.1109999999999</v>
      </c>
    </row>
    <row r="1294" spans="1:22" hidden="1" x14ac:dyDescent="0.35">
      <c r="A1294" s="6" t="s">
        <v>1438</v>
      </c>
      <c r="B1294" s="6" t="s">
        <v>1407</v>
      </c>
      <c r="C1294" s="6" t="s">
        <v>1408</v>
      </c>
      <c r="D1294" s="6">
        <f t="shared" ref="D1294:D1357" si="162">C1294-B1294</f>
        <v>0.5</v>
      </c>
      <c r="E1294" s="6" t="s">
        <v>19</v>
      </c>
      <c r="F1294" s="6" t="str">
        <f>MID(A1294,19,1)</f>
        <v>S</v>
      </c>
      <c r="G1294" s="6">
        <v>-23.17275376043089</v>
      </c>
      <c r="H1294" s="6">
        <v>-46.923404634838107</v>
      </c>
      <c r="I1294" s="9">
        <v>786.25</v>
      </c>
      <c r="K1294" s="6">
        <v>5.18</v>
      </c>
      <c r="L1294" s="6">
        <v>40</v>
      </c>
      <c r="N1294" s="1">
        <f t="shared" si="159"/>
        <v>0</v>
      </c>
      <c r="O1294" s="8" t="s">
        <v>20</v>
      </c>
      <c r="P1294" s="8"/>
      <c r="Q1294" s="8" t="s">
        <v>21</v>
      </c>
      <c r="R1294" s="8" t="s">
        <v>21</v>
      </c>
      <c r="S1294" s="8" t="s">
        <v>21</v>
      </c>
      <c r="T1294" s="8" t="s">
        <v>21</v>
      </c>
      <c r="U1294" s="6">
        <f t="shared" si="160"/>
        <v>314.5</v>
      </c>
      <c r="V1294" s="6">
        <f t="shared" si="161"/>
        <v>314.5</v>
      </c>
    </row>
    <row r="1295" spans="1:22" hidden="1" x14ac:dyDescent="0.35">
      <c r="A1295" s="6" t="s">
        <v>1439</v>
      </c>
      <c r="B1295" s="6" t="s">
        <v>1407</v>
      </c>
      <c r="C1295" s="6" t="s">
        <v>1408</v>
      </c>
      <c r="D1295" s="6">
        <f t="shared" si="162"/>
        <v>0.5</v>
      </c>
      <c r="E1295" s="6" t="s">
        <v>19</v>
      </c>
      <c r="F1295" s="6" t="str">
        <f>MID(A1295,19,1)</f>
        <v>S</v>
      </c>
      <c r="G1295" s="6">
        <v>-23.17272662907072</v>
      </c>
      <c r="H1295" s="6">
        <v>-46.925968813136478</v>
      </c>
      <c r="I1295" s="9">
        <v>211.79</v>
      </c>
      <c r="K1295" s="6">
        <v>5.18</v>
      </c>
      <c r="L1295" s="6">
        <v>40</v>
      </c>
      <c r="N1295" s="1">
        <f t="shared" si="159"/>
        <v>0</v>
      </c>
      <c r="O1295" s="8" t="s">
        <v>20</v>
      </c>
      <c r="P1295" s="8"/>
      <c r="Q1295" s="8" t="s">
        <v>21</v>
      </c>
      <c r="R1295" s="8" t="s">
        <v>21</v>
      </c>
      <c r="S1295" s="8" t="s">
        <v>21</v>
      </c>
      <c r="T1295" s="8" t="s">
        <v>21</v>
      </c>
      <c r="U1295" s="6">
        <f t="shared" si="160"/>
        <v>84.716000000000008</v>
      </c>
      <c r="V1295" s="6">
        <f t="shared" si="161"/>
        <v>84.716000000000008</v>
      </c>
    </row>
    <row r="1296" spans="1:22" hidden="1" x14ac:dyDescent="0.35">
      <c r="A1296" s="6" t="s">
        <v>1440</v>
      </c>
      <c r="B1296" s="6" t="s">
        <v>1407</v>
      </c>
      <c r="C1296" s="6" t="s">
        <v>1408</v>
      </c>
      <c r="D1296" s="6">
        <f t="shared" si="162"/>
        <v>0.5</v>
      </c>
      <c r="E1296" s="6" t="s">
        <v>19</v>
      </c>
      <c r="F1296" s="6" t="str">
        <f>MID(A1296,19,1)</f>
        <v>S</v>
      </c>
      <c r="G1296" s="6">
        <v>-23.169840791072161</v>
      </c>
      <c r="H1296" s="6">
        <v>-46.926157325207583</v>
      </c>
      <c r="I1296" s="9">
        <v>564.94000000000005</v>
      </c>
      <c r="K1296" s="6">
        <v>3.56</v>
      </c>
      <c r="L1296" s="6">
        <v>40</v>
      </c>
      <c r="N1296" s="1">
        <f t="shared" si="159"/>
        <v>0</v>
      </c>
      <c r="O1296" s="8" t="s">
        <v>20</v>
      </c>
      <c r="P1296" s="8"/>
      <c r="Q1296" s="8" t="s">
        <v>21</v>
      </c>
      <c r="R1296" s="8" t="s">
        <v>21</v>
      </c>
      <c r="S1296" s="8" t="s">
        <v>21</v>
      </c>
      <c r="T1296" s="8" t="s">
        <v>21</v>
      </c>
      <c r="U1296" s="6">
        <f t="shared" si="160"/>
        <v>225.97600000000003</v>
      </c>
      <c r="V1296" s="6">
        <f t="shared" si="161"/>
        <v>225.97600000000003</v>
      </c>
    </row>
    <row r="1297" spans="1:22" x14ac:dyDescent="0.35">
      <c r="A1297" s="6" t="s">
        <v>1441</v>
      </c>
      <c r="B1297" s="6" t="s">
        <v>1407</v>
      </c>
      <c r="C1297" s="6" t="s">
        <v>1408</v>
      </c>
      <c r="D1297" s="6">
        <f t="shared" si="162"/>
        <v>0.5</v>
      </c>
      <c r="E1297" s="6" t="s">
        <v>19</v>
      </c>
      <c r="F1297" s="6" t="str">
        <f>MID(A1297,19,1)</f>
        <v>N</v>
      </c>
      <c r="G1297" s="6">
        <v>-23.170698725293441</v>
      </c>
      <c r="H1297" s="6">
        <v>-46.922319085505073</v>
      </c>
      <c r="I1297" s="9">
        <v>6829.49</v>
      </c>
      <c r="K1297" s="6">
        <v>5.64</v>
      </c>
      <c r="L1297" s="6">
        <v>60</v>
      </c>
      <c r="N1297" s="1">
        <f t="shared" si="159"/>
        <v>0</v>
      </c>
      <c r="O1297" s="8" t="s">
        <v>20</v>
      </c>
      <c r="P1297" s="8"/>
      <c r="Q1297" s="8" t="s">
        <v>21</v>
      </c>
      <c r="R1297" s="8" t="s">
        <v>21</v>
      </c>
      <c r="S1297" s="8" t="s">
        <v>21</v>
      </c>
      <c r="T1297" s="8" t="s">
        <v>21</v>
      </c>
      <c r="U1297" s="6">
        <f t="shared" si="160"/>
        <v>4097.6939999999995</v>
      </c>
      <c r="V1297" s="6">
        <f t="shared" si="161"/>
        <v>4097.6939999999995</v>
      </c>
    </row>
    <row r="1298" spans="1:22" hidden="1" x14ac:dyDescent="0.35">
      <c r="A1298" s="6" t="s">
        <v>1442</v>
      </c>
      <c r="B1298" s="6" t="s">
        <v>1407</v>
      </c>
      <c r="C1298" s="6" t="s">
        <v>1408</v>
      </c>
      <c r="D1298" s="6">
        <f t="shared" si="162"/>
        <v>0.5</v>
      </c>
      <c r="E1298" s="6" t="s">
        <v>19</v>
      </c>
      <c r="F1298" s="6" t="str">
        <f>MID(A1298,19,1)</f>
        <v>S</v>
      </c>
      <c r="G1298" s="6">
        <v>-23.168047109831139</v>
      </c>
      <c r="H1298" s="6">
        <v>-46.927178290439159</v>
      </c>
      <c r="I1298" s="9">
        <v>4382.2299999999996</v>
      </c>
      <c r="K1298" s="6">
        <v>2.92</v>
      </c>
      <c r="L1298" s="6">
        <v>0</v>
      </c>
      <c r="N1298" s="1">
        <f t="shared" si="159"/>
        <v>0</v>
      </c>
      <c r="O1298" s="8"/>
      <c r="P1298" s="8"/>
      <c r="Q1298" s="8" t="s">
        <v>21</v>
      </c>
      <c r="R1298" s="8" t="s">
        <v>21</v>
      </c>
      <c r="S1298" s="8" t="s">
        <v>21</v>
      </c>
      <c r="T1298" s="8" t="s">
        <v>21</v>
      </c>
      <c r="U1298" s="6">
        <f t="shared" si="160"/>
        <v>0</v>
      </c>
      <c r="V1298" s="6">
        <f t="shared" si="161"/>
        <v>0</v>
      </c>
    </row>
    <row r="1299" spans="1:22" hidden="1" x14ac:dyDescent="0.35">
      <c r="A1299" s="6" t="s">
        <v>1443</v>
      </c>
      <c r="B1299" s="6" t="s">
        <v>1444</v>
      </c>
      <c r="C1299" s="6" t="s">
        <v>1445</v>
      </c>
      <c r="D1299" s="6">
        <f t="shared" si="162"/>
        <v>0.5</v>
      </c>
      <c r="E1299" s="6" t="s">
        <v>19</v>
      </c>
      <c r="F1299" s="6" t="str">
        <f>MID(A1299,19,1)</f>
        <v>S</v>
      </c>
      <c r="G1299" s="6">
        <v>-23.1521732169813</v>
      </c>
      <c r="H1299" s="6">
        <v>-46.958740043374938</v>
      </c>
      <c r="I1299" s="9">
        <v>488.58</v>
      </c>
      <c r="K1299" s="6">
        <v>3.63</v>
      </c>
      <c r="L1299" s="6">
        <v>60</v>
      </c>
      <c r="N1299" s="1">
        <f t="shared" si="159"/>
        <v>0</v>
      </c>
      <c r="O1299" s="8" t="s">
        <v>20</v>
      </c>
      <c r="P1299" s="8"/>
      <c r="Q1299" s="8" t="s">
        <v>21</v>
      </c>
      <c r="R1299" s="8" t="s">
        <v>21</v>
      </c>
      <c r="S1299" s="8" t="s">
        <v>21</v>
      </c>
      <c r="T1299" s="8" t="s">
        <v>21</v>
      </c>
      <c r="U1299" s="6">
        <f t="shared" si="160"/>
        <v>293.14799999999997</v>
      </c>
      <c r="V1299" s="6">
        <f t="shared" si="161"/>
        <v>293.14799999999997</v>
      </c>
    </row>
    <row r="1300" spans="1:22" hidden="1" x14ac:dyDescent="0.35">
      <c r="A1300" s="6" t="s">
        <v>1446</v>
      </c>
      <c r="B1300" s="6" t="s">
        <v>1444</v>
      </c>
      <c r="C1300" s="6" t="s">
        <v>1445</v>
      </c>
      <c r="D1300" s="6">
        <f t="shared" si="162"/>
        <v>0.5</v>
      </c>
      <c r="E1300" s="6" t="s">
        <v>23</v>
      </c>
      <c r="F1300" s="6" t="str">
        <f>MID(A1300,19,1)</f>
        <v>C</v>
      </c>
      <c r="G1300" s="6">
        <v>-23.15632488416562</v>
      </c>
      <c r="H1300" s="6">
        <v>-46.954535338706087</v>
      </c>
      <c r="I1300" s="9">
        <v>8558.8799999999992</v>
      </c>
      <c r="J1300" s="9">
        <f>I1300/500</f>
        <v>17.117759999999997</v>
      </c>
      <c r="K1300" s="6">
        <v>3.52</v>
      </c>
      <c r="L1300" s="6">
        <v>90</v>
      </c>
      <c r="N1300" s="1">
        <f t="shared" si="159"/>
        <v>0</v>
      </c>
      <c r="O1300" s="8" t="s">
        <v>185</v>
      </c>
      <c r="P1300" s="8"/>
      <c r="Q1300" s="8" t="s">
        <v>21</v>
      </c>
      <c r="R1300" s="8" t="s">
        <v>21</v>
      </c>
      <c r="S1300" s="8" t="s">
        <v>21</v>
      </c>
      <c r="T1300" s="8" t="s">
        <v>21</v>
      </c>
      <c r="U1300" s="6">
        <f t="shared" si="160"/>
        <v>7702.9919999999993</v>
      </c>
      <c r="V1300" s="6">
        <f t="shared" si="161"/>
        <v>7702.9919999999993</v>
      </c>
    </row>
    <row r="1301" spans="1:22" hidden="1" x14ac:dyDescent="0.35">
      <c r="A1301" s="6" t="s">
        <v>1447</v>
      </c>
      <c r="B1301" s="6" t="s">
        <v>1444</v>
      </c>
      <c r="C1301" s="6" t="s">
        <v>1445</v>
      </c>
      <c r="D1301" s="6">
        <f t="shared" si="162"/>
        <v>0.5</v>
      </c>
      <c r="E1301" s="6" t="s">
        <v>19</v>
      </c>
      <c r="F1301" s="6" t="str">
        <f>MID(A1301,19,1)</f>
        <v>S</v>
      </c>
      <c r="G1301" s="6">
        <v>-23.153826826398891</v>
      </c>
      <c r="H1301" s="6">
        <v>-46.95730981356072</v>
      </c>
      <c r="I1301" s="9">
        <v>2139.73</v>
      </c>
      <c r="K1301" s="6">
        <v>5.08</v>
      </c>
      <c r="L1301" s="6">
        <v>60</v>
      </c>
      <c r="N1301" s="1">
        <f t="shared" si="159"/>
        <v>0</v>
      </c>
      <c r="O1301" s="8" t="s">
        <v>20</v>
      </c>
      <c r="P1301" s="8"/>
      <c r="Q1301" s="8" t="s">
        <v>21</v>
      </c>
      <c r="R1301" s="8" t="s">
        <v>21</v>
      </c>
      <c r="S1301" s="8" t="s">
        <v>21</v>
      </c>
      <c r="T1301" s="8" t="s">
        <v>21</v>
      </c>
      <c r="U1301" s="6">
        <f t="shared" si="160"/>
        <v>1283.838</v>
      </c>
      <c r="V1301" s="6">
        <f t="shared" si="161"/>
        <v>1283.838</v>
      </c>
    </row>
    <row r="1302" spans="1:22" hidden="1" x14ac:dyDescent="0.35">
      <c r="A1302" s="6" t="s">
        <v>1448</v>
      </c>
      <c r="B1302" s="6" t="s">
        <v>1444</v>
      </c>
      <c r="C1302" s="6" t="s">
        <v>1445</v>
      </c>
      <c r="D1302" s="6">
        <f t="shared" si="162"/>
        <v>0.5</v>
      </c>
      <c r="E1302" s="6" t="s">
        <v>19</v>
      </c>
      <c r="F1302" s="6" t="str">
        <f>MID(A1302,19,1)</f>
        <v>O</v>
      </c>
      <c r="G1302" s="6">
        <v>-23.17309282624111</v>
      </c>
      <c r="H1302" s="6">
        <v>-46.93110098600858</v>
      </c>
      <c r="I1302" s="9">
        <v>94.38</v>
      </c>
      <c r="K1302" s="6">
        <v>3.74</v>
      </c>
      <c r="L1302" s="6">
        <v>40</v>
      </c>
      <c r="N1302" s="1">
        <f t="shared" si="159"/>
        <v>0</v>
      </c>
      <c r="O1302" s="8" t="s">
        <v>20</v>
      </c>
      <c r="P1302" s="8"/>
      <c r="Q1302" s="8" t="s">
        <v>21</v>
      </c>
      <c r="R1302" s="8" t="s">
        <v>21</v>
      </c>
      <c r="S1302" s="8" t="s">
        <v>21</v>
      </c>
      <c r="T1302" s="8" t="s">
        <v>21</v>
      </c>
      <c r="U1302" s="6">
        <f t="shared" si="160"/>
        <v>37.752000000000002</v>
      </c>
      <c r="V1302" s="6">
        <f t="shared" si="161"/>
        <v>37.752000000000002</v>
      </c>
    </row>
    <row r="1303" spans="1:22" hidden="1" x14ac:dyDescent="0.35">
      <c r="A1303" s="6" t="s">
        <v>1449</v>
      </c>
      <c r="B1303" s="6" t="s">
        <v>1444</v>
      </c>
      <c r="C1303" s="6" t="s">
        <v>1445</v>
      </c>
      <c r="D1303" s="6">
        <f t="shared" si="162"/>
        <v>0.5</v>
      </c>
      <c r="E1303" s="6" t="s">
        <v>19</v>
      </c>
      <c r="F1303" s="6" t="str">
        <f>MID(A1303,19,1)</f>
        <v>L</v>
      </c>
      <c r="G1303" s="6">
        <v>-23.173147000240611</v>
      </c>
      <c r="H1303" s="6">
        <v>-46.932648123954678</v>
      </c>
      <c r="I1303" s="9">
        <v>1120.8900000000001</v>
      </c>
      <c r="K1303" s="6">
        <v>9.16</v>
      </c>
      <c r="L1303" s="6">
        <v>50</v>
      </c>
      <c r="N1303" s="1">
        <f t="shared" si="159"/>
        <v>0</v>
      </c>
      <c r="O1303" s="8" t="s">
        <v>20</v>
      </c>
      <c r="P1303" s="8"/>
      <c r="Q1303" s="8" t="s">
        <v>21</v>
      </c>
      <c r="R1303" s="8" t="s">
        <v>21</v>
      </c>
      <c r="S1303" s="8" t="s">
        <v>21</v>
      </c>
      <c r="T1303" s="8" t="s">
        <v>21</v>
      </c>
      <c r="U1303" s="6">
        <f t="shared" si="160"/>
        <v>560.44500000000005</v>
      </c>
      <c r="V1303" s="6">
        <f t="shared" si="161"/>
        <v>560.44500000000005</v>
      </c>
    </row>
    <row r="1304" spans="1:22" hidden="1" x14ac:dyDescent="0.35">
      <c r="A1304" s="6" t="s">
        <v>1450</v>
      </c>
      <c r="B1304" s="6" t="s">
        <v>1444</v>
      </c>
      <c r="C1304" s="6" t="s">
        <v>1445</v>
      </c>
      <c r="D1304" s="6">
        <f t="shared" si="162"/>
        <v>0.5</v>
      </c>
      <c r="E1304" s="6" t="s">
        <v>19</v>
      </c>
      <c r="F1304" s="6" t="str">
        <f>MID(A1304,19,1)</f>
        <v>L</v>
      </c>
      <c r="G1304" s="6">
        <v>-23.17336256204182</v>
      </c>
      <c r="H1304" s="6">
        <v>-46.931164592401629</v>
      </c>
      <c r="I1304" s="9">
        <v>109.52</v>
      </c>
      <c r="K1304" s="6">
        <v>4.42</v>
      </c>
      <c r="L1304" s="6">
        <v>40</v>
      </c>
      <c r="N1304" s="1">
        <f t="shared" si="159"/>
        <v>0</v>
      </c>
      <c r="O1304" s="8" t="s">
        <v>20</v>
      </c>
      <c r="P1304" s="8"/>
      <c r="Q1304" s="8" t="s">
        <v>21</v>
      </c>
      <c r="R1304" s="8" t="s">
        <v>21</v>
      </c>
      <c r="S1304" s="8" t="s">
        <v>21</v>
      </c>
      <c r="T1304" s="8" t="s">
        <v>21</v>
      </c>
      <c r="U1304" s="6">
        <f t="shared" si="160"/>
        <v>43.808</v>
      </c>
      <c r="V1304" s="6">
        <f t="shared" si="161"/>
        <v>43.808</v>
      </c>
    </row>
    <row r="1305" spans="1:22" hidden="1" x14ac:dyDescent="0.35">
      <c r="A1305" s="6" t="s">
        <v>1451</v>
      </c>
      <c r="B1305" s="6" t="s">
        <v>1444</v>
      </c>
      <c r="C1305" s="6" t="s">
        <v>1445</v>
      </c>
      <c r="D1305" s="6">
        <f t="shared" si="162"/>
        <v>0.5</v>
      </c>
      <c r="E1305" s="6" t="s">
        <v>23</v>
      </c>
      <c r="F1305" s="6" t="str">
        <f>MID(A1305,19,1)</f>
        <v>C</v>
      </c>
      <c r="G1305" s="6">
        <v>-23.172550715479009</v>
      </c>
      <c r="H1305" s="6">
        <v>-46.936179548905812</v>
      </c>
      <c r="I1305" s="9">
        <v>1655.67</v>
      </c>
      <c r="J1305" s="9">
        <f>I1305/500</f>
        <v>3.31134</v>
      </c>
      <c r="K1305" s="6">
        <v>5.32</v>
      </c>
      <c r="L1305" s="6">
        <v>60</v>
      </c>
      <c r="N1305" s="1">
        <f t="shared" si="159"/>
        <v>0</v>
      </c>
      <c r="O1305" s="8" t="s">
        <v>20</v>
      </c>
      <c r="P1305" s="8"/>
      <c r="Q1305" s="8" t="s">
        <v>21</v>
      </c>
      <c r="R1305" s="8" t="s">
        <v>21</v>
      </c>
      <c r="S1305" s="8" t="s">
        <v>21</v>
      </c>
      <c r="T1305" s="8" t="s">
        <v>21</v>
      </c>
      <c r="U1305" s="6">
        <f t="shared" si="160"/>
        <v>993.40200000000004</v>
      </c>
      <c r="V1305" s="6">
        <f t="shared" si="161"/>
        <v>993.40200000000004</v>
      </c>
    </row>
    <row r="1306" spans="1:22" x14ac:dyDescent="0.35">
      <c r="A1306" s="6" t="s">
        <v>1452</v>
      </c>
      <c r="B1306" s="6" t="s">
        <v>1444</v>
      </c>
      <c r="C1306" s="6" t="s">
        <v>1445</v>
      </c>
      <c r="D1306" s="6">
        <f t="shared" si="162"/>
        <v>0.5</v>
      </c>
      <c r="E1306" s="6" t="s">
        <v>19</v>
      </c>
      <c r="F1306" s="6" t="str">
        <f>MID(A1306,19,1)</f>
        <v>N</v>
      </c>
      <c r="G1306" s="6">
        <v>-23.159467853228289</v>
      </c>
      <c r="H1306" s="6">
        <v>-46.932303714080668</v>
      </c>
      <c r="I1306" s="9">
        <v>2089.34</v>
      </c>
      <c r="K1306" s="6">
        <v>6.62</v>
      </c>
      <c r="L1306" s="6">
        <v>70</v>
      </c>
      <c r="N1306" s="1">
        <f t="shared" si="159"/>
        <v>0</v>
      </c>
      <c r="O1306" s="8" t="s">
        <v>20</v>
      </c>
      <c r="P1306" s="8"/>
      <c r="Q1306" s="8" t="s">
        <v>21</v>
      </c>
      <c r="R1306" s="8" t="s">
        <v>21</v>
      </c>
      <c r="S1306" s="8" t="s">
        <v>21</v>
      </c>
      <c r="T1306" s="8" t="s">
        <v>21</v>
      </c>
      <c r="U1306" s="6">
        <f t="shared" si="160"/>
        <v>1462.538</v>
      </c>
      <c r="V1306" s="6">
        <f t="shared" si="161"/>
        <v>1462.538</v>
      </c>
    </row>
    <row r="1307" spans="1:22" hidden="1" x14ac:dyDescent="0.35">
      <c r="A1307" s="6" t="s">
        <v>1453</v>
      </c>
      <c r="B1307" s="6" t="s">
        <v>1444</v>
      </c>
      <c r="C1307" s="6" t="s">
        <v>1445</v>
      </c>
      <c r="D1307" s="6">
        <f t="shared" si="162"/>
        <v>0.5</v>
      </c>
      <c r="E1307" s="6" t="s">
        <v>19</v>
      </c>
      <c r="F1307" s="6" t="str">
        <f>MID(A1307,19,1)</f>
        <v>L</v>
      </c>
      <c r="G1307" s="6">
        <v>-23.173677662910329</v>
      </c>
      <c r="H1307" s="6">
        <v>-46.928839451029887</v>
      </c>
      <c r="I1307" s="9">
        <v>1484.09</v>
      </c>
      <c r="K1307" s="6">
        <v>5.52</v>
      </c>
      <c r="L1307" s="6">
        <v>40</v>
      </c>
      <c r="N1307" s="1">
        <f t="shared" si="159"/>
        <v>0</v>
      </c>
      <c r="O1307" s="8" t="s">
        <v>20</v>
      </c>
      <c r="P1307" s="8"/>
      <c r="Q1307" s="8" t="s">
        <v>21</v>
      </c>
      <c r="R1307" s="8" t="s">
        <v>21</v>
      </c>
      <c r="S1307" s="8" t="s">
        <v>21</v>
      </c>
      <c r="T1307" s="8" t="s">
        <v>21</v>
      </c>
      <c r="U1307" s="6">
        <f t="shared" si="160"/>
        <v>593.63599999999997</v>
      </c>
      <c r="V1307" s="6">
        <f t="shared" si="161"/>
        <v>593.63599999999997</v>
      </c>
    </row>
    <row r="1308" spans="1:22" hidden="1" x14ac:dyDescent="0.35">
      <c r="A1308" s="6" t="s">
        <v>1454</v>
      </c>
      <c r="B1308" s="6" t="s">
        <v>1444</v>
      </c>
      <c r="C1308" s="6" t="s">
        <v>1445</v>
      </c>
      <c r="D1308" s="6">
        <f t="shared" si="162"/>
        <v>0.5</v>
      </c>
      <c r="E1308" s="6" t="s">
        <v>19</v>
      </c>
      <c r="F1308" s="6" t="str">
        <f>MID(A1308,19,1)</f>
        <v>L</v>
      </c>
      <c r="G1308" s="6">
        <v>-23.173525640499971</v>
      </c>
      <c r="H1308" s="6">
        <v>-46.926549648916257</v>
      </c>
      <c r="I1308" s="9">
        <v>440.39</v>
      </c>
      <c r="K1308" s="6">
        <v>5.91</v>
      </c>
      <c r="L1308" s="6">
        <v>0</v>
      </c>
      <c r="N1308" s="1">
        <f t="shared" si="159"/>
        <v>0</v>
      </c>
      <c r="O1308" s="8"/>
      <c r="P1308" s="8"/>
      <c r="Q1308" s="8" t="s">
        <v>21</v>
      </c>
      <c r="R1308" s="8" t="s">
        <v>21</v>
      </c>
      <c r="S1308" s="8" t="s">
        <v>21</v>
      </c>
      <c r="T1308" s="8" t="s">
        <v>21</v>
      </c>
      <c r="U1308" s="6">
        <f t="shared" si="160"/>
        <v>0</v>
      </c>
      <c r="V1308" s="6">
        <f t="shared" si="161"/>
        <v>0</v>
      </c>
    </row>
    <row r="1309" spans="1:22" hidden="1" x14ac:dyDescent="0.35">
      <c r="A1309" s="6" t="s">
        <v>1455</v>
      </c>
      <c r="B1309" s="6" t="s">
        <v>1444</v>
      </c>
      <c r="C1309" s="6" t="s">
        <v>1445</v>
      </c>
      <c r="D1309" s="6">
        <f t="shared" si="162"/>
        <v>0.5</v>
      </c>
      <c r="E1309" s="6" t="s">
        <v>19</v>
      </c>
      <c r="F1309" s="6" t="str">
        <f>MID(A1309,19,1)</f>
        <v>S</v>
      </c>
      <c r="G1309" s="6">
        <v>-23.156600781016159</v>
      </c>
      <c r="H1309" s="6">
        <v>-46.954702246811863</v>
      </c>
      <c r="I1309" s="9">
        <v>1120.02</v>
      </c>
      <c r="K1309" s="6">
        <v>3.57</v>
      </c>
      <c r="L1309" s="6">
        <v>70</v>
      </c>
      <c r="N1309" s="1">
        <f t="shared" si="159"/>
        <v>0</v>
      </c>
      <c r="O1309" s="8" t="s">
        <v>20</v>
      </c>
      <c r="P1309" s="8"/>
      <c r="Q1309" s="8" t="s">
        <v>21</v>
      </c>
      <c r="R1309" s="8" t="s">
        <v>21</v>
      </c>
      <c r="S1309" s="8" t="s">
        <v>21</v>
      </c>
      <c r="T1309" s="8" t="s">
        <v>21</v>
      </c>
      <c r="U1309" s="6">
        <f t="shared" si="160"/>
        <v>784.0139999999999</v>
      </c>
      <c r="V1309" s="6">
        <f t="shared" si="161"/>
        <v>784.0139999999999</v>
      </c>
    </row>
    <row r="1310" spans="1:22" hidden="1" x14ac:dyDescent="0.35">
      <c r="A1310" s="6" t="s">
        <v>1456</v>
      </c>
      <c r="B1310" s="6" t="s">
        <v>1444</v>
      </c>
      <c r="C1310" s="6" t="s">
        <v>1445</v>
      </c>
      <c r="D1310" s="6">
        <f t="shared" si="162"/>
        <v>0.5</v>
      </c>
      <c r="E1310" s="6" t="s">
        <v>19</v>
      </c>
      <c r="F1310" s="6" t="str">
        <f>MID(A1310,19,1)</f>
        <v>O</v>
      </c>
      <c r="G1310" s="6">
        <v>-23.173423302857859</v>
      </c>
      <c r="H1310" s="6">
        <v>-46.928587452292312</v>
      </c>
      <c r="I1310" s="9">
        <v>1150.81</v>
      </c>
      <c r="K1310" s="6">
        <v>4.6500000000000004</v>
      </c>
      <c r="L1310" s="6">
        <v>40</v>
      </c>
      <c r="N1310" s="1">
        <f t="shared" si="159"/>
        <v>0</v>
      </c>
      <c r="O1310" s="8" t="s">
        <v>20</v>
      </c>
      <c r="P1310" s="8"/>
      <c r="Q1310" s="8" t="s">
        <v>21</v>
      </c>
      <c r="R1310" s="8" t="s">
        <v>21</v>
      </c>
      <c r="S1310" s="8" t="s">
        <v>21</v>
      </c>
      <c r="T1310" s="8" t="s">
        <v>21</v>
      </c>
      <c r="U1310" s="6">
        <f t="shared" si="160"/>
        <v>460.32400000000001</v>
      </c>
      <c r="V1310" s="6">
        <f t="shared" si="161"/>
        <v>460.32400000000001</v>
      </c>
    </row>
    <row r="1311" spans="1:22" hidden="1" x14ac:dyDescent="0.35">
      <c r="A1311" s="6" t="s">
        <v>1457</v>
      </c>
      <c r="B1311" s="6" t="s">
        <v>1444</v>
      </c>
      <c r="C1311" s="6" t="s">
        <v>1445</v>
      </c>
      <c r="D1311" s="6">
        <f t="shared" si="162"/>
        <v>0.5</v>
      </c>
      <c r="E1311" s="6" t="s">
        <v>19</v>
      </c>
      <c r="F1311" s="6" t="str">
        <f>MID(A1311,19,1)</f>
        <v>O</v>
      </c>
      <c r="G1311" s="6">
        <v>-23.172867654257139</v>
      </c>
      <c r="H1311" s="6">
        <v>-46.932457201638577</v>
      </c>
      <c r="I1311" s="9">
        <v>1034.8599999999999</v>
      </c>
      <c r="K1311" s="6">
        <v>10.93</v>
      </c>
      <c r="L1311" s="6">
        <v>50</v>
      </c>
      <c r="N1311" s="1">
        <f t="shared" si="159"/>
        <v>0</v>
      </c>
      <c r="O1311" s="8" t="s">
        <v>20</v>
      </c>
      <c r="P1311" s="8"/>
      <c r="Q1311" s="8" t="s">
        <v>21</v>
      </c>
      <c r="R1311" s="8" t="s">
        <v>21</v>
      </c>
      <c r="S1311" s="8" t="s">
        <v>21</v>
      </c>
      <c r="T1311" s="8" t="s">
        <v>21</v>
      </c>
      <c r="U1311" s="6">
        <f t="shared" si="160"/>
        <v>517.42999999999995</v>
      </c>
      <c r="V1311" s="6">
        <f t="shared" si="161"/>
        <v>517.42999999999995</v>
      </c>
    </row>
    <row r="1312" spans="1:22" x14ac:dyDescent="0.35">
      <c r="A1312" s="6" t="s">
        <v>1458</v>
      </c>
      <c r="B1312" s="6" t="s">
        <v>1444</v>
      </c>
      <c r="C1312" s="6" t="s">
        <v>1445</v>
      </c>
      <c r="D1312" s="6">
        <f t="shared" si="162"/>
        <v>0.5</v>
      </c>
      <c r="E1312" s="6" t="s">
        <v>19</v>
      </c>
      <c r="F1312" s="6" t="str">
        <f>MID(A1312,19,1)</f>
        <v>N</v>
      </c>
      <c r="G1312" s="6">
        <v>-23.164751011906912</v>
      </c>
      <c r="H1312" s="6">
        <v>-46.92912682109619</v>
      </c>
      <c r="I1312" s="9">
        <v>830.02</v>
      </c>
      <c r="K1312" s="6">
        <v>3</v>
      </c>
      <c r="L1312" s="6">
        <v>0</v>
      </c>
      <c r="N1312" s="1">
        <f t="shared" si="159"/>
        <v>0</v>
      </c>
      <c r="O1312" s="8"/>
      <c r="P1312" s="8"/>
      <c r="Q1312" s="8" t="s">
        <v>21</v>
      </c>
      <c r="R1312" s="8" t="s">
        <v>21</v>
      </c>
      <c r="S1312" s="8" t="s">
        <v>21</v>
      </c>
      <c r="T1312" s="8" t="s">
        <v>21</v>
      </c>
      <c r="U1312" s="6">
        <f t="shared" si="160"/>
        <v>0</v>
      </c>
      <c r="V1312" s="6">
        <f t="shared" si="161"/>
        <v>0</v>
      </c>
    </row>
    <row r="1313" spans="1:22" hidden="1" x14ac:dyDescent="0.35">
      <c r="A1313" s="6" t="s">
        <v>1459</v>
      </c>
      <c r="B1313" s="6" t="s">
        <v>1444</v>
      </c>
      <c r="C1313" s="6" t="s">
        <v>1445</v>
      </c>
      <c r="D1313" s="6">
        <f t="shared" si="162"/>
        <v>0.5</v>
      </c>
      <c r="E1313" s="6" t="s">
        <v>19</v>
      </c>
      <c r="F1313" s="6" t="str">
        <f>MID(A1313,19,1)</f>
        <v>O</v>
      </c>
      <c r="G1313" s="6">
        <v>-23.173204623382581</v>
      </c>
      <c r="H1313" s="6">
        <v>-46.930281460650562</v>
      </c>
      <c r="I1313" s="9">
        <v>323.52</v>
      </c>
      <c r="K1313" s="6">
        <v>4.21</v>
      </c>
      <c r="L1313" s="6">
        <v>40</v>
      </c>
      <c r="N1313" s="1">
        <f t="shared" si="159"/>
        <v>0</v>
      </c>
      <c r="O1313" s="8" t="s">
        <v>20</v>
      </c>
      <c r="P1313" s="8"/>
      <c r="Q1313" s="8" t="s">
        <v>21</v>
      </c>
      <c r="R1313" s="8" t="s">
        <v>21</v>
      </c>
      <c r="S1313" s="8" t="s">
        <v>21</v>
      </c>
      <c r="T1313" s="8" t="s">
        <v>21</v>
      </c>
      <c r="U1313" s="6">
        <f t="shared" si="160"/>
        <v>129.40799999999999</v>
      </c>
      <c r="V1313" s="6">
        <f t="shared" si="161"/>
        <v>129.40799999999999</v>
      </c>
    </row>
    <row r="1314" spans="1:22" hidden="1" x14ac:dyDescent="0.35">
      <c r="A1314" s="6" t="s">
        <v>1460</v>
      </c>
      <c r="B1314" s="6" t="s">
        <v>1444</v>
      </c>
      <c r="C1314" s="6" t="s">
        <v>1445</v>
      </c>
      <c r="D1314" s="6">
        <f t="shared" si="162"/>
        <v>0.5</v>
      </c>
      <c r="E1314" s="6" t="s">
        <v>19</v>
      </c>
      <c r="F1314" s="6" t="str">
        <f>MID(A1314,19,1)</f>
        <v>O</v>
      </c>
      <c r="G1314" s="6">
        <v>-23.1732487876371</v>
      </c>
      <c r="H1314" s="6">
        <v>-46.926701967499227</v>
      </c>
      <c r="I1314" s="9">
        <v>449.87</v>
      </c>
      <c r="K1314" s="6">
        <v>4.88</v>
      </c>
      <c r="L1314" s="6">
        <v>40</v>
      </c>
      <c r="N1314" s="1">
        <f t="shared" si="159"/>
        <v>0</v>
      </c>
      <c r="O1314" s="8" t="s">
        <v>20</v>
      </c>
      <c r="P1314" s="8"/>
      <c r="Q1314" s="8" t="s">
        <v>21</v>
      </c>
      <c r="R1314" s="8" t="s">
        <v>21</v>
      </c>
      <c r="S1314" s="8" t="s">
        <v>21</v>
      </c>
      <c r="T1314" s="8" t="s">
        <v>21</v>
      </c>
      <c r="U1314" s="6">
        <f t="shared" si="160"/>
        <v>179.94800000000001</v>
      </c>
      <c r="V1314" s="6">
        <f t="shared" si="161"/>
        <v>179.94800000000001</v>
      </c>
    </row>
    <row r="1315" spans="1:22" hidden="1" x14ac:dyDescent="0.35">
      <c r="A1315" s="6" t="s">
        <v>1461</v>
      </c>
      <c r="B1315" s="6" t="s">
        <v>1444</v>
      </c>
      <c r="C1315" s="6" t="s">
        <v>1445</v>
      </c>
      <c r="D1315" s="6">
        <f t="shared" si="162"/>
        <v>0.5</v>
      </c>
      <c r="E1315" s="6" t="s">
        <v>19</v>
      </c>
      <c r="F1315" s="6" t="str">
        <f>MID(A1315,19,1)</f>
        <v>L</v>
      </c>
      <c r="G1315" s="6">
        <v>-23.172820629051451</v>
      </c>
      <c r="H1315" s="6">
        <v>-46.934174701292868</v>
      </c>
      <c r="I1315" s="9">
        <v>749.44</v>
      </c>
      <c r="K1315" s="6">
        <v>9.91</v>
      </c>
      <c r="L1315" s="6">
        <v>60</v>
      </c>
      <c r="N1315" s="1">
        <f t="shared" si="159"/>
        <v>0</v>
      </c>
      <c r="O1315" s="8" t="s">
        <v>20</v>
      </c>
      <c r="P1315" s="8"/>
      <c r="Q1315" s="8" t="s">
        <v>21</v>
      </c>
      <c r="R1315" s="8" t="s">
        <v>21</v>
      </c>
      <c r="S1315" s="8" t="s">
        <v>21</v>
      </c>
      <c r="T1315" s="8" t="s">
        <v>21</v>
      </c>
      <c r="U1315" s="6">
        <f t="shared" si="160"/>
        <v>449.66400000000004</v>
      </c>
      <c r="V1315" s="6">
        <f t="shared" si="161"/>
        <v>449.66400000000004</v>
      </c>
    </row>
    <row r="1316" spans="1:22" x14ac:dyDescent="0.35">
      <c r="A1316" s="6" t="s">
        <v>1462</v>
      </c>
      <c r="B1316" s="6" t="s">
        <v>1444</v>
      </c>
      <c r="C1316" s="6" t="s">
        <v>1445</v>
      </c>
      <c r="D1316" s="6">
        <f t="shared" si="162"/>
        <v>0.5</v>
      </c>
      <c r="E1316" s="6" t="s">
        <v>19</v>
      </c>
      <c r="F1316" s="6" t="str">
        <f>MID(A1316,19,1)</f>
        <v>N</v>
      </c>
      <c r="G1316" s="6">
        <v>-23.156087314402139</v>
      </c>
      <c r="H1316" s="6">
        <v>-46.954319631856933</v>
      </c>
      <c r="I1316" s="9">
        <v>1696.43</v>
      </c>
      <c r="K1316" s="6">
        <v>3.59</v>
      </c>
      <c r="L1316" s="6">
        <v>30</v>
      </c>
      <c r="N1316" s="1">
        <f t="shared" si="159"/>
        <v>0</v>
      </c>
      <c r="O1316" s="8" t="s">
        <v>20</v>
      </c>
      <c r="P1316" s="8"/>
      <c r="Q1316" s="8" t="s">
        <v>21</v>
      </c>
      <c r="R1316" s="8" t="s">
        <v>21</v>
      </c>
      <c r="S1316" s="8" t="s">
        <v>21</v>
      </c>
      <c r="T1316" s="8" t="s">
        <v>21</v>
      </c>
      <c r="U1316" s="6">
        <f t="shared" si="160"/>
        <v>508.92899999999997</v>
      </c>
      <c r="V1316" s="6">
        <f t="shared" si="161"/>
        <v>508.92899999999997</v>
      </c>
    </row>
    <row r="1317" spans="1:22" hidden="1" x14ac:dyDescent="0.35">
      <c r="A1317" s="6" t="s">
        <v>1463</v>
      </c>
      <c r="B1317" s="6" t="s">
        <v>1444</v>
      </c>
      <c r="C1317" s="6" t="s">
        <v>1445</v>
      </c>
      <c r="D1317" s="6">
        <f t="shared" si="162"/>
        <v>0.5</v>
      </c>
      <c r="E1317" s="6" t="s">
        <v>23</v>
      </c>
      <c r="F1317" s="6" t="str">
        <f>MID(A1317,19,1)</f>
        <v>C</v>
      </c>
      <c r="G1317" s="6">
        <v>-23.153590883774591</v>
      </c>
      <c r="H1317" s="6">
        <v>-46.957051688624503</v>
      </c>
      <c r="I1317" s="9">
        <v>15533.71</v>
      </c>
      <c r="J1317" s="9">
        <f>I1317/500</f>
        <v>31.067419999999998</v>
      </c>
      <c r="K1317" s="6">
        <v>6.89</v>
      </c>
      <c r="L1317" s="6">
        <v>80</v>
      </c>
      <c r="N1317" s="1">
        <f t="shared" si="159"/>
        <v>0</v>
      </c>
      <c r="O1317" s="8" t="s">
        <v>185</v>
      </c>
      <c r="P1317" s="8"/>
      <c r="Q1317" s="8" t="s">
        <v>21</v>
      </c>
      <c r="R1317" s="8" t="s">
        <v>21</v>
      </c>
      <c r="S1317" s="8" t="s">
        <v>21</v>
      </c>
      <c r="T1317" s="8" t="s">
        <v>21</v>
      </c>
      <c r="U1317" s="6">
        <f t="shared" si="160"/>
        <v>12426.968000000001</v>
      </c>
      <c r="V1317" s="6">
        <f t="shared" si="161"/>
        <v>12426.968000000001</v>
      </c>
    </row>
    <row r="1318" spans="1:22" x14ac:dyDescent="0.35">
      <c r="A1318" s="6" t="s">
        <v>1464</v>
      </c>
      <c r="B1318" s="6" t="s">
        <v>1444</v>
      </c>
      <c r="C1318" s="6" t="s">
        <v>1445</v>
      </c>
      <c r="D1318" s="6">
        <f t="shared" si="162"/>
        <v>0.5</v>
      </c>
      <c r="E1318" s="6" t="s">
        <v>19</v>
      </c>
      <c r="F1318" s="6" t="str">
        <f>MID(A1318,19,1)</f>
        <v>N</v>
      </c>
      <c r="G1318" s="6">
        <v>-23.157733561129429</v>
      </c>
      <c r="H1318" s="6">
        <v>-46.952603769941589</v>
      </c>
      <c r="I1318" s="9">
        <v>786.61</v>
      </c>
      <c r="K1318" s="6">
        <v>6.41</v>
      </c>
      <c r="L1318" s="6">
        <v>30</v>
      </c>
      <c r="N1318" s="1">
        <f t="shared" si="159"/>
        <v>0</v>
      </c>
      <c r="O1318" s="8" t="s">
        <v>20</v>
      </c>
      <c r="P1318" s="8"/>
      <c r="Q1318" s="8" t="s">
        <v>21</v>
      </c>
      <c r="R1318" s="8" t="s">
        <v>21</v>
      </c>
      <c r="S1318" s="8" t="s">
        <v>21</v>
      </c>
      <c r="T1318" s="8" t="s">
        <v>21</v>
      </c>
      <c r="U1318" s="6">
        <f t="shared" si="160"/>
        <v>235.983</v>
      </c>
      <c r="V1318" s="6">
        <f t="shared" si="161"/>
        <v>235.983</v>
      </c>
    </row>
    <row r="1319" spans="1:22" hidden="1" x14ac:dyDescent="0.35">
      <c r="A1319" s="6" t="s">
        <v>1465</v>
      </c>
      <c r="B1319" s="6" t="s">
        <v>1444</v>
      </c>
      <c r="C1319" s="6" t="s">
        <v>1445</v>
      </c>
      <c r="D1319" s="6">
        <f t="shared" si="162"/>
        <v>0.5</v>
      </c>
      <c r="E1319" s="6" t="s">
        <v>19</v>
      </c>
      <c r="F1319" s="6" t="str">
        <f>MID(A1319,19,1)</f>
        <v>S</v>
      </c>
      <c r="G1319" s="6">
        <v>-23.159609424682351</v>
      </c>
      <c r="H1319" s="6">
        <v>-46.932616233362403</v>
      </c>
      <c r="I1319" s="9">
        <v>2080.77</v>
      </c>
      <c r="K1319" s="6">
        <v>6.32</v>
      </c>
      <c r="L1319" s="6">
        <v>0</v>
      </c>
      <c r="N1319" s="1">
        <f t="shared" si="159"/>
        <v>0</v>
      </c>
      <c r="O1319" s="8"/>
      <c r="P1319" s="8"/>
      <c r="Q1319" s="8" t="s">
        <v>21</v>
      </c>
      <c r="R1319" s="8" t="s">
        <v>21</v>
      </c>
      <c r="S1319" s="8" t="s">
        <v>21</v>
      </c>
      <c r="T1319" s="8" t="s">
        <v>21</v>
      </c>
      <c r="U1319" s="6">
        <f t="shared" si="160"/>
        <v>0</v>
      </c>
      <c r="V1319" s="6">
        <f t="shared" si="161"/>
        <v>0</v>
      </c>
    </row>
    <row r="1320" spans="1:22" hidden="1" x14ac:dyDescent="0.35">
      <c r="A1320" s="6" t="s">
        <v>1466</v>
      </c>
      <c r="B1320" s="6" t="s">
        <v>1444</v>
      </c>
      <c r="C1320" s="6" t="s">
        <v>1445</v>
      </c>
      <c r="D1320" s="6">
        <f t="shared" si="162"/>
        <v>0.5</v>
      </c>
      <c r="E1320" s="6" t="s">
        <v>19</v>
      </c>
      <c r="F1320" s="6" t="str">
        <f>MID(A1320,19,1)</f>
        <v>S</v>
      </c>
      <c r="G1320" s="6">
        <v>-23.162692970779968</v>
      </c>
      <c r="H1320" s="6">
        <v>-46.93076095699243</v>
      </c>
      <c r="I1320" s="9">
        <v>1045.92</v>
      </c>
      <c r="K1320" s="6">
        <v>4.53</v>
      </c>
      <c r="L1320" s="6">
        <v>0</v>
      </c>
      <c r="N1320" s="1">
        <f t="shared" si="159"/>
        <v>0</v>
      </c>
      <c r="O1320" s="8"/>
      <c r="P1320" s="8"/>
      <c r="Q1320" s="8" t="s">
        <v>21</v>
      </c>
      <c r="R1320" s="8" t="s">
        <v>21</v>
      </c>
      <c r="S1320" s="8" t="s">
        <v>21</v>
      </c>
      <c r="T1320" s="8" t="s">
        <v>21</v>
      </c>
      <c r="U1320" s="6">
        <f t="shared" si="160"/>
        <v>0</v>
      </c>
      <c r="V1320" s="6">
        <f t="shared" si="161"/>
        <v>0</v>
      </c>
    </row>
    <row r="1321" spans="1:22" hidden="1" x14ac:dyDescent="0.35">
      <c r="A1321" s="6" t="s">
        <v>1467</v>
      </c>
      <c r="B1321" s="6" t="s">
        <v>1444</v>
      </c>
      <c r="C1321" s="6" t="s">
        <v>1445</v>
      </c>
      <c r="D1321" s="6">
        <f t="shared" si="162"/>
        <v>0.5</v>
      </c>
      <c r="E1321" s="6" t="s">
        <v>19</v>
      </c>
      <c r="F1321" s="6" t="str">
        <f>MID(A1321,19,1)</f>
        <v>S</v>
      </c>
      <c r="G1321" s="6">
        <v>-23.16481013932113</v>
      </c>
      <c r="H1321" s="6">
        <v>-46.929482300269257</v>
      </c>
      <c r="I1321" s="9">
        <v>721.5</v>
      </c>
      <c r="K1321" s="6">
        <v>4.3899999999999997</v>
      </c>
      <c r="L1321" s="6">
        <v>0</v>
      </c>
      <c r="N1321" s="1">
        <f t="shared" si="159"/>
        <v>0</v>
      </c>
      <c r="O1321" s="8"/>
      <c r="P1321" s="8"/>
      <c r="Q1321" s="8" t="s">
        <v>21</v>
      </c>
      <c r="R1321" s="8" t="s">
        <v>21</v>
      </c>
      <c r="S1321" s="8" t="s">
        <v>21</v>
      </c>
      <c r="T1321" s="8" t="s">
        <v>21</v>
      </c>
      <c r="U1321" s="6">
        <f t="shared" si="160"/>
        <v>0</v>
      </c>
      <c r="V1321" s="6">
        <f t="shared" si="161"/>
        <v>0</v>
      </c>
    </row>
    <row r="1322" spans="1:22" x14ac:dyDescent="0.35">
      <c r="A1322" s="6" t="s">
        <v>1468</v>
      </c>
      <c r="B1322" s="6" t="s">
        <v>1444</v>
      </c>
      <c r="C1322" s="6" t="s">
        <v>1445</v>
      </c>
      <c r="D1322" s="6">
        <f t="shared" si="162"/>
        <v>0.5</v>
      </c>
      <c r="E1322" s="6" t="s">
        <v>19</v>
      </c>
      <c r="F1322" s="6" t="str">
        <f>MID(A1322,19,1)</f>
        <v>N</v>
      </c>
      <c r="G1322" s="6">
        <v>-23.153377914891529</v>
      </c>
      <c r="H1322" s="6">
        <v>-46.956826745797613</v>
      </c>
      <c r="I1322" s="9">
        <v>1970.71</v>
      </c>
      <c r="K1322" s="6">
        <v>9.34</v>
      </c>
      <c r="L1322" s="6">
        <v>50</v>
      </c>
      <c r="N1322" s="1">
        <f t="shared" si="159"/>
        <v>0</v>
      </c>
      <c r="O1322" s="8" t="s">
        <v>20</v>
      </c>
      <c r="P1322" s="8"/>
      <c r="Q1322" s="8" t="s">
        <v>21</v>
      </c>
      <c r="R1322" s="8" t="s">
        <v>21</v>
      </c>
      <c r="S1322" s="8" t="s">
        <v>21</v>
      </c>
      <c r="T1322" s="8" t="s">
        <v>21</v>
      </c>
      <c r="U1322" s="6">
        <f t="shared" si="160"/>
        <v>985.35500000000002</v>
      </c>
      <c r="V1322" s="6">
        <f t="shared" si="161"/>
        <v>985.35500000000002</v>
      </c>
    </row>
    <row r="1323" spans="1:22" hidden="1" x14ac:dyDescent="0.35">
      <c r="A1323" s="6" t="s">
        <v>1469</v>
      </c>
      <c r="B1323" s="6" t="s">
        <v>1444</v>
      </c>
      <c r="C1323" s="6" t="s">
        <v>1445</v>
      </c>
      <c r="D1323" s="6">
        <f t="shared" si="162"/>
        <v>0.5</v>
      </c>
      <c r="E1323" s="6" t="s">
        <v>23</v>
      </c>
      <c r="F1323" s="6" t="str">
        <f>MID(A1323,19,1)</f>
        <v>C</v>
      </c>
      <c r="G1323" s="6">
        <v>-23.157983130121401</v>
      </c>
      <c r="H1323" s="6">
        <v>-46.952782054495728</v>
      </c>
      <c r="I1323" s="9">
        <v>5595.56</v>
      </c>
      <c r="J1323" s="9">
        <f>I1323/500</f>
        <v>11.191120000000002</v>
      </c>
      <c r="K1323" s="6">
        <v>5.46</v>
      </c>
      <c r="L1323" s="6">
        <v>90</v>
      </c>
      <c r="N1323" s="1">
        <f t="shared" si="159"/>
        <v>0</v>
      </c>
      <c r="O1323" s="8" t="s">
        <v>185</v>
      </c>
      <c r="P1323" s="8"/>
      <c r="Q1323" s="8" t="s">
        <v>21</v>
      </c>
      <c r="R1323" s="8" t="s">
        <v>21</v>
      </c>
      <c r="S1323" s="8" t="s">
        <v>21</v>
      </c>
      <c r="T1323" s="8" t="s">
        <v>21</v>
      </c>
      <c r="U1323" s="6">
        <f t="shared" si="160"/>
        <v>5036.0040000000008</v>
      </c>
      <c r="V1323" s="6">
        <f t="shared" si="161"/>
        <v>5036.0040000000008</v>
      </c>
    </row>
    <row r="1324" spans="1:22" hidden="1" x14ac:dyDescent="0.35">
      <c r="A1324" s="6" t="s">
        <v>1470</v>
      </c>
      <c r="B1324" s="6" t="s">
        <v>1444</v>
      </c>
      <c r="C1324" s="6" t="s">
        <v>1445</v>
      </c>
      <c r="D1324" s="6">
        <f t="shared" si="162"/>
        <v>0.5</v>
      </c>
      <c r="E1324" s="6" t="s">
        <v>19</v>
      </c>
      <c r="F1324" s="6" t="str">
        <f>MID(A1324,19,1)</f>
        <v>S</v>
      </c>
      <c r="G1324" s="6">
        <v>-23.158176549520739</v>
      </c>
      <c r="H1324" s="6">
        <v>-46.953024724568138</v>
      </c>
      <c r="I1324" s="9">
        <v>787.65</v>
      </c>
      <c r="K1324" s="6">
        <v>4.8899999999999997</v>
      </c>
      <c r="L1324" s="6">
        <v>70</v>
      </c>
      <c r="N1324" s="1">
        <f t="shared" si="159"/>
        <v>0</v>
      </c>
      <c r="O1324" s="8" t="s">
        <v>20</v>
      </c>
      <c r="P1324" s="8"/>
      <c r="Q1324" s="8" t="s">
        <v>21</v>
      </c>
      <c r="R1324" s="8" t="s">
        <v>21</v>
      </c>
      <c r="S1324" s="8" t="s">
        <v>21</v>
      </c>
      <c r="T1324" s="8" t="s">
        <v>21</v>
      </c>
      <c r="U1324" s="6">
        <f t="shared" si="160"/>
        <v>551.3549999999999</v>
      </c>
      <c r="V1324" s="6">
        <f t="shared" si="161"/>
        <v>551.3549999999999</v>
      </c>
    </row>
    <row r="1325" spans="1:22" x14ac:dyDescent="0.35">
      <c r="A1325" s="6" t="s">
        <v>1471</v>
      </c>
      <c r="B1325" s="6" t="s">
        <v>1444</v>
      </c>
      <c r="C1325" s="6" t="s">
        <v>1445</v>
      </c>
      <c r="D1325" s="6">
        <f t="shared" si="162"/>
        <v>0.5</v>
      </c>
      <c r="E1325" s="6" t="s">
        <v>19</v>
      </c>
      <c r="F1325" s="6" t="str">
        <f>MID(A1325,19,1)</f>
        <v>N</v>
      </c>
      <c r="G1325" s="6">
        <v>-23.162583140284831</v>
      </c>
      <c r="H1325" s="6">
        <v>-46.930425527690709</v>
      </c>
      <c r="I1325" s="9">
        <v>1072.3</v>
      </c>
      <c r="K1325" s="6">
        <v>3.49</v>
      </c>
      <c r="L1325" s="6">
        <v>0</v>
      </c>
      <c r="N1325" s="1">
        <f t="shared" si="159"/>
        <v>0</v>
      </c>
      <c r="O1325" s="8"/>
      <c r="P1325" s="8"/>
      <c r="Q1325" s="8" t="s">
        <v>21</v>
      </c>
      <c r="R1325" s="8" t="s">
        <v>21</v>
      </c>
      <c r="S1325" s="8" t="s">
        <v>21</v>
      </c>
      <c r="T1325" s="8" t="s">
        <v>21</v>
      </c>
      <c r="U1325" s="6">
        <f t="shared" si="160"/>
        <v>0</v>
      </c>
      <c r="V1325" s="6">
        <f t="shared" si="161"/>
        <v>0</v>
      </c>
    </row>
    <row r="1326" spans="1:22" hidden="1" x14ac:dyDescent="0.35">
      <c r="A1326" s="6" t="s">
        <v>1472</v>
      </c>
      <c r="B1326" s="6" t="s">
        <v>1473</v>
      </c>
      <c r="C1326" s="6" t="s">
        <v>1474</v>
      </c>
      <c r="D1326" s="6">
        <f t="shared" si="162"/>
        <v>0.5</v>
      </c>
      <c r="E1326" s="6" t="s">
        <v>19</v>
      </c>
      <c r="F1326" s="6" t="str">
        <f>MID(A1326,19,1)</f>
        <v>L</v>
      </c>
      <c r="G1326" s="6">
        <v>-23.172670294818989</v>
      </c>
      <c r="H1326" s="6">
        <v>-46.947645872321999</v>
      </c>
      <c r="I1326" s="9">
        <v>472.7</v>
      </c>
      <c r="K1326" s="6">
        <v>10.9</v>
      </c>
      <c r="L1326" s="6">
        <v>0</v>
      </c>
      <c r="N1326" s="1">
        <f t="shared" si="159"/>
        <v>0</v>
      </c>
      <c r="O1326" s="8"/>
      <c r="P1326" s="8"/>
      <c r="Q1326" s="8" t="s">
        <v>21</v>
      </c>
      <c r="R1326" s="8" t="s">
        <v>21</v>
      </c>
      <c r="S1326" s="8" t="s">
        <v>21</v>
      </c>
      <c r="T1326" s="8" t="s">
        <v>21</v>
      </c>
      <c r="U1326" s="6">
        <f t="shared" si="160"/>
        <v>0</v>
      </c>
      <c r="V1326" s="6">
        <f t="shared" si="161"/>
        <v>0</v>
      </c>
    </row>
    <row r="1327" spans="1:22" hidden="1" x14ac:dyDescent="0.35">
      <c r="A1327" s="6" t="s">
        <v>1475</v>
      </c>
      <c r="B1327" s="6" t="s">
        <v>1473</v>
      </c>
      <c r="C1327" s="6" t="s">
        <v>1474</v>
      </c>
      <c r="D1327" s="6">
        <f t="shared" si="162"/>
        <v>0.5</v>
      </c>
      <c r="E1327" s="6" t="s">
        <v>23</v>
      </c>
      <c r="F1327" s="6" t="str">
        <f>MID(A1327,19,1)</f>
        <v>C</v>
      </c>
      <c r="G1327" s="6">
        <v>-23.17180076913559</v>
      </c>
      <c r="H1327" s="6">
        <v>-46.944666135975659</v>
      </c>
      <c r="I1327" s="9">
        <v>3516.61</v>
      </c>
      <c r="J1327" s="9">
        <f>I1327/500</f>
        <v>7.03322</v>
      </c>
      <c r="K1327" s="6">
        <v>2.34</v>
      </c>
      <c r="L1327" s="6">
        <v>60</v>
      </c>
      <c r="N1327" s="1">
        <f t="shared" si="159"/>
        <v>0</v>
      </c>
      <c r="O1327" s="8" t="s">
        <v>20</v>
      </c>
      <c r="P1327" s="8"/>
      <c r="Q1327" s="8" t="s">
        <v>21</v>
      </c>
      <c r="R1327" s="8" t="s">
        <v>21</v>
      </c>
      <c r="S1327" s="8" t="s">
        <v>21</v>
      </c>
      <c r="T1327" s="8" t="s">
        <v>21</v>
      </c>
      <c r="U1327" s="6">
        <f t="shared" si="160"/>
        <v>2109.9659999999999</v>
      </c>
      <c r="V1327" s="6">
        <f t="shared" si="161"/>
        <v>2109.9659999999999</v>
      </c>
    </row>
    <row r="1328" spans="1:22" x14ac:dyDescent="0.35">
      <c r="A1328" s="6" t="s">
        <v>1476</v>
      </c>
      <c r="B1328" s="6" t="s">
        <v>1473</v>
      </c>
      <c r="C1328" s="6" t="s">
        <v>1474</v>
      </c>
      <c r="D1328" s="6">
        <f t="shared" si="162"/>
        <v>0.5</v>
      </c>
      <c r="E1328" s="6" t="s">
        <v>19</v>
      </c>
      <c r="F1328" s="6" t="str">
        <f>MID(A1328,19,1)</f>
        <v>N</v>
      </c>
      <c r="G1328" s="6">
        <v>-23.146705441621631</v>
      </c>
      <c r="H1328" s="6">
        <v>-46.963653428533938</v>
      </c>
      <c r="I1328" s="9">
        <v>2101.46</v>
      </c>
      <c r="K1328" s="6">
        <v>7.8</v>
      </c>
      <c r="L1328" s="6">
        <v>50</v>
      </c>
      <c r="N1328" s="1">
        <f t="shared" si="159"/>
        <v>0</v>
      </c>
      <c r="O1328" s="8" t="s">
        <v>20</v>
      </c>
      <c r="P1328" s="8"/>
      <c r="Q1328" s="8" t="s">
        <v>21</v>
      </c>
      <c r="R1328" s="8" t="s">
        <v>21</v>
      </c>
      <c r="S1328" s="8" t="s">
        <v>21</v>
      </c>
      <c r="T1328" s="8" t="s">
        <v>21</v>
      </c>
      <c r="U1328" s="6">
        <f t="shared" si="160"/>
        <v>1050.73</v>
      </c>
      <c r="V1328" s="6">
        <f t="shared" si="161"/>
        <v>1050.73</v>
      </c>
    </row>
    <row r="1329" spans="1:22" hidden="1" x14ac:dyDescent="0.35">
      <c r="A1329" s="6" t="s">
        <v>1477</v>
      </c>
      <c r="B1329" s="6" t="s">
        <v>1473</v>
      </c>
      <c r="C1329" s="6" t="s">
        <v>1474</v>
      </c>
      <c r="D1329" s="6">
        <f t="shared" si="162"/>
        <v>0.5</v>
      </c>
      <c r="E1329" s="6" t="s">
        <v>19</v>
      </c>
      <c r="F1329" s="6" t="str">
        <f>MID(A1329,19,1)</f>
        <v>L</v>
      </c>
      <c r="G1329" s="6">
        <v>-23.172028481112491</v>
      </c>
      <c r="H1329" s="6">
        <v>-46.944882845802987</v>
      </c>
      <c r="I1329" s="9">
        <v>1836.96</v>
      </c>
      <c r="K1329" s="6">
        <v>2.84</v>
      </c>
      <c r="L1329" s="6">
        <v>0</v>
      </c>
      <c r="N1329" s="1">
        <f t="shared" si="159"/>
        <v>0</v>
      </c>
      <c r="O1329" s="8"/>
      <c r="P1329" s="8"/>
      <c r="Q1329" s="8" t="s">
        <v>21</v>
      </c>
      <c r="R1329" s="8" t="s">
        <v>21</v>
      </c>
      <c r="S1329" s="8" t="s">
        <v>21</v>
      </c>
      <c r="T1329" s="8" t="s">
        <v>21</v>
      </c>
      <c r="U1329" s="6">
        <f t="shared" si="160"/>
        <v>0</v>
      </c>
      <c r="V1329" s="6">
        <f t="shared" si="161"/>
        <v>0</v>
      </c>
    </row>
    <row r="1330" spans="1:22" hidden="1" x14ac:dyDescent="0.35">
      <c r="A1330" s="6" t="s">
        <v>1478</v>
      </c>
      <c r="B1330" s="6" t="s">
        <v>1473</v>
      </c>
      <c r="C1330" s="6" t="s">
        <v>1474</v>
      </c>
      <c r="D1330" s="6">
        <f t="shared" si="162"/>
        <v>0.5</v>
      </c>
      <c r="E1330" s="6" t="s">
        <v>19</v>
      </c>
      <c r="F1330" s="6" t="str">
        <f>MID(A1330,19,1)</f>
        <v>S</v>
      </c>
      <c r="G1330" s="6">
        <v>-23.148477725351889</v>
      </c>
      <c r="H1330" s="6">
        <v>-46.9622689199023</v>
      </c>
      <c r="I1330" s="9">
        <v>167.21</v>
      </c>
      <c r="K1330" s="6">
        <v>8.67</v>
      </c>
      <c r="L1330" s="6">
        <v>60</v>
      </c>
      <c r="N1330" s="1">
        <f t="shared" si="159"/>
        <v>0</v>
      </c>
      <c r="O1330" s="8" t="s">
        <v>20</v>
      </c>
      <c r="P1330" s="8"/>
      <c r="Q1330" s="8" t="s">
        <v>21</v>
      </c>
      <c r="R1330" s="8" t="s">
        <v>21</v>
      </c>
      <c r="S1330" s="8" t="s">
        <v>21</v>
      </c>
      <c r="T1330" s="8" t="s">
        <v>21</v>
      </c>
      <c r="U1330" s="6">
        <f t="shared" si="160"/>
        <v>100.32600000000001</v>
      </c>
      <c r="V1330" s="6">
        <f t="shared" si="161"/>
        <v>100.32600000000001</v>
      </c>
    </row>
    <row r="1331" spans="1:22" hidden="1" x14ac:dyDescent="0.35">
      <c r="A1331" s="6" t="s">
        <v>1479</v>
      </c>
      <c r="B1331" s="6" t="s">
        <v>1473</v>
      </c>
      <c r="C1331" s="6" t="s">
        <v>1474</v>
      </c>
      <c r="D1331" s="6">
        <f t="shared" si="162"/>
        <v>0.5</v>
      </c>
      <c r="E1331" s="6" t="s">
        <v>23</v>
      </c>
      <c r="F1331" s="6" t="str">
        <f>MID(A1331,19,1)</f>
        <v>C</v>
      </c>
      <c r="G1331" s="6">
        <v>-23.171725227436738</v>
      </c>
      <c r="H1331" s="6">
        <v>-46.941724909948803</v>
      </c>
      <c r="I1331" s="9">
        <v>2321.2600000000002</v>
      </c>
      <c r="J1331" s="9">
        <f>I1331/500</f>
        <v>4.6425200000000002</v>
      </c>
      <c r="K1331" s="6">
        <v>4.51</v>
      </c>
      <c r="L1331" s="6">
        <v>60</v>
      </c>
      <c r="N1331" s="1">
        <f t="shared" si="159"/>
        <v>0</v>
      </c>
      <c r="O1331" s="8" t="s">
        <v>20</v>
      </c>
      <c r="P1331" s="8"/>
      <c r="Q1331" s="8" t="s">
        <v>21</v>
      </c>
      <c r="R1331" s="8" t="s">
        <v>21</v>
      </c>
      <c r="S1331" s="8" t="s">
        <v>21</v>
      </c>
      <c r="T1331" s="8" t="s">
        <v>21</v>
      </c>
      <c r="U1331" s="6">
        <f t="shared" si="160"/>
        <v>1392.7560000000001</v>
      </c>
      <c r="V1331" s="6">
        <f t="shared" si="161"/>
        <v>1392.7560000000001</v>
      </c>
    </row>
    <row r="1332" spans="1:22" hidden="1" x14ac:dyDescent="0.35">
      <c r="A1332" s="6" t="s">
        <v>1480</v>
      </c>
      <c r="B1332" s="6" t="s">
        <v>1473</v>
      </c>
      <c r="C1332" s="6" t="s">
        <v>1474</v>
      </c>
      <c r="D1332" s="6">
        <f t="shared" si="162"/>
        <v>0.5</v>
      </c>
      <c r="E1332" s="6" t="s">
        <v>19</v>
      </c>
      <c r="F1332" s="6" t="str">
        <f>MID(A1332,19,1)</f>
        <v>O</v>
      </c>
      <c r="G1332" s="6">
        <v>-23.172367419665871</v>
      </c>
      <c r="H1332" s="6">
        <v>-46.947680618709782</v>
      </c>
      <c r="I1332" s="9">
        <v>514.48</v>
      </c>
      <c r="K1332" s="6">
        <v>5.03</v>
      </c>
      <c r="L1332" s="6">
        <v>0</v>
      </c>
      <c r="N1332" s="1">
        <f t="shared" si="159"/>
        <v>0</v>
      </c>
      <c r="O1332" s="8"/>
      <c r="P1332" s="8"/>
      <c r="Q1332" s="8" t="s">
        <v>21</v>
      </c>
      <c r="R1332" s="8" t="s">
        <v>21</v>
      </c>
      <c r="S1332" s="8" t="s">
        <v>21</v>
      </c>
      <c r="T1332" s="8" t="s">
        <v>21</v>
      </c>
      <c r="U1332" s="6">
        <f t="shared" si="160"/>
        <v>0</v>
      </c>
      <c r="V1332" s="6">
        <f t="shared" si="161"/>
        <v>0</v>
      </c>
    </row>
    <row r="1333" spans="1:22" hidden="1" x14ac:dyDescent="0.35">
      <c r="A1333" s="6" t="s">
        <v>1481</v>
      </c>
      <c r="B1333" s="6" t="s">
        <v>1473</v>
      </c>
      <c r="C1333" s="6" t="s">
        <v>1474</v>
      </c>
      <c r="D1333" s="6">
        <f t="shared" si="162"/>
        <v>0.5</v>
      </c>
      <c r="E1333" s="6" t="s">
        <v>19</v>
      </c>
      <c r="F1333" s="6" t="str">
        <f>MID(A1333,19,1)</f>
        <v>S</v>
      </c>
      <c r="G1333" s="6">
        <v>-23.155627284292351</v>
      </c>
      <c r="H1333" s="6">
        <v>-46.934722954289697</v>
      </c>
      <c r="I1333" s="9">
        <v>1850.53</v>
      </c>
      <c r="K1333" s="6">
        <v>7.17</v>
      </c>
      <c r="L1333" s="6">
        <v>0</v>
      </c>
      <c r="N1333" s="1">
        <f t="shared" si="159"/>
        <v>0</v>
      </c>
      <c r="O1333" s="8"/>
      <c r="P1333" s="8"/>
      <c r="Q1333" s="8" t="s">
        <v>21</v>
      </c>
      <c r="R1333" s="8" t="s">
        <v>21</v>
      </c>
      <c r="S1333" s="8" t="s">
        <v>21</v>
      </c>
      <c r="T1333" s="8" t="s">
        <v>21</v>
      </c>
      <c r="U1333" s="6">
        <f t="shared" si="160"/>
        <v>0</v>
      </c>
      <c r="V1333" s="6">
        <f t="shared" si="161"/>
        <v>0</v>
      </c>
    </row>
    <row r="1334" spans="1:22" hidden="1" x14ac:dyDescent="0.35">
      <c r="A1334" s="6" t="s">
        <v>1482</v>
      </c>
      <c r="B1334" s="6" t="s">
        <v>1473</v>
      </c>
      <c r="C1334" s="6" t="s">
        <v>1474</v>
      </c>
      <c r="D1334" s="6">
        <f t="shared" si="162"/>
        <v>0.5</v>
      </c>
      <c r="E1334" s="6" t="s">
        <v>19</v>
      </c>
      <c r="F1334" s="6" t="str">
        <f>MID(A1334,19,1)</f>
        <v>S</v>
      </c>
      <c r="G1334" s="6">
        <v>-23.15230333783505</v>
      </c>
      <c r="H1334" s="6">
        <v>-46.936222622840909</v>
      </c>
      <c r="I1334" s="9">
        <v>1345.42</v>
      </c>
      <c r="K1334" s="6">
        <v>7.25</v>
      </c>
      <c r="L1334" s="6">
        <v>20</v>
      </c>
      <c r="N1334" s="1">
        <f t="shared" si="159"/>
        <v>0</v>
      </c>
      <c r="O1334" s="8" t="s">
        <v>20</v>
      </c>
      <c r="P1334" s="8"/>
      <c r="Q1334" s="8" t="s">
        <v>21</v>
      </c>
      <c r="R1334" s="8" t="s">
        <v>21</v>
      </c>
      <c r="S1334" s="8" t="s">
        <v>21</v>
      </c>
      <c r="T1334" s="8" t="s">
        <v>21</v>
      </c>
      <c r="U1334" s="6">
        <f t="shared" si="160"/>
        <v>269.084</v>
      </c>
      <c r="V1334" s="6">
        <f t="shared" si="161"/>
        <v>269.084</v>
      </c>
    </row>
    <row r="1335" spans="1:22" hidden="1" x14ac:dyDescent="0.35">
      <c r="A1335" s="6" t="s">
        <v>1483</v>
      </c>
      <c r="B1335" s="6" t="s">
        <v>1473</v>
      </c>
      <c r="C1335" s="6" t="s">
        <v>1474</v>
      </c>
      <c r="D1335" s="6">
        <f t="shared" si="162"/>
        <v>0.5</v>
      </c>
      <c r="E1335" s="6" t="s">
        <v>19</v>
      </c>
      <c r="F1335" s="6" t="str">
        <f>MID(A1335,19,1)</f>
        <v>S</v>
      </c>
      <c r="G1335" s="6">
        <v>-23.15060166222009</v>
      </c>
      <c r="H1335" s="6">
        <v>-46.936876022723347</v>
      </c>
      <c r="I1335" s="9">
        <v>895.69</v>
      </c>
      <c r="K1335" s="6">
        <v>5.21</v>
      </c>
      <c r="L1335" s="6">
        <v>20</v>
      </c>
      <c r="N1335" s="1">
        <f t="shared" si="159"/>
        <v>0</v>
      </c>
      <c r="O1335" s="8" t="s">
        <v>20</v>
      </c>
      <c r="P1335" s="8"/>
      <c r="Q1335" s="8" t="s">
        <v>21</v>
      </c>
      <c r="R1335" s="8" t="s">
        <v>21</v>
      </c>
      <c r="S1335" s="8" t="s">
        <v>21</v>
      </c>
      <c r="T1335" s="8" t="s">
        <v>21</v>
      </c>
      <c r="U1335" s="6">
        <f t="shared" si="160"/>
        <v>179.13800000000003</v>
      </c>
      <c r="V1335" s="6">
        <f t="shared" si="161"/>
        <v>179.13800000000003</v>
      </c>
    </row>
    <row r="1336" spans="1:22" hidden="1" x14ac:dyDescent="0.35">
      <c r="A1336" s="6" t="s">
        <v>1484</v>
      </c>
      <c r="B1336" s="6" t="s">
        <v>1473</v>
      </c>
      <c r="C1336" s="6" t="s">
        <v>1474</v>
      </c>
      <c r="D1336" s="6">
        <f t="shared" si="162"/>
        <v>0.5</v>
      </c>
      <c r="E1336" s="6" t="s">
        <v>19</v>
      </c>
      <c r="F1336" s="6" t="str">
        <f>MID(A1336,19,1)</f>
        <v>O</v>
      </c>
      <c r="G1336" s="6">
        <v>-23.171723110891971</v>
      </c>
      <c r="H1336" s="6">
        <v>-46.94547212189152</v>
      </c>
      <c r="I1336" s="9">
        <v>1388.26</v>
      </c>
      <c r="K1336" s="6">
        <v>2.14</v>
      </c>
      <c r="L1336" s="6">
        <v>0</v>
      </c>
      <c r="N1336" s="1">
        <f t="shared" si="159"/>
        <v>0</v>
      </c>
      <c r="O1336" s="8"/>
      <c r="P1336" s="8"/>
      <c r="Q1336" s="8" t="s">
        <v>21</v>
      </c>
      <c r="R1336" s="8" t="s">
        <v>21</v>
      </c>
      <c r="S1336" s="8" t="s">
        <v>21</v>
      </c>
      <c r="T1336" s="8" t="s">
        <v>21</v>
      </c>
      <c r="U1336" s="6">
        <f t="shared" si="160"/>
        <v>0</v>
      </c>
      <c r="V1336" s="6">
        <f t="shared" si="161"/>
        <v>0</v>
      </c>
    </row>
    <row r="1337" spans="1:22" hidden="1" x14ac:dyDescent="0.35">
      <c r="A1337" s="6" t="s">
        <v>1485</v>
      </c>
      <c r="B1337" s="6" t="s">
        <v>1473</v>
      </c>
      <c r="C1337" s="6" t="s">
        <v>1474</v>
      </c>
      <c r="D1337" s="6">
        <f t="shared" si="162"/>
        <v>0.5</v>
      </c>
      <c r="E1337" s="6" t="s">
        <v>23</v>
      </c>
      <c r="F1337" s="6" t="str">
        <f>MID(A1337,19,1)</f>
        <v>C</v>
      </c>
      <c r="G1337" s="6">
        <v>-23.146921330298909</v>
      </c>
      <c r="H1337" s="6">
        <v>-46.963865551499509</v>
      </c>
      <c r="I1337" s="9">
        <v>15503.49</v>
      </c>
      <c r="J1337" s="9">
        <f t="shared" ref="J1337:J1338" si="163">I1337/500</f>
        <v>31.006979999999999</v>
      </c>
      <c r="K1337" s="6">
        <v>5.59</v>
      </c>
      <c r="L1337" s="6">
        <v>70</v>
      </c>
      <c r="N1337" s="1">
        <f t="shared" si="159"/>
        <v>0</v>
      </c>
      <c r="O1337" s="8" t="s">
        <v>185</v>
      </c>
      <c r="P1337" s="8"/>
      <c r="Q1337" s="8" t="s">
        <v>21</v>
      </c>
      <c r="R1337" s="8" t="s">
        <v>21</v>
      </c>
      <c r="S1337" s="8" t="s">
        <v>21</v>
      </c>
      <c r="T1337" s="8" t="s">
        <v>21</v>
      </c>
      <c r="U1337" s="6">
        <f t="shared" si="160"/>
        <v>10852.442999999999</v>
      </c>
      <c r="V1337" s="6">
        <f t="shared" si="161"/>
        <v>10852.442999999999</v>
      </c>
    </row>
    <row r="1338" spans="1:22" hidden="1" x14ac:dyDescent="0.35">
      <c r="A1338" s="6" t="s">
        <v>1486</v>
      </c>
      <c r="B1338" s="6" t="s">
        <v>1473</v>
      </c>
      <c r="C1338" s="6" t="s">
        <v>1474</v>
      </c>
      <c r="D1338" s="6">
        <f t="shared" si="162"/>
        <v>0.5</v>
      </c>
      <c r="E1338" s="6" t="s">
        <v>23</v>
      </c>
      <c r="F1338" s="6" t="str">
        <f>MID(A1338,19,1)</f>
        <v>C</v>
      </c>
      <c r="G1338" s="6">
        <v>-23.17199248949473</v>
      </c>
      <c r="H1338" s="6">
        <v>-46.939773689735922</v>
      </c>
      <c r="I1338" s="9">
        <v>2203.75</v>
      </c>
      <c r="J1338" s="9">
        <f t="shared" si="163"/>
        <v>4.4074999999999998</v>
      </c>
      <c r="K1338" s="6">
        <v>4.6900000000000004</v>
      </c>
      <c r="L1338" s="6">
        <v>60</v>
      </c>
      <c r="N1338" s="1">
        <f t="shared" si="159"/>
        <v>0</v>
      </c>
      <c r="O1338" s="8" t="s">
        <v>20</v>
      </c>
      <c r="P1338" s="8"/>
      <c r="Q1338" s="8" t="s">
        <v>21</v>
      </c>
      <c r="R1338" s="8" t="s">
        <v>21</v>
      </c>
      <c r="S1338" s="8" t="s">
        <v>21</v>
      </c>
      <c r="T1338" s="8" t="s">
        <v>21</v>
      </c>
      <c r="U1338" s="6">
        <f t="shared" si="160"/>
        <v>1322.25</v>
      </c>
      <c r="V1338" s="6">
        <f t="shared" si="161"/>
        <v>1322.25</v>
      </c>
    </row>
    <row r="1339" spans="1:22" hidden="1" x14ac:dyDescent="0.35">
      <c r="A1339" s="6" t="s">
        <v>1487</v>
      </c>
      <c r="B1339" s="6" t="s">
        <v>1473</v>
      </c>
      <c r="C1339" s="6" t="s">
        <v>1474</v>
      </c>
      <c r="D1339" s="6">
        <f t="shared" si="162"/>
        <v>0.5</v>
      </c>
      <c r="E1339" s="6" t="s">
        <v>19</v>
      </c>
      <c r="F1339" s="6" t="str">
        <f>MID(A1339,19,1)</f>
        <v>S</v>
      </c>
      <c r="G1339" s="6">
        <v>-23.147159386551941</v>
      </c>
      <c r="H1339" s="6">
        <v>-46.964110032231048</v>
      </c>
      <c r="I1339" s="9">
        <v>2003.31</v>
      </c>
      <c r="K1339" s="6">
        <v>8.3800000000000008</v>
      </c>
      <c r="L1339" s="6">
        <v>40</v>
      </c>
      <c r="N1339" s="1">
        <f t="shared" si="159"/>
        <v>0</v>
      </c>
      <c r="O1339" s="8" t="s">
        <v>20</v>
      </c>
      <c r="P1339" s="8"/>
      <c r="Q1339" s="8" t="s">
        <v>21</v>
      </c>
      <c r="R1339" s="8" t="s">
        <v>21</v>
      </c>
      <c r="S1339" s="8" t="s">
        <v>21</v>
      </c>
      <c r="T1339" s="8" t="s">
        <v>21</v>
      </c>
      <c r="U1339" s="6">
        <f t="shared" si="160"/>
        <v>801.32400000000007</v>
      </c>
      <c r="V1339" s="6">
        <f t="shared" si="161"/>
        <v>801.32400000000007</v>
      </c>
    </row>
    <row r="1340" spans="1:22" hidden="1" x14ac:dyDescent="0.35">
      <c r="A1340" s="6" t="s">
        <v>1488</v>
      </c>
      <c r="B1340" s="6" t="s">
        <v>1473</v>
      </c>
      <c r="C1340" s="6" t="s">
        <v>1474</v>
      </c>
      <c r="D1340" s="6">
        <f t="shared" si="162"/>
        <v>0.5</v>
      </c>
      <c r="E1340" s="6" t="s">
        <v>19</v>
      </c>
      <c r="F1340" s="6" t="str">
        <f>MID(A1340,19,1)</f>
        <v>S</v>
      </c>
      <c r="G1340" s="6">
        <v>-23.14948876592802</v>
      </c>
      <c r="H1340" s="6">
        <v>-46.961443730580783</v>
      </c>
      <c r="I1340" s="9">
        <v>769.64</v>
      </c>
      <c r="K1340" s="6">
        <v>3.43</v>
      </c>
      <c r="L1340" s="6">
        <v>60</v>
      </c>
      <c r="N1340" s="1">
        <f t="shared" si="159"/>
        <v>0</v>
      </c>
      <c r="O1340" s="8" t="s">
        <v>20</v>
      </c>
      <c r="P1340" s="8"/>
      <c r="Q1340" s="8" t="s">
        <v>21</v>
      </c>
      <c r="R1340" s="8" t="s">
        <v>21</v>
      </c>
      <c r="S1340" s="8" t="s">
        <v>21</v>
      </c>
      <c r="T1340" s="8" t="s">
        <v>21</v>
      </c>
      <c r="U1340" s="6">
        <f t="shared" si="160"/>
        <v>461.78399999999999</v>
      </c>
      <c r="V1340" s="6">
        <f t="shared" si="161"/>
        <v>461.78399999999999</v>
      </c>
    </row>
    <row r="1341" spans="1:22" hidden="1" x14ac:dyDescent="0.35">
      <c r="A1341" s="6" t="s">
        <v>1489</v>
      </c>
      <c r="B1341" s="6" t="s">
        <v>1473</v>
      </c>
      <c r="C1341" s="6" t="s">
        <v>1474</v>
      </c>
      <c r="D1341" s="6">
        <f t="shared" si="162"/>
        <v>0.5</v>
      </c>
      <c r="E1341" s="6" t="s">
        <v>19</v>
      </c>
      <c r="F1341" s="6" t="str">
        <f>MID(A1341,19,1)</f>
        <v>S</v>
      </c>
      <c r="G1341" s="6">
        <v>-23.150763545119791</v>
      </c>
      <c r="H1341" s="6">
        <v>-46.960247500601866</v>
      </c>
      <c r="I1341" s="9">
        <v>834.87</v>
      </c>
      <c r="K1341" s="6">
        <v>2.2999999999999998</v>
      </c>
      <c r="L1341" s="6">
        <v>60</v>
      </c>
      <c r="N1341" s="1">
        <f t="shared" si="159"/>
        <v>0</v>
      </c>
      <c r="O1341" s="8" t="s">
        <v>20</v>
      </c>
      <c r="P1341" s="8"/>
      <c r="Q1341" s="8" t="s">
        <v>21</v>
      </c>
      <c r="R1341" s="8" t="s">
        <v>21</v>
      </c>
      <c r="S1341" s="8" t="s">
        <v>21</v>
      </c>
      <c r="T1341" s="8" t="s">
        <v>21</v>
      </c>
      <c r="U1341" s="6">
        <f t="shared" si="160"/>
        <v>500.92199999999997</v>
      </c>
      <c r="V1341" s="6">
        <f t="shared" si="161"/>
        <v>500.92199999999997</v>
      </c>
    </row>
    <row r="1342" spans="1:22" hidden="1" x14ac:dyDescent="0.35">
      <c r="A1342" s="6" t="s">
        <v>1490</v>
      </c>
      <c r="B1342" s="6" t="s">
        <v>1473</v>
      </c>
      <c r="C1342" s="6" t="s">
        <v>1474</v>
      </c>
      <c r="D1342" s="6">
        <f t="shared" si="162"/>
        <v>0.5</v>
      </c>
      <c r="E1342" s="6" t="s">
        <v>23</v>
      </c>
      <c r="F1342" s="6" t="str">
        <f>MID(A1342,19,1)</f>
        <v>C</v>
      </c>
      <c r="G1342" s="6">
        <v>-23.172330683245349</v>
      </c>
      <c r="H1342" s="6">
        <v>-46.937543650740899</v>
      </c>
      <c r="I1342" s="9">
        <v>1359.95</v>
      </c>
      <c r="J1342" s="9">
        <f t="shared" ref="J1342:J1343" si="164">I1342/500</f>
        <v>2.7199</v>
      </c>
      <c r="K1342" s="6">
        <v>4.13</v>
      </c>
      <c r="L1342" s="6">
        <v>60</v>
      </c>
      <c r="N1342" s="1">
        <f t="shared" si="159"/>
        <v>0</v>
      </c>
      <c r="O1342" s="8" t="s">
        <v>20</v>
      </c>
      <c r="P1342" s="8"/>
      <c r="Q1342" s="8" t="s">
        <v>21</v>
      </c>
      <c r="R1342" s="8" t="s">
        <v>21</v>
      </c>
      <c r="S1342" s="8" t="s">
        <v>21</v>
      </c>
      <c r="T1342" s="8" t="s">
        <v>21</v>
      </c>
      <c r="U1342" s="6">
        <f t="shared" si="160"/>
        <v>815.97</v>
      </c>
      <c r="V1342" s="6">
        <f t="shared" si="161"/>
        <v>815.97</v>
      </c>
    </row>
    <row r="1343" spans="1:22" hidden="1" x14ac:dyDescent="0.35">
      <c r="A1343" s="6" t="s">
        <v>1491</v>
      </c>
      <c r="B1343" s="6" t="s">
        <v>1473</v>
      </c>
      <c r="C1343" s="6" t="s">
        <v>1474</v>
      </c>
      <c r="D1343" s="6">
        <f t="shared" si="162"/>
        <v>0.5</v>
      </c>
      <c r="E1343" s="6" t="s">
        <v>23</v>
      </c>
      <c r="F1343" s="6" t="str">
        <f>MID(A1343,19,1)</f>
        <v>C</v>
      </c>
      <c r="G1343" s="6">
        <v>-23.150069786219451</v>
      </c>
      <c r="H1343" s="6">
        <v>-46.960229267161871</v>
      </c>
      <c r="I1343" s="9">
        <v>15440.62</v>
      </c>
      <c r="J1343" s="9">
        <f t="shared" si="164"/>
        <v>30.881240000000002</v>
      </c>
      <c r="K1343" s="6">
        <v>5.22</v>
      </c>
      <c r="L1343" s="6">
        <v>80</v>
      </c>
      <c r="N1343" s="1">
        <f t="shared" si="159"/>
        <v>0</v>
      </c>
      <c r="O1343" s="8" t="s">
        <v>185</v>
      </c>
      <c r="P1343" s="8"/>
      <c r="Q1343" s="8" t="s">
        <v>21</v>
      </c>
      <c r="R1343" s="8" t="s">
        <v>21</v>
      </c>
      <c r="S1343" s="8" t="s">
        <v>21</v>
      </c>
      <c r="T1343" s="8" t="s">
        <v>21</v>
      </c>
      <c r="U1343" s="6">
        <f t="shared" si="160"/>
        <v>12352.496000000001</v>
      </c>
      <c r="V1343" s="6">
        <f t="shared" si="161"/>
        <v>12352.496000000001</v>
      </c>
    </row>
    <row r="1344" spans="1:22" hidden="1" x14ac:dyDescent="0.35">
      <c r="A1344" s="6" t="s">
        <v>1492</v>
      </c>
      <c r="B1344" s="6" t="s">
        <v>1473</v>
      </c>
      <c r="C1344" s="6" t="s">
        <v>1474</v>
      </c>
      <c r="D1344" s="6">
        <f t="shared" si="162"/>
        <v>0.5</v>
      </c>
      <c r="E1344" s="6" t="s">
        <v>19</v>
      </c>
      <c r="F1344" s="6" t="str">
        <f>MID(A1344,19,1)</f>
        <v>L</v>
      </c>
      <c r="G1344" s="6">
        <v>-23.17185175931796</v>
      </c>
      <c r="H1344" s="6">
        <v>-46.942641228965932</v>
      </c>
      <c r="I1344" s="9">
        <v>16.239999999999998</v>
      </c>
      <c r="K1344" s="6">
        <v>1.25</v>
      </c>
      <c r="L1344" s="6">
        <v>0</v>
      </c>
      <c r="N1344" s="1">
        <f t="shared" si="159"/>
        <v>0</v>
      </c>
      <c r="O1344" s="8"/>
      <c r="P1344" s="8"/>
      <c r="Q1344" s="8" t="s">
        <v>21</v>
      </c>
      <c r="R1344" s="8" t="s">
        <v>21</v>
      </c>
      <c r="S1344" s="8" t="s">
        <v>21</v>
      </c>
      <c r="T1344" s="8" t="s">
        <v>21</v>
      </c>
      <c r="U1344" s="6">
        <f t="shared" si="160"/>
        <v>0</v>
      </c>
      <c r="V1344" s="6">
        <f t="shared" si="161"/>
        <v>0</v>
      </c>
    </row>
    <row r="1345" spans="1:22" x14ac:dyDescent="0.35">
      <c r="A1345" s="6" t="s">
        <v>1493</v>
      </c>
      <c r="B1345" s="6" t="s">
        <v>1473</v>
      </c>
      <c r="C1345" s="6" t="s">
        <v>1474</v>
      </c>
      <c r="D1345" s="6">
        <f t="shared" si="162"/>
        <v>0.5</v>
      </c>
      <c r="E1345" s="6" t="s">
        <v>19</v>
      </c>
      <c r="F1345" s="6" t="str">
        <f>MID(A1345,19,1)</f>
        <v>N</v>
      </c>
      <c r="G1345" s="6">
        <v>-23.151537342302241</v>
      </c>
      <c r="H1345" s="6">
        <v>-46.936098908712147</v>
      </c>
      <c r="I1345" s="9">
        <v>1918.29</v>
      </c>
      <c r="K1345" s="6">
        <v>5.58</v>
      </c>
      <c r="L1345" s="6">
        <v>70</v>
      </c>
      <c r="N1345" s="1">
        <f t="shared" si="159"/>
        <v>0</v>
      </c>
      <c r="O1345" s="8" t="s">
        <v>20</v>
      </c>
      <c r="P1345" s="8"/>
      <c r="Q1345" s="8" t="s">
        <v>21</v>
      </c>
      <c r="R1345" s="8" t="s">
        <v>21</v>
      </c>
      <c r="S1345" s="8" t="s">
        <v>21</v>
      </c>
      <c r="T1345" s="8" t="s">
        <v>21</v>
      </c>
      <c r="U1345" s="6">
        <f t="shared" si="160"/>
        <v>1342.8029999999999</v>
      </c>
      <c r="V1345" s="6">
        <f t="shared" si="161"/>
        <v>1342.8029999999999</v>
      </c>
    </row>
    <row r="1346" spans="1:22" x14ac:dyDescent="0.35">
      <c r="A1346" s="6" t="s">
        <v>1494</v>
      </c>
      <c r="B1346" s="6" t="s">
        <v>1473</v>
      </c>
      <c r="C1346" s="6" t="s">
        <v>1474</v>
      </c>
      <c r="D1346" s="6">
        <f t="shared" si="162"/>
        <v>0.5</v>
      </c>
      <c r="E1346" s="6" t="s">
        <v>19</v>
      </c>
      <c r="F1346" s="6" t="str">
        <f>MID(A1346,19,1)</f>
        <v>N</v>
      </c>
      <c r="G1346" s="6">
        <v>-23.155480758508709</v>
      </c>
      <c r="H1346" s="6">
        <v>-46.934379312964118</v>
      </c>
      <c r="I1346" s="9">
        <v>1850.36</v>
      </c>
      <c r="K1346" s="6">
        <v>7.74</v>
      </c>
      <c r="L1346" s="6">
        <v>70</v>
      </c>
      <c r="N1346" s="1">
        <f t="shared" ref="N1346:N1409" si="165">IF(OR(R1346="Sim",S1346="Sim",T1346="Sim"),(L1346/100)*I1346,0)</f>
        <v>0</v>
      </c>
      <c r="O1346" s="8" t="s">
        <v>20</v>
      </c>
      <c r="P1346" s="8"/>
      <c r="Q1346" s="8" t="s">
        <v>21</v>
      </c>
      <c r="R1346" s="8" t="s">
        <v>21</v>
      </c>
      <c r="S1346" s="8" t="s">
        <v>21</v>
      </c>
      <c r="T1346" s="8" t="s">
        <v>21</v>
      </c>
      <c r="U1346" s="6">
        <f t="shared" si="160"/>
        <v>1295.252</v>
      </c>
      <c r="V1346" s="6">
        <f t="shared" si="161"/>
        <v>1295.252</v>
      </c>
    </row>
    <row r="1347" spans="1:22" hidden="1" x14ac:dyDescent="0.35">
      <c r="A1347" s="6" t="s">
        <v>1495</v>
      </c>
      <c r="B1347" s="6" t="s">
        <v>1473</v>
      </c>
      <c r="C1347" s="6" t="s">
        <v>1474</v>
      </c>
      <c r="D1347" s="6">
        <f t="shared" si="162"/>
        <v>0.5</v>
      </c>
      <c r="E1347" s="6" t="s">
        <v>19</v>
      </c>
      <c r="F1347" s="6" t="str">
        <f>MID(A1347,19,1)</f>
        <v>L</v>
      </c>
      <c r="G1347" s="6">
        <v>-23.172721414593031</v>
      </c>
      <c r="H1347" s="6">
        <v>-46.94729255871907</v>
      </c>
      <c r="I1347" s="9">
        <v>446.12</v>
      </c>
      <c r="K1347" s="6">
        <v>10.67</v>
      </c>
      <c r="L1347" s="6">
        <v>0</v>
      </c>
      <c r="N1347" s="1">
        <f t="shared" si="165"/>
        <v>0</v>
      </c>
      <c r="O1347" s="8"/>
      <c r="P1347" s="8"/>
      <c r="Q1347" s="8" t="s">
        <v>21</v>
      </c>
      <c r="R1347" s="8" t="s">
        <v>21</v>
      </c>
      <c r="S1347" s="8" t="s">
        <v>21</v>
      </c>
      <c r="T1347" s="8" t="s">
        <v>21</v>
      </c>
      <c r="U1347" s="6">
        <f t="shared" ref="U1347:U1410" si="166">IF(N1347=0,(I1347*(L1347/100)),0)</f>
        <v>0</v>
      </c>
      <c r="V1347" s="6">
        <f t="shared" si="161"/>
        <v>0</v>
      </c>
    </row>
    <row r="1348" spans="1:22" hidden="1" x14ac:dyDescent="0.35">
      <c r="A1348" s="6" t="s">
        <v>1496</v>
      </c>
      <c r="B1348" s="6" t="s">
        <v>1473</v>
      </c>
      <c r="C1348" s="6" t="s">
        <v>1474</v>
      </c>
      <c r="D1348" s="6">
        <f t="shared" si="162"/>
        <v>0.5</v>
      </c>
      <c r="E1348" s="6" t="s">
        <v>19</v>
      </c>
      <c r="F1348" s="6" t="str">
        <f>MID(A1348,19,1)</f>
        <v>S</v>
      </c>
      <c r="G1348" s="6">
        <v>-23.149243533193879</v>
      </c>
      <c r="H1348" s="6">
        <v>-46.961447796004983</v>
      </c>
      <c r="I1348" s="9">
        <v>1646.64</v>
      </c>
      <c r="K1348" s="6">
        <v>3.93</v>
      </c>
      <c r="L1348" s="6">
        <v>60</v>
      </c>
      <c r="N1348" s="1">
        <f t="shared" si="165"/>
        <v>0</v>
      </c>
      <c r="O1348" s="8" t="s">
        <v>20</v>
      </c>
      <c r="P1348" s="8"/>
      <c r="Q1348" s="8" t="s">
        <v>21</v>
      </c>
      <c r="R1348" s="8" t="s">
        <v>21</v>
      </c>
      <c r="S1348" s="8" t="s">
        <v>21</v>
      </c>
      <c r="T1348" s="8" t="s">
        <v>21</v>
      </c>
      <c r="U1348" s="6">
        <f t="shared" si="166"/>
        <v>987.98400000000004</v>
      </c>
      <c r="V1348" s="6">
        <f t="shared" si="161"/>
        <v>987.98400000000004</v>
      </c>
    </row>
    <row r="1349" spans="1:22" hidden="1" x14ac:dyDescent="0.35">
      <c r="A1349" s="6" t="s">
        <v>1497</v>
      </c>
      <c r="B1349" s="6" t="s">
        <v>1473</v>
      </c>
      <c r="C1349" s="6" t="s">
        <v>1474</v>
      </c>
      <c r="D1349" s="6">
        <f t="shared" si="162"/>
        <v>0.5</v>
      </c>
      <c r="E1349" s="6" t="s">
        <v>19</v>
      </c>
      <c r="F1349" s="6" t="str">
        <f>MID(A1349,19,1)</f>
        <v>S</v>
      </c>
      <c r="G1349" s="6">
        <v>-23.151755648485938</v>
      </c>
      <c r="H1349" s="6">
        <v>-46.959363519738027</v>
      </c>
      <c r="I1349" s="9">
        <v>356.31</v>
      </c>
      <c r="K1349" s="6">
        <v>4.13</v>
      </c>
      <c r="L1349" s="6">
        <v>60</v>
      </c>
      <c r="N1349" s="1">
        <f t="shared" si="165"/>
        <v>0</v>
      </c>
      <c r="O1349" s="8" t="s">
        <v>20</v>
      </c>
      <c r="P1349" s="8"/>
      <c r="Q1349" s="8" t="s">
        <v>21</v>
      </c>
      <c r="R1349" s="8" t="s">
        <v>21</v>
      </c>
      <c r="S1349" s="8" t="s">
        <v>21</v>
      </c>
      <c r="T1349" s="8" t="s">
        <v>21</v>
      </c>
      <c r="U1349" s="6">
        <f t="shared" si="166"/>
        <v>213.786</v>
      </c>
      <c r="V1349" s="6">
        <f t="shared" si="161"/>
        <v>213.786</v>
      </c>
    </row>
    <row r="1350" spans="1:22" hidden="1" x14ac:dyDescent="0.35">
      <c r="A1350" s="6" t="s">
        <v>1498</v>
      </c>
      <c r="B1350" s="6" t="s">
        <v>1473</v>
      </c>
      <c r="C1350" s="6" t="s">
        <v>1474</v>
      </c>
      <c r="D1350" s="6">
        <f t="shared" si="162"/>
        <v>0.5</v>
      </c>
      <c r="E1350" s="6" t="s">
        <v>19</v>
      </c>
      <c r="F1350" s="6" t="str">
        <f>MID(A1350,19,1)</f>
        <v>S</v>
      </c>
      <c r="G1350" s="6">
        <v>-23.151090726079271</v>
      </c>
      <c r="H1350" s="6">
        <v>-46.959715143247607</v>
      </c>
      <c r="I1350" s="9">
        <v>2643.77</v>
      </c>
      <c r="K1350" s="6">
        <v>3.21</v>
      </c>
      <c r="L1350" s="6">
        <v>60</v>
      </c>
      <c r="N1350" s="1">
        <f t="shared" si="165"/>
        <v>0</v>
      </c>
      <c r="O1350" s="8" t="s">
        <v>20</v>
      </c>
      <c r="P1350" s="8"/>
      <c r="Q1350" s="8" t="s">
        <v>21</v>
      </c>
      <c r="R1350" s="8" t="s">
        <v>21</v>
      </c>
      <c r="S1350" s="8" t="s">
        <v>21</v>
      </c>
      <c r="T1350" s="8" t="s">
        <v>21</v>
      </c>
      <c r="U1350" s="6">
        <f t="shared" si="166"/>
        <v>1586.2619999999999</v>
      </c>
      <c r="V1350" s="6">
        <f t="shared" si="161"/>
        <v>1586.2619999999999</v>
      </c>
    </row>
    <row r="1351" spans="1:22" hidden="1" x14ac:dyDescent="0.35">
      <c r="A1351" s="6" t="s">
        <v>1499</v>
      </c>
      <c r="B1351" s="6" t="s">
        <v>1473</v>
      </c>
      <c r="C1351" s="6" t="s">
        <v>1474</v>
      </c>
      <c r="D1351" s="6">
        <f t="shared" si="162"/>
        <v>0.5</v>
      </c>
      <c r="E1351" s="6" t="s">
        <v>19</v>
      </c>
      <c r="F1351" s="6" t="str">
        <f>MID(A1351,19,1)</f>
        <v>S</v>
      </c>
      <c r="G1351" s="6">
        <v>-23.148828200544411</v>
      </c>
      <c r="H1351" s="6">
        <v>-46.962184145800698</v>
      </c>
      <c r="I1351" s="9">
        <v>172.4</v>
      </c>
      <c r="K1351" s="6">
        <v>9.1999999999999993</v>
      </c>
      <c r="L1351" s="6">
        <v>60</v>
      </c>
      <c r="N1351" s="1">
        <f t="shared" si="165"/>
        <v>0</v>
      </c>
      <c r="O1351" s="8" t="s">
        <v>20</v>
      </c>
      <c r="P1351" s="8"/>
      <c r="Q1351" s="8" t="s">
        <v>21</v>
      </c>
      <c r="R1351" s="8" t="s">
        <v>21</v>
      </c>
      <c r="S1351" s="8" t="s">
        <v>21</v>
      </c>
      <c r="T1351" s="8" t="s">
        <v>21</v>
      </c>
      <c r="U1351" s="6">
        <f t="shared" si="166"/>
        <v>103.44</v>
      </c>
      <c r="V1351" s="6">
        <f t="shared" si="161"/>
        <v>103.44</v>
      </c>
    </row>
    <row r="1352" spans="1:22" x14ac:dyDescent="0.35">
      <c r="A1352" s="6" t="s">
        <v>1500</v>
      </c>
      <c r="B1352" s="6" t="s">
        <v>1473</v>
      </c>
      <c r="C1352" s="6" t="s">
        <v>1474</v>
      </c>
      <c r="D1352" s="6">
        <f t="shared" si="162"/>
        <v>0.5</v>
      </c>
      <c r="E1352" s="6" t="s">
        <v>19</v>
      </c>
      <c r="F1352" s="6" t="str">
        <f>MID(A1352,19,1)</f>
        <v>N</v>
      </c>
      <c r="G1352" s="6">
        <v>-23.149892168066721</v>
      </c>
      <c r="H1352" s="6">
        <v>-46.959967073812336</v>
      </c>
      <c r="I1352" s="9">
        <v>2049.9</v>
      </c>
      <c r="K1352" s="6">
        <v>8.2200000000000006</v>
      </c>
      <c r="L1352" s="6">
        <v>50</v>
      </c>
      <c r="N1352" s="1">
        <f t="shared" si="165"/>
        <v>0</v>
      </c>
      <c r="O1352" s="8" t="s">
        <v>20</v>
      </c>
      <c r="P1352" s="8"/>
      <c r="Q1352" s="8" t="s">
        <v>21</v>
      </c>
      <c r="R1352" s="8" t="s">
        <v>21</v>
      </c>
      <c r="S1352" s="8" t="s">
        <v>21</v>
      </c>
      <c r="T1352" s="8" t="s">
        <v>21</v>
      </c>
      <c r="U1352" s="6">
        <f t="shared" si="166"/>
        <v>1024.95</v>
      </c>
      <c r="V1352" s="6">
        <f t="shared" si="161"/>
        <v>1024.95</v>
      </c>
    </row>
    <row r="1353" spans="1:22" hidden="1" x14ac:dyDescent="0.35">
      <c r="A1353" s="6" t="s">
        <v>1501</v>
      </c>
      <c r="B1353" s="6" t="s">
        <v>1473</v>
      </c>
      <c r="C1353" s="6" t="s">
        <v>1474</v>
      </c>
      <c r="D1353" s="6">
        <f t="shared" si="162"/>
        <v>0.5</v>
      </c>
      <c r="E1353" s="6" t="s">
        <v>19</v>
      </c>
      <c r="F1353" s="6" t="str">
        <f>MID(A1353,19,1)</f>
        <v>L</v>
      </c>
      <c r="G1353" s="6">
        <v>-23.172576502046869</v>
      </c>
      <c r="H1353" s="6">
        <v>-46.947055341834307</v>
      </c>
      <c r="I1353" s="9">
        <v>30.26</v>
      </c>
      <c r="K1353" s="6">
        <v>6.04</v>
      </c>
      <c r="L1353" s="6">
        <v>0</v>
      </c>
      <c r="N1353" s="1">
        <f t="shared" si="165"/>
        <v>0</v>
      </c>
      <c r="O1353" s="8"/>
      <c r="P1353" s="8"/>
      <c r="Q1353" s="8" t="s">
        <v>21</v>
      </c>
      <c r="R1353" s="8" t="s">
        <v>21</v>
      </c>
      <c r="S1353" s="8" t="s">
        <v>21</v>
      </c>
      <c r="T1353" s="8" t="s">
        <v>21</v>
      </c>
      <c r="U1353" s="6">
        <f t="shared" si="166"/>
        <v>0</v>
      </c>
      <c r="V1353" s="6">
        <f t="shared" si="161"/>
        <v>0</v>
      </c>
    </row>
    <row r="1354" spans="1:22" hidden="1" x14ac:dyDescent="0.35">
      <c r="A1354" s="6" t="s">
        <v>1502</v>
      </c>
      <c r="B1354" s="6" t="s">
        <v>1473</v>
      </c>
      <c r="C1354" s="6" t="s">
        <v>1474</v>
      </c>
      <c r="D1354" s="6">
        <f t="shared" si="162"/>
        <v>0.5</v>
      </c>
      <c r="E1354" s="6" t="s">
        <v>23</v>
      </c>
      <c r="F1354" s="6" t="str">
        <f>MID(A1354,19,1)</f>
        <v>C</v>
      </c>
      <c r="G1354" s="6">
        <v>-23.172500717777169</v>
      </c>
      <c r="H1354" s="6">
        <v>-46.947639285934933</v>
      </c>
      <c r="I1354" s="9">
        <v>662.79</v>
      </c>
      <c r="J1354" s="9">
        <f t="shared" ref="J1354:J1355" si="167">I1354/500</f>
        <v>1.32558</v>
      </c>
      <c r="K1354" s="6">
        <v>8.48</v>
      </c>
      <c r="L1354" s="6">
        <v>60</v>
      </c>
      <c r="N1354" s="1">
        <f t="shared" si="165"/>
        <v>0</v>
      </c>
      <c r="O1354" s="8" t="s">
        <v>20</v>
      </c>
      <c r="P1354" s="8"/>
      <c r="Q1354" s="8" t="s">
        <v>21</v>
      </c>
      <c r="R1354" s="8" t="s">
        <v>21</v>
      </c>
      <c r="S1354" s="8" t="s">
        <v>21</v>
      </c>
      <c r="T1354" s="8" t="s">
        <v>21</v>
      </c>
      <c r="U1354" s="6">
        <f t="shared" si="166"/>
        <v>397.67399999999998</v>
      </c>
      <c r="V1354" s="6">
        <f t="shared" si="161"/>
        <v>397.67399999999998</v>
      </c>
    </row>
    <row r="1355" spans="1:22" hidden="1" x14ac:dyDescent="0.35">
      <c r="A1355" s="6" t="s">
        <v>1503</v>
      </c>
      <c r="B1355" s="6" t="s">
        <v>1473</v>
      </c>
      <c r="C1355" s="6" t="s">
        <v>1474</v>
      </c>
      <c r="D1355" s="6">
        <f t="shared" si="162"/>
        <v>0.5</v>
      </c>
      <c r="E1355" s="6" t="s">
        <v>23</v>
      </c>
      <c r="F1355" s="6" t="str">
        <f>MID(A1355,19,1)</f>
        <v>C</v>
      </c>
      <c r="G1355" s="6">
        <v>-23.172182519234202</v>
      </c>
      <c r="H1355" s="6">
        <v>-46.938499292887577</v>
      </c>
      <c r="I1355" s="9">
        <v>469.52</v>
      </c>
      <c r="J1355" s="9">
        <f t="shared" si="167"/>
        <v>0.93903999999999999</v>
      </c>
      <c r="K1355" s="6">
        <v>4.03</v>
      </c>
      <c r="L1355" s="6">
        <v>60</v>
      </c>
      <c r="N1355" s="1">
        <f t="shared" si="165"/>
        <v>0</v>
      </c>
      <c r="O1355" s="8" t="s">
        <v>20</v>
      </c>
      <c r="P1355" s="8"/>
      <c r="Q1355" s="8" t="s">
        <v>21</v>
      </c>
      <c r="R1355" s="8" t="s">
        <v>21</v>
      </c>
      <c r="S1355" s="8" t="s">
        <v>21</v>
      </c>
      <c r="T1355" s="8" t="s">
        <v>21</v>
      </c>
      <c r="U1355" s="6">
        <f t="shared" si="166"/>
        <v>281.71199999999999</v>
      </c>
      <c r="V1355" s="6">
        <f t="shared" si="161"/>
        <v>281.71199999999999</v>
      </c>
    </row>
    <row r="1356" spans="1:22" hidden="1" x14ac:dyDescent="0.35">
      <c r="A1356" s="6" t="s">
        <v>1504</v>
      </c>
      <c r="B1356" s="6" t="s">
        <v>1473</v>
      </c>
      <c r="C1356" s="6" t="s">
        <v>1474</v>
      </c>
      <c r="D1356" s="6">
        <f t="shared" si="162"/>
        <v>0.5</v>
      </c>
      <c r="E1356" s="6" t="s">
        <v>19</v>
      </c>
      <c r="F1356" s="6" t="str">
        <f>MID(A1356,19,1)</f>
        <v>L</v>
      </c>
      <c r="G1356" s="6">
        <v>-23.172418496129179</v>
      </c>
      <c r="H1356" s="6">
        <v>-46.94700251116641</v>
      </c>
      <c r="I1356" s="9">
        <v>25.93</v>
      </c>
      <c r="K1356" s="6">
        <v>6.44</v>
      </c>
      <c r="L1356" s="6">
        <v>0</v>
      </c>
      <c r="N1356" s="1">
        <f t="shared" si="165"/>
        <v>0</v>
      </c>
      <c r="O1356" s="8"/>
      <c r="P1356" s="8"/>
      <c r="Q1356" s="8" t="s">
        <v>21</v>
      </c>
      <c r="R1356" s="8" t="s">
        <v>21</v>
      </c>
      <c r="S1356" s="8" t="s">
        <v>21</v>
      </c>
      <c r="T1356" s="8" t="s">
        <v>21</v>
      </c>
      <c r="U1356" s="6">
        <f t="shared" si="166"/>
        <v>0</v>
      </c>
      <c r="V1356" s="6">
        <f t="shared" ref="V1356:V1419" si="168">(I1356*(L1356/100))</f>
        <v>0</v>
      </c>
    </row>
    <row r="1357" spans="1:22" x14ac:dyDescent="0.35">
      <c r="A1357" s="6" t="s">
        <v>1505</v>
      </c>
      <c r="B1357" s="6" t="s">
        <v>1506</v>
      </c>
      <c r="C1357" s="6" t="s">
        <v>1507</v>
      </c>
      <c r="D1357" s="6">
        <f t="shared" si="162"/>
        <v>0.5</v>
      </c>
      <c r="E1357" s="6" t="s">
        <v>19</v>
      </c>
      <c r="F1357" s="6" t="str">
        <f>MID(A1357,19,1)</f>
        <v>N</v>
      </c>
      <c r="G1357" s="6">
        <v>-23.141735340782631</v>
      </c>
      <c r="H1357" s="6">
        <v>-46.97223860720878</v>
      </c>
      <c r="I1357" s="9">
        <v>2145.96</v>
      </c>
      <c r="K1357" s="6">
        <v>4.04</v>
      </c>
      <c r="L1357" s="6">
        <v>60</v>
      </c>
      <c r="N1357" s="1">
        <f t="shared" si="165"/>
        <v>0</v>
      </c>
      <c r="O1357" s="8" t="s">
        <v>20</v>
      </c>
      <c r="P1357" s="8"/>
      <c r="Q1357" s="8" t="s">
        <v>21</v>
      </c>
      <c r="R1357" s="8" t="s">
        <v>21</v>
      </c>
      <c r="S1357" s="8" t="s">
        <v>21</v>
      </c>
      <c r="T1357" s="8" t="s">
        <v>21</v>
      </c>
      <c r="U1357" s="6">
        <f t="shared" si="166"/>
        <v>1287.576</v>
      </c>
      <c r="V1357" s="6">
        <f t="shared" si="168"/>
        <v>1287.576</v>
      </c>
    </row>
    <row r="1358" spans="1:22" x14ac:dyDescent="0.35">
      <c r="A1358" s="6" t="s">
        <v>1508</v>
      </c>
      <c r="B1358" s="6" t="s">
        <v>1506</v>
      </c>
      <c r="C1358" s="6" t="s">
        <v>1507</v>
      </c>
      <c r="D1358" s="6">
        <f t="shared" ref="D1358:D1421" si="169">C1358-B1358</f>
        <v>0.5</v>
      </c>
      <c r="E1358" s="6" t="s">
        <v>19</v>
      </c>
      <c r="F1358" s="6" t="str">
        <f>MID(A1358,19,1)</f>
        <v>N</v>
      </c>
      <c r="G1358" s="6">
        <v>-23.145242973805161</v>
      </c>
      <c r="H1358" s="6">
        <v>-46.965938423228152</v>
      </c>
      <c r="I1358" s="9">
        <v>191.8</v>
      </c>
      <c r="K1358" s="6">
        <v>3.43</v>
      </c>
      <c r="L1358" s="6">
        <v>50</v>
      </c>
      <c r="N1358" s="1">
        <f t="shared" si="165"/>
        <v>0</v>
      </c>
      <c r="O1358" s="8" t="s">
        <v>20</v>
      </c>
      <c r="P1358" s="8"/>
      <c r="Q1358" s="8" t="s">
        <v>21</v>
      </c>
      <c r="R1358" s="8" t="s">
        <v>21</v>
      </c>
      <c r="S1358" s="8" t="s">
        <v>21</v>
      </c>
      <c r="T1358" s="8" t="s">
        <v>21</v>
      </c>
      <c r="U1358" s="6">
        <f t="shared" si="166"/>
        <v>95.9</v>
      </c>
      <c r="V1358" s="6">
        <f t="shared" si="168"/>
        <v>95.9</v>
      </c>
    </row>
    <row r="1359" spans="1:22" hidden="1" x14ac:dyDescent="0.35">
      <c r="A1359" s="6" t="s">
        <v>1509</v>
      </c>
      <c r="B1359" s="6" t="s">
        <v>1506</v>
      </c>
      <c r="C1359" s="6" t="s">
        <v>1507</v>
      </c>
      <c r="D1359" s="6">
        <f t="shared" si="169"/>
        <v>0.5</v>
      </c>
      <c r="E1359" s="6" t="s">
        <v>23</v>
      </c>
      <c r="F1359" s="6" t="str">
        <f>MID(A1359,19,1)</f>
        <v>C</v>
      </c>
      <c r="G1359" s="6">
        <v>-23.14199444554195</v>
      </c>
      <c r="H1359" s="6">
        <v>-46.972396149014713</v>
      </c>
      <c r="I1359" s="9">
        <v>16520.66</v>
      </c>
      <c r="J1359" s="9">
        <f>I1359/500</f>
        <v>33.041319999999999</v>
      </c>
      <c r="K1359" s="6">
        <v>3.99</v>
      </c>
      <c r="L1359" s="6">
        <v>80</v>
      </c>
      <c r="N1359" s="1">
        <f t="shared" si="165"/>
        <v>0</v>
      </c>
      <c r="O1359" s="8" t="s">
        <v>185</v>
      </c>
      <c r="P1359" s="8"/>
      <c r="Q1359" s="8" t="s">
        <v>21</v>
      </c>
      <c r="R1359" s="8" t="s">
        <v>21</v>
      </c>
      <c r="S1359" s="8" t="s">
        <v>21</v>
      </c>
      <c r="T1359" s="8" t="s">
        <v>21</v>
      </c>
      <c r="U1359" s="6">
        <f t="shared" si="166"/>
        <v>13216.528</v>
      </c>
      <c r="V1359" s="6">
        <f t="shared" si="168"/>
        <v>13216.528</v>
      </c>
    </row>
    <row r="1360" spans="1:22" hidden="1" x14ac:dyDescent="0.35">
      <c r="A1360" s="6" t="s">
        <v>1510</v>
      </c>
      <c r="B1360" s="6" t="s">
        <v>1506</v>
      </c>
      <c r="C1360" s="6" t="s">
        <v>1507</v>
      </c>
      <c r="D1360" s="6">
        <f t="shared" si="169"/>
        <v>0.5</v>
      </c>
      <c r="E1360" s="6" t="s">
        <v>19</v>
      </c>
      <c r="F1360" s="6" t="str">
        <f>MID(A1360,19,1)</f>
        <v>S</v>
      </c>
      <c r="G1360" s="6">
        <v>-23.144730228437719</v>
      </c>
      <c r="H1360" s="6">
        <v>-46.939348138180769</v>
      </c>
      <c r="I1360" s="9">
        <v>25.8</v>
      </c>
      <c r="K1360" s="6">
        <v>2.78</v>
      </c>
      <c r="L1360" s="6">
        <v>0</v>
      </c>
      <c r="N1360" s="1">
        <f t="shared" si="165"/>
        <v>0</v>
      </c>
      <c r="O1360" s="8"/>
      <c r="P1360" s="8"/>
      <c r="Q1360" s="8" t="s">
        <v>21</v>
      </c>
      <c r="R1360" s="8" t="s">
        <v>21</v>
      </c>
      <c r="S1360" s="8" t="s">
        <v>21</v>
      </c>
      <c r="T1360" s="8" t="s">
        <v>21</v>
      </c>
      <c r="U1360" s="6">
        <f t="shared" si="166"/>
        <v>0</v>
      </c>
      <c r="V1360" s="6">
        <f t="shared" si="168"/>
        <v>0</v>
      </c>
    </row>
    <row r="1361" spans="1:22" x14ac:dyDescent="0.35">
      <c r="A1361" s="6" t="s">
        <v>1511</v>
      </c>
      <c r="B1361" s="6" t="s">
        <v>1506</v>
      </c>
      <c r="C1361" s="6" t="s">
        <v>1507</v>
      </c>
      <c r="D1361" s="6">
        <f t="shared" si="169"/>
        <v>0.5</v>
      </c>
      <c r="E1361" s="6" t="s">
        <v>19</v>
      </c>
      <c r="F1361" s="6" t="str">
        <f>MID(A1361,19,1)</f>
        <v>N</v>
      </c>
      <c r="G1361" s="6">
        <v>-23.14893347342348</v>
      </c>
      <c r="H1361" s="6">
        <v>-46.937081400081617</v>
      </c>
      <c r="I1361" s="9">
        <v>532.17999999999995</v>
      </c>
      <c r="K1361" s="6">
        <v>4.2699999999999996</v>
      </c>
      <c r="L1361" s="6">
        <v>70</v>
      </c>
      <c r="N1361" s="1">
        <f t="shared" si="165"/>
        <v>0</v>
      </c>
      <c r="O1361" s="8" t="s">
        <v>20</v>
      </c>
      <c r="P1361" s="8"/>
      <c r="Q1361" s="8" t="s">
        <v>21</v>
      </c>
      <c r="R1361" s="8" t="s">
        <v>21</v>
      </c>
      <c r="S1361" s="8" t="s">
        <v>21</v>
      </c>
      <c r="T1361" s="8" t="s">
        <v>21</v>
      </c>
      <c r="U1361" s="6">
        <f t="shared" si="166"/>
        <v>372.52599999999995</v>
      </c>
      <c r="V1361" s="6">
        <f t="shared" si="168"/>
        <v>372.52599999999995</v>
      </c>
    </row>
    <row r="1362" spans="1:22" hidden="1" x14ac:dyDescent="0.35">
      <c r="A1362" s="6" t="s">
        <v>1512</v>
      </c>
      <c r="B1362" s="6" t="s">
        <v>1506</v>
      </c>
      <c r="C1362" s="6" t="s">
        <v>1507</v>
      </c>
      <c r="D1362" s="6">
        <f t="shared" si="169"/>
        <v>0.5</v>
      </c>
      <c r="E1362" s="6" t="s">
        <v>19</v>
      </c>
      <c r="F1362" s="6" t="str">
        <f>MID(A1362,19,1)</f>
        <v>S</v>
      </c>
      <c r="G1362" s="6">
        <v>-23.14221998148799</v>
      </c>
      <c r="H1362" s="6">
        <v>-46.972608773349563</v>
      </c>
      <c r="I1362" s="9">
        <v>2193.36</v>
      </c>
      <c r="K1362" s="6">
        <v>5.31</v>
      </c>
      <c r="L1362" s="6">
        <v>30</v>
      </c>
      <c r="N1362" s="1">
        <f t="shared" si="165"/>
        <v>0</v>
      </c>
      <c r="O1362" s="8" t="s">
        <v>20</v>
      </c>
      <c r="P1362" s="8"/>
      <c r="Q1362" s="8" t="s">
        <v>21</v>
      </c>
      <c r="R1362" s="8" t="s">
        <v>21</v>
      </c>
      <c r="S1362" s="8" t="s">
        <v>21</v>
      </c>
      <c r="T1362" s="8" t="s">
        <v>21</v>
      </c>
      <c r="U1362" s="6">
        <f t="shared" si="166"/>
        <v>658.00800000000004</v>
      </c>
      <c r="V1362" s="6">
        <f t="shared" si="168"/>
        <v>658.00800000000004</v>
      </c>
    </row>
    <row r="1363" spans="1:22" hidden="1" x14ac:dyDescent="0.35">
      <c r="A1363" s="6" t="s">
        <v>1513</v>
      </c>
      <c r="B1363" s="6" t="s">
        <v>1506</v>
      </c>
      <c r="C1363" s="6" t="s">
        <v>1507</v>
      </c>
      <c r="D1363" s="6">
        <f t="shared" si="169"/>
        <v>0.5</v>
      </c>
      <c r="E1363" s="6" t="s">
        <v>19</v>
      </c>
      <c r="F1363" s="6" t="str">
        <f>MID(A1363,19,1)</f>
        <v>S</v>
      </c>
      <c r="G1363" s="6">
        <v>-23.144492313131551</v>
      </c>
      <c r="H1363" s="6">
        <v>-46.968535985423628</v>
      </c>
      <c r="I1363" s="9">
        <v>1704.76</v>
      </c>
      <c r="K1363" s="6">
        <v>5.17</v>
      </c>
      <c r="L1363" s="6">
        <v>40</v>
      </c>
      <c r="N1363" s="1">
        <f t="shared" si="165"/>
        <v>0</v>
      </c>
      <c r="O1363" s="8" t="s">
        <v>20</v>
      </c>
      <c r="P1363" s="8"/>
      <c r="Q1363" s="8" t="s">
        <v>21</v>
      </c>
      <c r="R1363" s="8" t="s">
        <v>21</v>
      </c>
      <c r="S1363" s="8" t="s">
        <v>21</v>
      </c>
      <c r="T1363" s="8" t="s">
        <v>21</v>
      </c>
      <c r="U1363" s="6">
        <f t="shared" si="166"/>
        <v>681.904</v>
      </c>
      <c r="V1363" s="6">
        <f t="shared" si="168"/>
        <v>681.904</v>
      </c>
    </row>
    <row r="1364" spans="1:22" x14ac:dyDescent="0.35">
      <c r="A1364" s="6" t="s">
        <v>1514</v>
      </c>
      <c r="B1364" s="6" t="s">
        <v>1506</v>
      </c>
      <c r="C1364" s="6" t="s">
        <v>1507</v>
      </c>
      <c r="D1364" s="6">
        <f t="shared" si="169"/>
        <v>0.5</v>
      </c>
      <c r="E1364" s="6" t="s">
        <v>19</v>
      </c>
      <c r="F1364" s="6" t="str">
        <f>MID(A1364,19,1)</f>
        <v>N</v>
      </c>
      <c r="G1364" s="6">
        <v>-23.145656727267362</v>
      </c>
      <c r="H1364" s="6">
        <v>-46.938512530607582</v>
      </c>
      <c r="I1364" s="9">
        <v>867.65</v>
      </c>
      <c r="K1364" s="6">
        <v>6.69</v>
      </c>
      <c r="L1364" s="6">
        <v>0</v>
      </c>
      <c r="N1364" s="1">
        <f t="shared" si="165"/>
        <v>0</v>
      </c>
      <c r="O1364" s="8"/>
      <c r="P1364" s="8"/>
      <c r="Q1364" s="8" t="s">
        <v>21</v>
      </c>
      <c r="R1364" s="8" t="s">
        <v>21</v>
      </c>
      <c r="S1364" s="8" t="s">
        <v>21</v>
      </c>
      <c r="T1364" s="8" t="s">
        <v>21</v>
      </c>
      <c r="U1364" s="6">
        <f t="shared" si="166"/>
        <v>0</v>
      </c>
      <c r="V1364" s="6">
        <f t="shared" si="168"/>
        <v>0</v>
      </c>
    </row>
    <row r="1365" spans="1:22" hidden="1" x14ac:dyDescent="0.35">
      <c r="A1365" s="6" t="s">
        <v>1515</v>
      </c>
      <c r="B1365" s="6" t="s">
        <v>1506</v>
      </c>
      <c r="C1365" s="6" t="s">
        <v>1507</v>
      </c>
      <c r="D1365" s="6">
        <f t="shared" si="169"/>
        <v>0.5</v>
      </c>
      <c r="E1365" s="6" t="s">
        <v>19</v>
      </c>
      <c r="F1365" s="6" t="str">
        <f>MID(A1365,19,1)</f>
        <v>S</v>
      </c>
      <c r="G1365" s="6">
        <v>-23.145675662334629</v>
      </c>
      <c r="H1365" s="6">
        <v>-46.966422602504281</v>
      </c>
      <c r="I1365" s="9">
        <v>311.64999999999998</v>
      </c>
      <c r="K1365" s="6">
        <v>5.54</v>
      </c>
      <c r="L1365" s="6">
        <v>40</v>
      </c>
      <c r="N1365" s="1">
        <f t="shared" si="165"/>
        <v>0</v>
      </c>
      <c r="O1365" s="8" t="s">
        <v>20</v>
      </c>
      <c r="P1365" s="8"/>
      <c r="Q1365" s="8" t="s">
        <v>21</v>
      </c>
      <c r="R1365" s="8" t="s">
        <v>21</v>
      </c>
      <c r="S1365" s="8" t="s">
        <v>21</v>
      </c>
      <c r="T1365" s="8" t="s">
        <v>21</v>
      </c>
      <c r="U1365" s="6">
        <f t="shared" si="166"/>
        <v>124.66</v>
      </c>
      <c r="V1365" s="6">
        <f t="shared" si="168"/>
        <v>124.66</v>
      </c>
    </row>
    <row r="1366" spans="1:22" hidden="1" x14ac:dyDescent="0.35">
      <c r="A1366" s="6" t="s">
        <v>1516</v>
      </c>
      <c r="B1366" s="6" t="s">
        <v>1506</v>
      </c>
      <c r="C1366" s="6" t="s">
        <v>1507</v>
      </c>
      <c r="D1366" s="6">
        <f t="shared" si="169"/>
        <v>0.5</v>
      </c>
      <c r="E1366" s="6" t="s">
        <v>23</v>
      </c>
      <c r="F1366" s="6" t="str">
        <f>MID(A1366,19,1)</f>
        <v>C</v>
      </c>
      <c r="G1366" s="6">
        <v>-23.145482060801669</v>
      </c>
      <c r="H1366" s="6">
        <v>-46.966153333437369</v>
      </c>
      <c r="I1366" s="9">
        <v>1557.22</v>
      </c>
      <c r="J1366" s="9">
        <f>I1366/500</f>
        <v>3.1144400000000001</v>
      </c>
      <c r="K1366" s="6">
        <v>4.43</v>
      </c>
      <c r="L1366" s="6">
        <v>70</v>
      </c>
      <c r="N1366" s="1">
        <f t="shared" si="165"/>
        <v>0</v>
      </c>
      <c r="O1366" s="8" t="s">
        <v>185</v>
      </c>
      <c r="P1366" s="8"/>
      <c r="Q1366" s="8" t="s">
        <v>21</v>
      </c>
      <c r="R1366" s="8" t="s">
        <v>21</v>
      </c>
      <c r="S1366" s="8" t="s">
        <v>21</v>
      </c>
      <c r="T1366" s="8" t="s">
        <v>21</v>
      </c>
      <c r="U1366" s="6">
        <f t="shared" si="166"/>
        <v>1090.0539999999999</v>
      </c>
      <c r="V1366" s="6">
        <f t="shared" si="168"/>
        <v>1090.0539999999999</v>
      </c>
    </row>
    <row r="1367" spans="1:22" x14ac:dyDescent="0.35">
      <c r="A1367" s="6" t="s">
        <v>1517</v>
      </c>
      <c r="B1367" s="6" t="s">
        <v>1506</v>
      </c>
      <c r="C1367" s="6" t="s">
        <v>1507</v>
      </c>
      <c r="D1367" s="6">
        <f t="shared" si="169"/>
        <v>0.5</v>
      </c>
      <c r="E1367" s="6" t="s">
        <v>19</v>
      </c>
      <c r="F1367" s="6" t="str">
        <f>MID(A1367,19,1)</f>
        <v>N</v>
      </c>
      <c r="G1367" s="6">
        <v>-23.14408019542191</v>
      </c>
      <c r="H1367" s="6">
        <v>-46.968034970866469</v>
      </c>
      <c r="I1367" s="9">
        <v>1877.39</v>
      </c>
      <c r="K1367" s="6">
        <v>4.84</v>
      </c>
      <c r="L1367" s="6">
        <v>50</v>
      </c>
      <c r="N1367" s="1">
        <f t="shared" si="165"/>
        <v>0</v>
      </c>
      <c r="O1367" s="8" t="s">
        <v>20</v>
      </c>
      <c r="P1367" s="8"/>
      <c r="Q1367" s="8" t="s">
        <v>21</v>
      </c>
      <c r="R1367" s="8" t="s">
        <v>21</v>
      </c>
      <c r="S1367" s="8" t="s">
        <v>21</v>
      </c>
      <c r="T1367" s="8" t="s">
        <v>21</v>
      </c>
      <c r="U1367" s="6">
        <f t="shared" si="166"/>
        <v>938.69500000000005</v>
      </c>
      <c r="V1367" s="6">
        <f t="shared" si="168"/>
        <v>938.69500000000005</v>
      </c>
    </row>
    <row r="1368" spans="1:22" x14ac:dyDescent="0.35">
      <c r="A1368" s="6" t="s">
        <v>1518</v>
      </c>
      <c r="B1368" s="6" t="s">
        <v>1506</v>
      </c>
      <c r="C1368" s="6" t="s">
        <v>1507</v>
      </c>
      <c r="D1368" s="6">
        <f t="shared" si="169"/>
        <v>0.5</v>
      </c>
      <c r="E1368" s="6" t="s">
        <v>19</v>
      </c>
      <c r="F1368" s="6" t="str">
        <f>MID(A1368,19,1)</f>
        <v>N</v>
      </c>
      <c r="G1368" s="6">
        <v>-23.147594358198031</v>
      </c>
      <c r="H1368" s="6">
        <v>-46.937728518809998</v>
      </c>
      <c r="I1368" s="9">
        <v>1693.71</v>
      </c>
      <c r="K1368" s="6">
        <v>4.63</v>
      </c>
      <c r="L1368" s="6">
        <v>0</v>
      </c>
      <c r="N1368" s="1">
        <f t="shared" si="165"/>
        <v>0</v>
      </c>
      <c r="O1368" s="8"/>
      <c r="P1368" s="8"/>
      <c r="Q1368" s="8" t="s">
        <v>21</v>
      </c>
      <c r="R1368" s="8" t="s">
        <v>21</v>
      </c>
      <c r="S1368" s="8" t="s">
        <v>21</v>
      </c>
      <c r="T1368" s="8" t="s">
        <v>21</v>
      </c>
      <c r="U1368" s="6">
        <f t="shared" si="166"/>
        <v>0</v>
      </c>
      <c r="V1368" s="6">
        <f t="shared" si="168"/>
        <v>0</v>
      </c>
    </row>
    <row r="1369" spans="1:22" hidden="1" x14ac:dyDescent="0.35">
      <c r="A1369" s="6" t="s">
        <v>1519</v>
      </c>
      <c r="B1369" s="6" t="s">
        <v>1506</v>
      </c>
      <c r="C1369" s="6" t="s">
        <v>1507</v>
      </c>
      <c r="D1369" s="6">
        <f t="shared" si="169"/>
        <v>0.5</v>
      </c>
      <c r="E1369" s="6" t="s">
        <v>19</v>
      </c>
      <c r="F1369" s="6" t="str">
        <f>MID(A1369,19,1)</f>
        <v>S</v>
      </c>
      <c r="G1369" s="6">
        <v>-23.14770322101311</v>
      </c>
      <c r="H1369" s="6">
        <v>-46.938126487252561</v>
      </c>
      <c r="I1369" s="9">
        <v>1901.9</v>
      </c>
      <c r="K1369" s="6">
        <v>3.46</v>
      </c>
      <c r="L1369" s="6">
        <v>20</v>
      </c>
      <c r="N1369" s="1">
        <f t="shared" si="165"/>
        <v>0</v>
      </c>
      <c r="O1369" s="8" t="s">
        <v>20</v>
      </c>
      <c r="P1369" s="8"/>
      <c r="Q1369" s="8" t="s">
        <v>21</v>
      </c>
      <c r="R1369" s="8" t="s">
        <v>21</v>
      </c>
      <c r="S1369" s="8" t="s">
        <v>21</v>
      </c>
      <c r="T1369" s="8" t="s">
        <v>21</v>
      </c>
      <c r="U1369" s="6">
        <f t="shared" si="166"/>
        <v>380.38000000000005</v>
      </c>
      <c r="V1369" s="6">
        <f t="shared" si="168"/>
        <v>380.38000000000005</v>
      </c>
    </row>
    <row r="1370" spans="1:22" hidden="1" x14ac:dyDescent="0.35">
      <c r="A1370" s="6" t="s">
        <v>1520</v>
      </c>
      <c r="B1370" s="6" t="s">
        <v>1506</v>
      </c>
      <c r="C1370" s="6" t="s">
        <v>1507</v>
      </c>
      <c r="D1370" s="6">
        <f t="shared" si="169"/>
        <v>0.5</v>
      </c>
      <c r="E1370" s="6" t="s">
        <v>19</v>
      </c>
      <c r="F1370" s="6" t="str">
        <f>MID(A1370,19,1)</f>
        <v>S</v>
      </c>
      <c r="G1370" s="6">
        <v>-23.145560875959681</v>
      </c>
      <c r="H1370" s="6">
        <v>-46.939048108395532</v>
      </c>
      <c r="I1370" s="9">
        <v>638.4</v>
      </c>
      <c r="K1370" s="6">
        <v>4.84</v>
      </c>
      <c r="L1370" s="6">
        <v>20</v>
      </c>
      <c r="N1370" s="1">
        <f t="shared" si="165"/>
        <v>0</v>
      </c>
      <c r="O1370" s="8" t="s">
        <v>20</v>
      </c>
      <c r="P1370" s="8"/>
      <c r="Q1370" s="8" t="s">
        <v>21</v>
      </c>
      <c r="R1370" s="8" t="s">
        <v>21</v>
      </c>
      <c r="S1370" s="8" t="s">
        <v>21</v>
      </c>
      <c r="T1370" s="8" t="s">
        <v>21</v>
      </c>
      <c r="U1370" s="6">
        <f t="shared" si="166"/>
        <v>127.68</v>
      </c>
      <c r="V1370" s="6">
        <f t="shared" si="168"/>
        <v>127.68</v>
      </c>
    </row>
    <row r="1371" spans="1:22" hidden="1" x14ac:dyDescent="0.35">
      <c r="A1371" s="6" t="s">
        <v>1521</v>
      </c>
      <c r="B1371" s="6" t="s">
        <v>1506</v>
      </c>
      <c r="C1371" s="6" t="s">
        <v>1507</v>
      </c>
      <c r="D1371" s="6">
        <f t="shared" si="169"/>
        <v>0.5</v>
      </c>
      <c r="E1371" s="6" t="s">
        <v>23</v>
      </c>
      <c r="F1371" s="6" t="str">
        <f>MID(A1371,19,1)</f>
        <v>C</v>
      </c>
      <c r="G1371" s="6">
        <v>-23.144265861426948</v>
      </c>
      <c r="H1371" s="6">
        <v>-46.96831471592732</v>
      </c>
      <c r="I1371" s="9">
        <v>13652.2</v>
      </c>
      <c r="J1371" s="9">
        <f>I1371/500</f>
        <v>27.304400000000001</v>
      </c>
      <c r="K1371" s="6">
        <v>4.75</v>
      </c>
      <c r="L1371" s="6">
        <v>70</v>
      </c>
      <c r="N1371" s="1">
        <f t="shared" si="165"/>
        <v>0</v>
      </c>
      <c r="O1371" s="8" t="s">
        <v>185</v>
      </c>
      <c r="P1371" s="8"/>
      <c r="Q1371" s="8" t="s">
        <v>21</v>
      </c>
      <c r="R1371" s="8" t="s">
        <v>21</v>
      </c>
      <c r="S1371" s="8" t="s">
        <v>21</v>
      </c>
      <c r="T1371" s="8" t="s">
        <v>21</v>
      </c>
      <c r="U1371" s="6">
        <f t="shared" si="166"/>
        <v>9556.5399999999991</v>
      </c>
      <c r="V1371" s="6">
        <f t="shared" si="168"/>
        <v>9556.5399999999991</v>
      </c>
    </row>
    <row r="1372" spans="1:22" x14ac:dyDescent="0.35">
      <c r="A1372" s="6" t="s">
        <v>1522</v>
      </c>
      <c r="B1372" s="6" t="s">
        <v>1506</v>
      </c>
      <c r="C1372" s="6" t="s">
        <v>1507</v>
      </c>
      <c r="D1372" s="6">
        <f t="shared" si="169"/>
        <v>0.5</v>
      </c>
      <c r="E1372" s="6" t="s">
        <v>19</v>
      </c>
      <c r="F1372" s="6" t="str">
        <f>MID(A1372,19,1)</f>
        <v>N</v>
      </c>
      <c r="G1372" s="6">
        <v>-23.142367205892761</v>
      </c>
      <c r="H1372" s="6">
        <v>-46.940111089091083</v>
      </c>
      <c r="I1372" s="9">
        <v>2211.36</v>
      </c>
      <c r="K1372" s="6">
        <v>6.25</v>
      </c>
      <c r="L1372" s="6">
        <v>0</v>
      </c>
      <c r="N1372" s="1">
        <f t="shared" si="165"/>
        <v>0</v>
      </c>
      <c r="O1372" s="8"/>
      <c r="P1372" s="8"/>
      <c r="Q1372" s="8" t="s">
        <v>21</v>
      </c>
      <c r="R1372" s="8" t="s">
        <v>21</v>
      </c>
      <c r="S1372" s="8" t="s">
        <v>21</v>
      </c>
      <c r="T1372" s="8" t="s">
        <v>21</v>
      </c>
      <c r="U1372" s="6">
        <f t="shared" si="166"/>
        <v>0</v>
      </c>
      <c r="V1372" s="6">
        <f t="shared" si="168"/>
        <v>0</v>
      </c>
    </row>
    <row r="1373" spans="1:22" hidden="1" x14ac:dyDescent="0.35">
      <c r="A1373" s="6" t="s">
        <v>1523</v>
      </c>
      <c r="B1373" s="6" t="s">
        <v>1506</v>
      </c>
      <c r="C1373" s="6" t="s">
        <v>1507</v>
      </c>
      <c r="D1373" s="6">
        <f t="shared" si="169"/>
        <v>0.5</v>
      </c>
      <c r="E1373" s="6" t="s">
        <v>19</v>
      </c>
      <c r="F1373" s="6" t="str">
        <f>MID(A1373,19,1)</f>
        <v>S</v>
      </c>
      <c r="G1373" s="6">
        <v>-23.142470088156681</v>
      </c>
      <c r="H1373" s="6">
        <v>-46.940451179506347</v>
      </c>
      <c r="I1373" s="9">
        <v>2174.0300000000002</v>
      </c>
      <c r="K1373" s="6">
        <v>7.23</v>
      </c>
      <c r="L1373" s="6">
        <v>0</v>
      </c>
      <c r="N1373" s="1">
        <f t="shared" si="165"/>
        <v>0</v>
      </c>
      <c r="O1373" s="8"/>
      <c r="P1373" s="8"/>
      <c r="Q1373" s="8" t="s">
        <v>21</v>
      </c>
      <c r="R1373" s="8" t="s">
        <v>21</v>
      </c>
      <c r="S1373" s="8" t="s">
        <v>21</v>
      </c>
      <c r="T1373" s="8" t="s">
        <v>21</v>
      </c>
      <c r="U1373" s="6">
        <f t="shared" si="166"/>
        <v>0</v>
      </c>
      <c r="V1373" s="6">
        <f t="shared" si="168"/>
        <v>0</v>
      </c>
    </row>
    <row r="1374" spans="1:22" hidden="1" x14ac:dyDescent="0.35">
      <c r="A1374" s="6" t="s">
        <v>1524</v>
      </c>
      <c r="B1374" s="6" t="s">
        <v>1525</v>
      </c>
      <c r="C1374" s="6" t="s">
        <v>1526</v>
      </c>
      <c r="D1374" s="6">
        <f t="shared" si="169"/>
        <v>0.5</v>
      </c>
      <c r="E1374" s="6" t="s">
        <v>19</v>
      </c>
      <c r="F1374" s="6" t="str">
        <f>MID(A1374,19,1)</f>
        <v>S</v>
      </c>
      <c r="G1374" s="6">
        <v>-23.13719862418867</v>
      </c>
      <c r="H1374" s="6">
        <v>-46.978399963925597</v>
      </c>
      <c r="I1374" s="9">
        <v>406</v>
      </c>
      <c r="K1374" s="6">
        <v>4.28</v>
      </c>
      <c r="L1374" s="6">
        <v>30</v>
      </c>
      <c r="N1374" s="1">
        <f t="shared" si="165"/>
        <v>0</v>
      </c>
      <c r="O1374" s="8" t="s">
        <v>20</v>
      </c>
      <c r="P1374" s="8"/>
      <c r="Q1374" s="8" t="s">
        <v>21</v>
      </c>
      <c r="R1374" s="8" t="s">
        <v>21</v>
      </c>
      <c r="S1374" s="8" t="s">
        <v>21</v>
      </c>
      <c r="T1374" s="8" t="s">
        <v>21</v>
      </c>
      <c r="U1374" s="6">
        <f t="shared" si="166"/>
        <v>121.8</v>
      </c>
      <c r="V1374" s="6">
        <f t="shared" si="168"/>
        <v>121.8</v>
      </c>
    </row>
    <row r="1375" spans="1:22" x14ac:dyDescent="0.35">
      <c r="A1375" s="6" t="s">
        <v>1527</v>
      </c>
      <c r="B1375" s="6" t="s">
        <v>1525</v>
      </c>
      <c r="C1375" s="6" t="s">
        <v>1526</v>
      </c>
      <c r="D1375" s="6">
        <f t="shared" si="169"/>
        <v>0.5</v>
      </c>
      <c r="E1375" s="6" t="s">
        <v>19</v>
      </c>
      <c r="F1375" s="6" t="str">
        <f>MID(A1375,19,1)</f>
        <v>N</v>
      </c>
      <c r="G1375" s="6">
        <v>-23.136135826747921</v>
      </c>
      <c r="H1375" s="6">
        <v>-46.944644643791086</v>
      </c>
      <c r="I1375" s="9">
        <v>644.25</v>
      </c>
      <c r="K1375" s="6">
        <v>5.62</v>
      </c>
      <c r="L1375" s="6">
        <v>0</v>
      </c>
      <c r="N1375" s="1">
        <f t="shared" si="165"/>
        <v>0</v>
      </c>
      <c r="O1375" s="8"/>
      <c r="P1375" s="8"/>
      <c r="Q1375" s="8" t="s">
        <v>21</v>
      </c>
      <c r="R1375" s="8" t="s">
        <v>21</v>
      </c>
      <c r="S1375" s="8" t="s">
        <v>21</v>
      </c>
      <c r="T1375" s="8" t="s">
        <v>21</v>
      </c>
      <c r="U1375" s="6">
        <f t="shared" si="166"/>
        <v>0</v>
      </c>
      <c r="V1375" s="6">
        <f t="shared" si="168"/>
        <v>0</v>
      </c>
    </row>
    <row r="1376" spans="1:22" x14ac:dyDescent="0.35">
      <c r="A1376" s="6" t="s">
        <v>1528</v>
      </c>
      <c r="B1376" s="6" t="s">
        <v>1525</v>
      </c>
      <c r="C1376" s="6" t="s">
        <v>1526</v>
      </c>
      <c r="D1376" s="6">
        <f t="shared" si="169"/>
        <v>0.5</v>
      </c>
      <c r="E1376" s="6" t="s">
        <v>19</v>
      </c>
      <c r="F1376" s="6" t="str">
        <f>MID(A1376,19,1)</f>
        <v>N</v>
      </c>
      <c r="G1376" s="6">
        <v>-23.134873669911329</v>
      </c>
      <c r="H1376" s="6">
        <v>-46.945993085167693</v>
      </c>
      <c r="I1376" s="9">
        <v>2012.52</v>
      </c>
      <c r="K1376" s="6">
        <v>4.9400000000000004</v>
      </c>
      <c r="L1376" s="6">
        <v>0</v>
      </c>
      <c r="N1376" s="1">
        <f t="shared" si="165"/>
        <v>0</v>
      </c>
      <c r="O1376" s="8"/>
      <c r="P1376" s="8"/>
      <c r="Q1376" s="8" t="s">
        <v>21</v>
      </c>
      <c r="R1376" s="8" t="s">
        <v>21</v>
      </c>
      <c r="S1376" s="8" t="s">
        <v>21</v>
      </c>
      <c r="T1376" s="8" t="s">
        <v>21</v>
      </c>
      <c r="U1376" s="6">
        <f t="shared" si="166"/>
        <v>0</v>
      </c>
      <c r="V1376" s="6">
        <f t="shared" si="168"/>
        <v>0</v>
      </c>
    </row>
    <row r="1377" spans="1:22" x14ac:dyDescent="0.35">
      <c r="A1377" s="6" t="s">
        <v>1529</v>
      </c>
      <c r="B1377" s="6" t="s">
        <v>1525</v>
      </c>
      <c r="C1377" s="6" t="s">
        <v>1526</v>
      </c>
      <c r="D1377" s="6">
        <f t="shared" si="169"/>
        <v>0.5</v>
      </c>
      <c r="E1377" s="6" t="s">
        <v>19</v>
      </c>
      <c r="F1377" s="6" t="str">
        <f>MID(A1377,19,1)</f>
        <v>N</v>
      </c>
      <c r="G1377" s="6">
        <v>-23.134691013730372</v>
      </c>
      <c r="H1377" s="6">
        <v>-46.978700305802818</v>
      </c>
      <c r="I1377" s="9">
        <v>1405.48</v>
      </c>
      <c r="K1377" s="6">
        <v>1.87</v>
      </c>
      <c r="L1377" s="6">
        <v>40</v>
      </c>
      <c r="N1377" s="1">
        <f t="shared" si="165"/>
        <v>0</v>
      </c>
      <c r="O1377" s="8" t="s">
        <v>20</v>
      </c>
      <c r="P1377" s="8"/>
      <c r="Q1377" s="8" t="s">
        <v>21</v>
      </c>
      <c r="R1377" s="8" t="s">
        <v>21</v>
      </c>
      <c r="S1377" s="8" t="s">
        <v>21</v>
      </c>
      <c r="T1377" s="8" t="s">
        <v>21</v>
      </c>
      <c r="U1377" s="6">
        <f t="shared" si="166"/>
        <v>562.19200000000001</v>
      </c>
      <c r="V1377" s="6">
        <f t="shared" si="168"/>
        <v>562.19200000000001</v>
      </c>
    </row>
    <row r="1378" spans="1:22" hidden="1" x14ac:dyDescent="0.35">
      <c r="A1378" s="6" t="s">
        <v>1530</v>
      </c>
      <c r="B1378" s="6" t="s">
        <v>1525</v>
      </c>
      <c r="C1378" s="6" t="s">
        <v>1526</v>
      </c>
      <c r="D1378" s="6">
        <f t="shared" si="169"/>
        <v>0.5</v>
      </c>
      <c r="E1378" s="6" t="s">
        <v>19</v>
      </c>
      <c r="F1378" s="6" t="str">
        <f>MID(A1378,19,1)</f>
        <v>S</v>
      </c>
      <c r="G1378" s="6">
        <v>-23.139405011766151</v>
      </c>
      <c r="H1378" s="6">
        <v>-46.976666401758372</v>
      </c>
      <c r="I1378" s="9">
        <v>1920.58</v>
      </c>
      <c r="K1378" s="6">
        <v>5.01</v>
      </c>
      <c r="L1378" s="6">
        <v>30</v>
      </c>
      <c r="N1378" s="1">
        <f t="shared" si="165"/>
        <v>0</v>
      </c>
      <c r="O1378" s="8" t="s">
        <v>20</v>
      </c>
      <c r="P1378" s="8"/>
      <c r="Q1378" s="8" t="s">
        <v>21</v>
      </c>
      <c r="R1378" s="8" t="s">
        <v>21</v>
      </c>
      <c r="S1378" s="8" t="s">
        <v>21</v>
      </c>
      <c r="T1378" s="8" t="s">
        <v>21</v>
      </c>
      <c r="U1378" s="6">
        <f t="shared" si="166"/>
        <v>576.17399999999998</v>
      </c>
      <c r="V1378" s="6">
        <f t="shared" si="168"/>
        <v>576.17399999999998</v>
      </c>
    </row>
    <row r="1379" spans="1:22" x14ac:dyDescent="0.35">
      <c r="A1379" s="6" t="s">
        <v>1531</v>
      </c>
      <c r="B1379" s="6" t="s">
        <v>1525</v>
      </c>
      <c r="C1379" s="6" t="s">
        <v>1526</v>
      </c>
      <c r="D1379" s="6">
        <f t="shared" si="169"/>
        <v>0.5</v>
      </c>
      <c r="E1379" s="6" t="s">
        <v>19</v>
      </c>
      <c r="F1379" s="6" t="str">
        <f>MID(A1379,19,1)</f>
        <v>N</v>
      </c>
      <c r="G1379" s="6">
        <v>-23.136733508014359</v>
      </c>
      <c r="H1379" s="6">
        <v>-46.977891947554568</v>
      </c>
      <c r="I1379" s="9">
        <v>619.82000000000005</v>
      </c>
      <c r="K1379" s="6">
        <v>3.09</v>
      </c>
      <c r="L1379" s="6">
        <v>40</v>
      </c>
      <c r="N1379" s="1">
        <f t="shared" si="165"/>
        <v>0</v>
      </c>
      <c r="O1379" s="8" t="s">
        <v>20</v>
      </c>
      <c r="P1379" s="8"/>
      <c r="Q1379" s="8" t="s">
        <v>21</v>
      </c>
      <c r="R1379" s="8" t="s">
        <v>21</v>
      </c>
      <c r="S1379" s="8" t="s">
        <v>21</v>
      </c>
      <c r="T1379" s="8" t="s">
        <v>21</v>
      </c>
      <c r="U1379" s="6">
        <f t="shared" si="166"/>
        <v>247.92800000000003</v>
      </c>
      <c r="V1379" s="6">
        <f t="shared" si="168"/>
        <v>247.92800000000003</v>
      </c>
    </row>
    <row r="1380" spans="1:22" hidden="1" x14ac:dyDescent="0.35">
      <c r="A1380" s="6" t="s">
        <v>1532</v>
      </c>
      <c r="B1380" s="6" t="s">
        <v>1525</v>
      </c>
      <c r="C1380" s="6" t="s">
        <v>1526</v>
      </c>
      <c r="D1380" s="6">
        <f t="shared" si="169"/>
        <v>0.5</v>
      </c>
      <c r="E1380" s="6" t="s">
        <v>23</v>
      </c>
      <c r="F1380" s="6" t="str">
        <f>MID(A1380,19,1)</f>
        <v>C</v>
      </c>
      <c r="G1380" s="6">
        <v>-23.137043812115479</v>
      </c>
      <c r="H1380" s="6">
        <v>-46.978121607294177</v>
      </c>
      <c r="I1380" s="9">
        <v>3403.06</v>
      </c>
      <c r="J1380" s="9">
        <f>I1380/500</f>
        <v>6.8061199999999999</v>
      </c>
      <c r="K1380" s="6">
        <v>4.2</v>
      </c>
      <c r="L1380" s="6">
        <v>70</v>
      </c>
      <c r="N1380" s="1">
        <f t="shared" si="165"/>
        <v>0</v>
      </c>
      <c r="O1380" s="8" t="s">
        <v>185</v>
      </c>
      <c r="P1380" s="8"/>
      <c r="Q1380" s="8" t="s">
        <v>21</v>
      </c>
      <c r="R1380" s="8" t="s">
        <v>21</v>
      </c>
      <c r="S1380" s="8" t="s">
        <v>21</v>
      </c>
      <c r="T1380" s="8" t="s">
        <v>21</v>
      </c>
      <c r="U1380" s="6">
        <f t="shared" si="166"/>
        <v>2382.1419999999998</v>
      </c>
      <c r="V1380" s="6">
        <f t="shared" si="168"/>
        <v>2382.1419999999998</v>
      </c>
    </row>
    <row r="1381" spans="1:22" x14ac:dyDescent="0.35">
      <c r="A1381" s="6" t="s">
        <v>1533</v>
      </c>
      <c r="B1381" s="6" t="s">
        <v>1525</v>
      </c>
      <c r="C1381" s="6" t="s">
        <v>1526</v>
      </c>
      <c r="D1381" s="6">
        <f t="shared" si="169"/>
        <v>0.5</v>
      </c>
      <c r="E1381" s="6" t="s">
        <v>19</v>
      </c>
      <c r="F1381" s="6" t="str">
        <f>MID(A1381,19,1)</f>
        <v>N</v>
      </c>
      <c r="G1381" s="6">
        <v>-23.13903529799915</v>
      </c>
      <c r="H1381" s="6">
        <v>-46.976172542548603</v>
      </c>
      <c r="I1381" s="9">
        <v>1901.59</v>
      </c>
      <c r="K1381" s="6">
        <v>6.93</v>
      </c>
      <c r="L1381" s="6">
        <v>60</v>
      </c>
      <c r="N1381" s="1">
        <f t="shared" si="165"/>
        <v>0</v>
      </c>
      <c r="O1381" s="8" t="s">
        <v>20</v>
      </c>
      <c r="P1381" s="8"/>
      <c r="Q1381" s="8" t="s">
        <v>21</v>
      </c>
      <c r="R1381" s="8" t="s">
        <v>21</v>
      </c>
      <c r="S1381" s="8" t="s">
        <v>21</v>
      </c>
      <c r="T1381" s="8" t="s">
        <v>21</v>
      </c>
      <c r="U1381" s="6">
        <f t="shared" si="166"/>
        <v>1140.954</v>
      </c>
      <c r="V1381" s="6">
        <f t="shared" si="168"/>
        <v>1140.954</v>
      </c>
    </row>
    <row r="1382" spans="1:22" hidden="1" x14ac:dyDescent="0.35">
      <c r="A1382" s="6" t="s">
        <v>1534</v>
      </c>
      <c r="B1382" s="6" t="s">
        <v>1525</v>
      </c>
      <c r="C1382" s="6" t="s">
        <v>1526</v>
      </c>
      <c r="D1382" s="6">
        <f t="shared" si="169"/>
        <v>0.5</v>
      </c>
      <c r="E1382" s="6" t="s">
        <v>19</v>
      </c>
      <c r="F1382" s="6" t="str">
        <f>MID(A1382,19,1)</f>
        <v>S</v>
      </c>
      <c r="G1382" s="6">
        <v>-23.135259043921032</v>
      </c>
      <c r="H1382" s="6">
        <v>-46.946125342694742</v>
      </c>
      <c r="I1382" s="9">
        <v>2056.58</v>
      </c>
      <c r="K1382" s="6">
        <v>7.15</v>
      </c>
      <c r="L1382" s="6">
        <v>0</v>
      </c>
      <c r="N1382" s="1">
        <f t="shared" si="165"/>
        <v>0</v>
      </c>
      <c r="O1382" s="8"/>
      <c r="P1382" s="8"/>
      <c r="Q1382" s="8" t="s">
        <v>21</v>
      </c>
      <c r="R1382" s="8" t="s">
        <v>21</v>
      </c>
      <c r="S1382" s="8" t="s">
        <v>21</v>
      </c>
      <c r="T1382" s="8" t="s">
        <v>21</v>
      </c>
      <c r="U1382" s="6">
        <f t="shared" si="166"/>
        <v>0</v>
      </c>
      <c r="V1382" s="6">
        <f t="shared" si="168"/>
        <v>0</v>
      </c>
    </row>
    <row r="1383" spans="1:22" x14ac:dyDescent="0.35">
      <c r="A1383" s="6" t="s">
        <v>1535</v>
      </c>
      <c r="B1383" s="6" t="s">
        <v>1525</v>
      </c>
      <c r="C1383" s="6" t="s">
        <v>1526</v>
      </c>
      <c r="D1383" s="6">
        <f t="shared" si="169"/>
        <v>0.5</v>
      </c>
      <c r="E1383" s="6" t="s">
        <v>19</v>
      </c>
      <c r="F1383" s="6" t="str">
        <f>MID(A1383,19,1)</f>
        <v>N</v>
      </c>
      <c r="G1383" s="6">
        <v>-23.138414307807729</v>
      </c>
      <c r="H1383" s="6">
        <v>-46.942737760290122</v>
      </c>
      <c r="I1383" s="9">
        <v>1912.83</v>
      </c>
      <c r="K1383" s="6">
        <v>5.79</v>
      </c>
      <c r="L1383" s="6">
        <v>0</v>
      </c>
      <c r="N1383" s="1">
        <f t="shared" si="165"/>
        <v>0</v>
      </c>
      <c r="O1383" s="8"/>
      <c r="P1383" s="8"/>
      <c r="Q1383" s="8" t="s">
        <v>21</v>
      </c>
      <c r="R1383" s="8" t="s">
        <v>21</v>
      </c>
      <c r="S1383" s="8" t="s">
        <v>21</v>
      </c>
      <c r="T1383" s="8" t="s">
        <v>21</v>
      </c>
      <c r="U1383" s="6">
        <f t="shared" si="166"/>
        <v>0</v>
      </c>
      <c r="V1383" s="6">
        <f t="shared" si="168"/>
        <v>0</v>
      </c>
    </row>
    <row r="1384" spans="1:22" hidden="1" x14ac:dyDescent="0.35">
      <c r="A1384" s="6" t="s">
        <v>1536</v>
      </c>
      <c r="B1384" s="6" t="s">
        <v>1525</v>
      </c>
      <c r="C1384" s="6" t="s">
        <v>1526</v>
      </c>
      <c r="D1384" s="6">
        <f t="shared" si="169"/>
        <v>0.5</v>
      </c>
      <c r="E1384" s="6" t="s">
        <v>19</v>
      </c>
      <c r="F1384" s="6" t="str">
        <f>MID(A1384,19,1)</f>
        <v>S</v>
      </c>
      <c r="G1384" s="6">
        <v>-23.138607053383211</v>
      </c>
      <c r="H1384" s="6">
        <v>-46.94301887670315</v>
      </c>
      <c r="I1384" s="9">
        <v>1856.26</v>
      </c>
      <c r="K1384" s="6">
        <v>5.44</v>
      </c>
      <c r="L1384" s="6">
        <v>0</v>
      </c>
      <c r="N1384" s="1">
        <f t="shared" si="165"/>
        <v>0</v>
      </c>
      <c r="O1384" s="8"/>
      <c r="P1384" s="8"/>
      <c r="Q1384" s="8" t="s">
        <v>21</v>
      </c>
      <c r="R1384" s="8" t="s">
        <v>21</v>
      </c>
      <c r="S1384" s="8" t="s">
        <v>21</v>
      </c>
      <c r="T1384" s="8" t="s">
        <v>21</v>
      </c>
      <c r="U1384" s="6">
        <f t="shared" si="166"/>
        <v>0</v>
      </c>
      <c r="V1384" s="6">
        <f t="shared" si="168"/>
        <v>0</v>
      </c>
    </row>
    <row r="1385" spans="1:22" hidden="1" x14ac:dyDescent="0.35">
      <c r="A1385" s="6" t="s">
        <v>1537</v>
      </c>
      <c r="B1385" s="6" t="s">
        <v>1525</v>
      </c>
      <c r="C1385" s="6" t="s">
        <v>1526</v>
      </c>
      <c r="D1385" s="6">
        <f t="shared" si="169"/>
        <v>0.5</v>
      </c>
      <c r="E1385" s="6" t="s">
        <v>19</v>
      </c>
      <c r="F1385" s="6" t="str">
        <f>MID(A1385,19,1)</f>
        <v>S</v>
      </c>
      <c r="G1385" s="6">
        <v>-23.13510912337334</v>
      </c>
      <c r="H1385" s="6">
        <v>-46.979222910138482</v>
      </c>
      <c r="I1385" s="9">
        <v>1568.81</v>
      </c>
      <c r="K1385" s="6">
        <v>2.5</v>
      </c>
      <c r="L1385" s="6">
        <v>30</v>
      </c>
      <c r="N1385" s="1">
        <f t="shared" si="165"/>
        <v>0</v>
      </c>
      <c r="O1385" s="8" t="s">
        <v>20</v>
      </c>
      <c r="P1385" s="8"/>
      <c r="Q1385" s="8" t="s">
        <v>21</v>
      </c>
      <c r="R1385" s="8" t="s">
        <v>21</v>
      </c>
      <c r="S1385" s="8" t="s">
        <v>21</v>
      </c>
      <c r="T1385" s="8" t="s">
        <v>21</v>
      </c>
      <c r="U1385" s="6">
        <f t="shared" si="166"/>
        <v>470.64299999999997</v>
      </c>
      <c r="V1385" s="6">
        <f t="shared" si="168"/>
        <v>470.64299999999997</v>
      </c>
    </row>
    <row r="1386" spans="1:22" hidden="1" x14ac:dyDescent="0.35">
      <c r="A1386" s="6" t="s">
        <v>1538</v>
      </c>
      <c r="B1386" s="6" t="s">
        <v>1525</v>
      </c>
      <c r="C1386" s="6" t="s">
        <v>1526</v>
      </c>
      <c r="D1386" s="6">
        <f t="shared" si="169"/>
        <v>0.5</v>
      </c>
      <c r="E1386" s="6" t="s">
        <v>23</v>
      </c>
      <c r="F1386" s="6" t="str">
        <f>MID(A1386,19,1)</f>
        <v>C</v>
      </c>
      <c r="G1386" s="6">
        <v>-23.134869477076709</v>
      </c>
      <c r="H1386" s="6">
        <v>-46.978968270796933</v>
      </c>
      <c r="I1386" s="9">
        <v>11035.98</v>
      </c>
      <c r="J1386" s="9">
        <f t="shared" ref="J1386:J1387" si="170">I1386/500</f>
        <v>22.071960000000001</v>
      </c>
      <c r="K1386" s="6">
        <v>2.14</v>
      </c>
      <c r="L1386" s="6">
        <v>70</v>
      </c>
      <c r="N1386" s="1">
        <f t="shared" si="165"/>
        <v>0</v>
      </c>
      <c r="O1386" s="8" t="s">
        <v>185</v>
      </c>
      <c r="P1386" s="8"/>
      <c r="Q1386" s="8" t="s">
        <v>21</v>
      </c>
      <c r="R1386" s="8" t="s">
        <v>21</v>
      </c>
      <c r="S1386" s="8" t="s">
        <v>21</v>
      </c>
      <c r="T1386" s="8" t="s">
        <v>21</v>
      </c>
      <c r="U1386" s="6">
        <f t="shared" si="166"/>
        <v>7725.1859999999988</v>
      </c>
      <c r="V1386" s="6">
        <f t="shared" si="168"/>
        <v>7725.1859999999988</v>
      </c>
    </row>
    <row r="1387" spans="1:22" hidden="1" x14ac:dyDescent="0.35">
      <c r="A1387" s="6" t="s">
        <v>1539</v>
      </c>
      <c r="B1387" s="6" t="s">
        <v>1525</v>
      </c>
      <c r="C1387" s="6" t="s">
        <v>1526</v>
      </c>
      <c r="D1387" s="6">
        <f t="shared" si="169"/>
        <v>0.5</v>
      </c>
      <c r="E1387" s="6" t="s">
        <v>23</v>
      </c>
      <c r="F1387" s="6" t="str">
        <f>MID(A1387,19,1)</f>
        <v>C</v>
      </c>
      <c r="G1387" s="6">
        <v>-23.1392105456063</v>
      </c>
      <c r="H1387" s="6">
        <v>-46.976430325659443</v>
      </c>
      <c r="I1387" s="9">
        <v>14641.03</v>
      </c>
      <c r="J1387" s="9">
        <f t="shared" si="170"/>
        <v>29.282060000000001</v>
      </c>
      <c r="K1387" s="6">
        <v>5.23</v>
      </c>
      <c r="L1387" s="6">
        <v>80</v>
      </c>
      <c r="N1387" s="1">
        <f t="shared" si="165"/>
        <v>0</v>
      </c>
      <c r="O1387" s="8" t="s">
        <v>185</v>
      </c>
      <c r="P1387" s="8"/>
      <c r="Q1387" s="8" t="s">
        <v>21</v>
      </c>
      <c r="R1387" s="8" t="s">
        <v>21</v>
      </c>
      <c r="S1387" s="8" t="s">
        <v>21</v>
      </c>
      <c r="T1387" s="8" t="s">
        <v>21</v>
      </c>
      <c r="U1387" s="6">
        <f t="shared" si="166"/>
        <v>11712.824000000001</v>
      </c>
      <c r="V1387" s="6">
        <f t="shared" si="168"/>
        <v>11712.824000000001</v>
      </c>
    </row>
    <row r="1388" spans="1:22" hidden="1" x14ac:dyDescent="0.35">
      <c r="A1388" s="6" t="s">
        <v>1540</v>
      </c>
      <c r="B1388" s="6" t="s">
        <v>1541</v>
      </c>
      <c r="C1388" s="6" t="s">
        <v>1542</v>
      </c>
      <c r="D1388" s="6">
        <f t="shared" si="169"/>
        <v>0.5</v>
      </c>
      <c r="E1388" s="6" t="s">
        <v>19</v>
      </c>
      <c r="F1388" s="6" t="str">
        <f>MID(A1388,19,1)</f>
        <v>S</v>
      </c>
      <c r="G1388" s="6">
        <v>-23.131479951998578</v>
      </c>
      <c r="H1388" s="6">
        <v>-46.980493223067491</v>
      </c>
      <c r="I1388" s="9">
        <v>1841.33</v>
      </c>
      <c r="K1388" s="6">
        <v>7.55</v>
      </c>
      <c r="L1388" s="6">
        <v>30</v>
      </c>
      <c r="N1388" s="1">
        <f t="shared" si="165"/>
        <v>0</v>
      </c>
      <c r="O1388" s="8" t="s">
        <v>20</v>
      </c>
      <c r="P1388" s="8"/>
      <c r="Q1388" s="8" t="s">
        <v>21</v>
      </c>
      <c r="R1388" s="8" t="s">
        <v>21</v>
      </c>
      <c r="S1388" s="8" t="s">
        <v>21</v>
      </c>
      <c r="T1388" s="8" t="s">
        <v>21</v>
      </c>
      <c r="U1388" s="6">
        <f t="shared" si="166"/>
        <v>552.399</v>
      </c>
      <c r="V1388" s="6">
        <f t="shared" si="168"/>
        <v>552.399</v>
      </c>
    </row>
    <row r="1389" spans="1:22" x14ac:dyDescent="0.35">
      <c r="A1389" s="6" t="s">
        <v>1543</v>
      </c>
      <c r="B1389" s="6" t="s">
        <v>1541</v>
      </c>
      <c r="C1389" s="6" t="s">
        <v>1542</v>
      </c>
      <c r="D1389" s="6">
        <f t="shared" si="169"/>
        <v>0.5</v>
      </c>
      <c r="E1389" s="6" t="s">
        <v>19</v>
      </c>
      <c r="F1389" s="6" t="str">
        <f>MID(A1389,19,1)</f>
        <v>N</v>
      </c>
      <c r="G1389" s="6">
        <v>-23.127355912565289</v>
      </c>
      <c r="H1389" s="6">
        <v>-46.982566405920053</v>
      </c>
      <c r="I1389" s="9">
        <v>2022.95</v>
      </c>
      <c r="K1389" s="6">
        <v>5.96</v>
      </c>
      <c r="L1389" s="6">
        <v>60</v>
      </c>
      <c r="N1389" s="1">
        <f t="shared" si="165"/>
        <v>0</v>
      </c>
      <c r="O1389" s="8" t="s">
        <v>20</v>
      </c>
      <c r="P1389" s="8"/>
      <c r="Q1389" s="8" t="s">
        <v>21</v>
      </c>
      <c r="R1389" s="8" t="s">
        <v>21</v>
      </c>
      <c r="S1389" s="8" t="s">
        <v>21</v>
      </c>
      <c r="T1389" s="8" t="s">
        <v>21</v>
      </c>
      <c r="U1389" s="6">
        <f t="shared" si="166"/>
        <v>1213.77</v>
      </c>
      <c r="V1389" s="6">
        <f t="shared" si="168"/>
        <v>1213.77</v>
      </c>
    </row>
    <row r="1390" spans="1:22" hidden="1" x14ac:dyDescent="0.35">
      <c r="A1390" s="6" t="s">
        <v>1544</v>
      </c>
      <c r="B1390" s="6" t="s">
        <v>1541</v>
      </c>
      <c r="C1390" s="6" t="s">
        <v>1542</v>
      </c>
      <c r="D1390" s="6">
        <f t="shared" si="169"/>
        <v>0.5</v>
      </c>
      <c r="E1390" s="6" t="s">
        <v>19</v>
      </c>
      <c r="F1390" s="6" t="str">
        <f>MID(A1390,19,1)</f>
        <v>S</v>
      </c>
      <c r="G1390" s="6">
        <v>-23.13044917401978</v>
      </c>
      <c r="H1390" s="6">
        <v>-46.950781704943473</v>
      </c>
      <c r="I1390" s="9">
        <v>69.069999999999993</v>
      </c>
      <c r="K1390" s="6">
        <v>4.26</v>
      </c>
      <c r="L1390" s="6">
        <v>0</v>
      </c>
      <c r="N1390" s="1">
        <f t="shared" si="165"/>
        <v>0</v>
      </c>
      <c r="O1390" s="8"/>
      <c r="P1390" s="8"/>
      <c r="Q1390" s="8" t="s">
        <v>21</v>
      </c>
      <c r="R1390" s="8" t="s">
        <v>21</v>
      </c>
      <c r="S1390" s="8" t="s">
        <v>21</v>
      </c>
      <c r="T1390" s="8" t="s">
        <v>21</v>
      </c>
      <c r="U1390" s="6">
        <f t="shared" si="166"/>
        <v>0</v>
      </c>
      <c r="V1390" s="6">
        <f t="shared" si="168"/>
        <v>0</v>
      </c>
    </row>
    <row r="1391" spans="1:22" hidden="1" x14ac:dyDescent="0.35">
      <c r="A1391" s="6" t="s">
        <v>1545</v>
      </c>
      <c r="B1391" s="6" t="s">
        <v>1541</v>
      </c>
      <c r="C1391" s="6" t="s">
        <v>1542</v>
      </c>
      <c r="D1391" s="6">
        <f t="shared" si="169"/>
        <v>0.5</v>
      </c>
      <c r="E1391" s="6" t="s">
        <v>23</v>
      </c>
      <c r="F1391" s="6" t="str">
        <f>MID(A1391,19,1)</f>
        <v>C</v>
      </c>
      <c r="G1391" s="6">
        <v>-23.13152152205706</v>
      </c>
      <c r="H1391" s="6">
        <v>-46.980125225294437</v>
      </c>
      <c r="I1391" s="9">
        <v>12778.69</v>
      </c>
      <c r="J1391" s="9">
        <f>I1391/500</f>
        <v>25.557380000000002</v>
      </c>
      <c r="K1391" s="6">
        <v>5.42</v>
      </c>
      <c r="L1391" s="6">
        <v>70</v>
      </c>
      <c r="N1391" s="1">
        <f t="shared" si="165"/>
        <v>0</v>
      </c>
      <c r="O1391" s="8" t="s">
        <v>185</v>
      </c>
      <c r="P1391" s="8"/>
      <c r="Q1391" s="8" t="s">
        <v>21</v>
      </c>
      <c r="R1391" s="8" t="s">
        <v>21</v>
      </c>
      <c r="S1391" s="8" t="s">
        <v>21</v>
      </c>
      <c r="T1391" s="8" t="s">
        <v>21</v>
      </c>
      <c r="U1391" s="6">
        <f t="shared" si="166"/>
        <v>8945.0830000000005</v>
      </c>
      <c r="V1391" s="6">
        <f t="shared" si="168"/>
        <v>8945.0830000000005</v>
      </c>
    </row>
    <row r="1392" spans="1:22" hidden="1" x14ac:dyDescent="0.35">
      <c r="A1392" s="6" t="s">
        <v>1546</v>
      </c>
      <c r="B1392" s="6" t="s">
        <v>1541</v>
      </c>
      <c r="C1392" s="6" t="s">
        <v>1542</v>
      </c>
      <c r="D1392" s="6">
        <f t="shared" si="169"/>
        <v>0.5</v>
      </c>
      <c r="E1392" s="6" t="s">
        <v>19</v>
      </c>
      <c r="F1392" s="6" t="str">
        <f>MID(A1392,19,1)</f>
        <v>S</v>
      </c>
      <c r="G1392" s="6">
        <v>-23.132014915301252</v>
      </c>
      <c r="H1392" s="6">
        <v>-46.949288220498808</v>
      </c>
      <c r="I1392" s="9">
        <v>1814.63</v>
      </c>
      <c r="K1392" s="6">
        <v>4.05</v>
      </c>
      <c r="L1392" s="6">
        <v>0</v>
      </c>
      <c r="N1392" s="1">
        <f t="shared" si="165"/>
        <v>0</v>
      </c>
      <c r="O1392" s="8"/>
      <c r="P1392" s="8"/>
      <c r="Q1392" s="8" t="s">
        <v>21</v>
      </c>
      <c r="R1392" s="8" t="s">
        <v>21</v>
      </c>
      <c r="S1392" s="8" t="s">
        <v>21</v>
      </c>
      <c r="T1392" s="8" t="s">
        <v>21</v>
      </c>
      <c r="U1392" s="6">
        <f t="shared" si="166"/>
        <v>0</v>
      </c>
      <c r="V1392" s="6">
        <f t="shared" si="168"/>
        <v>0</v>
      </c>
    </row>
    <row r="1393" spans="1:22" hidden="1" x14ac:dyDescent="0.35">
      <c r="A1393" s="6" t="s">
        <v>1547</v>
      </c>
      <c r="B1393" s="6" t="s">
        <v>1541</v>
      </c>
      <c r="C1393" s="6" t="s">
        <v>1542</v>
      </c>
      <c r="D1393" s="6">
        <f t="shared" si="169"/>
        <v>0.5</v>
      </c>
      <c r="E1393" s="6" t="s">
        <v>23</v>
      </c>
      <c r="F1393" s="6" t="str">
        <f>MID(A1393,19,1)</f>
        <v>C</v>
      </c>
      <c r="G1393" s="6">
        <v>-23.12750507307436</v>
      </c>
      <c r="H1393" s="6">
        <v>-46.982849370634383</v>
      </c>
      <c r="I1393" s="9">
        <v>15316.72</v>
      </c>
      <c r="J1393" s="9">
        <f>I1393/500</f>
        <v>30.63344</v>
      </c>
      <c r="K1393" s="6">
        <v>4.6100000000000003</v>
      </c>
      <c r="L1393" s="6">
        <v>80</v>
      </c>
      <c r="N1393" s="1">
        <f t="shared" si="165"/>
        <v>0</v>
      </c>
      <c r="O1393" s="8" t="s">
        <v>185</v>
      </c>
      <c r="P1393" s="8"/>
      <c r="Q1393" s="8" t="s">
        <v>21</v>
      </c>
      <c r="R1393" s="8" t="s">
        <v>21</v>
      </c>
      <c r="S1393" s="8" t="s">
        <v>21</v>
      </c>
      <c r="T1393" s="8" t="s">
        <v>21</v>
      </c>
      <c r="U1393" s="6">
        <f t="shared" si="166"/>
        <v>12253.376</v>
      </c>
      <c r="V1393" s="6">
        <f t="shared" si="168"/>
        <v>12253.376</v>
      </c>
    </row>
    <row r="1394" spans="1:22" x14ac:dyDescent="0.35">
      <c r="A1394" s="6" t="s">
        <v>1548</v>
      </c>
      <c r="B1394" s="6" t="s">
        <v>1541</v>
      </c>
      <c r="C1394" s="6" t="s">
        <v>1542</v>
      </c>
      <c r="D1394" s="6">
        <f t="shared" si="169"/>
        <v>0.5</v>
      </c>
      <c r="E1394" s="6" t="s">
        <v>19</v>
      </c>
      <c r="F1394" s="6" t="str">
        <f>MID(A1394,19,1)</f>
        <v>N</v>
      </c>
      <c r="G1394" s="6">
        <v>-23.129703983404148</v>
      </c>
      <c r="H1394" s="6">
        <v>-46.950721598166673</v>
      </c>
      <c r="I1394" s="9">
        <v>2660.33</v>
      </c>
      <c r="K1394" s="6">
        <v>2.96</v>
      </c>
      <c r="L1394" s="6">
        <v>0</v>
      </c>
      <c r="N1394" s="1">
        <f t="shared" si="165"/>
        <v>0</v>
      </c>
      <c r="O1394" s="8"/>
      <c r="P1394" s="8"/>
      <c r="Q1394" s="8" t="s">
        <v>21</v>
      </c>
      <c r="R1394" s="8" t="s">
        <v>21</v>
      </c>
      <c r="S1394" s="8" t="s">
        <v>21</v>
      </c>
      <c r="T1394" s="8" t="s">
        <v>21</v>
      </c>
      <c r="U1394" s="6">
        <f t="shared" si="166"/>
        <v>0</v>
      </c>
      <c r="V1394" s="6">
        <f t="shared" si="168"/>
        <v>0</v>
      </c>
    </row>
    <row r="1395" spans="1:22" hidden="1" x14ac:dyDescent="0.35">
      <c r="A1395" s="6" t="s">
        <v>1549</v>
      </c>
      <c r="B1395" s="6" t="s">
        <v>1541</v>
      </c>
      <c r="C1395" s="6" t="s">
        <v>1542</v>
      </c>
      <c r="D1395" s="6">
        <f t="shared" si="169"/>
        <v>0.5</v>
      </c>
      <c r="E1395" s="6" t="s">
        <v>19</v>
      </c>
      <c r="F1395" s="6" t="str">
        <f>MID(A1395,19,1)</f>
        <v>S</v>
      </c>
      <c r="G1395" s="6">
        <v>-23.12825674868694</v>
      </c>
      <c r="H1395" s="6">
        <v>-46.952109263566392</v>
      </c>
      <c r="I1395" s="9">
        <v>2066.09</v>
      </c>
      <c r="K1395" s="6">
        <v>6.29</v>
      </c>
      <c r="L1395" s="6">
        <v>60</v>
      </c>
      <c r="N1395" s="1">
        <f t="shared" si="165"/>
        <v>0</v>
      </c>
      <c r="O1395" s="8" t="s">
        <v>20</v>
      </c>
      <c r="P1395" s="8"/>
      <c r="Q1395" s="8" t="s">
        <v>21</v>
      </c>
      <c r="R1395" s="8" t="s">
        <v>21</v>
      </c>
      <c r="S1395" s="8" t="s">
        <v>21</v>
      </c>
      <c r="T1395" s="8" t="s">
        <v>21</v>
      </c>
      <c r="U1395" s="6">
        <f t="shared" si="166"/>
        <v>1239.654</v>
      </c>
      <c r="V1395" s="6">
        <f t="shared" si="168"/>
        <v>1239.654</v>
      </c>
    </row>
    <row r="1396" spans="1:22" x14ac:dyDescent="0.35">
      <c r="A1396" s="6" t="s">
        <v>1550</v>
      </c>
      <c r="B1396" s="6" t="s">
        <v>1541</v>
      </c>
      <c r="C1396" s="6" t="s">
        <v>1542</v>
      </c>
      <c r="D1396" s="6">
        <f t="shared" si="169"/>
        <v>0.5</v>
      </c>
      <c r="E1396" s="6" t="s">
        <v>19</v>
      </c>
      <c r="F1396" s="6" t="str">
        <f>MID(A1396,19,1)</f>
        <v>N</v>
      </c>
      <c r="G1396" s="6">
        <v>-23.127661058028789</v>
      </c>
      <c r="H1396" s="6">
        <v>-46.952047844269003</v>
      </c>
      <c r="I1396" s="9">
        <v>1608.23</v>
      </c>
      <c r="K1396" s="6">
        <v>5.55</v>
      </c>
      <c r="L1396" s="6">
        <v>0</v>
      </c>
      <c r="N1396" s="1">
        <f t="shared" si="165"/>
        <v>0</v>
      </c>
      <c r="O1396" s="8"/>
      <c r="P1396" s="8"/>
      <c r="Q1396" s="8" t="s">
        <v>21</v>
      </c>
      <c r="R1396" s="8" t="s">
        <v>21</v>
      </c>
      <c r="S1396" s="8" t="s">
        <v>21</v>
      </c>
      <c r="T1396" s="8" t="s">
        <v>21</v>
      </c>
      <c r="U1396" s="6">
        <f t="shared" si="166"/>
        <v>0</v>
      </c>
      <c r="V1396" s="6">
        <f t="shared" si="168"/>
        <v>0</v>
      </c>
    </row>
    <row r="1397" spans="1:22" hidden="1" x14ac:dyDescent="0.35">
      <c r="A1397" s="6" t="s">
        <v>1551</v>
      </c>
      <c r="B1397" s="6" t="s">
        <v>1541</v>
      </c>
      <c r="C1397" s="6" t="s">
        <v>1542</v>
      </c>
      <c r="D1397" s="6">
        <f t="shared" si="169"/>
        <v>0.5</v>
      </c>
      <c r="E1397" s="6" t="s">
        <v>19</v>
      </c>
      <c r="F1397" s="6" t="str">
        <f>MID(A1397,19,1)</f>
        <v>S</v>
      </c>
      <c r="G1397" s="6">
        <v>-23.130502662470541</v>
      </c>
      <c r="H1397" s="6">
        <v>-46.950826968028338</v>
      </c>
      <c r="I1397" s="9">
        <v>2.75</v>
      </c>
      <c r="K1397" s="6">
        <v>5</v>
      </c>
      <c r="N1397" s="1">
        <f t="shared" si="165"/>
        <v>0</v>
      </c>
      <c r="O1397" s="8"/>
      <c r="P1397" s="8"/>
      <c r="Q1397" s="8" t="s">
        <v>21</v>
      </c>
      <c r="R1397" s="8" t="s">
        <v>21</v>
      </c>
      <c r="S1397" s="8" t="s">
        <v>21</v>
      </c>
      <c r="T1397" s="8" t="s">
        <v>21</v>
      </c>
      <c r="U1397" s="6">
        <f t="shared" si="166"/>
        <v>0</v>
      </c>
      <c r="V1397" s="6">
        <f t="shared" si="168"/>
        <v>0</v>
      </c>
    </row>
    <row r="1398" spans="1:22" x14ac:dyDescent="0.35">
      <c r="A1398" s="6" t="s">
        <v>1552</v>
      </c>
      <c r="B1398" s="6" t="s">
        <v>1541</v>
      </c>
      <c r="C1398" s="6" t="s">
        <v>1542</v>
      </c>
      <c r="D1398" s="6">
        <f t="shared" si="169"/>
        <v>0.5</v>
      </c>
      <c r="E1398" s="6" t="s">
        <v>19</v>
      </c>
      <c r="F1398" s="6" t="str">
        <f>MID(A1398,19,1)</f>
        <v>N</v>
      </c>
      <c r="G1398" s="6">
        <v>-23.129635432439809</v>
      </c>
      <c r="H1398" s="6">
        <v>-46.979848269913447</v>
      </c>
      <c r="I1398" s="9">
        <v>1160.8499999999999</v>
      </c>
      <c r="K1398" s="6">
        <v>2.68</v>
      </c>
      <c r="L1398" s="6">
        <v>40</v>
      </c>
      <c r="N1398" s="1">
        <f t="shared" si="165"/>
        <v>0</v>
      </c>
      <c r="O1398" s="8" t="s">
        <v>20</v>
      </c>
      <c r="P1398" s="8"/>
      <c r="Q1398" s="8" t="s">
        <v>21</v>
      </c>
      <c r="R1398" s="8" t="s">
        <v>21</v>
      </c>
      <c r="S1398" s="8" t="s">
        <v>21</v>
      </c>
      <c r="T1398" s="8" t="s">
        <v>21</v>
      </c>
      <c r="U1398" s="6">
        <f t="shared" si="166"/>
        <v>464.34</v>
      </c>
      <c r="V1398" s="6">
        <f t="shared" si="168"/>
        <v>464.34</v>
      </c>
    </row>
    <row r="1399" spans="1:22" x14ac:dyDescent="0.35">
      <c r="A1399" s="6" t="s">
        <v>1553</v>
      </c>
      <c r="B1399" s="6" t="s">
        <v>1541</v>
      </c>
      <c r="C1399" s="6" t="s">
        <v>1542</v>
      </c>
      <c r="D1399" s="6">
        <f t="shared" si="169"/>
        <v>0.5</v>
      </c>
      <c r="E1399" s="6" t="s">
        <v>19</v>
      </c>
      <c r="F1399" s="6" t="str">
        <f>MID(A1399,19,1)</f>
        <v>N</v>
      </c>
      <c r="G1399" s="6">
        <v>-23.13198103046663</v>
      </c>
      <c r="H1399" s="6">
        <v>-46.948808449267787</v>
      </c>
      <c r="I1399" s="9">
        <v>1549.64</v>
      </c>
      <c r="K1399" s="6">
        <v>3.68</v>
      </c>
      <c r="L1399" s="6">
        <v>20</v>
      </c>
      <c r="N1399" s="1">
        <f t="shared" si="165"/>
        <v>0</v>
      </c>
      <c r="O1399" s="8" t="s">
        <v>25</v>
      </c>
      <c r="P1399" s="8"/>
      <c r="Q1399" s="8" t="s">
        <v>21</v>
      </c>
      <c r="R1399" s="8" t="s">
        <v>21</v>
      </c>
      <c r="S1399" s="8" t="s">
        <v>21</v>
      </c>
      <c r="T1399" s="8" t="s">
        <v>21</v>
      </c>
      <c r="U1399" s="6">
        <f t="shared" si="166"/>
        <v>309.92800000000005</v>
      </c>
      <c r="V1399" s="6">
        <f t="shared" si="168"/>
        <v>309.92800000000005</v>
      </c>
    </row>
    <row r="1400" spans="1:22" hidden="1" x14ac:dyDescent="0.35">
      <c r="A1400" s="6" t="s">
        <v>1554</v>
      </c>
      <c r="B1400" s="6" t="s">
        <v>1541</v>
      </c>
      <c r="C1400" s="6" t="s">
        <v>1542</v>
      </c>
      <c r="D1400" s="6">
        <f t="shared" si="169"/>
        <v>0.5</v>
      </c>
      <c r="E1400" s="6" t="s">
        <v>19</v>
      </c>
      <c r="F1400" s="6" t="str">
        <f>MID(A1400,19,1)</f>
        <v>S</v>
      </c>
      <c r="G1400" s="6">
        <v>-23.127641145705422</v>
      </c>
      <c r="H1400" s="6">
        <v>-46.983137760853303</v>
      </c>
      <c r="I1400" s="9">
        <v>1951.03</v>
      </c>
      <c r="K1400" s="6">
        <v>4.8</v>
      </c>
      <c r="L1400" s="6">
        <v>80</v>
      </c>
      <c r="N1400" s="1">
        <f t="shared" si="165"/>
        <v>0</v>
      </c>
      <c r="O1400" s="8" t="s">
        <v>20</v>
      </c>
      <c r="P1400" s="8"/>
      <c r="Q1400" s="8" t="s">
        <v>21</v>
      </c>
      <c r="R1400" s="8" t="s">
        <v>21</v>
      </c>
      <c r="S1400" s="8" t="s">
        <v>21</v>
      </c>
      <c r="T1400" s="8" t="s">
        <v>21</v>
      </c>
      <c r="U1400" s="6">
        <f t="shared" si="166"/>
        <v>1560.8240000000001</v>
      </c>
      <c r="V1400" s="6">
        <f t="shared" si="168"/>
        <v>1560.8240000000001</v>
      </c>
    </row>
    <row r="1401" spans="1:22" x14ac:dyDescent="0.35">
      <c r="A1401" s="6" t="s">
        <v>1555</v>
      </c>
      <c r="B1401" s="6" t="s">
        <v>1541</v>
      </c>
      <c r="C1401" s="6" t="s">
        <v>1542</v>
      </c>
      <c r="D1401" s="6">
        <f t="shared" si="169"/>
        <v>0.5</v>
      </c>
      <c r="E1401" s="6" t="s">
        <v>19</v>
      </c>
      <c r="F1401" s="6" t="str">
        <f>MID(A1401,19,1)</f>
        <v>N</v>
      </c>
      <c r="G1401" s="6">
        <v>-23.130566124473841</v>
      </c>
      <c r="H1401" s="6">
        <v>-46.950075839695501</v>
      </c>
      <c r="I1401" s="9">
        <v>1114.1099999999999</v>
      </c>
      <c r="K1401" s="6">
        <v>2.59</v>
      </c>
      <c r="L1401" s="6">
        <v>20</v>
      </c>
      <c r="N1401" s="1">
        <f t="shared" si="165"/>
        <v>0</v>
      </c>
      <c r="O1401" s="8" t="s">
        <v>25</v>
      </c>
      <c r="P1401" s="8"/>
      <c r="Q1401" s="8" t="s">
        <v>21</v>
      </c>
      <c r="R1401" s="8" t="s">
        <v>21</v>
      </c>
      <c r="S1401" s="8" t="s">
        <v>21</v>
      </c>
      <c r="T1401" s="8" t="s">
        <v>21</v>
      </c>
      <c r="U1401" s="6">
        <f t="shared" si="166"/>
        <v>222.822</v>
      </c>
      <c r="V1401" s="6">
        <f t="shared" si="168"/>
        <v>222.822</v>
      </c>
    </row>
    <row r="1402" spans="1:22" hidden="1" x14ac:dyDescent="0.35">
      <c r="A1402" s="6" t="s">
        <v>1556</v>
      </c>
      <c r="B1402" s="6" t="s">
        <v>1541</v>
      </c>
      <c r="C1402" s="6" t="s">
        <v>1542</v>
      </c>
      <c r="D1402" s="6">
        <f t="shared" si="169"/>
        <v>0.5</v>
      </c>
      <c r="E1402" s="6" t="s">
        <v>19</v>
      </c>
      <c r="F1402" s="6" t="str">
        <f>MID(A1402,19,1)</f>
        <v>S</v>
      </c>
      <c r="G1402" s="6">
        <v>-23.129521690909169</v>
      </c>
      <c r="H1402" s="6">
        <v>-46.98146413729711</v>
      </c>
      <c r="I1402" s="9">
        <v>293.10000000000002</v>
      </c>
      <c r="K1402" s="6">
        <v>4.8600000000000003</v>
      </c>
      <c r="L1402" s="6">
        <v>30</v>
      </c>
      <c r="N1402" s="1">
        <f t="shared" si="165"/>
        <v>0</v>
      </c>
      <c r="O1402" s="8" t="s">
        <v>20</v>
      </c>
      <c r="P1402" s="8"/>
      <c r="Q1402" s="8" t="s">
        <v>21</v>
      </c>
      <c r="R1402" s="8" t="s">
        <v>21</v>
      </c>
      <c r="S1402" s="8" t="s">
        <v>21</v>
      </c>
      <c r="T1402" s="8" t="s">
        <v>21</v>
      </c>
      <c r="U1402" s="6">
        <f t="shared" si="166"/>
        <v>87.93</v>
      </c>
      <c r="V1402" s="6">
        <f t="shared" si="168"/>
        <v>87.93</v>
      </c>
    </row>
    <row r="1403" spans="1:22" hidden="1" x14ac:dyDescent="0.35">
      <c r="A1403" s="6" t="s">
        <v>1557</v>
      </c>
      <c r="B1403" s="6" t="s">
        <v>1541</v>
      </c>
      <c r="C1403" s="6" t="s">
        <v>1542</v>
      </c>
      <c r="D1403" s="6">
        <f t="shared" si="169"/>
        <v>0.5</v>
      </c>
      <c r="E1403" s="6" t="s">
        <v>23</v>
      </c>
      <c r="F1403" s="6" t="str">
        <f>MID(A1403,19,1)</f>
        <v>C</v>
      </c>
      <c r="G1403" s="6">
        <v>-23.12941094950213</v>
      </c>
      <c r="H1403" s="6">
        <v>-46.981107530370089</v>
      </c>
      <c r="I1403" s="9">
        <v>1811.3</v>
      </c>
      <c r="J1403" s="9">
        <f>I1403/500</f>
        <v>3.6225999999999998</v>
      </c>
      <c r="K1403" s="6">
        <v>2.83</v>
      </c>
      <c r="L1403" s="6">
        <v>70</v>
      </c>
      <c r="N1403" s="1">
        <f t="shared" si="165"/>
        <v>0</v>
      </c>
      <c r="O1403" s="8" t="s">
        <v>185</v>
      </c>
      <c r="P1403" s="8"/>
      <c r="Q1403" s="8" t="s">
        <v>21</v>
      </c>
      <c r="R1403" s="8" t="s">
        <v>21</v>
      </c>
      <c r="S1403" s="8" t="s">
        <v>21</v>
      </c>
      <c r="T1403" s="8" t="s">
        <v>21</v>
      </c>
      <c r="U1403" s="6">
        <f t="shared" si="166"/>
        <v>1267.9099999999999</v>
      </c>
      <c r="V1403" s="6">
        <f t="shared" si="168"/>
        <v>1267.9099999999999</v>
      </c>
    </row>
    <row r="1404" spans="1:22" x14ac:dyDescent="0.35">
      <c r="A1404" s="6" t="s">
        <v>1558</v>
      </c>
      <c r="B1404" s="6" t="s">
        <v>1541</v>
      </c>
      <c r="C1404" s="6" t="s">
        <v>1542</v>
      </c>
      <c r="D1404" s="6">
        <f t="shared" si="169"/>
        <v>0.5</v>
      </c>
      <c r="E1404" s="6" t="s">
        <v>19</v>
      </c>
      <c r="F1404" s="6" t="str">
        <f>MID(A1404,19,1)</f>
        <v>N</v>
      </c>
      <c r="G1404" s="6">
        <v>-23.130923829536119</v>
      </c>
      <c r="H1404" s="6">
        <v>-46.979711442616463</v>
      </c>
      <c r="I1404" s="9">
        <v>2404.31</v>
      </c>
      <c r="K1404" s="6">
        <v>3.28</v>
      </c>
      <c r="L1404" s="6">
        <v>40</v>
      </c>
      <c r="N1404" s="1">
        <f t="shared" si="165"/>
        <v>0</v>
      </c>
      <c r="O1404" s="8" t="s">
        <v>20</v>
      </c>
      <c r="P1404" s="8"/>
      <c r="Q1404" s="8" t="s">
        <v>21</v>
      </c>
      <c r="R1404" s="8" t="s">
        <v>21</v>
      </c>
      <c r="S1404" s="8" t="s">
        <v>21</v>
      </c>
      <c r="T1404" s="8" t="s">
        <v>21</v>
      </c>
      <c r="U1404" s="6">
        <f t="shared" si="166"/>
        <v>961.72400000000005</v>
      </c>
      <c r="V1404" s="6">
        <f t="shared" si="168"/>
        <v>961.72400000000005</v>
      </c>
    </row>
    <row r="1405" spans="1:22" hidden="1" x14ac:dyDescent="0.35">
      <c r="A1405" s="6" t="s">
        <v>1559</v>
      </c>
      <c r="B1405" s="6" t="s">
        <v>1560</v>
      </c>
      <c r="C1405" s="6" t="s">
        <v>1561</v>
      </c>
      <c r="D1405" s="6">
        <f t="shared" si="169"/>
        <v>0.5</v>
      </c>
      <c r="E1405" s="6" t="s">
        <v>19</v>
      </c>
      <c r="F1405" s="6" t="str">
        <f>MID(A1405,19,1)</f>
        <v>S</v>
      </c>
      <c r="G1405" s="6">
        <v>-23.119607004187159</v>
      </c>
      <c r="H1405" s="6">
        <v>-46.955233002174253</v>
      </c>
      <c r="I1405" s="9">
        <v>1809.96</v>
      </c>
      <c r="K1405" s="6">
        <v>6.7</v>
      </c>
      <c r="L1405" s="6">
        <v>70</v>
      </c>
      <c r="N1405" s="1">
        <f t="shared" si="165"/>
        <v>0</v>
      </c>
      <c r="O1405" s="8" t="s">
        <v>20</v>
      </c>
      <c r="P1405" s="8"/>
      <c r="Q1405" s="8" t="s">
        <v>21</v>
      </c>
      <c r="R1405" s="8" t="s">
        <v>21</v>
      </c>
      <c r="S1405" s="8" t="s">
        <v>21</v>
      </c>
      <c r="T1405" s="8" t="s">
        <v>21</v>
      </c>
      <c r="U1405" s="6">
        <f t="shared" si="166"/>
        <v>1266.972</v>
      </c>
      <c r="V1405" s="6">
        <f t="shared" si="168"/>
        <v>1266.972</v>
      </c>
    </row>
    <row r="1406" spans="1:22" hidden="1" x14ac:dyDescent="0.35">
      <c r="A1406" s="6" t="s">
        <v>1562</v>
      </c>
      <c r="B1406" s="6" t="s">
        <v>1560</v>
      </c>
      <c r="C1406" s="6" t="s">
        <v>1561</v>
      </c>
      <c r="D1406" s="6">
        <f t="shared" si="169"/>
        <v>0.5</v>
      </c>
      <c r="E1406" s="6" t="s">
        <v>23</v>
      </c>
      <c r="F1406" s="6" t="str">
        <f>MID(A1406,19,1)</f>
        <v>C</v>
      </c>
      <c r="G1406" s="6">
        <v>-23.12439002341679</v>
      </c>
      <c r="H1406" s="6">
        <v>-46.986306659713208</v>
      </c>
      <c r="I1406" s="9">
        <v>14902.68</v>
      </c>
      <c r="J1406" s="9">
        <f t="shared" ref="J1406:J1408" si="171">I1406/500</f>
        <v>29.80536</v>
      </c>
      <c r="K1406" s="6">
        <v>3.75</v>
      </c>
      <c r="L1406" s="6">
        <v>80</v>
      </c>
      <c r="N1406" s="1">
        <f t="shared" si="165"/>
        <v>0</v>
      </c>
      <c r="O1406" s="8" t="s">
        <v>185</v>
      </c>
      <c r="P1406" s="8"/>
      <c r="Q1406" s="8" t="s">
        <v>21</v>
      </c>
      <c r="R1406" s="8" t="s">
        <v>21</v>
      </c>
      <c r="S1406" s="8" t="s">
        <v>21</v>
      </c>
      <c r="T1406" s="8" t="s">
        <v>21</v>
      </c>
      <c r="U1406" s="6">
        <f t="shared" si="166"/>
        <v>11922.144</v>
      </c>
      <c r="V1406" s="6">
        <f t="shared" si="168"/>
        <v>11922.144</v>
      </c>
    </row>
    <row r="1407" spans="1:22" hidden="1" x14ac:dyDescent="0.35">
      <c r="A1407" s="6" t="s">
        <v>1563</v>
      </c>
      <c r="B1407" s="6" t="s">
        <v>1560</v>
      </c>
      <c r="C1407" s="6" t="s">
        <v>1561</v>
      </c>
      <c r="D1407" s="6">
        <f t="shared" si="169"/>
        <v>0.5</v>
      </c>
      <c r="E1407" s="6" t="s">
        <v>23</v>
      </c>
      <c r="F1407" s="6" t="str">
        <f>MID(A1407,19,1)</f>
        <v>C</v>
      </c>
      <c r="G1407" s="6">
        <v>-23.121328154308401</v>
      </c>
      <c r="H1407" s="6">
        <v>-46.989774026307913</v>
      </c>
      <c r="I1407" s="9">
        <v>12538.4</v>
      </c>
      <c r="J1407" s="9">
        <f t="shared" si="171"/>
        <v>25.076799999999999</v>
      </c>
      <c r="K1407" s="6">
        <v>3.97</v>
      </c>
      <c r="L1407" s="6">
        <v>80</v>
      </c>
      <c r="N1407" s="1">
        <f t="shared" si="165"/>
        <v>0</v>
      </c>
      <c r="O1407" s="8" t="s">
        <v>185</v>
      </c>
      <c r="P1407" s="8"/>
      <c r="Q1407" s="8" t="s">
        <v>21</v>
      </c>
      <c r="R1407" s="8" t="s">
        <v>21</v>
      </c>
      <c r="S1407" s="8" t="s">
        <v>21</v>
      </c>
      <c r="T1407" s="8" t="s">
        <v>21</v>
      </c>
      <c r="U1407" s="6">
        <f t="shared" si="166"/>
        <v>10030.720000000001</v>
      </c>
      <c r="V1407" s="6">
        <f t="shared" si="168"/>
        <v>10030.720000000001</v>
      </c>
    </row>
    <row r="1408" spans="1:22" hidden="1" x14ac:dyDescent="0.35">
      <c r="A1408" s="6" t="s">
        <v>1564</v>
      </c>
      <c r="B1408" s="6" t="s">
        <v>1560</v>
      </c>
      <c r="C1408" s="6" t="s">
        <v>1561</v>
      </c>
      <c r="D1408" s="6">
        <f t="shared" si="169"/>
        <v>0.5</v>
      </c>
      <c r="E1408" s="6" t="s">
        <v>23</v>
      </c>
      <c r="F1408" s="6" t="str">
        <f>MID(A1408,19,1)</f>
        <v>C</v>
      </c>
      <c r="G1408" s="6">
        <v>-23.12277993302412</v>
      </c>
      <c r="H1408" s="6">
        <v>-46.988132462606522</v>
      </c>
      <c r="I1408" s="9">
        <v>522.19000000000005</v>
      </c>
      <c r="J1408" s="9">
        <f t="shared" si="171"/>
        <v>1.0443800000000001</v>
      </c>
      <c r="K1408" s="6">
        <v>2.3199999999999998</v>
      </c>
      <c r="L1408" s="6">
        <v>0</v>
      </c>
      <c r="N1408" s="1">
        <f t="shared" si="165"/>
        <v>0</v>
      </c>
      <c r="O1408" s="8"/>
      <c r="P1408" s="8"/>
      <c r="Q1408" s="8" t="s">
        <v>21</v>
      </c>
      <c r="R1408" s="8" t="s">
        <v>21</v>
      </c>
      <c r="S1408" s="8" t="s">
        <v>21</v>
      </c>
      <c r="T1408" s="8" t="s">
        <v>21</v>
      </c>
      <c r="U1408" s="6">
        <f t="shared" si="166"/>
        <v>0</v>
      </c>
      <c r="V1408" s="6">
        <f t="shared" si="168"/>
        <v>0</v>
      </c>
    </row>
    <row r="1409" spans="1:22" hidden="1" x14ac:dyDescent="0.35">
      <c r="A1409" s="6" t="s">
        <v>1565</v>
      </c>
      <c r="B1409" s="6" t="s">
        <v>1560</v>
      </c>
      <c r="C1409" s="6" t="s">
        <v>1561</v>
      </c>
      <c r="D1409" s="6">
        <f t="shared" si="169"/>
        <v>0.5</v>
      </c>
      <c r="E1409" s="6" t="s">
        <v>19</v>
      </c>
      <c r="F1409" s="6" t="str">
        <f>MID(A1409,19,1)</f>
        <v>S</v>
      </c>
      <c r="G1409" s="6">
        <v>-23.123381490307729</v>
      </c>
      <c r="H1409" s="6">
        <v>-46.988037950858349</v>
      </c>
      <c r="I1409" s="9">
        <v>2171.79</v>
      </c>
      <c r="K1409" s="6">
        <v>1.56</v>
      </c>
      <c r="L1409" s="6">
        <v>80</v>
      </c>
      <c r="N1409" s="1">
        <f t="shared" si="165"/>
        <v>0</v>
      </c>
      <c r="O1409" s="8" t="s">
        <v>20</v>
      </c>
      <c r="P1409" s="8"/>
      <c r="Q1409" s="8" t="s">
        <v>21</v>
      </c>
      <c r="R1409" s="8" t="s">
        <v>21</v>
      </c>
      <c r="S1409" s="8" t="s">
        <v>21</v>
      </c>
      <c r="T1409" s="8" t="s">
        <v>21</v>
      </c>
      <c r="U1409" s="6">
        <f t="shared" si="166"/>
        <v>1737.432</v>
      </c>
      <c r="V1409" s="6">
        <f t="shared" si="168"/>
        <v>1737.432</v>
      </c>
    </row>
    <row r="1410" spans="1:22" hidden="1" x14ac:dyDescent="0.35">
      <c r="A1410" s="6" t="s">
        <v>1566</v>
      </c>
      <c r="B1410" s="6" t="s">
        <v>1560</v>
      </c>
      <c r="C1410" s="6" t="s">
        <v>1561</v>
      </c>
      <c r="D1410" s="6">
        <f t="shared" si="169"/>
        <v>0.5</v>
      </c>
      <c r="E1410" s="6" t="s">
        <v>19</v>
      </c>
      <c r="F1410" s="6" t="str">
        <f>MID(A1410,19,1)</f>
        <v>S</v>
      </c>
      <c r="G1410" s="6">
        <v>-23.123037786208091</v>
      </c>
      <c r="H1410" s="6">
        <v>-46.988369737518653</v>
      </c>
      <c r="I1410" s="9">
        <v>158.76</v>
      </c>
      <c r="K1410" s="6">
        <v>2.93</v>
      </c>
      <c r="L1410" s="6">
        <v>60</v>
      </c>
      <c r="N1410" s="1">
        <f t="shared" ref="N1410:N1473" si="172">IF(OR(R1410="Sim",S1410="Sim",T1410="Sim"),(L1410/100)*I1410,0)</f>
        <v>0</v>
      </c>
      <c r="O1410" s="8" t="s">
        <v>20</v>
      </c>
      <c r="P1410" s="8"/>
      <c r="Q1410" s="8" t="s">
        <v>21</v>
      </c>
      <c r="R1410" s="8" t="s">
        <v>21</v>
      </c>
      <c r="S1410" s="8" t="s">
        <v>21</v>
      </c>
      <c r="T1410" s="8" t="s">
        <v>21</v>
      </c>
      <c r="U1410" s="6">
        <f t="shared" si="166"/>
        <v>95.255999999999986</v>
      </c>
      <c r="V1410" s="6">
        <f t="shared" si="168"/>
        <v>95.255999999999986</v>
      </c>
    </row>
    <row r="1411" spans="1:22" x14ac:dyDescent="0.35">
      <c r="A1411" s="6" t="s">
        <v>1567</v>
      </c>
      <c r="B1411" s="6" t="s">
        <v>1560</v>
      </c>
      <c r="C1411" s="6" t="s">
        <v>1561</v>
      </c>
      <c r="D1411" s="6">
        <f t="shared" si="169"/>
        <v>0.5</v>
      </c>
      <c r="E1411" s="6" t="s">
        <v>19</v>
      </c>
      <c r="F1411" s="6" t="str">
        <f>MID(A1411,19,1)</f>
        <v>N</v>
      </c>
      <c r="G1411" s="6">
        <v>-23.124136947061039</v>
      </c>
      <c r="H1411" s="6">
        <v>-46.986009708822642</v>
      </c>
      <c r="I1411" s="9">
        <v>1992.09</v>
      </c>
      <c r="K1411" s="6">
        <v>5.5</v>
      </c>
      <c r="L1411" s="6">
        <v>60</v>
      </c>
      <c r="N1411" s="1">
        <f t="shared" si="172"/>
        <v>0</v>
      </c>
      <c r="O1411" s="8" t="s">
        <v>20</v>
      </c>
      <c r="P1411" s="8"/>
      <c r="Q1411" s="8" t="s">
        <v>21</v>
      </c>
      <c r="R1411" s="8" t="s">
        <v>21</v>
      </c>
      <c r="S1411" s="8" t="s">
        <v>21</v>
      </c>
      <c r="T1411" s="8" t="s">
        <v>21</v>
      </c>
      <c r="U1411" s="6">
        <f t="shared" ref="U1411:U1474" si="173">IF(N1411=0,(I1411*(L1411/100)),0)</f>
        <v>1195.2539999999999</v>
      </c>
      <c r="V1411" s="6">
        <f t="shared" si="168"/>
        <v>1195.2539999999999</v>
      </c>
    </row>
    <row r="1412" spans="1:22" x14ac:dyDescent="0.35">
      <c r="A1412" s="6" t="s">
        <v>1568</v>
      </c>
      <c r="B1412" s="6" t="s">
        <v>1560</v>
      </c>
      <c r="C1412" s="6" t="s">
        <v>1561</v>
      </c>
      <c r="D1412" s="6">
        <f t="shared" si="169"/>
        <v>0.5</v>
      </c>
      <c r="E1412" s="6" t="s">
        <v>19</v>
      </c>
      <c r="F1412" s="6" t="str">
        <f>MID(A1412,19,1)</f>
        <v>N</v>
      </c>
      <c r="G1412" s="6">
        <v>-23.123414109141461</v>
      </c>
      <c r="H1412" s="6">
        <v>-46.986957016707422</v>
      </c>
      <c r="I1412" s="9">
        <v>1108.98</v>
      </c>
      <c r="K1412" s="6">
        <v>2.8</v>
      </c>
      <c r="L1412" s="6">
        <v>60</v>
      </c>
      <c r="N1412" s="1">
        <f t="shared" si="172"/>
        <v>0</v>
      </c>
      <c r="O1412" s="8" t="s">
        <v>20</v>
      </c>
      <c r="P1412" s="8"/>
      <c r="Q1412" s="8" t="s">
        <v>21</v>
      </c>
      <c r="R1412" s="8" t="s">
        <v>21</v>
      </c>
      <c r="S1412" s="8" t="s">
        <v>21</v>
      </c>
      <c r="T1412" s="8" t="s">
        <v>21</v>
      </c>
      <c r="U1412" s="6">
        <f t="shared" si="173"/>
        <v>665.38800000000003</v>
      </c>
      <c r="V1412" s="6">
        <f t="shared" si="168"/>
        <v>665.38800000000003</v>
      </c>
    </row>
    <row r="1413" spans="1:22" x14ac:dyDescent="0.35">
      <c r="A1413" s="6" t="s">
        <v>1569</v>
      </c>
      <c r="B1413" s="6" t="s">
        <v>1560</v>
      </c>
      <c r="C1413" s="6" t="s">
        <v>1561</v>
      </c>
      <c r="D1413" s="6">
        <f t="shared" si="169"/>
        <v>0.5</v>
      </c>
      <c r="E1413" s="6" t="s">
        <v>19</v>
      </c>
      <c r="F1413" s="6" t="str">
        <f>MID(A1413,19,1)</f>
        <v>N</v>
      </c>
      <c r="G1413" s="6">
        <v>-23.122486293230839</v>
      </c>
      <c r="H1413" s="6">
        <v>-46.987777663197193</v>
      </c>
      <c r="I1413" s="9">
        <v>67.180000000000007</v>
      </c>
      <c r="K1413" s="6">
        <v>5.08</v>
      </c>
      <c r="L1413" s="6">
        <v>60</v>
      </c>
      <c r="N1413" s="1">
        <f t="shared" si="172"/>
        <v>0</v>
      </c>
      <c r="O1413" s="8" t="s">
        <v>20</v>
      </c>
      <c r="P1413" s="8"/>
      <c r="Q1413" s="8" t="s">
        <v>21</v>
      </c>
      <c r="R1413" s="8" t="s">
        <v>21</v>
      </c>
      <c r="S1413" s="8" t="s">
        <v>21</v>
      </c>
      <c r="T1413" s="8" t="s">
        <v>21</v>
      </c>
      <c r="U1413" s="6">
        <f t="shared" si="173"/>
        <v>40.308</v>
      </c>
      <c r="V1413" s="6">
        <f t="shared" si="168"/>
        <v>40.308</v>
      </c>
    </row>
    <row r="1414" spans="1:22" hidden="1" x14ac:dyDescent="0.35">
      <c r="A1414" s="6" t="s">
        <v>1570</v>
      </c>
      <c r="B1414" s="6" t="s">
        <v>1560</v>
      </c>
      <c r="C1414" s="6" t="s">
        <v>1561</v>
      </c>
      <c r="D1414" s="6">
        <f t="shared" si="169"/>
        <v>0.5</v>
      </c>
      <c r="E1414" s="6" t="s">
        <v>23</v>
      </c>
      <c r="F1414" s="6" t="str">
        <f>MID(A1414,19,1)</f>
        <v>C</v>
      </c>
      <c r="G1414" s="6">
        <v>-23.12107399702413</v>
      </c>
      <c r="H1414" s="6">
        <v>-46.989589663365393</v>
      </c>
      <c r="I1414" s="9">
        <v>1969.09</v>
      </c>
      <c r="J1414" s="9">
        <f>I1414/500</f>
        <v>3.93818</v>
      </c>
      <c r="K1414" s="6">
        <v>3.53</v>
      </c>
      <c r="L1414" s="6">
        <v>50</v>
      </c>
      <c r="N1414" s="1">
        <f t="shared" si="172"/>
        <v>0</v>
      </c>
      <c r="O1414" s="8" t="s">
        <v>20</v>
      </c>
      <c r="P1414" s="8"/>
      <c r="Q1414" s="8" t="s">
        <v>21</v>
      </c>
      <c r="R1414" s="8" t="s">
        <v>21</v>
      </c>
      <c r="S1414" s="8" t="s">
        <v>21</v>
      </c>
      <c r="T1414" s="8" t="s">
        <v>21</v>
      </c>
      <c r="U1414" s="6">
        <f t="shared" si="173"/>
        <v>984.54499999999996</v>
      </c>
      <c r="V1414" s="6">
        <f t="shared" si="168"/>
        <v>984.54499999999996</v>
      </c>
    </row>
    <row r="1415" spans="1:22" x14ac:dyDescent="0.35">
      <c r="A1415" s="6" t="s">
        <v>1571</v>
      </c>
      <c r="B1415" s="6" t="s">
        <v>1560</v>
      </c>
      <c r="C1415" s="6" t="s">
        <v>1561</v>
      </c>
      <c r="D1415" s="6">
        <f t="shared" si="169"/>
        <v>0.5</v>
      </c>
      <c r="E1415" s="6" t="s">
        <v>19</v>
      </c>
      <c r="F1415" s="6" t="str">
        <f>MID(A1415,19,1)</f>
        <v>N</v>
      </c>
      <c r="G1415" s="6">
        <v>-23.122602345206609</v>
      </c>
      <c r="H1415" s="6">
        <v>-46.987880961479433</v>
      </c>
      <c r="I1415" s="9">
        <v>44.18</v>
      </c>
      <c r="K1415" s="6">
        <v>4.3499999999999996</v>
      </c>
      <c r="L1415" s="6">
        <v>60</v>
      </c>
      <c r="N1415" s="1">
        <f t="shared" si="172"/>
        <v>0</v>
      </c>
      <c r="O1415" s="8" t="s">
        <v>20</v>
      </c>
      <c r="P1415" s="8"/>
      <c r="Q1415" s="8" t="s">
        <v>21</v>
      </c>
      <c r="R1415" s="8" t="s">
        <v>21</v>
      </c>
      <c r="S1415" s="8" t="s">
        <v>21</v>
      </c>
      <c r="T1415" s="8" t="s">
        <v>21</v>
      </c>
      <c r="U1415" s="6">
        <f t="shared" si="173"/>
        <v>26.507999999999999</v>
      </c>
      <c r="V1415" s="6">
        <f t="shared" si="168"/>
        <v>26.507999999999999</v>
      </c>
    </row>
    <row r="1416" spans="1:22" x14ac:dyDescent="0.35">
      <c r="A1416" s="6" t="s">
        <v>1572</v>
      </c>
      <c r="B1416" s="6" t="s">
        <v>1560</v>
      </c>
      <c r="C1416" s="6" t="s">
        <v>1561</v>
      </c>
      <c r="D1416" s="6">
        <f t="shared" si="169"/>
        <v>0.5</v>
      </c>
      <c r="E1416" s="6" t="s">
        <v>19</v>
      </c>
      <c r="F1416" s="6" t="str">
        <f>MID(A1416,19,1)</f>
        <v>N</v>
      </c>
      <c r="G1416" s="6">
        <v>-23.125101866022298</v>
      </c>
      <c r="H1416" s="6">
        <v>-46.95320159757307</v>
      </c>
      <c r="I1416" s="9">
        <v>876.48</v>
      </c>
      <c r="K1416" s="6">
        <v>5.82</v>
      </c>
      <c r="L1416" s="6">
        <v>0</v>
      </c>
      <c r="N1416" s="1">
        <f t="shared" si="172"/>
        <v>0</v>
      </c>
      <c r="O1416" s="8"/>
      <c r="P1416" s="8"/>
      <c r="Q1416" s="8" t="s">
        <v>21</v>
      </c>
      <c r="R1416" s="8" t="s">
        <v>21</v>
      </c>
      <c r="S1416" s="8" t="s">
        <v>21</v>
      </c>
      <c r="T1416" s="8" t="s">
        <v>21</v>
      </c>
      <c r="U1416" s="6">
        <f t="shared" si="173"/>
        <v>0</v>
      </c>
      <c r="V1416" s="6">
        <f t="shared" si="168"/>
        <v>0</v>
      </c>
    </row>
    <row r="1417" spans="1:22" hidden="1" x14ac:dyDescent="0.35">
      <c r="A1417" s="6" t="s">
        <v>1573</v>
      </c>
      <c r="B1417" s="6" t="s">
        <v>1560</v>
      </c>
      <c r="C1417" s="6" t="s">
        <v>1561</v>
      </c>
      <c r="D1417" s="6">
        <f t="shared" si="169"/>
        <v>0.5</v>
      </c>
      <c r="E1417" s="6" t="s">
        <v>19</v>
      </c>
      <c r="F1417" s="6" t="str">
        <f>MID(A1417,19,1)</f>
        <v>S</v>
      </c>
      <c r="G1417" s="6">
        <v>-23.12458371958482</v>
      </c>
      <c r="H1417" s="6">
        <v>-46.986631869112038</v>
      </c>
      <c r="I1417" s="9">
        <v>2009.35</v>
      </c>
      <c r="K1417" s="6">
        <v>5.97</v>
      </c>
      <c r="L1417" s="6">
        <v>80</v>
      </c>
      <c r="N1417" s="1">
        <f t="shared" si="172"/>
        <v>0</v>
      </c>
      <c r="O1417" s="8" t="s">
        <v>20</v>
      </c>
      <c r="P1417" s="8"/>
      <c r="Q1417" s="8" t="s">
        <v>21</v>
      </c>
      <c r="R1417" s="8" t="s">
        <v>21</v>
      </c>
      <c r="S1417" s="8" t="s">
        <v>21</v>
      </c>
      <c r="T1417" s="8" t="s">
        <v>21</v>
      </c>
      <c r="U1417" s="6">
        <f t="shared" si="173"/>
        <v>1607.48</v>
      </c>
      <c r="V1417" s="6">
        <f t="shared" si="168"/>
        <v>1607.48</v>
      </c>
    </row>
    <row r="1418" spans="1:22" hidden="1" x14ac:dyDescent="0.35">
      <c r="A1418" s="6" t="s">
        <v>1574</v>
      </c>
      <c r="B1418" s="6" t="s">
        <v>1560</v>
      </c>
      <c r="C1418" s="6" t="s">
        <v>1561</v>
      </c>
      <c r="D1418" s="6">
        <f t="shared" si="169"/>
        <v>0.5</v>
      </c>
      <c r="E1418" s="6" t="s">
        <v>19</v>
      </c>
      <c r="F1418" s="6" t="str">
        <f>MID(A1418,19,1)</f>
        <v>S</v>
      </c>
      <c r="G1418" s="6">
        <v>-23.12173028589536</v>
      </c>
      <c r="H1418" s="6">
        <v>-46.989803941593458</v>
      </c>
      <c r="I1418" s="9">
        <v>1829.67</v>
      </c>
      <c r="K1418" s="6">
        <v>5.2</v>
      </c>
      <c r="L1418" s="6">
        <v>60</v>
      </c>
      <c r="N1418" s="1">
        <f t="shared" si="172"/>
        <v>0</v>
      </c>
      <c r="O1418" s="8" t="s">
        <v>20</v>
      </c>
      <c r="P1418" s="8"/>
      <c r="Q1418" s="8" t="s">
        <v>21</v>
      </c>
      <c r="R1418" s="8" t="s">
        <v>21</v>
      </c>
      <c r="S1418" s="8" t="s">
        <v>21</v>
      </c>
      <c r="T1418" s="8" t="s">
        <v>21</v>
      </c>
      <c r="U1418" s="6">
        <f t="shared" si="173"/>
        <v>1097.8019999999999</v>
      </c>
      <c r="V1418" s="6">
        <f t="shared" si="168"/>
        <v>1097.8019999999999</v>
      </c>
    </row>
    <row r="1419" spans="1:22" hidden="1" x14ac:dyDescent="0.35">
      <c r="A1419" s="6" t="s">
        <v>1575</v>
      </c>
      <c r="B1419" s="6" t="s">
        <v>1560</v>
      </c>
      <c r="C1419" s="6" t="s">
        <v>1561</v>
      </c>
      <c r="D1419" s="6">
        <f t="shared" si="169"/>
        <v>0.5</v>
      </c>
      <c r="E1419" s="6" t="s">
        <v>19</v>
      </c>
      <c r="F1419" s="6" t="str">
        <f>MID(A1419,19,1)</f>
        <v>S</v>
      </c>
      <c r="G1419" s="6">
        <v>-23.123073487656001</v>
      </c>
      <c r="H1419" s="6">
        <v>-46.954221682790987</v>
      </c>
      <c r="I1419" s="9">
        <v>1381.22</v>
      </c>
      <c r="K1419" s="6">
        <v>8.49</v>
      </c>
      <c r="L1419" s="6">
        <v>60</v>
      </c>
      <c r="N1419" s="1">
        <f t="shared" si="172"/>
        <v>0</v>
      </c>
      <c r="O1419" s="8" t="s">
        <v>20</v>
      </c>
      <c r="P1419" s="8"/>
      <c r="Q1419" s="8" t="s">
        <v>21</v>
      </c>
      <c r="R1419" s="8" t="s">
        <v>21</v>
      </c>
      <c r="S1419" s="8" t="s">
        <v>21</v>
      </c>
      <c r="T1419" s="8" t="s">
        <v>21</v>
      </c>
      <c r="U1419" s="6">
        <f t="shared" si="173"/>
        <v>828.73199999999997</v>
      </c>
      <c r="V1419" s="6">
        <f t="shared" si="168"/>
        <v>828.73199999999997</v>
      </c>
    </row>
    <row r="1420" spans="1:22" x14ac:dyDescent="0.35">
      <c r="A1420" s="6" t="s">
        <v>1576</v>
      </c>
      <c r="B1420" s="6" t="s">
        <v>1560</v>
      </c>
      <c r="C1420" s="6" t="s">
        <v>1561</v>
      </c>
      <c r="D1420" s="6">
        <f t="shared" si="169"/>
        <v>0.5</v>
      </c>
      <c r="E1420" s="6" t="s">
        <v>19</v>
      </c>
      <c r="F1420" s="6" t="str">
        <f>MID(A1420,19,1)</f>
        <v>N</v>
      </c>
      <c r="G1420" s="6">
        <v>-23.122912697565869</v>
      </c>
      <c r="H1420" s="6">
        <v>-46.953886430046047</v>
      </c>
      <c r="I1420" s="9">
        <v>1243.95</v>
      </c>
      <c r="K1420" s="6">
        <v>5.3</v>
      </c>
      <c r="L1420" s="6">
        <v>0</v>
      </c>
      <c r="N1420" s="1">
        <f t="shared" si="172"/>
        <v>0</v>
      </c>
      <c r="O1420" s="8"/>
      <c r="P1420" s="8"/>
      <c r="Q1420" s="8" t="s">
        <v>21</v>
      </c>
      <c r="R1420" s="8" t="s">
        <v>21</v>
      </c>
      <c r="S1420" s="8" t="s">
        <v>21</v>
      </c>
      <c r="T1420" s="8" t="s">
        <v>21</v>
      </c>
      <c r="U1420" s="6">
        <f t="shared" si="173"/>
        <v>0</v>
      </c>
      <c r="V1420" s="6">
        <f t="shared" ref="V1420:V1483" si="174">(I1420*(L1420/100))</f>
        <v>0</v>
      </c>
    </row>
    <row r="1421" spans="1:22" hidden="1" x14ac:dyDescent="0.35">
      <c r="A1421" s="6" t="s">
        <v>1577</v>
      </c>
      <c r="B1421" s="6" t="s">
        <v>1560</v>
      </c>
      <c r="C1421" s="6" t="s">
        <v>1561</v>
      </c>
      <c r="D1421" s="6">
        <f t="shared" si="169"/>
        <v>0.5</v>
      </c>
      <c r="E1421" s="6" t="s">
        <v>19</v>
      </c>
      <c r="F1421" s="6" t="str">
        <f>MID(A1421,19,1)</f>
        <v>S</v>
      </c>
      <c r="G1421" s="6">
        <v>-23.12533141101823</v>
      </c>
      <c r="H1421" s="6">
        <v>-46.953552962600142</v>
      </c>
      <c r="I1421" s="9">
        <v>795.22</v>
      </c>
      <c r="K1421" s="6">
        <v>6.35</v>
      </c>
      <c r="L1421" s="6">
        <v>60</v>
      </c>
      <c r="N1421" s="1">
        <f t="shared" si="172"/>
        <v>0</v>
      </c>
      <c r="O1421" s="8" t="s">
        <v>20</v>
      </c>
      <c r="P1421" s="8"/>
      <c r="Q1421" s="8" t="s">
        <v>21</v>
      </c>
      <c r="R1421" s="8" t="s">
        <v>21</v>
      </c>
      <c r="S1421" s="8" t="s">
        <v>21</v>
      </c>
      <c r="T1421" s="8" t="s">
        <v>21</v>
      </c>
      <c r="U1421" s="6">
        <f t="shared" si="173"/>
        <v>477.13200000000001</v>
      </c>
      <c r="V1421" s="6">
        <f t="shared" si="174"/>
        <v>477.13200000000001</v>
      </c>
    </row>
    <row r="1422" spans="1:22" x14ac:dyDescent="0.35">
      <c r="A1422" s="6" t="s">
        <v>1578</v>
      </c>
      <c r="B1422" s="6" t="s">
        <v>1560</v>
      </c>
      <c r="C1422" s="6" t="s">
        <v>1561</v>
      </c>
      <c r="D1422" s="6">
        <f t="shared" ref="D1422:D1485" si="175">C1422-B1422</f>
        <v>0.5</v>
      </c>
      <c r="E1422" s="6" t="s">
        <v>19</v>
      </c>
      <c r="F1422" s="6" t="str">
        <f>MID(A1422,19,1)</f>
        <v>N</v>
      </c>
      <c r="G1422" s="6">
        <v>-23.119527849951162</v>
      </c>
      <c r="H1422" s="6">
        <v>-46.954888182479458</v>
      </c>
      <c r="I1422" s="9">
        <v>1867.35</v>
      </c>
      <c r="K1422" s="6">
        <v>5.33</v>
      </c>
      <c r="L1422" s="6">
        <v>0</v>
      </c>
      <c r="N1422" s="1">
        <f t="shared" si="172"/>
        <v>0</v>
      </c>
      <c r="O1422" s="8"/>
      <c r="P1422" s="8"/>
      <c r="Q1422" s="8" t="s">
        <v>21</v>
      </c>
      <c r="R1422" s="8" t="s">
        <v>21</v>
      </c>
      <c r="S1422" s="8" t="s">
        <v>21</v>
      </c>
      <c r="T1422" s="8" t="s">
        <v>21</v>
      </c>
      <c r="U1422" s="6">
        <f t="shared" si="173"/>
        <v>0</v>
      </c>
      <c r="V1422" s="6">
        <f t="shared" si="174"/>
        <v>0</v>
      </c>
    </row>
    <row r="1423" spans="1:22" hidden="1" x14ac:dyDescent="0.35">
      <c r="A1423" s="6" t="s">
        <v>1579</v>
      </c>
      <c r="B1423" s="6" t="s">
        <v>1560</v>
      </c>
      <c r="C1423" s="6" t="s">
        <v>1561</v>
      </c>
      <c r="D1423" s="6">
        <f t="shared" si="175"/>
        <v>0.5</v>
      </c>
      <c r="E1423" s="6" t="s">
        <v>23</v>
      </c>
      <c r="F1423" s="6" t="str">
        <f>MID(A1423,19,1)</f>
        <v>C</v>
      </c>
      <c r="G1423" s="6">
        <v>-23.121343811413151</v>
      </c>
      <c r="H1423" s="6">
        <v>-46.989001225283047</v>
      </c>
      <c r="I1423" s="9">
        <v>1075.2</v>
      </c>
      <c r="J1423" s="9">
        <f t="shared" ref="J1423:J1424" si="176">I1423/500</f>
        <v>2.1504000000000003</v>
      </c>
      <c r="K1423" s="6">
        <v>5.16</v>
      </c>
      <c r="L1423" s="6">
        <v>50</v>
      </c>
      <c r="N1423" s="1">
        <f t="shared" si="172"/>
        <v>0</v>
      </c>
      <c r="O1423" s="8" t="s">
        <v>20</v>
      </c>
      <c r="P1423" s="8"/>
      <c r="Q1423" s="8" t="s">
        <v>21</v>
      </c>
      <c r="R1423" s="8" t="s">
        <v>21</v>
      </c>
      <c r="S1423" s="8" t="s">
        <v>21</v>
      </c>
      <c r="T1423" s="8" t="s">
        <v>21</v>
      </c>
      <c r="U1423" s="6">
        <f t="shared" si="173"/>
        <v>537.6</v>
      </c>
      <c r="V1423" s="6">
        <f t="shared" si="174"/>
        <v>537.6</v>
      </c>
    </row>
    <row r="1424" spans="1:22" hidden="1" x14ac:dyDescent="0.35">
      <c r="A1424" s="6" t="s">
        <v>1580</v>
      </c>
      <c r="B1424" s="6" t="s">
        <v>1581</v>
      </c>
      <c r="C1424" s="6" t="s">
        <v>1582</v>
      </c>
      <c r="D1424" s="6">
        <f t="shared" si="175"/>
        <v>0.5</v>
      </c>
      <c r="E1424" s="6" t="s">
        <v>23</v>
      </c>
      <c r="F1424" s="6" t="str">
        <f>MID(A1424,19,1)</f>
        <v>C</v>
      </c>
      <c r="G1424" s="6">
        <v>-23.115473670332889</v>
      </c>
      <c r="H1424" s="6">
        <v>-46.996638990265353</v>
      </c>
      <c r="I1424" s="9">
        <v>15073.03</v>
      </c>
      <c r="J1424" s="9">
        <f t="shared" si="176"/>
        <v>30.146060000000002</v>
      </c>
      <c r="K1424" s="6">
        <v>5.82</v>
      </c>
      <c r="L1424" s="6">
        <v>70</v>
      </c>
      <c r="N1424" s="1">
        <f t="shared" si="172"/>
        <v>0</v>
      </c>
      <c r="O1424" s="8" t="s">
        <v>185</v>
      </c>
      <c r="P1424" s="8"/>
      <c r="Q1424" s="8" t="s">
        <v>21</v>
      </c>
      <c r="R1424" s="8" t="s">
        <v>21</v>
      </c>
      <c r="S1424" s="8" t="s">
        <v>21</v>
      </c>
      <c r="T1424" s="8" t="s">
        <v>21</v>
      </c>
      <c r="U1424" s="6">
        <f t="shared" si="173"/>
        <v>10551.120999999999</v>
      </c>
      <c r="V1424" s="6">
        <f t="shared" si="174"/>
        <v>10551.120999999999</v>
      </c>
    </row>
    <row r="1425" spans="1:22" x14ac:dyDescent="0.35">
      <c r="A1425" s="6" t="s">
        <v>1583</v>
      </c>
      <c r="B1425" s="6" t="s">
        <v>1581</v>
      </c>
      <c r="C1425" s="6" t="s">
        <v>1582</v>
      </c>
      <c r="D1425" s="6">
        <f t="shared" si="175"/>
        <v>0.5</v>
      </c>
      <c r="E1425" s="6" t="s">
        <v>19</v>
      </c>
      <c r="F1425" s="6" t="str">
        <f>MID(A1425,19,1)</f>
        <v>N</v>
      </c>
      <c r="G1425" s="6">
        <v>-23.11612272687038</v>
      </c>
      <c r="H1425" s="6">
        <v>-46.956091755009837</v>
      </c>
      <c r="I1425" s="9">
        <v>1317.24</v>
      </c>
      <c r="K1425" s="6">
        <v>7.39</v>
      </c>
      <c r="L1425" s="6">
        <v>70</v>
      </c>
      <c r="N1425" s="1">
        <f t="shared" si="172"/>
        <v>0</v>
      </c>
      <c r="O1425" s="8" t="s">
        <v>20</v>
      </c>
      <c r="P1425" s="8"/>
      <c r="Q1425" s="8" t="s">
        <v>21</v>
      </c>
      <c r="R1425" s="8" t="s">
        <v>21</v>
      </c>
      <c r="S1425" s="8" t="s">
        <v>21</v>
      </c>
      <c r="T1425" s="8" t="s">
        <v>21</v>
      </c>
      <c r="U1425" s="6">
        <f t="shared" si="173"/>
        <v>922.06799999999998</v>
      </c>
      <c r="V1425" s="6">
        <f t="shared" si="174"/>
        <v>922.06799999999998</v>
      </c>
    </row>
    <row r="1426" spans="1:22" x14ac:dyDescent="0.35">
      <c r="A1426" s="6" t="s">
        <v>1584</v>
      </c>
      <c r="B1426" s="6" t="s">
        <v>1581</v>
      </c>
      <c r="C1426" s="6" t="s">
        <v>1582</v>
      </c>
      <c r="D1426" s="6">
        <f t="shared" si="175"/>
        <v>0.5</v>
      </c>
      <c r="E1426" s="6" t="s">
        <v>19</v>
      </c>
      <c r="F1426" s="6" t="str">
        <f>MID(A1426,19,1)</f>
        <v>N</v>
      </c>
      <c r="G1426" s="6">
        <v>-23.113907845588709</v>
      </c>
      <c r="H1426" s="6">
        <v>-46.957090000125589</v>
      </c>
      <c r="I1426" s="9">
        <v>496.61</v>
      </c>
      <c r="K1426" s="6">
        <v>5.74</v>
      </c>
      <c r="L1426" s="6">
        <v>70</v>
      </c>
      <c r="N1426" s="1">
        <f t="shared" si="172"/>
        <v>0</v>
      </c>
      <c r="O1426" s="8" t="s">
        <v>20</v>
      </c>
      <c r="P1426" s="8"/>
      <c r="Q1426" s="8" t="s">
        <v>21</v>
      </c>
      <c r="R1426" s="8" t="s">
        <v>21</v>
      </c>
      <c r="S1426" s="8" t="s">
        <v>21</v>
      </c>
      <c r="T1426" s="8" t="s">
        <v>21</v>
      </c>
      <c r="U1426" s="6">
        <f t="shared" si="173"/>
        <v>347.62700000000001</v>
      </c>
      <c r="V1426" s="6">
        <f t="shared" si="174"/>
        <v>347.62700000000001</v>
      </c>
    </row>
    <row r="1427" spans="1:22" hidden="1" x14ac:dyDescent="0.35">
      <c r="A1427" s="6" t="s">
        <v>1585</v>
      </c>
      <c r="B1427" s="6" t="s">
        <v>1581</v>
      </c>
      <c r="C1427" s="6" t="s">
        <v>1582</v>
      </c>
      <c r="D1427" s="6">
        <f t="shared" si="175"/>
        <v>0.5</v>
      </c>
      <c r="E1427" s="6" t="s">
        <v>19</v>
      </c>
      <c r="F1427" s="6" t="str">
        <f>MID(A1427,19,1)</f>
        <v>S</v>
      </c>
      <c r="G1427" s="6">
        <v>-23.115731505272151</v>
      </c>
      <c r="H1427" s="6">
        <v>-46.996786958294727</v>
      </c>
      <c r="I1427" s="9">
        <v>1949.49</v>
      </c>
      <c r="K1427" s="6">
        <v>6.6</v>
      </c>
      <c r="L1427" s="6">
        <v>70</v>
      </c>
      <c r="N1427" s="1">
        <f t="shared" si="172"/>
        <v>0</v>
      </c>
      <c r="O1427" s="8" t="s">
        <v>20</v>
      </c>
      <c r="P1427" s="8"/>
      <c r="Q1427" s="8" t="s">
        <v>21</v>
      </c>
      <c r="R1427" s="8" t="s">
        <v>21</v>
      </c>
      <c r="S1427" s="8" t="s">
        <v>21</v>
      </c>
      <c r="T1427" s="8" t="s">
        <v>21</v>
      </c>
      <c r="U1427" s="6">
        <f t="shared" si="173"/>
        <v>1364.643</v>
      </c>
      <c r="V1427" s="6">
        <f t="shared" si="174"/>
        <v>1364.643</v>
      </c>
    </row>
    <row r="1428" spans="1:22" hidden="1" x14ac:dyDescent="0.35">
      <c r="A1428" s="6" t="s">
        <v>1586</v>
      </c>
      <c r="B1428" s="6" t="s">
        <v>1581</v>
      </c>
      <c r="C1428" s="6" t="s">
        <v>1582</v>
      </c>
      <c r="D1428" s="6">
        <f t="shared" si="175"/>
        <v>0.5</v>
      </c>
      <c r="E1428" s="6" t="s">
        <v>19</v>
      </c>
      <c r="F1428" s="6" t="str">
        <f>MID(A1428,19,1)</f>
        <v>S</v>
      </c>
      <c r="G1428" s="6">
        <v>-23.111244881151642</v>
      </c>
      <c r="H1428" s="6">
        <v>-46.959286163647121</v>
      </c>
      <c r="I1428" s="9">
        <v>1728.76</v>
      </c>
      <c r="K1428" s="6">
        <v>5.3</v>
      </c>
      <c r="L1428" s="6">
        <v>60</v>
      </c>
      <c r="N1428" s="1">
        <f t="shared" si="172"/>
        <v>0</v>
      </c>
      <c r="O1428" s="8" t="s">
        <v>20</v>
      </c>
      <c r="P1428" s="8"/>
      <c r="Q1428" s="8" t="s">
        <v>21</v>
      </c>
      <c r="R1428" s="8" t="s">
        <v>21</v>
      </c>
      <c r="S1428" s="8" t="s">
        <v>21</v>
      </c>
      <c r="T1428" s="8" t="s">
        <v>21</v>
      </c>
      <c r="U1428" s="6">
        <f t="shared" si="173"/>
        <v>1037.2559999999999</v>
      </c>
      <c r="V1428" s="6">
        <f t="shared" si="174"/>
        <v>1037.2559999999999</v>
      </c>
    </row>
    <row r="1429" spans="1:22" hidden="1" x14ac:dyDescent="0.35">
      <c r="A1429" s="6" t="s">
        <v>1587</v>
      </c>
      <c r="B1429" s="6" t="s">
        <v>1581</v>
      </c>
      <c r="C1429" s="6" t="s">
        <v>1582</v>
      </c>
      <c r="D1429" s="6">
        <f t="shared" si="175"/>
        <v>0.5</v>
      </c>
      <c r="E1429" s="6" t="s">
        <v>19</v>
      </c>
      <c r="F1429" s="6" t="str">
        <f>MID(A1429,19,1)</f>
        <v>S</v>
      </c>
      <c r="G1429" s="6">
        <v>-23.112896453096731</v>
      </c>
      <c r="H1429" s="6">
        <v>-46.9582468231851</v>
      </c>
      <c r="I1429" s="9">
        <v>2456.0700000000002</v>
      </c>
      <c r="K1429" s="6">
        <v>6.34</v>
      </c>
      <c r="L1429" s="6">
        <v>60</v>
      </c>
      <c r="N1429" s="1">
        <f t="shared" si="172"/>
        <v>0</v>
      </c>
      <c r="O1429" s="8" t="s">
        <v>20</v>
      </c>
      <c r="P1429" s="8"/>
      <c r="Q1429" s="8" t="s">
        <v>21</v>
      </c>
      <c r="R1429" s="8" t="s">
        <v>21</v>
      </c>
      <c r="S1429" s="8" t="s">
        <v>21</v>
      </c>
      <c r="T1429" s="8" t="s">
        <v>21</v>
      </c>
      <c r="U1429" s="6">
        <f t="shared" si="173"/>
        <v>1473.6420000000001</v>
      </c>
      <c r="V1429" s="6">
        <f t="shared" si="174"/>
        <v>1473.6420000000001</v>
      </c>
    </row>
    <row r="1430" spans="1:22" hidden="1" x14ac:dyDescent="0.35">
      <c r="A1430" s="6" t="s">
        <v>1588</v>
      </c>
      <c r="B1430" s="6" t="s">
        <v>1581</v>
      </c>
      <c r="C1430" s="6" t="s">
        <v>1582</v>
      </c>
      <c r="D1430" s="6">
        <f t="shared" si="175"/>
        <v>0.5</v>
      </c>
      <c r="E1430" s="6" t="s">
        <v>19</v>
      </c>
      <c r="F1430" s="6" t="str">
        <f>MID(A1430,19,1)</f>
        <v>S</v>
      </c>
      <c r="G1430" s="6">
        <v>-23.113504095506851</v>
      </c>
      <c r="H1430" s="6">
        <v>-46.957976498565557</v>
      </c>
      <c r="I1430" s="9">
        <v>187.03</v>
      </c>
      <c r="K1430" s="6">
        <v>8.7899999999999991</v>
      </c>
      <c r="L1430" s="6">
        <v>60</v>
      </c>
      <c r="N1430" s="1">
        <f t="shared" si="172"/>
        <v>0</v>
      </c>
      <c r="O1430" s="8" t="s">
        <v>20</v>
      </c>
      <c r="P1430" s="8"/>
      <c r="Q1430" s="8" t="s">
        <v>21</v>
      </c>
      <c r="R1430" s="8" t="s">
        <v>21</v>
      </c>
      <c r="S1430" s="8" t="s">
        <v>21</v>
      </c>
      <c r="T1430" s="8" t="s">
        <v>21</v>
      </c>
      <c r="U1430" s="6">
        <f t="shared" si="173"/>
        <v>112.218</v>
      </c>
      <c r="V1430" s="6">
        <f t="shared" si="174"/>
        <v>112.218</v>
      </c>
    </row>
    <row r="1431" spans="1:22" hidden="1" x14ac:dyDescent="0.35">
      <c r="A1431" s="6" t="s">
        <v>1589</v>
      </c>
      <c r="B1431" s="6" t="s">
        <v>1581</v>
      </c>
      <c r="C1431" s="6" t="s">
        <v>1582</v>
      </c>
      <c r="D1431" s="6">
        <f t="shared" si="175"/>
        <v>0.5</v>
      </c>
      <c r="E1431" s="6" t="s">
        <v>19</v>
      </c>
      <c r="F1431" s="6" t="str">
        <f>MID(A1431,19,1)</f>
        <v>S</v>
      </c>
      <c r="G1431" s="6">
        <v>-23.11559458265663</v>
      </c>
      <c r="H1431" s="6">
        <v>-46.956751200842518</v>
      </c>
      <c r="I1431" s="9">
        <v>1963.08</v>
      </c>
      <c r="K1431" s="6">
        <v>9.77</v>
      </c>
      <c r="L1431" s="6">
        <v>70</v>
      </c>
      <c r="N1431" s="1">
        <f t="shared" si="172"/>
        <v>0</v>
      </c>
      <c r="O1431" s="8" t="s">
        <v>20</v>
      </c>
      <c r="P1431" s="8"/>
      <c r="Q1431" s="8" t="s">
        <v>21</v>
      </c>
      <c r="R1431" s="8" t="s">
        <v>21</v>
      </c>
      <c r="S1431" s="8" t="s">
        <v>21</v>
      </c>
      <c r="T1431" s="8" t="s">
        <v>21</v>
      </c>
      <c r="U1431" s="6">
        <f t="shared" si="173"/>
        <v>1374.1559999999999</v>
      </c>
      <c r="V1431" s="6">
        <f t="shared" si="174"/>
        <v>1374.1559999999999</v>
      </c>
    </row>
    <row r="1432" spans="1:22" hidden="1" x14ac:dyDescent="0.35">
      <c r="A1432" s="6" t="s">
        <v>1590</v>
      </c>
      <c r="B1432" s="6" t="s">
        <v>1581</v>
      </c>
      <c r="C1432" s="6" t="s">
        <v>1582</v>
      </c>
      <c r="D1432" s="6">
        <f t="shared" si="175"/>
        <v>0.5</v>
      </c>
      <c r="E1432" s="6" t="s">
        <v>19</v>
      </c>
      <c r="F1432" s="6" t="str">
        <f>MID(A1432,19,1)</f>
        <v>S</v>
      </c>
      <c r="G1432" s="6">
        <v>-23.11871849139149</v>
      </c>
      <c r="H1432" s="6">
        <v>-46.993176024606868</v>
      </c>
      <c r="I1432" s="9">
        <v>2020.31</v>
      </c>
      <c r="K1432" s="6">
        <v>5.35</v>
      </c>
      <c r="L1432" s="6">
        <v>60</v>
      </c>
      <c r="N1432" s="1">
        <f t="shared" si="172"/>
        <v>0</v>
      </c>
      <c r="O1432" s="8" t="s">
        <v>20</v>
      </c>
      <c r="P1432" s="8"/>
      <c r="Q1432" s="8" t="s">
        <v>21</v>
      </c>
      <c r="R1432" s="8" t="s">
        <v>21</v>
      </c>
      <c r="S1432" s="8" t="s">
        <v>21</v>
      </c>
      <c r="T1432" s="8" t="s">
        <v>21</v>
      </c>
      <c r="U1432" s="6">
        <f t="shared" si="173"/>
        <v>1212.1859999999999</v>
      </c>
      <c r="V1432" s="6">
        <f t="shared" si="174"/>
        <v>1212.1859999999999</v>
      </c>
    </row>
    <row r="1433" spans="1:22" x14ac:dyDescent="0.35">
      <c r="A1433" s="6" t="s">
        <v>1591</v>
      </c>
      <c r="B1433" s="6" t="s">
        <v>1581</v>
      </c>
      <c r="C1433" s="6" t="s">
        <v>1582</v>
      </c>
      <c r="D1433" s="6">
        <f t="shared" si="175"/>
        <v>0.5</v>
      </c>
      <c r="E1433" s="6" t="s">
        <v>19</v>
      </c>
      <c r="F1433" s="6" t="str">
        <f>MID(A1433,19,1)</f>
        <v>N</v>
      </c>
      <c r="G1433" s="6">
        <v>-23.118197724133921</v>
      </c>
      <c r="H1433" s="6">
        <v>-46.992773236034097</v>
      </c>
      <c r="I1433" s="9">
        <v>7251.03</v>
      </c>
      <c r="K1433" s="6">
        <v>3.55</v>
      </c>
      <c r="L1433" s="6">
        <v>50</v>
      </c>
      <c r="N1433" s="1">
        <f t="shared" si="172"/>
        <v>0</v>
      </c>
      <c r="O1433" s="8" t="s">
        <v>20</v>
      </c>
      <c r="P1433" s="8"/>
      <c r="Q1433" s="8" t="s">
        <v>21</v>
      </c>
      <c r="R1433" s="8" t="s">
        <v>21</v>
      </c>
      <c r="S1433" s="8" t="s">
        <v>21</v>
      </c>
      <c r="T1433" s="8" t="s">
        <v>21</v>
      </c>
      <c r="U1433" s="6">
        <f t="shared" si="173"/>
        <v>3625.5149999999999</v>
      </c>
      <c r="V1433" s="6">
        <f t="shared" si="174"/>
        <v>3625.5149999999999</v>
      </c>
    </row>
    <row r="1434" spans="1:22" x14ac:dyDescent="0.35">
      <c r="A1434" s="6" t="s">
        <v>1592</v>
      </c>
      <c r="B1434" s="6" t="s">
        <v>1581</v>
      </c>
      <c r="C1434" s="6" t="s">
        <v>1582</v>
      </c>
      <c r="D1434" s="6">
        <f t="shared" si="175"/>
        <v>0.5</v>
      </c>
      <c r="E1434" s="6" t="s">
        <v>19</v>
      </c>
      <c r="F1434" s="6" t="str">
        <f>MID(A1434,19,1)</f>
        <v>N</v>
      </c>
      <c r="G1434" s="6">
        <v>-23.11148076484243</v>
      </c>
      <c r="H1434" s="6">
        <v>-46.958680571729118</v>
      </c>
      <c r="I1434" s="9">
        <v>2027.27</v>
      </c>
      <c r="K1434" s="6">
        <v>5.73</v>
      </c>
      <c r="L1434" s="6">
        <v>0</v>
      </c>
      <c r="N1434" s="1">
        <f t="shared" si="172"/>
        <v>0</v>
      </c>
      <c r="O1434" s="8"/>
      <c r="P1434" s="8"/>
      <c r="Q1434" s="8" t="s">
        <v>21</v>
      </c>
      <c r="R1434" s="8" t="s">
        <v>21</v>
      </c>
      <c r="S1434" s="8" t="s">
        <v>21</v>
      </c>
      <c r="T1434" s="8" t="s">
        <v>21</v>
      </c>
      <c r="U1434" s="6">
        <f t="shared" si="173"/>
        <v>0</v>
      </c>
      <c r="V1434" s="6">
        <f t="shared" si="174"/>
        <v>0</v>
      </c>
    </row>
    <row r="1435" spans="1:22" hidden="1" x14ac:dyDescent="0.35">
      <c r="A1435" s="6" t="s">
        <v>1593</v>
      </c>
      <c r="B1435" s="6" t="s">
        <v>1581</v>
      </c>
      <c r="C1435" s="6" t="s">
        <v>1582</v>
      </c>
      <c r="D1435" s="6">
        <f t="shared" si="175"/>
        <v>0.5</v>
      </c>
      <c r="E1435" s="6" t="s">
        <v>23</v>
      </c>
      <c r="F1435" s="6" t="str">
        <f>MID(A1435,19,1)</f>
        <v>C</v>
      </c>
      <c r="G1435" s="6">
        <v>-23.11846958614197</v>
      </c>
      <c r="H1435" s="6">
        <v>-46.992999125384749</v>
      </c>
      <c r="I1435" s="9">
        <v>15178.11</v>
      </c>
      <c r="J1435" s="9">
        <f>I1435/500</f>
        <v>30.35622</v>
      </c>
      <c r="K1435" s="6">
        <v>3.86</v>
      </c>
      <c r="L1435" s="6">
        <v>80</v>
      </c>
      <c r="N1435" s="1">
        <f t="shared" si="172"/>
        <v>0</v>
      </c>
      <c r="O1435" s="8" t="s">
        <v>185</v>
      </c>
      <c r="P1435" s="8"/>
      <c r="Q1435" s="8" t="s">
        <v>21</v>
      </c>
      <c r="R1435" s="8" t="s">
        <v>21</v>
      </c>
      <c r="S1435" s="8" t="s">
        <v>21</v>
      </c>
      <c r="T1435" s="8" t="s">
        <v>21</v>
      </c>
      <c r="U1435" s="6">
        <f t="shared" si="173"/>
        <v>12142.488000000001</v>
      </c>
      <c r="V1435" s="6">
        <f t="shared" si="174"/>
        <v>12142.488000000001</v>
      </c>
    </row>
    <row r="1436" spans="1:22" x14ac:dyDescent="0.35">
      <c r="A1436" s="6" t="s">
        <v>1594</v>
      </c>
      <c r="B1436" s="6" t="s">
        <v>1581</v>
      </c>
      <c r="C1436" s="6" t="s">
        <v>1582</v>
      </c>
      <c r="D1436" s="6">
        <f t="shared" si="175"/>
        <v>0.5</v>
      </c>
      <c r="E1436" s="6" t="s">
        <v>19</v>
      </c>
      <c r="F1436" s="6" t="str">
        <f>MID(A1436,19,1)</f>
        <v>N</v>
      </c>
      <c r="G1436" s="6">
        <v>-23.11660730920072</v>
      </c>
      <c r="H1436" s="6">
        <v>-46.99466450746084</v>
      </c>
      <c r="I1436" s="9">
        <v>111.68</v>
      </c>
      <c r="K1436" s="6">
        <v>7.32</v>
      </c>
      <c r="L1436" s="6">
        <v>50</v>
      </c>
      <c r="N1436" s="1">
        <f t="shared" si="172"/>
        <v>0</v>
      </c>
      <c r="O1436" s="8" t="s">
        <v>20</v>
      </c>
      <c r="P1436" s="8"/>
      <c r="Q1436" s="8" t="s">
        <v>21</v>
      </c>
      <c r="R1436" s="8" t="s">
        <v>21</v>
      </c>
      <c r="S1436" s="8" t="s">
        <v>21</v>
      </c>
      <c r="T1436" s="8" t="s">
        <v>21</v>
      </c>
      <c r="U1436" s="6">
        <f t="shared" si="173"/>
        <v>55.84</v>
      </c>
      <c r="V1436" s="6">
        <f t="shared" si="174"/>
        <v>55.84</v>
      </c>
    </row>
    <row r="1437" spans="1:22" x14ac:dyDescent="0.35">
      <c r="A1437" s="6" t="s">
        <v>1595</v>
      </c>
      <c r="B1437" s="6" t="s">
        <v>1581</v>
      </c>
      <c r="C1437" s="6" t="s">
        <v>1582</v>
      </c>
      <c r="D1437" s="6">
        <f t="shared" si="175"/>
        <v>0.5</v>
      </c>
      <c r="E1437" s="6" t="s">
        <v>19</v>
      </c>
      <c r="F1437" s="6" t="str">
        <f>MID(A1437,19,1)</f>
        <v>N</v>
      </c>
      <c r="G1437" s="6">
        <v>-23.11692810911844</v>
      </c>
      <c r="H1437" s="6">
        <v>-46.994004030749011</v>
      </c>
      <c r="I1437" s="9">
        <v>498.96</v>
      </c>
      <c r="K1437" s="6">
        <v>3.34</v>
      </c>
      <c r="L1437" s="6">
        <v>20</v>
      </c>
      <c r="N1437" s="1">
        <f t="shared" si="172"/>
        <v>0</v>
      </c>
      <c r="O1437" s="8" t="s">
        <v>20</v>
      </c>
      <c r="P1437" s="8"/>
      <c r="Q1437" s="8" t="s">
        <v>21</v>
      </c>
      <c r="R1437" s="8" t="s">
        <v>21</v>
      </c>
      <c r="S1437" s="8" t="s">
        <v>21</v>
      </c>
      <c r="T1437" s="8" t="s">
        <v>21</v>
      </c>
      <c r="U1437" s="6">
        <f t="shared" si="173"/>
        <v>99.792000000000002</v>
      </c>
      <c r="V1437" s="6">
        <f t="shared" si="174"/>
        <v>99.792000000000002</v>
      </c>
    </row>
    <row r="1438" spans="1:22" x14ac:dyDescent="0.35">
      <c r="A1438" s="6" t="s">
        <v>1596</v>
      </c>
      <c r="B1438" s="6" t="s">
        <v>1581</v>
      </c>
      <c r="C1438" s="6" t="s">
        <v>1582</v>
      </c>
      <c r="D1438" s="6">
        <f t="shared" si="175"/>
        <v>0.5</v>
      </c>
      <c r="E1438" s="6" t="s">
        <v>19</v>
      </c>
      <c r="F1438" s="6" t="str">
        <f>MID(A1438,19,1)</f>
        <v>N</v>
      </c>
      <c r="G1438" s="6">
        <v>-23.114527994189391</v>
      </c>
      <c r="H1438" s="6">
        <v>-46.956723100305567</v>
      </c>
      <c r="I1438" s="9">
        <v>2366.88</v>
      </c>
      <c r="K1438" s="6">
        <v>6.71</v>
      </c>
      <c r="L1438" s="6">
        <v>70</v>
      </c>
      <c r="N1438" s="1">
        <f t="shared" si="172"/>
        <v>0</v>
      </c>
      <c r="O1438" s="8" t="s">
        <v>20</v>
      </c>
      <c r="P1438" s="8"/>
      <c r="Q1438" s="8" t="s">
        <v>21</v>
      </c>
      <c r="R1438" s="8" t="s">
        <v>21</v>
      </c>
      <c r="S1438" s="8" t="s">
        <v>21</v>
      </c>
      <c r="T1438" s="8" t="s">
        <v>21</v>
      </c>
      <c r="U1438" s="6">
        <f t="shared" si="173"/>
        <v>1656.816</v>
      </c>
      <c r="V1438" s="6">
        <f t="shared" si="174"/>
        <v>1656.816</v>
      </c>
    </row>
    <row r="1439" spans="1:22" x14ac:dyDescent="0.35">
      <c r="A1439" s="6" t="s">
        <v>1597</v>
      </c>
      <c r="B1439" s="6" t="s">
        <v>1581</v>
      </c>
      <c r="C1439" s="6" t="s">
        <v>1582</v>
      </c>
      <c r="D1439" s="6">
        <f t="shared" si="175"/>
        <v>0.5</v>
      </c>
      <c r="E1439" s="6" t="s">
        <v>19</v>
      </c>
      <c r="F1439" s="6" t="str">
        <f>MID(A1439,19,1)</f>
        <v>N</v>
      </c>
      <c r="G1439" s="6">
        <v>-23.115221563639839</v>
      </c>
      <c r="H1439" s="6">
        <v>-46.996462253461679</v>
      </c>
      <c r="I1439" s="9">
        <v>2022.28</v>
      </c>
      <c r="K1439" s="6">
        <v>6.47</v>
      </c>
      <c r="L1439" s="6">
        <v>20</v>
      </c>
      <c r="N1439" s="1">
        <f t="shared" si="172"/>
        <v>0</v>
      </c>
      <c r="O1439" s="8" t="s">
        <v>20</v>
      </c>
      <c r="P1439" s="8"/>
      <c r="Q1439" s="8" t="s">
        <v>21</v>
      </c>
      <c r="R1439" s="8" t="s">
        <v>21</v>
      </c>
      <c r="S1439" s="8" t="s">
        <v>21</v>
      </c>
      <c r="T1439" s="8" t="s">
        <v>21</v>
      </c>
      <c r="U1439" s="6">
        <f t="shared" si="173"/>
        <v>404.45600000000002</v>
      </c>
      <c r="V1439" s="6">
        <f t="shared" si="174"/>
        <v>404.45600000000002</v>
      </c>
    </row>
    <row r="1440" spans="1:22" hidden="1" x14ac:dyDescent="0.35">
      <c r="A1440" s="6" t="s">
        <v>1598</v>
      </c>
      <c r="B1440" s="6" t="s">
        <v>1599</v>
      </c>
      <c r="C1440" s="6" t="s">
        <v>1600</v>
      </c>
      <c r="D1440" s="6">
        <f t="shared" si="175"/>
        <v>0.5</v>
      </c>
      <c r="E1440" s="6" t="s">
        <v>23</v>
      </c>
      <c r="F1440" s="6" t="str">
        <f>MID(A1440,19,1)</f>
        <v>C</v>
      </c>
      <c r="G1440" s="6">
        <v>-23.113045996183601</v>
      </c>
      <c r="H1440" s="6">
        <v>-47.000680579540898</v>
      </c>
      <c r="I1440" s="9">
        <v>14967.4</v>
      </c>
      <c r="J1440" s="9">
        <f>I1440/500</f>
        <v>29.934799999999999</v>
      </c>
      <c r="K1440" s="6">
        <v>8.77</v>
      </c>
      <c r="L1440" s="6">
        <v>70</v>
      </c>
      <c r="N1440" s="1">
        <f t="shared" si="172"/>
        <v>0</v>
      </c>
      <c r="O1440" s="8" t="s">
        <v>185</v>
      </c>
      <c r="P1440" s="8"/>
      <c r="Q1440" s="8" t="s">
        <v>21</v>
      </c>
      <c r="R1440" s="8" t="s">
        <v>21</v>
      </c>
      <c r="S1440" s="8" t="s">
        <v>21</v>
      </c>
      <c r="T1440" s="8" t="s">
        <v>21</v>
      </c>
      <c r="U1440" s="6">
        <f t="shared" si="173"/>
        <v>10477.179999999998</v>
      </c>
      <c r="V1440" s="6">
        <f t="shared" si="174"/>
        <v>10477.179999999998</v>
      </c>
    </row>
    <row r="1441" spans="1:22" x14ac:dyDescent="0.35">
      <c r="A1441" s="6" t="s">
        <v>1601</v>
      </c>
      <c r="B1441" s="6" t="s">
        <v>1599</v>
      </c>
      <c r="C1441" s="6" t="s">
        <v>1600</v>
      </c>
      <c r="D1441" s="6">
        <f t="shared" si="175"/>
        <v>0.5</v>
      </c>
      <c r="E1441" s="6" t="s">
        <v>19</v>
      </c>
      <c r="F1441" s="6" t="str">
        <f>MID(A1441,19,1)</f>
        <v>N</v>
      </c>
      <c r="G1441" s="6">
        <v>-23.110065688712059</v>
      </c>
      <c r="H1441" s="6">
        <v>-47.004214015140526</v>
      </c>
      <c r="I1441" s="9">
        <v>1859.01</v>
      </c>
      <c r="K1441" s="6">
        <v>5.07</v>
      </c>
      <c r="L1441" s="6">
        <v>50</v>
      </c>
      <c r="N1441" s="1">
        <f t="shared" si="172"/>
        <v>0</v>
      </c>
      <c r="O1441" s="8" t="s">
        <v>20</v>
      </c>
      <c r="P1441" s="8"/>
      <c r="Q1441" s="8" t="s">
        <v>21</v>
      </c>
      <c r="R1441" s="8" t="s">
        <v>21</v>
      </c>
      <c r="S1441" s="8" t="s">
        <v>21</v>
      </c>
      <c r="T1441" s="8" t="s">
        <v>21</v>
      </c>
      <c r="U1441" s="6">
        <f t="shared" si="173"/>
        <v>929.505</v>
      </c>
      <c r="V1441" s="6">
        <f t="shared" si="174"/>
        <v>929.505</v>
      </c>
    </row>
    <row r="1442" spans="1:22" x14ac:dyDescent="0.35">
      <c r="A1442" s="6" t="s">
        <v>1602</v>
      </c>
      <c r="B1442" s="6" t="s">
        <v>1599</v>
      </c>
      <c r="C1442" s="6" t="s">
        <v>1600</v>
      </c>
      <c r="D1442" s="6">
        <f t="shared" si="175"/>
        <v>0.5</v>
      </c>
      <c r="E1442" s="6" t="s">
        <v>19</v>
      </c>
      <c r="F1442" s="6" t="str">
        <f>MID(A1442,19,1)</f>
        <v>N</v>
      </c>
      <c r="G1442" s="6">
        <v>-23.10390795889802</v>
      </c>
      <c r="H1442" s="6">
        <v>-46.963659967549162</v>
      </c>
      <c r="I1442" s="9">
        <v>1981.87</v>
      </c>
      <c r="K1442" s="6">
        <v>4.71</v>
      </c>
      <c r="L1442" s="6">
        <v>0</v>
      </c>
      <c r="N1442" s="1">
        <f t="shared" si="172"/>
        <v>0</v>
      </c>
      <c r="O1442" s="8"/>
      <c r="P1442" s="8"/>
      <c r="Q1442" s="8" t="s">
        <v>21</v>
      </c>
      <c r="R1442" s="8" t="s">
        <v>21</v>
      </c>
      <c r="S1442" s="8" t="s">
        <v>21</v>
      </c>
      <c r="T1442" s="8" t="s">
        <v>21</v>
      </c>
      <c r="U1442" s="6">
        <f t="shared" si="173"/>
        <v>0</v>
      </c>
      <c r="V1442" s="6">
        <f t="shared" si="174"/>
        <v>0</v>
      </c>
    </row>
    <row r="1443" spans="1:22" hidden="1" x14ac:dyDescent="0.35">
      <c r="A1443" s="6" t="s">
        <v>1603</v>
      </c>
      <c r="B1443" s="6" t="s">
        <v>1599</v>
      </c>
      <c r="C1443" s="6" t="s">
        <v>1600</v>
      </c>
      <c r="D1443" s="6">
        <f t="shared" si="175"/>
        <v>0.5</v>
      </c>
      <c r="E1443" s="6" t="s">
        <v>23</v>
      </c>
      <c r="F1443" s="6" t="str">
        <f>MID(A1443,19,1)</f>
        <v>C</v>
      </c>
      <c r="G1443" s="6">
        <v>-23.110296670692531</v>
      </c>
      <c r="H1443" s="6">
        <v>-47.004415378915084</v>
      </c>
      <c r="I1443" s="9">
        <v>15042.89</v>
      </c>
      <c r="J1443" s="9">
        <f>I1443/500</f>
        <v>30.08578</v>
      </c>
      <c r="K1443" s="6">
        <v>6.3</v>
      </c>
      <c r="L1443" s="6">
        <v>70</v>
      </c>
      <c r="N1443" s="1">
        <f t="shared" si="172"/>
        <v>0</v>
      </c>
      <c r="O1443" s="8" t="s">
        <v>185</v>
      </c>
      <c r="P1443" s="8"/>
      <c r="Q1443" s="8" t="s">
        <v>21</v>
      </c>
      <c r="R1443" s="8" t="s">
        <v>21</v>
      </c>
      <c r="S1443" s="8" t="s">
        <v>21</v>
      </c>
      <c r="T1443" s="8" t="s">
        <v>21</v>
      </c>
      <c r="U1443" s="6">
        <f t="shared" si="173"/>
        <v>10530.022999999999</v>
      </c>
      <c r="V1443" s="6">
        <f t="shared" si="174"/>
        <v>10530.022999999999</v>
      </c>
    </row>
    <row r="1444" spans="1:22" x14ac:dyDescent="0.35">
      <c r="A1444" s="6" t="s">
        <v>1604</v>
      </c>
      <c r="B1444" s="6" t="s">
        <v>1599</v>
      </c>
      <c r="C1444" s="6" t="s">
        <v>1600</v>
      </c>
      <c r="D1444" s="6">
        <f t="shared" si="175"/>
        <v>0.5</v>
      </c>
      <c r="E1444" s="6" t="s">
        <v>19</v>
      </c>
      <c r="F1444" s="6" t="str">
        <f>MID(A1444,19,1)</f>
        <v>N</v>
      </c>
      <c r="G1444" s="6">
        <v>-23.106387163370879</v>
      </c>
      <c r="H1444" s="6">
        <v>-46.961945184302323</v>
      </c>
      <c r="I1444" s="9">
        <v>670.66</v>
      </c>
      <c r="K1444" s="6">
        <v>5.32</v>
      </c>
      <c r="L1444" s="6">
        <v>0</v>
      </c>
      <c r="N1444" s="1">
        <f t="shared" si="172"/>
        <v>0</v>
      </c>
      <c r="O1444" s="8"/>
      <c r="P1444" s="8"/>
      <c r="Q1444" s="8" t="s">
        <v>21</v>
      </c>
      <c r="R1444" s="8" t="s">
        <v>21</v>
      </c>
      <c r="S1444" s="8" t="s">
        <v>21</v>
      </c>
      <c r="T1444" s="8" t="s">
        <v>21</v>
      </c>
      <c r="U1444" s="6">
        <f t="shared" si="173"/>
        <v>0</v>
      </c>
      <c r="V1444" s="6">
        <f t="shared" si="174"/>
        <v>0</v>
      </c>
    </row>
    <row r="1445" spans="1:22" x14ac:dyDescent="0.35">
      <c r="A1445" s="6" t="s">
        <v>1605</v>
      </c>
      <c r="B1445" s="6" t="s">
        <v>1599</v>
      </c>
      <c r="C1445" s="6" t="s">
        <v>1600</v>
      </c>
      <c r="D1445" s="6">
        <f t="shared" si="175"/>
        <v>0.5</v>
      </c>
      <c r="E1445" s="6" t="s">
        <v>19</v>
      </c>
      <c r="F1445" s="6" t="str">
        <f>MID(A1445,19,1)</f>
        <v>N</v>
      </c>
      <c r="G1445" s="6">
        <v>-23.112799389323431</v>
      </c>
      <c r="H1445" s="6">
        <v>-47.000519769838107</v>
      </c>
      <c r="I1445" s="9">
        <v>1941.84</v>
      </c>
      <c r="K1445" s="6">
        <v>8.7200000000000006</v>
      </c>
      <c r="L1445" s="6">
        <v>20</v>
      </c>
      <c r="N1445" s="1">
        <f t="shared" si="172"/>
        <v>0</v>
      </c>
      <c r="O1445" s="8" t="s">
        <v>20</v>
      </c>
      <c r="P1445" s="8"/>
      <c r="Q1445" s="8" t="s">
        <v>21</v>
      </c>
      <c r="R1445" s="8" t="s">
        <v>21</v>
      </c>
      <c r="S1445" s="8" t="s">
        <v>21</v>
      </c>
      <c r="T1445" s="8" t="s">
        <v>21</v>
      </c>
      <c r="U1445" s="6">
        <f t="shared" si="173"/>
        <v>388.36799999999999</v>
      </c>
      <c r="V1445" s="6">
        <f t="shared" si="174"/>
        <v>388.36799999999999</v>
      </c>
    </row>
    <row r="1446" spans="1:22" hidden="1" x14ac:dyDescent="0.35">
      <c r="A1446" s="6" t="s">
        <v>1606</v>
      </c>
      <c r="B1446" s="6" t="s">
        <v>1599</v>
      </c>
      <c r="C1446" s="6" t="s">
        <v>1600</v>
      </c>
      <c r="D1446" s="6">
        <f t="shared" si="175"/>
        <v>0.5</v>
      </c>
      <c r="E1446" s="6" t="s">
        <v>19</v>
      </c>
      <c r="F1446" s="6" t="str">
        <f>MID(A1446,19,1)</f>
        <v>S</v>
      </c>
      <c r="G1446" s="6">
        <v>-23.104043302949741</v>
      </c>
      <c r="H1446" s="6">
        <v>-46.963980021280058</v>
      </c>
      <c r="I1446" s="9">
        <v>1985.12</v>
      </c>
      <c r="K1446" s="6">
        <v>6.13</v>
      </c>
      <c r="L1446" s="6">
        <v>0</v>
      </c>
      <c r="N1446" s="1">
        <f t="shared" si="172"/>
        <v>0</v>
      </c>
      <c r="O1446" s="8"/>
      <c r="P1446" s="8"/>
      <c r="Q1446" s="8" t="s">
        <v>21</v>
      </c>
      <c r="R1446" s="8" t="s">
        <v>21</v>
      </c>
      <c r="S1446" s="8" t="s">
        <v>21</v>
      </c>
      <c r="T1446" s="8" t="s">
        <v>21</v>
      </c>
      <c r="U1446" s="6">
        <f t="shared" si="173"/>
        <v>0</v>
      </c>
      <c r="V1446" s="6">
        <f t="shared" si="174"/>
        <v>0</v>
      </c>
    </row>
    <row r="1447" spans="1:22" hidden="1" x14ac:dyDescent="0.35">
      <c r="A1447" s="6" t="s">
        <v>1607</v>
      </c>
      <c r="B1447" s="6" t="s">
        <v>1599</v>
      </c>
      <c r="C1447" s="6" t="s">
        <v>1600</v>
      </c>
      <c r="D1447" s="6">
        <f t="shared" si="175"/>
        <v>0.5</v>
      </c>
      <c r="E1447" s="6" t="s">
        <v>19</v>
      </c>
      <c r="F1447" s="6" t="str">
        <f>MID(A1447,19,1)</f>
        <v>S</v>
      </c>
      <c r="G1447" s="6">
        <v>-23.110504650536921</v>
      </c>
      <c r="H1447" s="6">
        <v>-47.004644184907747</v>
      </c>
      <c r="I1447" s="9">
        <v>2017.42</v>
      </c>
      <c r="K1447" s="6">
        <v>9.31</v>
      </c>
      <c r="L1447" s="6">
        <v>50</v>
      </c>
      <c r="N1447" s="1">
        <f t="shared" si="172"/>
        <v>0</v>
      </c>
      <c r="O1447" s="8" t="s">
        <v>20</v>
      </c>
      <c r="P1447" s="8"/>
      <c r="Q1447" s="8" t="s">
        <v>21</v>
      </c>
      <c r="R1447" s="8" t="s">
        <v>21</v>
      </c>
      <c r="S1447" s="8" t="s">
        <v>21</v>
      </c>
      <c r="T1447" s="8" t="s">
        <v>21</v>
      </c>
      <c r="U1447" s="6">
        <f t="shared" si="173"/>
        <v>1008.71</v>
      </c>
      <c r="V1447" s="6">
        <f t="shared" si="174"/>
        <v>1008.71</v>
      </c>
    </row>
    <row r="1448" spans="1:22" hidden="1" x14ac:dyDescent="0.35">
      <c r="A1448" s="6" t="s">
        <v>1608</v>
      </c>
      <c r="B1448" s="6" t="s">
        <v>1599</v>
      </c>
      <c r="C1448" s="6" t="s">
        <v>1600</v>
      </c>
      <c r="D1448" s="6">
        <f t="shared" si="175"/>
        <v>0.5</v>
      </c>
      <c r="E1448" s="6" t="s">
        <v>19</v>
      </c>
      <c r="F1448" s="6" t="str">
        <f>MID(A1448,19,1)</f>
        <v>S</v>
      </c>
      <c r="G1448" s="6">
        <v>-23.107860167407299</v>
      </c>
      <c r="H1448" s="6">
        <v>-46.961458156572959</v>
      </c>
      <c r="I1448" s="9">
        <v>1978.47</v>
      </c>
      <c r="K1448" s="6">
        <v>4.5599999999999996</v>
      </c>
      <c r="L1448" s="6">
        <v>60</v>
      </c>
      <c r="N1448" s="1">
        <f t="shared" si="172"/>
        <v>0</v>
      </c>
      <c r="O1448" s="8" t="s">
        <v>20</v>
      </c>
      <c r="P1448" s="8"/>
      <c r="Q1448" s="8" t="s">
        <v>21</v>
      </c>
      <c r="R1448" s="8" t="s">
        <v>21</v>
      </c>
      <c r="S1448" s="8" t="s">
        <v>21</v>
      </c>
      <c r="T1448" s="8" t="s">
        <v>21</v>
      </c>
      <c r="U1448" s="6">
        <f t="shared" si="173"/>
        <v>1187.0819999999999</v>
      </c>
      <c r="V1448" s="6">
        <f t="shared" si="174"/>
        <v>1187.0819999999999</v>
      </c>
    </row>
    <row r="1449" spans="1:22" x14ac:dyDescent="0.35">
      <c r="A1449" s="6" t="s">
        <v>1609</v>
      </c>
      <c r="B1449" s="6" t="s">
        <v>1599</v>
      </c>
      <c r="C1449" s="6" t="s">
        <v>1600</v>
      </c>
      <c r="D1449" s="6">
        <f t="shared" si="175"/>
        <v>0.5</v>
      </c>
      <c r="E1449" s="6" t="s">
        <v>19</v>
      </c>
      <c r="F1449" s="6" t="str">
        <f>MID(A1449,19,1)</f>
        <v>N</v>
      </c>
      <c r="G1449" s="6">
        <v>-23.108149365354119</v>
      </c>
      <c r="H1449" s="6">
        <v>-46.960839798075973</v>
      </c>
      <c r="I1449" s="9">
        <v>1421.98</v>
      </c>
      <c r="K1449" s="6">
        <v>6.68</v>
      </c>
      <c r="L1449" s="6">
        <v>0</v>
      </c>
      <c r="N1449" s="1">
        <f t="shared" si="172"/>
        <v>0</v>
      </c>
      <c r="O1449" s="8"/>
      <c r="P1449" s="8"/>
      <c r="Q1449" s="8" t="s">
        <v>21</v>
      </c>
      <c r="R1449" s="8" t="s">
        <v>21</v>
      </c>
      <c r="S1449" s="8" t="s">
        <v>21</v>
      </c>
      <c r="T1449" s="8" t="s">
        <v>21</v>
      </c>
      <c r="U1449" s="6">
        <f t="shared" si="173"/>
        <v>0</v>
      </c>
      <c r="V1449" s="6">
        <f t="shared" si="174"/>
        <v>0</v>
      </c>
    </row>
    <row r="1450" spans="1:22" hidden="1" x14ac:dyDescent="0.35">
      <c r="A1450" s="6" t="s">
        <v>1610</v>
      </c>
      <c r="B1450" s="6" t="s">
        <v>1599</v>
      </c>
      <c r="C1450" s="6" t="s">
        <v>1600</v>
      </c>
      <c r="D1450" s="6">
        <f t="shared" si="175"/>
        <v>0.5</v>
      </c>
      <c r="E1450" s="6" t="s">
        <v>19</v>
      </c>
      <c r="F1450" s="6" t="str">
        <f>MID(A1450,19,1)</f>
        <v>S</v>
      </c>
      <c r="G1450" s="6">
        <v>-23.113302474037681</v>
      </c>
      <c r="H1450" s="6">
        <v>-47.000829486425289</v>
      </c>
      <c r="I1450" s="9">
        <v>2009.53</v>
      </c>
      <c r="K1450" s="6">
        <v>10.73</v>
      </c>
      <c r="L1450" s="6">
        <v>70</v>
      </c>
      <c r="N1450" s="1">
        <f t="shared" si="172"/>
        <v>0</v>
      </c>
      <c r="O1450" s="8" t="s">
        <v>20</v>
      </c>
      <c r="P1450" s="8"/>
      <c r="Q1450" s="8" t="s">
        <v>21</v>
      </c>
      <c r="R1450" s="8" t="s">
        <v>21</v>
      </c>
      <c r="S1450" s="8" t="s">
        <v>21</v>
      </c>
      <c r="T1450" s="8" t="s">
        <v>21</v>
      </c>
      <c r="U1450" s="6">
        <f t="shared" si="173"/>
        <v>1406.6709999999998</v>
      </c>
      <c r="V1450" s="6">
        <f t="shared" si="174"/>
        <v>1406.6709999999998</v>
      </c>
    </row>
    <row r="1451" spans="1:22" x14ac:dyDescent="0.35">
      <c r="A1451" s="6" t="s">
        <v>1611</v>
      </c>
      <c r="B1451" s="6" t="s">
        <v>1612</v>
      </c>
      <c r="C1451" s="6" t="s">
        <v>1613</v>
      </c>
      <c r="D1451" s="6">
        <f t="shared" si="175"/>
        <v>0.5</v>
      </c>
      <c r="E1451" s="6" t="s">
        <v>19</v>
      </c>
      <c r="F1451" s="6" t="str">
        <f>MID(A1451,19,1)</f>
        <v>N</v>
      </c>
      <c r="G1451" s="6">
        <v>-23.095100619943672</v>
      </c>
      <c r="H1451" s="6">
        <v>-46.969041841615237</v>
      </c>
      <c r="I1451" s="9">
        <v>1015.87</v>
      </c>
      <c r="K1451" s="6">
        <v>3.97</v>
      </c>
      <c r="L1451" s="6">
        <v>70</v>
      </c>
      <c r="N1451" s="1">
        <f t="shared" si="172"/>
        <v>0</v>
      </c>
      <c r="O1451" s="8" t="s">
        <v>20</v>
      </c>
      <c r="P1451" s="8"/>
      <c r="Q1451" s="8" t="s">
        <v>21</v>
      </c>
      <c r="R1451" s="8" t="s">
        <v>21</v>
      </c>
      <c r="S1451" s="8" t="s">
        <v>21</v>
      </c>
      <c r="T1451" s="8" t="s">
        <v>21</v>
      </c>
      <c r="U1451" s="6">
        <f t="shared" si="173"/>
        <v>711.10899999999992</v>
      </c>
      <c r="V1451" s="6">
        <f t="shared" si="174"/>
        <v>711.10899999999992</v>
      </c>
    </row>
    <row r="1452" spans="1:22" x14ac:dyDescent="0.35">
      <c r="A1452" s="6" t="s">
        <v>1614</v>
      </c>
      <c r="B1452" s="6" t="s">
        <v>1612</v>
      </c>
      <c r="C1452" s="6" t="s">
        <v>1613</v>
      </c>
      <c r="D1452" s="6">
        <f t="shared" si="175"/>
        <v>0.5</v>
      </c>
      <c r="E1452" s="6" t="s">
        <v>19</v>
      </c>
      <c r="F1452" s="6" t="str">
        <f>MID(A1452,19,1)</f>
        <v>N</v>
      </c>
      <c r="G1452" s="6">
        <v>-23.096061146196654</v>
      </c>
      <c r="H1452" s="6">
        <v>-46.967881019512689</v>
      </c>
      <c r="I1452" s="9">
        <v>40.58</v>
      </c>
      <c r="K1452" s="6">
        <v>3.38</v>
      </c>
      <c r="L1452" s="6">
        <v>70</v>
      </c>
      <c r="N1452" s="1">
        <f t="shared" si="172"/>
        <v>0</v>
      </c>
      <c r="O1452" s="8" t="s">
        <v>20</v>
      </c>
      <c r="P1452" s="8"/>
      <c r="Q1452" s="8" t="s">
        <v>21</v>
      </c>
      <c r="R1452" s="8" t="s">
        <v>21</v>
      </c>
      <c r="S1452" s="8" t="s">
        <v>21</v>
      </c>
      <c r="T1452" s="8" t="s">
        <v>21</v>
      </c>
      <c r="U1452" s="6">
        <f t="shared" si="173"/>
        <v>28.405999999999995</v>
      </c>
      <c r="V1452" s="6">
        <f t="shared" si="174"/>
        <v>28.405999999999995</v>
      </c>
    </row>
    <row r="1453" spans="1:22" x14ac:dyDescent="0.35">
      <c r="A1453" s="6" t="s">
        <v>1615</v>
      </c>
      <c r="B1453" s="6" t="s">
        <v>1612</v>
      </c>
      <c r="C1453" s="6" t="s">
        <v>1613</v>
      </c>
      <c r="D1453" s="6">
        <f t="shared" si="175"/>
        <v>0.5</v>
      </c>
      <c r="E1453" s="6" t="s">
        <v>19</v>
      </c>
      <c r="F1453" s="6" t="str">
        <f>MID(A1453,19,1)</f>
        <v>N</v>
      </c>
      <c r="G1453" s="6">
        <v>-23.09598245027377</v>
      </c>
      <c r="H1453" s="6">
        <v>-46.96817657187777</v>
      </c>
      <c r="I1453" s="9">
        <v>1182.73</v>
      </c>
      <c r="K1453" s="6">
        <v>1.77</v>
      </c>
      <c r="L1453" s="6">
        <v>70</v>
      </c>
      <c r="N1453" s="1">
        <f t="shared" si="172"/>
        <v>0</v>
      </c>
      <c r="O1453" s="8" t="s">
        <v>20</v>
      </c>
      <c r="P1453" s="8"/>
      <c r="Q1453" s="8" t="s">
        <v>21</v>
      </c>
      <c r="R1453" s="8" t="s">
        <v>21</v>
      </c>
      <c r="S1453" s="8" t="s">
        <v>21</v>
      </c>
      <c r="T1453" s="8" t="s">
        <v>21</v>
      </c>
      <c r="U1453" s="6">
        <f t="shared" si="173"/>
        <v>827.91099999999994</v>
      </c>
      <c r="V1453" s="6">
        <f t="shared" si="174"/>
        <v>827.91099999999994</v>
      </c>
    </row>
    <row r="1454" spans="1:22" x14ac:dyDescent="0.35">
      <c r="A1454" s="6" t="s">
        <v>1616</v>
      </c>
      <c r="B1454" s="6" t="s">
        <v>1612</v>
      </c>
      <c r="C1454" s="6" t="s">
        <v>1613</v>
      </c>
      <c r="D1454" s="6">
        <f t="shared" si="175"/>
        <v>0.5</v>
      </c>
      <c r="E1454" s="6" t="s">
        <v>19</v>
      </c>
      <c r="F1454" s="6" t="str">
        <f>MID(A1454,19,1)</f>
        <v>N</v>
      </c>
      <c r="G1454" s="6">
        <v>-23.099723772462667</v>
      </c>
      <c r="H1454" s="6">
        <v>-46.966387097438748</v>
      </c>
      <c r="I1454" s="9">
        <v>2348.12</v>
      </c>
      <c r="K1454" s="6">
        <v>5.44</v>
      </c>
      <c r="L1454" s="6">
        <v>0</v>
      </c>
      <c r="N1454" s="1">
        <f t="shared" si="172"/>
        <v>0</v>
      </c>
      <c r="O1454" s="8"/>
      <c r="P1454" s="8"/>
      <c r="Q1454" s="8" t="s">
        <v>21</v>
      </c>
      <c r="R1454" s="8" t="s">
        <v>21</v>
      </c>
      <c r="S1454" s="8" t="s">
        <v>21</v>
      </c>
      <c r="T1454" s="8" t="s">
        <v>21</v>
      </c>
      <c r="U1454" s="6">
        <f t="shared" si="173"/>
        <v>0</v>
      </c>
      <c r="V1454" s="6">
        <f t="shared" si="174"/>
        <v>0</v>
      </c>
    </row>
    <row r="1455" spans="1:22" hidden="1" x14ac:dyDescent="0.35">
      <c r="A1455" s="6" t="s">
        <v>1617</v>
      </c>
      <c r="B1455" s="6" t="s">
        <v>1612</v>
      </c>
      <c r="C1455" s="6" t="s">
        <v>1613</v>
      </c>
      <c r="D1455" s="6">
        <f t="shared" si="175"/>
        <v>0.5</v>
      </c>
      <c r="E1455" s="6" t="s">
        <v>19</v>
      </c>
      <c r="F1455" s="6" t="str">
        <f>MID(A1455,19,1)</f>
        <v>S</v>
      </c>
      <c r="G1455" s="6">
        <v>-23.097388506925331</v>
      </c>
      <c r="H1455" s="6">
        <v>-46.968756119476929</v>
      </c>
      <c r="I1455" s="9">
        <v>615.39</v>
      </c>
      <c r="K1455" s="6">
        <v>5.0999999999999996</v>
      </c>
      <c r="L1455" s="6">
        <v>30</v>
      </c>
      <c r="N1455" s="1">
        <f t="shared" si="172"/>
        <v>0</v>
      </c>
      <c r="O1455" s="8" t="s">
        <v>20</v>
      </c>
      <c r="P1455" s="8"/>
      <c r="Q1455" s="8" t="s">
        <v>21</v>
      </c>
      <c r="R1455" s="8" t="s">
        <v>21</v>
      </c>
      <c r="S1455" s="8" t="s">
        <v>21</v>
      </c>
      <c r="T1455" s="8" t="s">
        <v>21</v>
      </c>
      <c r="U1455" s="6">
        <f t="shared" si="173"/>
        <v>184.61699999999999</v>
      </c>
      <c r="V1455" s="6">
        <f t="shared" si="174"/>
        <v>184.61699999999999</v>
      </c>
    </row>
    <row r="1456" spans="1:22" hidden="1" x14ac:dyDescent="0.35">
      <c r="A1456" s="6" t="s">
        <v>1618</v>
      </c>
      <c r="B1456" s="6" t="s">
        <v>1612</v>
      </c>
      <c r="C1456" s="6" t="s">
        <v>1613</v>
      </c>
      <c r="D1456" s="6">
        <f t="shared" si="175"/>
        <v>0.5</v>
      </c>
      <c r="E1456" s="6" t="s">
        <v>19</v>
      </c>
      <c r="F1456" s="6" t="str">
        <f>MID(A1456,19,1)</f>
        <v>S</v>
      </c>
      <c r="G1456" s="6">
        <v>-23.094385333778007</v>
      </c>
      <c r="H1456" s="6">
        <v>-46.970350737599709</v>
      </c>
      <c r="I1456" s="9">
        <v>362.37</v>
      </c>
      <c r="K1456" s="6">
        <v>3.07</v>
      </c>
      <c r="L1456" s="6">
        <v>30</v>
      </c>
      <c r="N1456" s="1">
        <f t="shared" si="172"/>
        <v>0</v>
      </c>
      <c r="O1456" s="8" t="s">
        <v>20</v>
      </c>
      <c r="P1456" s="8"/>
      <c r="Q1456" s="8" t="s">
        <v>21</v>
      </c>
      <c r="R1456" s="8" t="s">
        <v>21</v>
      </c>
      <c r="S1456" s="8" t="s">
        <v>21</v>
      </c>
      <c r="T1456" s="8" t="s">
        <v>21</v>
      </c>
      <c r="U1456" s="6">
        <f t="shared" si="173"/>
        <v>108.711</v>
      </c>
      <c r="V1456" s="6">
        <f t="shared" si="174"/>
        <v>108.711</v>
      </c>
    </row>
    <row r="1457" spans="1:22" x14ac:dyDescent="0.35">
      <c r="A1457" s="6" t="s">
        <v>1619</v>
      </c>
      <c r="B1457" s="6" t="s">
        <v>1612</v>
      </c>
      <c r="C1457" s="6" t="s">
        <v>1613</v>
      </c>
      <c r="D1457" s="6">
        <f t="shared" si="175"/>
        <v>0.5</v>
      </c>
      <c r="E1457" s="6" t="s">
        <v>19</v>
      </c>
      <c r="F1457" s="6" t="str">
        <f>MID(A1457,19,1)</f>
        <v>N</v>
      </c>
      <c r="G1457" s="6">
        <v>-23.09574190679476</v>
      </c>
      <c r="H1457" s="6">
        <v>-46.968169844463112</v>
      </c>
      <c r="I1457" s="9">
        <v>11.84</v>
      </c>
      <c r="K1457" s="6">
        <v>1.04</v>
      </c>
      <c r="L1457" s="6">
        <v>70</v>
      </c>
      <c r="N1457" s="1">
        <f t="shared" si="172"/>
        <v>0</v>
      </c>
      <c r="O1457" s="8" t="s">
        <v>20</v>
      </c>
      <c r="P1457" s="8"/>
      <c r="Q1457" s="8" t="s">
        <v>21</v>
      </c>
      <c r="R1457" s="8" t="s">
        <v>21</v>
      </c>
      <c r="S1457" s="8" t="s">
        <v>21</v>
      </c>
      <c r="T1457" s="8" t="s">
        <v>21</v>
      </c>
      <c r="U1457" s="6">
        <f t="shared" si="173"/>
        <v>8.2880000000000003</v>
      </c>
      <c r="V1457" s="6">
        <f t="shared" si="174"/>
        <v>8.2880000000000003</v>
      </c>
    </row>
    <row r="1458" spans="1:22" x14ac:dyDescent="0.35">
      <c r="A1458" s="6" t="s">
        <v>1620</v>
      </c>
      <c r="B1458" s="6" t="s">
        <v>1612</v>
      </c>
      <c r="C1458" s="6" t="s">
        <v>1613</v>
      </c>
      <c r="D1458" s="6">
        <f t="shared" si="175"/>
        <v>0.5</v>
      </c>
      <c r="E1458" s="6" t="s">
        <v>19</v>
      </c>
      <c r="F1458" s="6" t="str">
        <f>MID(A1458,19,1)</f>
        <v>N</v>
      </c>
      <c r="G1458" s="6">
        <v>-23.103518967200731</v>
      </c>
      <c r="H1458" s="6">
        <v>-47.009664504615536</v>
      </c>
      <c r="I1458" s="9">
        <v>4021.16</v>
      </c>
      <c r="K1458" s="6">
        <v>2.82</v>
      </c>
      <c r="L1458" s="6">
        <v>40</v>
      </c>
      <c r="N1458" s="1">
        <f t="shared" si="172"/>
        <v>0</v>
      </c>
      <c r="O1458" s="8" t="s">
        <v>20</v>
      </c>
      <c r="P1458" s="8"/>
      <c r="Q1458" s="8" t="s">
        <v>21</v>
      </c>
      <c r="R1458" s="8" t="s">
        <v>21</v>
      </c>
      <c r="S1458" s="8" t="s">
        <v>21</v>
      </c>
      <c r="T1458" s="8" t="s">
        <v>21</v>
      </c>
      <c r="U1458" s="6">
        <f t="shared" si="173"/>
        <v>1608.4639999999999</v>
      </c>
      <c r="V1458" s="6">
        <f t="shared" si="174"/>
        <v>1608.4639999999999</v>
      </c>
    </row>
    <row r="1459" spans="1:22" x14ac:dyDescent="0.35">
      <c r="A1459" s="6" t="s">
        <v>1621</v>
      </c>
      <c r="B1459" s="6" t="s">
        <v>1612</v>
      </c>
      <c r="C1459" s="6" t="s">
        <v>1613</v>
      </c>
      <c r="D1459" s="6">
        <f t="shared" si="175"/>
        <v>0.5</v>
      </c>
      <c r="E1459" s="6" t="s">
        <v>19</v>
      </c>
      <c r="F1459" s="6" t="str">
        <f>MID(A1459,19,1)</f>
        <v>N</v>
      </c>
      <c r="G1459" s="6">
        <v>-23.104539139986809</v>
      </c>
      <c r="H1459" s="6">
        <v>-47.008543394393513</v>
      </c>
      <c r="I1459" s="9">
        <v>83.61</v>
      </c>
      <c r="K1459" s="6">
        <v>4.1900000000000004</v>
      </c>
      <c r="L1459" s="6">
        <v>40</v>
      </c>
      <c r="N1459" s="1">
        <f t="shared" si="172"/>
        <v>0</v>
      </c>
      <c r="O1459" s="8" t="s">
        <v>20</v>
      </c>
      <c r="P1459" s="8"/>
      <c r="Q1459" s="8" t="s">
        <v>21</v>
      </c>
      <c r="R1459" s="8" t="s">
        <v>21</v>
      </c>
      <c r="S1459" s="8" t="s">
        <v>21</v>
      </c>
      <c r="T1459" s="8" t="s">
        <v>21</v>
      </c>
      <c r="U1459" s="6">
        <f t="shared" si="173"/>
        <v>33.444000000000003</v>
      </c>
      <c r="V1459" s="6">
        <f t="shared" si="174"/>
        <v>33.444000000000003</v>
      </c>
    </row>
    <row r="1460" spans="1:22" x14ac:dyDescent="0.35">
      <c r="A1460" s="6" t="s">
        <v>1622</v>
      </c>
      <c r="B1460" s="6" t="s">
        <v>1612</v>
      </c>
      <c r="C1460" s="6" t="s">
        <v>1613</v>
      </c>
      <c r="D1460" s="6">
        <f t="shared" si="175"/>
        <v>0.5</v>
      </c>
      <c r="E1460" s="6" t="s">
        <v>19</v>
      </c>
      <c r="F1460" s="6" t="str">
        <f>MID(A1460,19,1)</f>
        <v>N</v>
      </c>
      <c r="G1460" s="6">
        <v>-23.09761776590895</v>
      </c>
      <c r="H1460" s="6">
        <v>-46.96777727312034</v>
      </c>
      <c r="I1460" s="9">
        <v>243.21</v>
      </c>
      <c r="K1460" s="6">
        <v>4.29</v>
      </c>
      <c r="L1460" s="6">
        <v>70</v>
      </c>
      <c r="N1460" s="1">
        <f t="shared" si="172"/>
        <v>0</v>
      </c>
      <c r="O1460" s="8" t="s">
        <v>20</v>
      </c>
      <c r="P1460" s="8"/>
      <c r="Q1460" s="8" t="s">
        <v>21</v>
      </c>
      <c r="R1460" s="8" t="s">
        <v>21</v>
      </c>
      <c r="S1460" s="8" t="s">
        <v>21</v>
      </c>
      <c r="T1460" s="8" t="s">
        <v>21</v>
      </c>
      <c r="U1460" s="6">
        <f t="shared" si="173"/>
        <v>170.24699999999999</v>
      </c>
      <c r="V1460" s="6">
        <f t="shared" si="174"/>
        <v>170.24699999999999</v>
      </c>
    </row>
    <row r="1461" spans="1:22" x14ac:dyDescent="0.35">
      <c r="A1461" s="6" t="s">
        <v>1623</v>
      </c>
      <c r="B1461" s="6" t="s">
        <v>1612</v>
      </c>
      <c r="C1461" s="6" t="s">
        <v>1613</v>
      </c>
      <c r="D1461" s="6">
        <f t="shared" si="175"/>
        <v>0.5</v>
      </c>
      <c r="E1461" s="6" t="s">
        <v>19</v>
      </c>
      <c r="F1461" s="6" t="str">
        <f>MID(A1461,19,1)</f>
        <v>N</v>
      </c>
      <c r="G1461" s="6">
        <v>-23.094222223930551</v>
      </c>
      <c r="H1461" s="6">
        <v>-46.970016834839747</v>
      </c>
      <c r="I1461" s="9">
        <v>117.35</v>
      </c>
      <c r="K1461" s="6">
        <v>3.22</v>
      </c>
      <c r="L1461" s="6">
        <v>70</v>
      </c>
      <c r="N1461" s="1">
        <f t="shared" si="172"/>
        <v>0</v>
      </c>
      <c r="O1461" s="8" t="s">
        <v>20</v>
      </c>
      <c r="P1461" s="8"/>
      <c r="Q1461" s="8" t="s">
        <v>21</v>
      </c>
      <c r="R1461" s="8" t="s">
        <v>21</v>
      </c>
      <c r="S1461" s="8" t="s">
        <v>21</v>
      </c>
      <c r="T1461" s="8" t="s">
        <v>21</v>
      </c>
      <c r="U1461" s="6">
        <f t="shared" si="173"/>
        <v>82.144999999999996</v>
      </c>
      <c r="V1461" s="6">
        <f t="shared" si="174"/>
        <v>82.144999999999996</v>
      </c>
    </row>
    <row r="1462" spans="1:22" x14ac:dyDescent="0.35">
      <c r="A1462" s="6" t="s">
        <v>1624</v>
      </c>
      <c r="B1462" s="6" t="s">
        <v>1612</v>
      </c>
      <c r="C1462" s="6" t="s">
        <v>1613</v>
      </c>
      <c r="D1462" s="6">
        <f t="shared" si="175"/>
        <v>0.5</v>
      </c>
      <c r="E1462" s="6" t="s">
        <v>19</v>
      </c>
      <c r="F1462" s="6" t="str">
        <f>MID(A1462,19,1)</f>
        <v>N</v>
      </c>
      <c r="G1462" s="6">
        <v>-23.106394732668129</v>
      </c>
      <c r="H1462" s="6">
        <v>-47.006984807244514</v>
      </c>
      <c r="I1462" s="9">
        <v>701.74</v>
      </c>
      <c r="K1462" s="6">
        <v>5.3</v>
      </c>
      <c r="L1462" s="6">
        <v>0</v>
      </c>
      <c r="N1462" s="1">
        <f t="shared" si="172"/>
        <v>0</v>
      </c>
      <c r="O1462" s="8"/>
      <c r="P1462" s="8"/>
      <c r="Q1462" s="8" t="s">
        <v>21</v>
      </c>
      <c r="R1462" s="8" t="s">
        <v>21</v>
      </c>
      <c r="S1462" s="8" t="s">
        <v>21</v>
      </c>
      <c r="T1462" s="8" t="s">
        <v>21</v>
      </c>
      <c r="U1462" s="6">
        <f t="shared" si="173"/>
        <v>0</v>
      </c>
      <c r="V1462" s="6">
        <f t="shared" si="174"/>
        <v>0</v>
      </c>
    </row>
    <row r="1463" spans="1:22" x14ac:dyDescent="0.35">
      <c r="A1463" s="6" t="s">
        <v>1625</v>
      </c>
      <c r="B1463" s="6" t="s">
        <v>1612</v>
      </c>
      <c r="C1463" s="6" t="s">
        <v>1613</v>
      </c>
      <c r="D1463" s="6">
        <f t="shared" si="175"/>
        <v>0.5</v>
      </c>
      <c r="E1463" s="6" t="s">
        <v>19</v>
      </c>
      <c r="F1463" s="6" t="str">
        <f>MID(A1463,19,1)</f>
        <v>N</v>
      </c>
      <c r="G1463" s="6">
        <v>-23.104207161053449</v>
      </c>
      <c r="H1463" s="6">
        <v>-47.008861321618646</v>
      </c>
      <c r="I1463" s="9">
        <v>316.49</v>
      </c>
      <c r="K1463" s="6">
        <v>3.58</v>
      </c>
      <c r="L1463" s="6">
        <v>40</v>
      </c>
      <c r="N1463" s="1">
        <f t="shared" si="172"/>
        <v>0</v>
      </c>
      <c r="O1463" s="8" t="s">
        <v>20</v>
      </c>
      <c r="P1463" s="8"/>
      <c r="Q1463" s="8" t="s">
        <v>21</v>
      </c>
      <c r="R1463" s="8" t="s">
        <v>21</v>
      </c>
      <c r="S1463" s="8" t="s">
        <v>21</v>
      </c>
      <c r="T1463" s="8" t="s">
        <v>21</v>
      </c>
      <c r="U1463" s="6">
        <f t="shared" si="173"/>
        <v>126.596</v>
      </c>
      <c r="V1463" s="6">
        <f t="shared" si="174"/>
        <v>126.596</v>
      </c>
    </row>
    <row r="1464" spans="1:22" hidden="1" x14ac:dyDescent="0.35">
      <c r="A1464" s="6" t="s">
        <v>1626</v>
      </c>
      <c r="B1464" s="6" t="s">
        <v>1612</v>
      </c>
      <c r="C1464" s="6" t="s">
        <v>1613</v>
      </c>
      <c r="D1464" s="6">
        <f t="shared" si="175"/>
        <v>0.5</v>
      </c>
      <c r="E1464" s="6" t="s">
        <v>19</v>
      </c>
      <c r="F1464" s="6" t="str">
        <f>MID(A1464,19,1)</f>
        <v>S</v>
      </c>
      <c r="G1464" s="6">
        <v>-23.097033868464276</v>
      </c>
      <c r="H1464" s="6">
        <v>-46.969464190752198</v>
      </c>
      <c r="I1464" s="9">
        <v>39.53</v>
      </c>
      <c r="K1464" s="6">
        <v>5.01</v>
      </c>
      <c r="L1464" s="6">
        <v>30</v>
      </c>
      <c r="N1464" s="1">
        <f t="shared" si="172"/>
        <v>0</v>
      </c>
      <c r="O1464" s="8" t="s">
        <v>20</v>
      </c>
      <c r="P1464" s="8"/>
      <c r="Q1464" s="8" t="s">
        <v>21</v>
      </c>
      <c r="R1464" s="8" t="s">
        <v>21</v>
      </c>
      <c r="S1464" s="8" t="s">
        <v>21</v>
      </c>
      <c r="T1464" s="8" t="s">
        <v>21</v>
      </c>
      <c r="U1464" s="6">
        <f t="shared" si="173"/>
        <v>11.859</v>
      </c>
      <c r="V1464" s="6">
        <f t="shared" si="174"/>
        <v>11.859</v>
      </c>
    </row>
    <row r="1465" spans="1:22" hidden="1" x14ac:dyDescent="0.35">
      <c r="A1465" s="6" t="s">
        <v>1627</v>
      </c>
      <c r="B1465" s="6" t="s">
        <v>1612</v>
      </c>
      <c r="C1465" s="6" t="s">
        <v>1613</v>
      </c>
      <c r="D1465" s="6">
        <f t="shared" si="175"/>
        <v>0.5</v>
      </c>
      <c r="E1465" s="6" t="s">
        <v>19</v>
      </c>
      <c r="F1465" s="6" t="str">
        <f>MID(A1465,19,1)</f>
        <v>S</v>
      </c>
      <c r="G1465" s="6">
        <v>-23.095710416583618</v>
      </c>
      <c r="H1465" s="6">
        <v>-46.969628786040623</v>
      </c>
      <c r="I1465" s="9">
        <v>6373.4</v>
      </c>
      <c r="K1465" s="6">
        <v>2.88</v>
      </c>
      <c r="L1465" s="6">
        <v>30</v>
      </c>
      <c r="N1465" s="1">
        <f t="shared" si="172"/>
        <v>0</v>
      </c>
      <c r="O1465" s="8" t="s">
        <v>20</v>
      </c>
      <c r="P1465" s="8"/>
      <c r="Q1465" s="8" t="s">
        <v>21</v>
      </c>
      <c r="R1465" s="8" t="s">
        <v>21</v>
      </c>
      <c r="S1465" s="8" t="s">
        <v>21</v>
      </c>
      <c r="T1465" s="8" t="s">
        <v>21</v>
      </c>
      <c r="U1465" s="6">
        <f t="shared" si="173"/>
        <v>1912.0199999999998</v>
      </c>
      <c r="V1465" s="6">
        <f t="shared" si="174"/>
        <v>1912.0199999999998</v>
      </c>
    </row>
    <row r="1466" spans="1:22" x14ac:dyDescent="0.35">
      <c r="A1466" s="6" t="s">
        <v>1628</v>
      </c>
      <c r="B1466" s="6" t="s">
        <v>1612</v>
      </c>
      <c r="C1466" s="6" t="s">
        <v>1613</v>
      </c>
      <c r="D1466" s="6">
        <f t="shared" si="175"/>
        <v>0.5</v>
      </c>
      <c r="E1466" s="6" t="s">
        <v>19</v>
      </c>
      <c r="F1466" s="6" t="str">
        <f>MID(A1466,19,1)</f>
        <v>N</v>
      </c>
      <c r="G1466" s="6">
        <v>-23.09673460301509</v>
      </c>
      <c r="H1466" s="6">
        <v>-46.967912948407147</v>
      </c>
      <c r="I1466" s="9">
        <v>607.24</v>
      </c>
      <c r="K1466" s="6">
        <v>4.38</v>
      </c>
      <c r="L1466" s="6">
        <v>70</v>
      </c>
      <c r="N1466" s="1">
        <f t="shared" si="172"/>
        <v>0</v>
      </c>
      <c r="O1466" s="8" t="s">
        <v>20</v>
      </c>
      <c r="P1466" s="8"/>
      <c r="Q1466" s="8" t="s">
        <v>21</v>
      </c>
      <c r="R1466" s="8" t="s">
        <v>21</v>
      </c>
      <c r="S1466" s="8" t="s">
        <v>21</v>
      </c>
      <c r="T1466" s="8" t="s">
        <v>21</v>
      </c>
      <c r="U1466" s="6">
        <f t="shared" si="173"/>
        <v>425.06799999999998</v>
      </c>
      <c r="V1466" s="6">
        <f t="shared" si="174"/>
        <v>425.06799999999998</v>
      </c>
    </row>
    <row r="1467" spans="1:22" hidden="1" x14ac:dyDescent="0.35">
      <c r="A1467" s="6" t="s">
        <v>1629</v>
      </c>
      <c r="B1467" s="6" t="s">
        <v>1612</v>
      </c>
      <c r="C1467" s="6" t="s">
        <v>1613</v>
      </c>
      <c r="D1467" s="6">
        <f t="shared" si="175"/>
        <v>0.5</v>
      </c>
      <c r="E1467" s="6" t="s">
        <v>19</v>
      </c>
      <c r="F1467" s="6" t="str">
        <f>MID(A1467,19,1)</f>
        <v>S</v>
      </c>
      <c r="G1467" s="6">
        <v>-23.099960963260344</v>
      </c>
      <c r="H1467" s="6">
        <v>-46.966682216534068</v>
      </c>
      <c r="I1467" s="9">
        <v>2257.3000000000002</v>
      </c>
      <c r="K1467" s="6">
        <v>5.32</v>
      </c>
      <c r="L1467" s="6">
        <v>0</v>
      </c>
      <c r="N1467" s="1">
        <f t="shared" si="172"/>
        <v>0</v>
      </c>
      <c r="O1467" s="8"/>
      <c r="P1467" s="8"/>
      <c r="Q1467" s="8" t="s">
        <v>21</v>
      </c>
      <c r="R1467" s="8" t="s">
        <v>21</v>
      </c>
      <c r="S1467" s="8" t="s">
        <v>21</v>
      </c>
      <c r="T1467" s="8" t="s">
        <v>21</v>
      </c>
      <c r="U1467" s="6">
        <f t="shared" si="173"/>
        <v>0</v>
      </c>
      <c r="V1467" s="6">
        <f t="shared" si="174"/>
        <v>0</v>
      </c>
    </row>
    <row r="1468" spans="1:22" x14ac:dyDescent="0.35">
      <c r="A1468" s="6" t="s">
        <v>1630</v>
      </c>
      <c r="B1468" s="6" t="s">
        <v>1612</v>
      </c>
      <c r="C1468" s="6" t="s">
        <v>1613</v>
      </c>
      <c r="D1468" s="6">
        <f t="shared" si="175"/>
        <v>0.5</v>
      </c>
      <c r="E1468" s="6" t="s">
        <v>19</v>
      </c>
      <c r="F1468" s="6" t="str">
        <f>MID(A1468,19,1)</f>
        <v>N</v>
      </c>
      <c r="G1468" s="6">
        <v>-23.1050224353544</v>
      </c>
      <c r="H1468" s="6">
        <v>-47.008394024826551</v>
      </c>
      <c r="I1468" s="9">
        <v>1900.35</v>
      </c>
      <c r="K1468" s="6">
        <v>4.38</v>
      </c>
      <c r="L1468" s="6">
        <v>50</v>
      </c>
      <c r="N1468" s="1">
        <f t="shared" si="172"/>
        <v>0</v>
      </c>
      <c r="O1468" s="8" t="s">
        <v>20</v>
      </c>
      <c r="P1468" s="8"/>
      <c r="Q1468" s="8" t="s">
        <v>21</v>
      </c>
      <c r="R1468" s="8" t="s">
        <v>21</v>
      </c>
      <c r="S1468" s="8" t="s">
        <v>21</v>
      </c>
      <c r="T1468" s="8" t="s">
        <v>21</v>
      </c>
      <c r="U1468" s="6">
        <f t="shared" si="173"/>
        <v>950.17499999999995</v>
      </c>
      <c r="V1468" s="6">
        <f t="shared" si="174"/>
        <v>950.17499999999995</v>
      </c>
    </row>
    <row r="1469" spans="1:22" hidden="1" x14ac:dyDescent="0.35">
      <c r="A1469" s="6" t="s">
        <v>1631</v>
      </c>
      <c r="B1469" s="6" t="s">
        <v>1612</v>
      </c>
      <c r="C1469" s="6" t="s">
        <v>1613</v>
      </c>
      <c r="D1469" s="6">
        <f t="shared" si="175"/>
        <v>0.5</v>
      </c>
      <c r="E1469" s="6" t="s">
        <v>19</v>
      </c>
      <c r="F1469" s="6" t="str">
        <f>MID(A1469,19,1)</f>
        <v>S</v>
      </c>
      <c r="G1469" s="6">
        <v>-23.096741735503752</v>
      </c>
      <c r="H1469" s="6">
        <v>-46.969513703035901</v>
      </c>
      <c r="I1469" s="9">
        <v>1381.23</v>
      </c>
      <c r="K1469" s="6">
        <v>3.84</v>
      </c>
      <c r="L1469" s="6">
        <v>30</v>
      </c>
      <c r="N1469" s="1">
        <f t="shared" si="172"/>
        <v>0</v>
      </c>
      <c r="O1469" s="8" t="s">
        <v>20</v>
      </c>
      <c r="P1469" s="8"/>
      <c r="Q1469" s="8" t="s">
        <v>21</v>
      </c>
      <c r="R1469" s="8" t="s">
        <v>21</v>
      </c>
      <c r="S1469" s="8" t="s">
        <v>21</v>
      </c>
      <c r="T1469" s="8" t="s">
        <v>21</v>
      </c>
      <c r="U1469" s="6">
        <f t="shared" si="173"/>
        <v>414.36899999999997</v>
      </c>
      <c r="V1469" s="6">
        <f t="shared" si="174"/>
        <v>414.36899999999997</v>
      </c>
    </row>
    <row r="1470" spans="1:22" hidden="1" x14ac:dyDescent="0.35">
      <c r="A1470" s="6" t="s">
        <v>1632</v>
      </c>
      <c r="B1470" s="6" t="s">
        <v>1612</v>
      </c>
      <c r="C1470" s="6" t="s">
        <v>1613</v>
      </c>
      <c r="D1470" s="6">
        <f t="shared" si="175"/>
        <v>0.5</v>
      </c>
      <c r="E1470" s="6" t="s">
        <v>19</v>
      </c>
      <c r="F1470" s="6" t="str">
        <f>MID(A1470,19,1)</f>
        <v>S</v>
      </c>
      <c r="G1470" s="6">
        <v>-23.097001595794239</v>
      </c>
      <c r="H1470" s="6">
        <v>-46.968790936844577</v>
      </c>
      <c r="I1470" s="9">
        <v>5367.73</v>
      </c>
      <c r="K1470" s="6">
        <v>3.8</v>
      </c>
      <c r="L1470" s="6">
        <v>30</v>
      </c>
      <c r="N1470" s="1">
        <f t="shared" si="172"/>
        <v>0</v>
      </c>
      <c r="O1470" s="8" t="s">
        <v>20</v>
      </c>
      <c r="P1470" s="8"/>
      <c r="Q1470" s="8" t="s">
        <v>21</v>
      </c>
      <c r="R1470" s="8" t="s">
        <v>21</v>
      </c>
      <c r="S1470" s="8" t="s">
        <v>21</v>
      </c>
      <c r="T1470" s="8" t="s">
        <v>21</v>
      </c>
      <c r="U1470" s="6">
        <f t="shared" si="173"/>
        <v>1610.3189999999997</v>
      </c>
      <c r="V1470" s="6">
        <f t="shared" si="174"/>
        <v>1610.3189999999997</v>
      </c>
    </row>
    <row r="1471" spans="1:22" x14ac:dyDescent="0.35">
      <c r="A1471" s="6" t="s">
        <v>1633</v>
      </c>
      <c r="B1471" s="6" t="s">
        <v>1612</v>
      </c>
      <c r="C1471" s="6" t="s">
        <v>1613</v>
      </c>
      <c r="D1471" s="6">
        <f t="shared" si="175"/>
        <v>0.5</v>
      </c>
      <c r="E1471" s="6" t="s">
        <v>19</v>
      </c>
      <c r="F1471" s="6" t="str">
        <f>MID(A1471,19,1)</f>
        <v>N</v>
      </c>
      <c r="G1471" s="6">
        <v>-23.102640468372179</v>
      </c>
      <c r="H1471" s="6">
        <v>-47.010171984320571</v>
      </c>
      <c r="I1471" s="9">
        <v>1556.39</v>
      </c>
      <c r="K1471" s="6">
        <v>2.4</v>
      </c>
      <c r="L1471" s="6">
        <v>40</v>
      </c>
      <c r="N1471" s="1">
        <f t="shared" si="172"/>
        <v>0</v>
      </c>
      <c r="O1471" s="8" t="s">
        <v>20</v>
      </c>
      <c r="P1471" s="8"/>
      <c r="Q1471" s="8" t="s">
        <v>21</v>
      </c>
      <c r="R1471" s="8" t="s">
        <v>21</v>
      </c>
      <c r="S1471" s="8" t="s">
        <v>21</v>
      </c>
      <c r="T1471" s="8" t="s">
        <v>21</v>
      </c>
      <c r="U1471" s="6">
        <f t="shared" si="173"/>
        <v>622.55600000000004</v>
      </c>
      <c r="V1471" s="6">
        <f t="shared" si="174"/>
        <v>622.55600000000004</v>
      </c>
    </row>
    <row r="1472" spans="1:22" x14ac:dyDescent="0.35">
      <c r="A1472" s="6" t="s">
        <v>1634</v>
      </c>
      <c r="B1472" s="6" t="s">
        <v>1612</v>
      </c>
      <c r="C1472" s="6" t="s">
        <v>1613</v>
      </c>
      <c r="D1472" s="6">
        <f t="shared" si="175"/>
        <v>0.5</v>
      </c>
      <c r="E1472" s="6" t="s">
        <v>19</v>
      </c>
      <c r="F1472" s="6" t="str">
        <f>MID(A1472,19,1)</f>
        <v>N</v>
      </c>
      <c r="G1472" s="6">
        <v>-23.101656867739781</v>
      </c>
      <c r="H1472" s="6">
        <v>-47.011166627907457</v>
      </c>
      <c r="I1472" s="9">
        <v>991.66</v>
      </c>
      <c r="K1472" s="6">
        <v>2.6</v>
      </c>
      <c r="L1472" s="6">
        <v>40</v>
      </c>
      <c r="N1472" s="1">
        <f t="shared" si="172"/>
        <v>0</v>
      </c>
      <c r="O1472" s="8" t="s">
        <v>20</v>
      </c>
      <c r="P1472" s="8"/>
      <c r="Q1472" s="8" t="s">
        <v>21</v>
      </c>
      <c r="R1472" s="8" t="s">
        <v>21</v>
      </c>
      <c r="S1472" s="8" t="s">
        <v>21</v>
      </c>
      <c r="T1472" s="8" t="s">
        <v>21</v>
      </c>
      <c r="U1472" s="6">
        <f t="shared" si="173"/>
        <v>396.66399999999999</v>
      </c>
      <c r="V1472" s="6">
        <f t="shared" si="174"/>
        <v>396.66399999999999</v>
      </c>
    </row>
    <row r="1473" spans="1:22" x14ac:dyDescent="0.35">
      <c r="A1473" s="6" t="s">
        <v>1635</v>
      </c>
      <c r="B1473" s="6" t="s">
        <v>1612</v>
      </c>
      <c r="C1473" s="6" t="s">
        <v>1613</v>
      </c>
      <c r="D1473" s="6">
        <f t="shared" si="175"/>
        <v>0.5</v>
      </c>
      <c r="E1473" s="6" t="s">
        <v>19</v>
      </c>
      <c r="F1473" s="6" t="str">
        <f>MID(A1473,19,1)</f>
        <v>N</v>
      </c>
      <c r="G1473" s="6">
        <v>-23.10602900179741</v>
      </c>
      <c r="H1473" s="6">
        <v>-47.007267651998539</v>
      </c>
      <c r="I1473" s="9">
        <v>395.77</v>
      </c>
      <c r="K1473" s="6">
        <v>6.38</v>
      </c>
      <c r="L1473" s="6">
        <v>0</v>
      </c>
      <c r="N1473" s="1">
        <f t="shared" si="172"/>
        <v>0</v>
      </c>
      <c r="O1473" s="8"/>
      <c r="P1473" s="8"/>
      <c r="Q1473" s="8" t="s">
        <v>21</v>
      </c>
      <c r="R1473" s="8" t="s">
        <v>21</v>
      </c>
      <c r="S1473" s="8" t="s">
        <v>21</v>
      </c>
      <c r="T1473" s="8" t="s">
        <v>21</v>
      </c>
      <c r="U1473" s="6">
        <f t="shared" si="173"/>
        <v>0</v>
      </c>
      <c r="V1473" s="6">
        <f t="shared" si="174"/>
        <v>0</v>
      </c>
    </row>
    <row r="1474" spans="1:22" x14ac:dyDescent="0.35">
      <c r="A1474" s="6" t="s">
        <v>1636</v>
      </c>
      <c r="B1474" s="6" t="s">
        <v>1612</v>
      </c>
      <c r="C1474" s="6" t="s">
        <v>1613</v>
      </c>
      <c r="D1474" s="6">
        <f t="shared" si="175"/>
        <v>0.5</v>
      </c>
      <c r="E1474" s="6" t="s">
        <v>19</v>
      </c>
      <c r="F1474" s="6" t="str">
        <f>MID(A1474,19,1)</f>
        <v>N</v>
      </c>
      <c r="G1474" s="6">
        <v>-23.096705789564105</v>
      </c>
      <c r="H1474" s="6">
        <v>-46.968203870859007</v>
      </c>
      <c r="I1474" s="9">
        <v>4866.2700000000004</v>
      </c>
      <c r="K1474" s="6">
        <v>3.16</v>
      </c>
      <c r="L1474" s="6">
        <v>70</v>
      </c>
      <c r="N1474" s="1">
        <f t="shared" ref="N1474:N1537" si="177">IF(OR(R1474="Sim",S1474="Sim",T1474="Sim"),(L1474/100)*I1474,0)</f>
        <v>0</v>
      </c>
      <c r="O1474" s="8" t="s">
        <v>20</v>
      </c>
      <c r="P1474" s="8"/>
      <c r="Q1474" s="8" t="s">
        <v>21</v>
      </c>
      <c r="R1474" s="8" t="s">
        <v>21</v>
      </c>
      <c r="S1474" s="8" t="s">
        <v>21</v>
      </c>
      <c r="T1474" s="8" t="s">
        <v>21</v>
      </c>
      <c r="U1474" s="6">
        <f t="shared" si="173"/>
        <v>3406.3890000000001</v>
      </c>
      <c r="V1474" s="6">
        <f t="shared" si="174"/>
        <v>3406.3890000000001</v>
      </c>
    </row>
    <row r="1475" spans="1:22" x14ac:dyDescent="0.35">
      <c r="A1475" s="6" t="s">
        <v>1637</v>
      </c>
      <c r="B1475" s="6" t="s">
        <v>1612</v>
      </c>
      <c r="C1475" s="6" t="s">
        <v>1613</v>
      </c>
      <c r="D1475" s="6">
        <f t="shared" si="175"/>
        <v>0.5</v>
      </c>
      <c r="E1475" s="6" t="s">
        <v>19</v>
      </c>
      <c r="F1475" s="6" t="str">
        <f>MID(A1475,19,1)</f>
        <v>N</v>
      </c>
      <c r="G1475" s="6">
        <v>-23.095424471135299</v>
      </c>
      <c r="H1475" s="6">
        <v>-46.969075523773682</v>
      </c>
      <c r="I1475" s="9">
        <v>6476</v>
      </c>
      <c r="K1475" s="6">
        <v>3.2</v>
      </c>
      <c r="L1475" s="6">
        <v>70</v>
      </c>
      <c r="N1475" s="1">
        <f t="shared" si="177"/>
        <v>0</v>
      </c>
      <c r="O1475" s="8" t="s">
        <v>20</v>
      </c>
      <c r="P1475" s="8"/>
      <c r="Q1475" s="8" t="s">
        <v>21</v>
      </c>
      <c r="R1475" s="8" t="s">
        <v>21</v>
      </c>
      <c r="S1475" s="8" t="s">
        <v>21</v>
      </c>
      <c r="T1475" s="8" t="s">
        <v>21</v>
      </c>
      <c r="U1475" s="6">
        <f t="shared" ref="U1475:U1538" si="178">IF(N1475=0,(I1475*(L1475/100)),0)</f>
        <v>4533.2</v>
      </c>
      <c r="V1475" s="6">
        <f t="shared" si="174"/>
        <v>4533.2</v>
      </c>
    </row>
    <row r="1476" spans="1:22" hidden="1" x14ac:dyDescent="0.35">
      <c r="A1476" s="6" t="s">
        <v>1638</v>
      </c>
      <c r="B1476" s="6" t="s">
        <v>1612</v>
      </c>
      <c r="C1476" s="6" t="s">
        <v>1613</v>
      </c>
      <c r="D1476" s="6">
        <f t="shared" si="175"/>
        <v>0.5</v>
      </c>
      <c r="E1476" s="6" t="s">
        <v>19</v>
      </c>
      <c r="F1476" s="6" t="str">
        <f>MID(A1476,19,1)</f>
        <v>S</v>
      </c>
      <c r="G1476" s="6">
        <v>-23.097853510288985</v>
      </c>
      <c r="H1476" s="6">
        <v>-46.968057704299227</v>
      </c>
      <c r="I1476" s="9">
        <v>134.19999999999999</v>
      </c>
      <c r="K1476" s="6">
        <v>3.84</v>
      </c>
      <c r="L1476" s="6">
        <v>0</v>
      </c>
      <c r="N1476" s="1">
        <f t="shared" si="177"/>
        <v>0</v>
      </c>
      <c r="O1476" s="8"/>
      <c r="P1476" s="8"/>
      <c r="Q1476" s="8" t="s">
        <v>21</v>
      </c>
      <c r="R1476" s="8" t="s">
        <v>21</v>
      </c>
      <c r="S1476" s="8" t="s">
        <v>21</v>
      </c>
      <c r="T1476" s="8" t="s">
        <v>21</v>
      </c>
      <c r="U1476" s="6">
        <f t="shared" si="178"/>
        <v>0</v>
      </c>
      <c r="V1476" s="6">
        <f t="shared" si="174"/>
        <v>0</v>
      </c>
    </row>
    <row r="1477" spans="1:22" hidden="1" x14ac:dyDescent="0.35">
      <c r="A1477" s="6" t="s">
        <v>1639</v>
      </c>
      <c r="B1477" s="6" t="s">
        <v>1612</v>
      </c>
      <c r="C1477" s="6" t="s">
        <v>1613</v>
      </c>
      <c r="D1477" s="6">
        <f t="shared" si="175"/>
        <v>0.5</v>
      </c>
      <c r="E1477" s="6" t="s">
        <v>19</v>
      </c>
      <c r="F1477" s="6" t="str">
        <f>MID(A1477,19,1)</f>
        <v>S</v>
      </c>
      <c r="G1477" s="6">
        <v>-23.095595776558078</v>
      </c>
      <c r="H1477" s="6">
        <v>-46.969936005015562</v>
      </c>
      <c r="I1477" s="9">
        <v>872.55</v>
      </c>
      <c r="K1477" s="6">
        <v>3.52</v>
      </c>
      <c r="L1477" s="6">
        <v>30</v>
      </c>
      <c r="N1477" s="1">
        <f t="shared" si="177"/>
        <v>0</v>
      </c>
      <c r="O1477" s="8" t="s">
        <v>20</v>
      </c>
      <c r="P1477" s="8"/>
      <c r="Q1477" s="8" t="s">
        <v>21</v>
      </c>
      <c r="R1477" s="8" t="s">
        <v>21</v>
      </c>
      <c r="S1477" s="8" t="s">
        <v>21</v>
      </c>
      <c r="T1477" s="8" t="s">
        <v>21</v>
      </c>
      <c r="U1477" s="6">
        <f t="shared" si="178"/>
        <v>261.76499999999999</v>
      </c>
      <c r="V1477" s="6">
        <f t="shared" si="174"/>
        <v>261.76499999999999</v>
      </c>
    </row>
    <row r="1478" spans="1:22" hidden="1" x14ac:dyDescent="0.35">
      <c r="A1478" s="6" t="s">
        <v>1640</v>
      </c>
      <c r="B1478" s="6" t="s">
        <v>1612</v>
      </c>
      <c r="C1478" s="6" t="s">
        <v>1613</v>
      </c>
      <c r="D1478" s="6">
        <f t="shared" si="175"/>
        <v>0.5</v>
      </c>
      <c r="E1478" s="6" t="s">
        <v>19</v>
      </c>
      <c r="F1478" s="6" t="str">
        <f>MID(A1478,19,1)</f>
        <v>S</v>
      </c>
      <c r="G1478" s="6">
        <v>-23.107809396546539</v>
      </c>
      <c r="H1478" s="6">
        <v>-47.007078600998703</v>
      </c>
      <c r="I1478" s="9">
        <v>1103.01</v>
      </c>
      <c r="K1478" s="6">
        <v>8.64</v>
      </c>
      <c r="L1478" s="6">
        <v>50</v>
      </c>
      <c r="N1478" s="1">
        <f t="shared" si="177"/>
        <v>0</v>
      </c>
      <c r="O1478" s="8" t="s">
        <v>20</v>
      </c>
      <c r="P1478" s="8"/>
      <c r="Q1478" s="8" t="s">
        <v>21</v>
      </c>
      <c r="R1478" s="8" t="s">
        <v>21</v>
      </c>
      <c r="S1478" s="8" t="s">
        <v>21</v>
      </c>
      <c r="T1478" s="8" t="s">
        <v>21</v>
      </c>
      <c r="U1478" s="6">
        <f t="shared" si="178"/>
        <v>551.505</v>
      </c>
      <c r="V1478" s="6">
        <f t="shared" si="174"/>
        <v>551.505</v>
      </c>
    </row>
    <row r="1479" spans="1:22" x14ac:dyDescent="0.35">
      <c r="A1479" s="6" t="s">
        <v>1641</v>
      </c>
      <c r="B1479" s="6" t="s">
        <v>1612</v>
      </c>
      <c r="C1479" s="6" t="s">
        <v>1613</v>
      </c>
      <c r="D1479" s="6">
        <f t="shared" si="175"/>
        <v>0.5</v>
      </c>
      <c r="E1479" s="6" t="s">
        <v>19</v>
      </c>
      <c r="F1479" s="6" t="str">
        <f>MID(A1479,19,1)</f>
        <v>N</v>
      </c>
      <c r="G1479" s="6">
        <v>-23.107479631616769</v>
      </c>
      <c r="H1479" s="6">
        <v>-47.006280478802381</v>
      </c>
      <c r="I1479" s="9">
        <v>1121.1500000000001</v>
      </c>
      <c r="K1479" s="6">
        <v>3.8</v>
      </c>
      <c r="L1479" s="6">
        <v>50</v>
      </c>
      <c r="N1479" s="1">
        <f t="shared" si="177"/>
        <v>0</v>
      </c>
      <c r="O1479" s="8" t="s">
        <v>20</v>
      </c>
      <c r="P1479" s="8"/>
      <c r="Q1479" s="8" t="s">
        <v>21</v>
      </c>
      <c r="R1479" s="8" t="s">
        <v>21</v>
      </c>
      <c r="S1479" s="8" t="s">
        <v>21</v>
      </c>
      <c r="T1479" s="8" t="s">
        <v>21</v>
      </c>
      <c r="U1479" s="6">
        <f t="shared" si="178"/>
        <v>560.57500000000005</v>
      </c>
      <c r="V1479" s="6">
        <f t="shared" si="174"/>
        <v>560.57500000000005</v>
      </c>
    </row>
    <row r="1480" spans="1:22" x14ac:dyDescent="0.35">
      <c r="A1480" s="6" t="s">
        <v>1642</v>
      </c>
      <c r="B1480" s="6" t="s">
        <v>1612</v>
      </c>
      <c r="C1480" s="6" t="s">
        <v>1613</v>
      </c>
      <c r="D1480" s="6">
        <f t="shared" si="175"/>
        <v>0.5</v>
      </c>
      <c r="E1480" s="6" t="s">
        <v>19</v>
      </c>
      <c r="F1480" s="6" t="str">
        <f>MID(A1480,19,1)</f>
        <v>N</v>
      </c>
      <c r="G1480" s="6">
        <v>-23.106489995557851</v>
      </c>
      <c r="H1480" s="6">
        <v>-47.007199022271784</v>
      </c>
      <c r="I1480" s="9">
        <v>2893.3</v>
      </c>
      <c r="K1480" s="6">
        <v>4.1900000000000004</v>
      </c>
      <c r="L1480" s="6">
        <v>50</v>
      </c>
      <c r="N1480" s="1">
        <f t="shared" si="177"/>
        <v>0</v>
      </c>
      <c r="O1480" s="8" t="s">
        <v>20</v>
      </c>
      <c r="P1480" s="8"/>
      <c r="Q1480" s="8" t="s">
        <v>21</v>
      </c>
      <c r="R1480" s="8" t="s">
        <v>21</v>
      </c>
      <c r="S1480" s="8" t="s">
        <v>21</v>
      </c>
      <c r="T1480" s="8" t="s">
        <v>21</v>
      </c>
      <c r="U1480" s="6">
        <f t="shared" si="178"/>
        <v>1446.65</v>
      </c>
      <c r="V1480" s="6">
        <f t="shared" si="174"/>
        <v>1446.65</v>
      </c>
    </row>
    <row r="1481" spans="1:22" hidden="1" x14ac:dyDescent="0.35">
      <c r="A1481" s="6" t="s">
        <v>1643</v>
      </c>
      <c r="B1481" s="6" t="s">
        <v>1612</v>
      </c>
      <c r="C1481" s="6" t="s">
        <v>1613</v>
      </c>
      <c r="D1481" s="6">
        <f t="shared" si="175"/>
        <v>0.5</v>
      </c>
      <c r="E1481" s="6" t="s">
        <v>23</v>
      </c>
      <c r="F1481" s="6" t="str">
        <f>MID(A1481,19,1)</f>
        <v>C</v>
      </c>
      <c r="G1481" s="6">
        <v>-23.10719539840834</v>
      </c>
      <c r="H1481" s="6">
        <v>-47.007085512621572</v>
      </c>
      <c r="I1481" s="9">
        <v>11795.76</v>
      </c>
      <c r="J1481" s="9">
        <f>I1481/500</f>
        <v>23.591519999999999</v>
      </c>
      <c r="K1481" s="6">
        <v>4.41</v>
      </c>
      <c r="L1481" s="6">
        <v>70</v>
      </c>
      <c r="N1481" s="1">
        <f t="shared" si="177"/>
        <v>0</v>
      </c>
      <c r="O1481" s="8" t="s">
        <v>185</v>
      </c>
      <c r="P1481" s="8"/>
      <c r="Q1481" s="8" t="s">
        <v>21</v>
      </c>
      <c r="R1481" s="8" t="s">
        <v>21</v>
      </c>
      <c r="S1481" s="8" t="s">
        <v>21</v>
      </c>
      <c r="T1481" s="8" t="s">
        <v>21</v>
      </c>
      <c r="U1481" s="6">
        <f t="shared" si="178"/>
        <v>8257.0319999999992</v>
      </c>
      <c r="V1481" s="6">
        <f t="shared" si="174"/>
        <v>8257.0319999999992</v>
      </c>
    </row>
    <row r="1482" spans="1:22" hidden="1" x14ac:dyDescent="0.35">
      <c r="A1482" s="6" t="s">
        <v>1644</v>
      </c>
      <c r="B1482" s="6" t="s">
        <v>1612</v>
      </c>
      <c r="C1482" s="6" t="s">
        <v>1613</v>
      </c>
      <c r="D1482" s="6">
        <f t="shared" si="175"/>
        <v>0.5</v>
      </c>
      <c r="E1482" s="6" t="s">
        <v>19</v>
      </c>
      <c r="F1482" s="6" t="str">
        <f>MID(A1482,19,1)</f>
        <v>S</v>
      </c>
      <c r="G1482" s="6">
        <v>-23.106678592025329</v>
      </c>
      <c r="H1482" s="6">
        <v>-47.008031621709534</v>
      </c>
      <c r="I1482" s="9">
        <v>3640.97</v>
      </c>
      <c r="K1482" s="6">
        <v>4.71</v>
      </c>
      <c r="L1482" s="6">
        <v>50</v>
      </c>
      <c r="N1482" s="1">
        <f t="shared" si="177"/>
        <v>0</v>
      </c>
      <c r="O1482" s="8" t="s">
        <v>20</v>
      </c>
      <c r="P1482" s="8"/>
      <c r="Q1482" s="8" t="s">
        <v>21</v>
      </c>
      <c r="R1482" s="8" t="s">
        <v>21</v>
      </c>
      <c r="S1482" s="8" t="s">
        <v>21</v>
      </c>
      <c r="T1482" s="8" t="s">
        <v>21</v>
      </c>
      <c r="U1482" s="6">
        <f t="shared" si="178"/>
        <v>1820.4849999999999</v>
      </c>
      <c r="V1482" s="6">
        <f t="shared" si="174"/>
        <v>1820.4849999999999</v>
      </c>
    </row>
    <row r="1483" spans="1:22" x14ac:dyDescent="0.35">
      <c r="A1483" s="6" t="s">
        <v>1645</v>
      </c>
      <c r="B1483" s="6" t="s">
        <v>1612</v>
      </c>
      <c r="C1483" s="6" t="s">
        <v>1613</v>
      </c>
      <c r="D1483" s="6">
        <f t="shared" si="175"/>
        <v>0.5</v>
      </c>
      <c r="E1483" s="6" t="s">
        <v>19</v>
      </c>
      <c r="F1483" s="6" t="str">
        <f>MID(A1483,19,1)</f>
        <v>N</v>
      </c>
      <c r="G1483" s="6">
        <v>-23.10109854241168</v>
      </c>
      <c r="H1483" s="6">
        <v>-47.01133893746379</v>
      </c>
      <c r="I1483" s="9">
        <v>116.96</v>
      </c>
      <c r="K1483" s="6">
        <v>1.72</v>
      </c>
      <c r="L1483" s="6">
        <v>40</v>
      </c>
      <c r="N1483" s="1">
        <f t="shared" si="177"/>
        <v>0</v>
      </c>
      <c r="O1483" s="8" t="s">
        <v>20</v>
      </c>
      <c r="P1483" s="8"/>
      <c r="Q1483" s="8" t="s">
        <v>21</v>
      </c>
      <c r="R1483" s="8" t="s">
        <v>21</v>
      </c>
      <c r="S1483" s="8" t="s">
        <v>21</v>
      </c>
      <c r="T1483" s="8" t="s">
        <v>21</v>
      </c>
      <c r="U1483" s="6">
        <f t="shared" si="178"/>
        <v>46.783999999999999</v>
      </c>
      <c r="V1483" s="6">
        <f t="shared" si="174"/>
        <v>46.783999999999999</v>
      </c>
    </row>
    <row r="1484" spans="1:22" hidden="1" x14ac:dyDescent="0.35">
      <c r="A1484" s="6" t="s">
        <v>1646</v>
      </c>
      <c r="B1484" s="6" t="s">
        <v>1612</v>
      </c>
      <c r="C1484" s="6" t="s">
        <v>1613</v>
      </c>
      <c r="D1484" s="6">
        <f t="shared" si="175"/>
        <v>0.5</v>
      </c>
      <c r="E1484" s="6" t="s">
        <v>23</v>
      </c>
      <c r="F1484" s="6" t="str">
        <f>MID(A1484,19,1)</f>
        <v>C</v>
      </c>
      <c r="G1484" s="6">
        <v>-23.105216565673562</v>
      </c>
      <c r="H1484" s="6">
        <v>-47.008712984522319</v>
      </c>
      <c r="I1484" s="9">
        <v>3299.22</v>
      </c>
      <c r="J1484" s="9">
        <f t="shared" ref="J1484:J1485" si="179">I1484/500</f>
        <v>6.5984399999999992</v>
      </c>
      <c r="K1484" s="6">
        <v>3.97</v>
      </c>
      <c r="L1484" s="6">
        <v>70</v>
      </c>
      <c r="N1484" s="1">
        <f t="shared" si="177"/>
        <v>0</v>
      </c>
      <c r="O1484" s="8" t="s">
        <v>185</v>
      </c>
      <c r="P1484" s="8"/>
      <c r="Q1484" s="8" t="s">
        <v>21</v>
      </c>
      <c r="R1484" s="8" t="s">
        <v>21</v>
      </c>
      <c r="S1484" s="8" t="s">
        <v>21</v>
      </c>
      <c r="T1484" s="8" t="s">
        <v>21</v>
      </c>
      <c r="U1484" s="6">
        <f t="shared" si="178"/>
        <v>2309.4539999999997</v>
      </c>
      <c r="V1484" s="6">
        <f t="shared" ref="V1484:V1522" si="180">(I1484*(L1484/100))</f>
        <v>2309.4539999999997</v>
      </c>
    </row>
    <row r="1485" spans="1:22" hidden="1" x14ac:dyDescent="0.35">
      <c r="A1485" s="6" t="s">
        <v>1647</v>
      </c>
      <c r="B1485" s="6" t="s">
        <v>1612</v>
      </c>
      <c r="C1485" s="6" t="s">
        <v>1613</v>
      </c>
      <c r="D1485" s="6">
        <f t="shared" si="175"/>
        <v>0.5</v>
      </c>
      <c r="E1485" s="6" t="s">
        <v>23</v>
      </c>
      <c r="F1485" s="6" t="str">
        <f>MID(A1485,19,1)</f>
        <v>C</v>
      </c>
      <c r="G1485" s="6">
        <v>-23.10312689509907</v>
      </c>
      <c r="H1485" s="6">
        <v>-47.010447159068399</v>
      </c>
      <c r="I1485" s="9">
        <v>14695.69</v>
      </c>
      <c r="J1485" s="9">
        <f t="shared" si="179"/>
        <v>29.391380000000002</v>
      </c>
      <c r="K1485" s="6">
        <v>2.92</v>
      </c>
      <c r="L1485" s="6">
        <v>80</v>
      </c>
      <c r="N1485" s="1">
        <f t="shared" si="177"/>
        <v>0</v>
      </c>
      <c r="O1485" s="8" t="s">
        <v>185</v>
      </c>
      <c r="P1485" s="8"/>
      <c r="Q1485" s="8" t="s">
        <v>21</v>
      </c>
      <c r="R1485" s="8" t="s">
        <v>21</v>
      </c>
      <c r="S1485" s="8" t="s">
        <v>21</v>
      </c>
      <c r="T1485" s="8" t="s">
        <v>21</v>
      </c>
      <c r="U1485" s="6">
        <f t="shared" si="178"/>
        <v>11756.552000000001</v>
      </c>
      <c r="V1485" s="6">
        <f t="shared" si="180"/>
        <v>11756.552000000001</v>
      </c>
    </row>
    <row r="1486" spans="1:22" hidden="1" x14ac:dyDescent="0.35">
      <c r="A1486" s="6" t="s">
        <v>1648</v>
      </c>
      <c r="B1486" s="6" t="s">
        <v>1612</v>
      </c>
      <c r="C1486" s="6" t="s">
        <v>1613</v>
      </c>
      <c r="D1486" s="6">
        <f t="shared" ref="D1486:D1549" si="181">C1486-B1486</f>
        <v>0.5</v>
      </c>
      <c r="E1486" s="6" t="s">
        <v>19</v>
      </c>
      <c r="F1486" s="6" t="str">
        <f>MID(A1486,19,1)</f>
        <v>S</v>
      </c>
      <c r="G1486" s="6">
        <v>-23.105418175321919</v>
      </c>
      <c r="H1486" s="6">
        <v>-47.008979826595358</v>
      </c>
      <c r="I1486" s="9">
        <v>445.95</v>
      </c>
      <c r="K1486" s="6">
        <v>4.99</v>
      </c>
      <c r="L1486" s="6">
        <v>50</v>
      </c>
      <c r="N1486" s="1">
        <f t="shared" si="177"/>
        <v>0</v>
      </c>
      <c r="O1486" s="8" t="s">
        <v>20</v>
      </c>
      <c r="P1486" s="8"/>
      <c r="Q1486" s="8" t="s">
        <v>21</v>
      </c>
      <c r="R1486" s="8" t="s">
        <v>21</v>
      </c>
      <c r="S1486" s="8" t="s">
        <v>21</v>
      </c>
      <c r="T1486" s="8" t="s">
        <v>21</v>
      </c>
      <c r="U1486" s="6">
        <f t="shared" si="178"/>
        <v>222.97499999999999</v>
      </c>
      <c r="V1486" s="6">
        <f t="shared" si="180"/>
        <v>222.97499999999999</v>
      </c>
    </row>
    <row r="1487" spans="1:22" hidden="1" x14ac:dyDescent="0.35">
      <c r="A1487" s="6" t="s">
        <v>1649</v>
      </c>
      <c r="B1487" s="6" t="s">
        <v>1612</v>
      </c>
      <c r="C1487" s="6" t="s">
        <v>1613</v>
      </c>
      <c r="D1487" s="6">
        <f t="shared" si="181"/>
        <v>0.5</v>
      </c>
      <c r="E1487" s="6" t="s">
        <v>19</v>
      </c>
      <c r="F1487" s="6" t="str">
        <f>MID(A1487,19,1)</f>
        <v>S</v>
      </c>
      <c r="G1487" s="6">
        <v>-23.104066333657681</v>
      </c>
      <c r="H1487" s="6">
        <v>-47.010094189058606</v>
      </c>
      <c r="I1487" s="9">
        <v>1261.28</v>
      </c>
      <c r="K1487" s="6">
        <v>4.01</v>
      </c>
      <c r="L1487" s="6">
        <v>40</v>
      </c>
      <c r="N1487" s="1">
        <f t="shared" si="177"/>
        <v>0</v>
      </c>
      <c r="O1487" s="8" t="s">
        <v>20</v>
      </c>
      <c r="P1487" s="8"/>
      <c r="Q1487" s="8" t="s">
        <v>21</v>
      </c>
      <c r="R1487" s="8" t="s">
        <v>21</v>
      </c>
      <c r="S1487" s="8" t="s">
        <v>21</v>
      </c>
      <c r="T1487" s="8" t="s">
        <v>21</v>
      </c>
      <c r="U1487" s="6">
        <f t="shared" si="178"/>
        <v>504.512</v>
      </c>
      <c r="V1487" s="6">
        <f t="shared" si="180"/>
        <v>504.512</v>
      </c>
    </row>
    <row r="1488" spans="1:22" hidden="1" x14ac:dyDescent="0.35">
      <c r="A1488" s="6" t="s">
        <v>1650</v>
      </c>
      <c r="B1488" s="6" t="s">
        <v>1612</v>
      </c>
      <c r="C1488" s="6" t="s">
        <v>1613</v>
      </c>
      <c r="D1488" s="6">
        <f t="shared" si="181"/>
        <v>0.5</v>
      </c>
      <c r="E1488" s="6" t="s">
        <v>19</v>
      </c>
      <c r="F1488" s="6" t="str">
        <f>MID(A1488,19,1)</f>
        <v>S</v>
      </c>
      <c r="G1488" s="6">
        <v>-23.1026217837031</v>
      </c>
      <c r="H1488" s="6">
        <v>-47.011333107282326</v>
      </c>
      <c r="I1488" s="9">
        <v>1176.5</v>
      </c>
      <c r="K1488" s="6">
        <v>2.59</v>
      </c>
      <c r="L1488" s="6">
        <v>40</v>
      </c>
      <c r="N1488" s="1">
        <f t="shared" si="177"/>
        <v>0</v>
      </c>
      <c r="O1488" s="8" t="s">
        <v>20</v>
      </c>
      <c r="P1488" s="8"/>
      <c r="Q1488" s="8" t="s">
        <v>21</v>
      </c>
      <c r="R1488" s="8" t="s">
        <v>21</v>
      </c>
      <c r="S1488" s="8" t="s">
        <v>21</v>
      </c>
      <c r="T1488" s="8" t="s">
        <v>21</v>
      </c>
      <c r="U1488" s="6">
        <f t="shared" si="178"/>
        <v>470.6</v>
      </c>
      <c r="V1488" s="6">
        <f t="shared" si="180"/>
        <v>470.6</v>
      </c>
    </row>
    <row r="1489" spans="1:22" x14ac:dyDescent="0.35">
      <c r="A1489" s="6" t="s">
        <v>1651</v>
      </c>
      <c r="B1489" s="6" t="s">
        <v>1652</v>
      </c>
      <c r="C1489" s="6" t="s">
        <v>1653</v>
      </c>
      <c r="D1489" s="6">
        <f t="shared" si="181"/>
        <v>0.5</v>
      </c>
      <c r="E1489" s="6" t="s">
        <v>19</v>
      </c>
      <c r="F1489" s="6" t="str">
        <f>MID(A1489,19,1)</f>
        <v>N</v>
      </c>
      <c r="G1489" s="6">
        <v>-23.092239478578048</v>
      </c>
      <c r="H1489" s="6">
        <v>-46.971309505939367</v>
      </c>
      <c r="I1489" s="9">
        <v>2147.38</v>
      </c>
      <c r="K1489" s="6">
        <v>3.11</v>
      </c>
      <c r="L1489" s="6">
        <v>70</v>
      </c>
      <c r="N1489" s="1">
        <f t="shared" si="177"/>
        <v>0</v>
      </c>
      <c r="O1489" s="8" t="s">
        <v>20</v>
      </c>
      <c r="P1489" s="8"/>
      <c r="Q1489" s="8" t="s">
        <v>21</v>
      </c>
      <c r="R1489" s="8" t="s">
        <v>21</v>
      </c>
      <c r="S1489" s="8" t="s">
        <v>21</v>
      </c>
      <c r="T1489" s="8" t="s">
        <v>21</v>
      </c>
      <c r="U1489" s="6">
        <f t="shared" si="178"/>
        <v>1503.1659999999999</v>
      </c>
      <c r="V1489" s="6">
        <f t="shared" si="180"/>
        <v>1503.1659999999999</v>
      </c>
    </row>
    <row r="1490" spans="1:22" x14ac:dyDescent="0.35">
      <c r="A1490" s="6" t="s">
        <v>1654</v>
      </c>
      <c r="B1490" s="6" t="s">
        <v>1652</v>
      </c>
      <c r="C1490" s="6" t="s">
        <v>1653</v>
      </c>
      <c r="D1490" s="6">
        <f t="shared" si="181"/>
        <v>0.5</v>
      </c>
      <c r="E1490" s="6" t="s">
        <v>19</v>
      </c>
      <c r="F1490" s="6" t="str">
        <f>MID(A1490,19,1)</f>
        <v>N</v>
      </c>
      <c r="G1490" s="6">
        <v>-23.087128565277375</v>
      </c>
      <c r="H1490" s="6">
        <v>-46.974625336935141</v>
      </c>
      <c r="I1490" s="9">
        <v>452.04</v>
      </c>
      <c r="K1490" s="6">
        <v>3.22</v>
      </c>
      <c r="L1490" s="6">
        <v>0</v>
      </c>
      <c r="N1490" s="1">
        <f t="shared" si="177"/>
        <v>0</v>
      </c>
      <c r="O1490" s="8"/>
      <c r="P1490" s="8"/>
      <c r="Q1490" s="8" t="s">
        <v>21</v>
      </c>
      <c r="R1490" s="8" t="s">
        <v>21</v>
      </c>
      <c r="S1490" s="8" t="s">
        <v>21</v>
      </c>
      <c r="T1490" s="8" t="s">
        <v>21</v>
      </c>
      <c r="U1490" s="6">
        <f t="shared" si="178"/>
        <v>0</v>
      </c>
      <c r="V1490" s="6">
        <f t="shared" si="180"/>
        <v>0</v>
      </c>
    </row>
    <row r="1491" spans="1:22" hidden="1" x14ac:dyDescent="0.35">
      <c r="A1491" s="6" t="s">
        <v>1655</v>
      </c>
      <c r="B1491" s="6" t="s">
        <v>1652</v>
      </c>
      <c r="C1491" s="6" t="s">
        <v>1653</v>
      </c>
      <c r="D1491" s="6">
        <f t="shared" si="181"/>
        <v>0.5</v>
      </c>
      <c r="E1491" s="6" t="s">
        <v>19</v>
      </c>
      <c r="F1491" s="6" t="str">
        <f>MID(A1491,19,1)</f>
        <v>S</v>
      </c>
      <c r="G1491" s="6">
        <v>-23.086946462285155</v>
      </c>
      <c r="H1491" s="6">
        <v>-46.975262591584197</v>
      </c>
      <c r="I1491" s="9">
        <v>30.87</v>
      </c>
      <c r="K1491" s="6">
        <v>10.39</v>
      </c>
      <c r="L1491" s="6">
        <v>30</v>
      </c>
      <c r="N1491" s="1">
        <f t="shared" si="177"/>
        <v>0</v>
      </c>
      <c r="O1491" s="8" t="s">
        <v>20</v>
      </c>
      <c r="P1491" s="8"/>
      <c r="Q1491" s="8" t="s">
        <v>21</v>
      </c>
      <c r="R1491" s="8" t="s">
        <v>21</v>
      </c>
      <c r="S1491" s="8" t="s">
        <v>21</v>
      </c>
      <c r="T1491" s="8" t="s">
        <v>21</v>
      </c>
      <c r="U1491" s="6">
        <f t="shared" si="178"/>
        <v>9.2609999999999992</v>
      </c>
      <c r="V1491" s="6">
        <f t="shared" si="180"/>
        <v>9.2609999999999992</v>
      </c>
    </row>
    <row r="1492" spans="1:22" hidden="1" x14ac:dyDescent="0.35">
      <c r="A1492" s="6" t="s">
        <v>1656</v>
      </c>
      <c r="B1492" s="6" t="s">
        <v>1652</v>
      </c>
      <c r="C1492" s="6" t="s">
        <v>1653</v>
      </c>
      <c r="D1492" s="6">
        <f t="shared" si="181"/>
        <v>0.5</v>
      </c>
      <c r="E1492" s="6" t="s">
        <v>19</v>
      </c>
      <c r="F1492" s="6" t="str">
        <f>MID(A1492,19,1)</f>
        <v>S</v>
      </c>
      <c r="G1492" s="6">
        <v>-23.096060024943867</v>
      </c>
      <c r="H1492" s="6">
        <v>-47.016321390107798</v>
      </c>
      <c r="I1492" s="9">
        <v>1961</v>
      </c>
      <c r="K1492" s="6">
        <v>6.05</v>
      </c>
      <c r="L1492" s="6">
        <v>50</v>
      </c>
      <c r="N1492" s="1">
        <f t="shared" si="177"/>
        <v>0</v>
      </c>
      <c r="O1492" s="8" t="s">
        <v>20</v>
      </c>
      <c r="P1492" s="8"/>
      <c r="Q1492" s="8" t="s">
        <v>21</v>
      </c>
      <c r="R1492" s="8" t="s">
        <v>21</v>
      </c>
      <c r="S1492" s="8" t="s">
        <v>21</v>
      </c>
      <c r="T1492" s="8" t="s">
        <v>21</v>
      </c>
      <c r="U1492" s="6">
        <f t="shared" si="178"/>
        <v>980.5</v>
      </c>
      <c r="V1492" s="6">
        <f t="shared" si="180"/>
        <v>980.5</v>
      </c>
    </row>
    <row r="1493" spans="1:22" x14ac:dyDescent="0.35">
      <c r="A1493" s="6" t="s">
        <v>1657</v>
      </c>
      <c r="B1493" s="6" t="s">
        <v>1652</v>
      </c>
      <c r="C1493" s="6" t="s">
        <v>1653</v>
      </c>
      <c r="D1493" s="6">
        <f t="shared" si="181"/>
        <v>0.5</v>
      </c>
      <c r="E1493" s="6" t="s">
        <v>19</v>
      </c>
      <c r="F1493" s="6" t="str">
        <f>MID(A1493,19,1)</f>
        <v>N</v>
      </c>
      <c r="G1493" s="6">
        <v>-23.088687282948225</v>
      </c>
      <c r="H1493" s="6">
        <v>-46.973667738651791</v>
      </c>
      <c r="I1493" s="9">
        <v>1550.65</v>
      </c>
      <c r="K1493" s="6">
        <v>4.2300000000000004</v>
      </c>
      <c r="L1493" s="6">
        <v>0</v>
      </c>
      <c r="N1493" s="1">
        <f t="shared" si="177"/>
        <v>0</v>
      </c>
      <c r="O1493" s="8"/>
      <c r="P1493" s="8"/>
      <c r="Q1493" s="8" t="s">
        <v>21</v>
      </c>
      <c r="R1493" s="8" t="s">
        <v>21</v>
      </c>
      <c r="S1493" s="8" t="s">
        <v>21</v>
      </c>
      <c r="T1493" s="8" t="s">
        <v>21</v>
      </c>
      <c r="U1493" s="6">
        <f t="shared" si="178"/>
        <v>0</v>
      </c>
      <c r="V1493" s="6">
        <f t="shared" si="180"/>
        <v>0</v>
      </c>
    </row>
    <row r="1494" spans="1:22" x14ac:dyDescent="0.35">
      <c r="A1494" s="6" t="s">
        <v>1658</v>
      </c>
      <c r="B1494" s="6" t="s">
        <v>1652</v>
      </c>
      <c r="C1494" s="6" t="s">
        <v>1653</v>
      </c>
      <c r="D1494" s="6">
        <f t="shared" si="181"/>
        <v>0.5</v>
      </c>
      <c r="E1494" s="6" t="s">
        <v>19</v>
      </c>
      <c r="F1494" s="6" t="str">
        <f>MID(A1494,19,1)</f>
        <v>N</v>
      </c>
      <c r="G1494" s="6">
        <v>-23.098380243053988</v>
      </c>
      <c r="H1494" s="6">
        <v>-47.013859823214574</v>
      </c>
      <c r="I1494" s="9">
        <v>1037.98</v>
      </c>
      <c r="K1494" s="6">
        <v>3.63</v>
      </c>
      <c r="L1494" s="6">
        <v>40</v>
      </c>
      <c r="N1494" s="1">
        <f t="shared" si="177"/>
        <v>0</v>
      </c>
      <c r="O1494" s="8" t="s">
        <v>20</v>
      </c>
      <c r="P1494" s="8"/>
      <c r="Q1494" s="8" t="s">
        <v>21</v>
      </c>
      <c r="R1494" s="8" t="s">
        <v>21</v>
      </c>
      <c r="S1494" s="8" t="s">
        <v>21</v>
      </c>
      <c r="T1494" s="8" t="s">
        <v>21</v>
      </c>
      <c r="U1494" s="6">
        <f t="shared" si="178"/>
        <v>415.19200000000001</v>
      </c>
      <c r="V1494" s="6">
        <f t="shared" si="180"/>
        <v>415.19200000000001</v>
      </c>
    </row>
    <row r="1495" spans="1:22" hidden="1" x14ac:dyDescent="0.35">
      <c r="A1495" s="6" t="s">
        <v>1659</v>
      </c>
      <c r="B1495" s="6" t="s">
        <v>1652</v>
      </c>
      <c r="C1495" s="6" t="s">
        <v>1653</v>
      </c>
      <c r="D1495" s="6">
        <f t="shared" si="181"/>
        <v>0.5</v>
      </c>
      <c r="E1495" s="6" t="s">
        <v>19</v>
      </c>
      <c r="F1495" s="6" t="str">
        <f>MID(A1495,19,1)</f>
        <v>S</v>
      </c>
      <c r="G1495" s="6">
        <v>-23.10095170601187</v>
      </c>
      <c r="H1495" s="6">
        <v>-47.012667425208072</v>
      </c>
      <c r="I1495" s="9">
        <v>681.52</v>
      </c>
      <c r="K1495" s="6">
        <v>2.44</v>
      </c>
      <c r="L1495" s="6">
        <v>40</v>
      </c>
      <c r="N1495" s="1">
        <f t="shared" si="177"/>
        <v>0</v>
      </c>
      <c r="O1495" s="8" t="s">
        <v>20</v>
      </c>
      <c r="P1495" s="8"/>
      <c r="Q1495" s="8" t="s">
        <v>21</v>
      </c>
      <c r="R1495" s="8" t="s">
        <v>21</v>
      </c>
      <c r="S1495" s="8" t="s">
        <v>21</v>
      </c>
      <c r="T1495" s="8" t="s">
        <v>21</v>
      </c>
      <c r="U1495" s="6">
        <f t="shared" si="178"/>
        <v>272.608</v>
      </c>
      <c r="V1495" s="6">
        <f t="shared" si="180"/>
        <v>272.608</v>
      </c>
    </row>
    <row r="1496" spans="1:22" hidden="1" x14ac:dyDescent="0.35">
      <c r="A1496" s="6" t="s">
        <v>1660</v>
      </c>
      <c r="B1496" s="6" t="s">
        <v>1652</v>
      </c>
      <c r="C1496" s="6" t="s">
        <v>1653</v>
      </c>
      <c r="D1496" s="6">
        <f t="shared" si="181"/>
        <v>0.5</v>
      </c>
      <c r="E1496" s="6" t="s">
        <v>23</v>
      </c>
      <c r="F1496" s="6" t="str">
        <f>MID(A1496,19,1)</f>
        <v>C</v>
      </c>
      <c r="G1496" s="6">
        <v>-23.100817063695029</v>
      </c>
      <c r="H1496" s="6">
        <v>-47.012352228188902</v>
      </c>
      <c r="I1496" s="9">
        <v>5290.01</v>
      </c>
      <c r="J1496" s="9">
        <f>I1496/500</f>
        <v>10.580020000000001</v>
      </c>
      <c r="K1496" s="6">
        <v>3.15</v>
      </c>
      <c r="L1496" s="6">
        <v>70</v>
      </c>
      <c r="N1496" s="1">
        <f t="shared" si="177"/>
        <v>0</v>
      </c>
      <c r="O1496" s="8" t="s">
        <v>185</v>
      </c>
      <c r="P1496" s="8"/>
      <c r="Q1496" s="8" t="s">
        <v>21</v>
      </c>
      <c r="R1496" s="8" t="s">
        <v>21</v>
      </c>
      <c r="S1496" s="8" t="s">
        <v>21</v>
      </c>
      <c r="T1496" s="8" t="s">
        <v>21</v>
      </c>
      <c r="U1496" s="6">
        <f t="shared" si="178"/>
        <v>3703.0070000000001</v>
      </c>
      <c r="V1496" s="6">
        <f t="shared" si="180"/>
        <v>3703.0070000000001</v>
      </c>
    </row>
    <row r="1497" spans="1:22" x14ac:dyDescent="0.35">
      <c r="A1497" s="6" t="s">
        <v>1661</v>
      </c>
      <c r="B1497" s="6" t="s">
        <v>1652</v>
      </c>
      <c r="C1497" s="6" t="s">
        <v>1653</v>
      </c>
      <c r="D1497" s="6">
        <f t="shared" si="181"/>
        <v>0.5</v>
      </c>
      <c r="E1497" s="6" t="s">
        <v>19</v>
      </c>
      <c r="F1497" s="6" t="str">
        <f>MID(A1497,19,1)</f>
        <v>N</v>
      </c>
      <c r="G1497" s="6">
        <v>-23.086786531975534</v>
      </c>
      <c r="H1497" s="6">
        <v>-46.974901030307628</v>
      </c>
      <c r="I1497" s="9">
        <v>58.72</v>
      </c>
      <c r="K1497" s="6">
        <v>3.46</v>
      </c>
      <c r="L1497" s="6">
        <v>0</v>
      </c>
      <c r="N1497" s="1">
        <f t="shared" si="177"/>
        <v>0</v>
      </c>
      <c r="O1497" s="8"/>
      <c r="P1497" s="8"/>
      <c r="Q1497" s="8" t="s">
        <v>21</v>
      </c>
      <c r="R1497" s="8" t="s">
        <v>21</v>
      </c>
      <c r="S1497" s="8" t="s">
        <v>21</v>
      </c>
      <c r="T1497" s="8" t="s">
        <v>21</v>
      </c>
      <c r="U1497" s="6">
        <f t="shared" si="178"/>
        <v>0</v>
      </c>
      <c r="V1497" s="6">
        <f t="shared" si="180"/>
        <v>0</v>
      </c>
    </row>
    <row r="1498" spans="1:22" x14ac:dyDescent="0.35">
      <c r="A1498" s="6" t="s">
        <v>1662</v>
      </c>
      <c r="B1498" s="6" t="s">
        <v>1652</v>
      </c>
      <c r="C1498" s="6" t="s">
        <v>1653</v>
      </c>
      <c r="D1498" s="6">
        <f t="shared" si="181"/>
        <v>0.5</v>
      </c>
      <c r="E1498" s="6" t="s">
        <v>19</v>
      </c>
      <c r="F1498" s="6" t="str">
        <f>MID(A1498,19,1)</f>
        <v>N</v>
      </c>
      <c r="G1498" s="6">
        <v>-23.100451641038859</v>
      </c>
      <c r="H1498" s="6">
        <v>-47.012117449231688</v>
      </c>
      <c r="I1498" s="9">
        <v>4907.6400000000003</v>
      </c>
      <c r="K1498" s="6">
        <v>3.85</v>
      </c>
      <c r="L1498" s="6">
        <v>40</v>
      </c>
      <c r="N1498" s="1">
        <f t="shared" si="177"/>
        <v>0</v>
      </c>
      <c r="O1498" s="8" t="s">
        <v>20</v>
      </c>
      <c r="P1498" s="8"/>
      <c r="Q1498" s="8" t="s">
        <v>21</v>
      </c>
      <c r="R1498" s="8" t="s">
        <v>21</v>
      </c>
      <c r="S1498" s="8" t="s">
        <v>21</v>
      </c>
      <c r="T1498" s="8" t="s">
        <v>21</v>
      </c>
      <c r="U1498" s="6">
        <f t="shared" si="178"/>
        <v>1963.0560000000003</v>
      </c>
      <c r="V1498" s="6">
        <f t="shared" si="180"/>
        <v>1963.0560000000003</v>
      </c>
    </row>
    <row r="1499" spans="1:22" hidden="1" x14ac:dyDescent="0.35">
      <c r="A1499" s="6" t="s">
        <v>1663</v>
      </c>
      <c r="B1499" s="6" t="s">
        <v>1652</v>
      </c>
      <c r="C1499" s="6" t="s">
        <v>1653</v>
      </c>
      <c r="D1499" s="6">
        <f t="shared" si="181"/>
        <v>0.5</v>
      </c>
      <c r="E1499" s="6" t="s">
        <v>19</v>
      </c>
      <c r="F1499" s="6" t="str">
        <f>MID(A1499,19,1)</f>
        <v>S</v>
      </c>
      <c r="G1499" s="6">
        <v>-23.099215716861824</v>
      </c>
      <c r="H1499" s="6">
        <v>-47.014074490560311</v>
      </c>
      <c r="I1499" s="9">
        <v>1403.7</v>
      </c>
      <c r="K1499" s="6">
        <v>7.69</v>
      </c>
      <c r="L1499" s="6">
        <v>40</v>
      </c>
      <c r="N1499" s="1">
        <f t="shared" si="177"/>
        <v>0</v>
      </c>
      <c r="O1499" s="8" t="s">
        <v>20</v>
      </c>
      <c r="P1499" s="8"/>
      <c r="Q1499" s="8" t="s">
        <v>21</v>
      </c>
      <c r="R1499" s="8" t="s">
        <v>21</v>
      </c>
      <c r="S1499" s="8" t="s">
        <v>21</v>
      </c>
      <c r="T1499" s="8" t="s">
        <v>21</v>
      </c>
      <c r="U1499" s="6">
        <f t="shared" si="178"/>
        <v>561.48</v>
      </c>
      <c r="V1499" s="6">
        <f t="shared" si="180"/>
        <v>561.48</v>
      </c>
    </row>
    <row r="1500" spans="1:22" x14ac:dyDescent="0.35">
      <c r="A1500" s="6" t="s">
        <v>1664</v>
      </c>
      <c r="B1500" s="6" t="s">
        <v>1652</v>
      </c>
      <c r="C1500" s="6" t="s">
        <v>1653</v>
      </c>
      <c r="D1500" s="6">
        <f t="shared" si="181"/>
        <v>0.5</v>
      </c>
      <c r="E1500" s="6" t="s">
        <v>19</v>
      </c>
      <c r="F1500" s="6" t="str">
        <f>MID(A1500,19,1)</f>
        <v>N</v>
      </c>
      <c r="G1500" s="6">
        <v>-23.099734466915418</v>
      </c>
      <c r="H1500" s="6">
        <v>-47.012494901657554</v>
      </c>
      <c r="I1500" s="9">
        <v>117.11</v>
      </c>
      <c r="K1500" s="6">
        <v>1.86</v>
      </c>
      <c r="L1500" s="6">
        <v>100</v>
      </c>
      <c r="N1500" s="1">
        <f t="shared" si="177"/>
        <v>0</v>
      </c>
      <c r="O1500" s="8" t="s">
        <v>20</v>
      </c>
      <c r="P1500" s="8"/>
      <c r="Q1500" s="8" t="s">
        <v>21</v>
      </c>
      <c r="R1500" s="8" t="s">
        <v>21</v>
      </c>
      <c r="S1500" s="8" t="s">
        <v>21</v>
      </c>
      <c r="T1500" s="8" t="s">
        <v>21</v>
      </c>
      <c r="U1500" s="6">
        <f t="shared" si="178"/>
        <v>117.11</v>
      </c>
      <c r="V1500" s="6">
        <f t="shared" si="180"/>
        <v>117.11</v>
      </c>
    </row>
    <row r="1501" spans="1:22" hidden="1" x14ac:dyDescent="0.35">
      <c r="A1501" s="6" t="s">
        <v>1665</v>
      </c>
      <c r="B1501" s="6" t="s">
        <v>1652</v>
      </c>
      <c r="C1501" s="6" t="s">
        <v>1653</v>
      </c>
      <c r="D1501" s="6">
        <f t="shared" si="181"/>
        <v>0.5</v>
      </c>
      <c r="E1501" s="6" t="s">
        <v>19</v>
      </c>
      <c r="F1501" s="6" t="str">
        <f>MID(A1501,19,1)</f>
        <v>S</v>
      </c>
      <c r="G1501" s="6">
        <v>-23.090686947404411</v>
      </c>
      <c r="H1501" s="6">
        <v>-46.97282244549659</v>
      </c>
      <c r="I1501" s="9">
        <v>447.28</v>
      </c>
      <c r="K1501" s="6">
        <v>2.58</v>
      </c>
      <c r="L1501" s="6">
        <v>30</v>
      </c>
      <c r="N1501" s="1">
        <f t="shared" si="177"/>
        <v>0</v>
      </c>
      <c r="O1501" s="8" t="s">
        <v>20</v>
      </c>
      <c r="P1501" s="8"/>
      <c r="Q1501" s="8" t="s">
        <v>21</v>
      </c>
      <c r="R1501" s="8" t="s">
        <v>21</v>
      </c>
      <c r="S1501" s="8" t="s">
        <v>21</v>
      </c>
      <c r="T1501" s="8" t="s">
        <v>21</v>
      </c>
      <c r="U1501" s="6">
        <f t="shared" si="178"/>
        <v>134.184</v>
      </c>
      <c r="V1501" s="6">
        <f t="shared" si="180"/>
        <v>134.184</v>
      </c>
    </row>
    <row r="1502" spans="1:22" hidden="1" x14ac:dyDescent="0.35">
      <c r="A1502" s="6" t="s">
        <v>1666</v>
      </c>
      <c r="B1502" s="6" t="s">
        <v>1652</v>
      </c>
      <c r="C1502" s="6" t="s">
        <v>1653</v>
      </c>
      <c r="D1502" s="6">
        <f t="shared" si="181"/>
        <v>0.5</v>
      </c>
      <c r="E1502" s="6" t="s">
        <v>19</v>
      </c>
      <c r="F1502" s="6" t="str">
        <f>MID(A1502,19,1)</f>
        <v>S</v>
      </c>
      <c r="G1502" s="6">
        <v>-23.092653423692553</v>
      </c>
      <c r="H1502" s="6">
        <v>-46.971537364259397</v>
      </c>
      <c r="I1502" s="9">
        <v>2057.4699999999998</v>
      </c>
      <c r="K1502" s="6">
        <v>3.68</v>
      </c>
      <c r="L1502" s="6">
        <v>30</v>
      </c>
      <c r="N1502" s="1">
        <f t="shared" si="177"/>
        <v>0</v>
      </c>
      <c r="O1502" s="8" t="s">
        <v>20</v>
      </c>
      <c r="P1502" s="8"/>
      <c r="Q1502" s="8" t="s">
        <v>21</v>
      </c>
      <c r="R1502" s="8" t="s">
        <v>21</v>
      </c>
      <c r="S1502" s="8" t="s">
        <v>21</v>
      </c>
      <c r="T1502" s="8" t="s">
        <v>21</v>
      </c>
      <c r="U1502" s="6">
        <f t="shared" si="178"/>
        <v>617.24099999999987</v>
      </c>
      <c r="V1502" s="6">
        <f t="shared" si="180"/>
        <v>617.24099999999987</v>
      </c>
    </row>
    <row r="1503" spans="1:22" hidden="1" x14ac:dyDescent="0.35">
      <c r="A1503" s="6" t="s">
        <v>1667</v>
      </c>
      <c r="B1503" s="6" t="s">
        <v>1652</v>
      </c>
      <c r="C1503" s="6" t="s">
        <v>1653</v>
      </c>
      <c r="D1503" s="6">
        <f t="shared" si="181"/>
        <v>0.5</v>
      </c>
      <c r="E1503" s="6" t="s">
        <v>23</v>
      </c>
      <c r="F1503" s="6" t="str">
        <f>MID(A1503,19,1)</f>
        <v>C</v>
      </c>
      <c r="G1503" s="6">
        <v>-23.098917701282215</v>
      </c>
      <c r="H1503" s="6">
        <v>-47.013928205878308</v>
      </c>
      <c r="I1503" s="9">
        <v>9956.89</v>
      </c>
      <c r="J1503" s="9">
        <f>I1503/500</f>
        <v>19.913779999999999</v>
      </c>
      <c r="K1503" s="6">
        <v>5.38</v>
      </c>
      <c r="L1503" s="6">
        <v>70</v>
      </c>
      <c r="N1503" s="1">
        <f t="shared" si="177"/>
        <v>0</v>
      </c>
      <c r="O1503" s="8" t="s">
        <v>185</v>
      </c>
      <c r="P1503" s="8"/>
      <c r="Q1503" s="8" t="s">
        <v>21</v>
      </c>
      <c r="R1503" s="8" t="s">
        <v>21</v>
      </c>
      <c r="S1503" s="8" t="s">
        <v>21</v>
      </c>
      <c r="T1503" s="8" t="s">
        <v>21</v>
      </c>
      <c r="U1503" s="6">
        <f t="shared" si="178"/>
        <v>6969.8229999999994</v>
      </c>
      <c r="V1503" s="6">
        <f t="shared" si="180"/>
        <v>6969.8229999999994</v>
      </c>
    </row>
    <row r="1504" spans="1:22" x14ac:dyDescent="0.35">
      <c r="A1504" s="6" t="s">
        <v>1668</v>
      </c>
      <c r="B1504" s="6" t="s">
        <v>1652</v>
      </c>
      <c r="C1504" s="6" t="s">
        <v>1653</v>
      </c>
      <c r="D1504" s="6">
        <f t="shared" si="181"/>
        <v>0.5</v>
      </c>
      <c r="E1504" s="6" t="s">
        <v>19</v>
      </c>
      <c r="F1504" s="6" t="str">
        <f>MID(A1504,19,1)</f>
        <v>N</v>
      </c>
      <c r="G1504" s="6">
        <v>-23.095755364699659</v>
      </c>
      <c r="H1504" s="6">
        <v>-47.015786354492029</v>
      </c>
      <c r="I1504" s="9">
        <v>1897.93</v>
      </c>
      <c r="K1504" s="6">
        <v>4.1399999999999997</v>
      </c>
      <c r="L1504" s="6">
        <v>50</v>
      </c>
      <c r="N1504" s="1">
        <f t="shared" si="177"/>
        <v>0</v>
      </c>
      <c r="O1504" s="8" t="s">
        <v>20</v>
      </c>
      <c r="P1504" s="8"/>
      <c r="Q1504" s="8" t="s">
        <v>21</v>
      </c>
      <c r="R1504" s="8" t="s">
        <v>21</v>
      </c>
      <c r="S1504" s="8" t="s">
        <v>21</v>
      </c>
      <c r="T1504" s="8" t="s">
        <v>21</v>
      </c>
      <c r="U1504" s="6">
        <f t="shared" si="178"/>
        <v>948.96500000000003</v>
      </c>
      <c r="V1504" s="6">
        <f t="shared" si="180"/>
        <v>948.96500000000003</v>
      </c>
    </row>
    <row r="1505" spans="1:22" x14ac:dyDescent="0.35">
      <c r="A1505" s="6" t="s">
        <v>1669</v>
      </c>
      <c r="B1505" s="6" t="s">
        <v>1652</v>
      </c>
      <c r="C1505" s="6" t="s">
        <v>1653</v>
      </c>
      <c r="D1505" s="6">
        <f t="shared" si="181"/>
        <v>0.5</v>
      </c>
      <c r="E1505" s="6" t="s">
        <v>19</v>
      </c>
      <c r="F1505" s="6" t="str">
        <f>MID(A1505,19,1)</f>
        <v>N</v>
      </c>
      <c r="G1505" s="6">
        <v>-23.099332110391298</v>
      </c>
      <c r="H1505" s="6">
        <v>-47.013047321697137</v>
      </c>
      <c r="I1505" s="9">
        <v>3182.81</v>
      </c>
      <c r="K1505" s="6">
        <v>3.49</v>
      </c>
      <c r="L1505" s="6">
        <v>40</v>
      </c>
      <c r="N1505" s="1">
        <f t="shared" si="177"/>
        <v>0</v>
      </c>
      <c r="O1505" s="8" t="s">
        <v>20</v>
      </c>
      <c r="P1505" s="8"/>
      <c r="Q1505" s="8" t="s">
        <v>21</v>
      </c>
      <c r="R1505" s="8" t="s">
        <v>21</v>
      </c>
      <c r="S1505" s="8" t="s">
        <v>21</v>
      </c>
      <c r="T1505" s="8" t="s">
        <v>21</v>
      </c>
      <c r="U1505" s="6">
        <f t="shared" si="178"/>
        <v>1273.124</v>
      </c>
      <c r="V1505" s="6">
        <f t="shared" si="180"/>
        <v>1273.124</v>
      </c>
    </row>
    <row r="1506" spans="1:22" hidden="1" x14ac:dyDescent="0.35">
      <c r="A1506" s="6" t="s">
        <v>1670</v>
      </c>
      <c r="B1506" s="6" t="s">
        <v>1652</v>
      </c>
      <c r="C1506" s="6" t="s">
        <v>1653</v>
      </c>
      <c r="D1506" s="6">
        <f t="shared" si="181"/>
        <v>0.5</v>
      </c>
      <c r="E1506" s="6" t="s">
        <v>19</v>
      </c>
      <c r="F1506" s="6" t="str">
        <f>MID(A1506,19,1)</f>
        <v>S</v>
      </c>
      <c r="G1506" s="6">
        <v>-23.088431795997217</v>
      </c>
      <c r="H1506" s="6">
        <v>-46.974297932059713</v>
      </c>
      <c r="I1506" s="9">
        <v>1515.01</v>
      </c>
      <c r="K1506" s="6">
        <v>8.56</v>
      </c>
      <c r="L1506" s="6">
        <v>30</v>
      </c>
      <c r="N1506" s="1">
        <f t="shared" si="177"/>
        <v>0</v>
      </c>
      <c r="O1506" s="8" t="s">
        <v>20</v>
      </c>
      <c r="P1506" s="8"/>
      <c r="Q1506" s="8" t="s">
        <v>21</v>
      </c>
      <c r="R1506" s="8" t="s">
        <v>21</v>
      </c>
      <c r="S1506" s="8" t="s">
        <v>21</v>
      </c>
      <c r="T1506" s="8" t="s">
        <v>21</v>
      </c>
      <c r="U1506" s="6">
        <f t="shared" si="178"/>
        <v>454.50299999999999</v>
      </c>
      <c r="V1506" s="6">
        <f t="shared" si="180"/>
        <v>454.50299999999999</v>
      </c>
    </row>
    <row r="1507" spans="1:22" hidden="1" x14ac:dyDescent="0.35">
      <c r="A1507" s="6" t="s">
        <v>1671</v>
      </c>
      <c r="B1507" s="6" t="s">
        <v>1652</v>
      </c>
      <c r="C1507" s="6" t="s">
        <v>1653</v>
      </c>
      <c r="D1507" s="6">
        <f t="shared" si="181"/>
        <v>0.5</v>
      </c>
      <c r="E1507" s="6" t="s">
        <v>19</v>
      </c>
      <c r="F1507" s="6" t="str">
        <f>MID(A1507,19,1)</f>
        <v>S</v>
      </c>
      <c r="G1507" s="6">
        <v>-23.09001393139204</v>
      </c>
      <c r="H1507" s="6">
        <v>-46.973263814042419</v>
      </c>
      <c r="I1507" s="9">
        <v>460.07</v>
      </c>
      <c r="K1507" s="6">
        <v>4.3</v>
      </c>
      <c r="L1507" s="6">
        <v>30</v>
      </c>
      <c r="N1507" s="1">
        <f t="shared" si="177"/>
        <v>0</v>
      </c>
      <c r="O1507" s="8" t="s">
        <v>20</v>
      </c>
      <c r="P1507" s="8"/>
      <c r="Q1507" s="8" t="s">
        <v>21</v>
      </c>
      <c r="R1507" s="8" t="s">
        <v>21</v>
      </c>
      <c r="S1507" s="8" t="s">
        <v>21</v>
      </c>
      <c r="T1507" s="8" t="s">
        <v>21</v>
      </c>
      <c r="U1507" s="6">
        <f t="shared" si="178"/>
        <v>138.02099999999999</v>
      </c>
      <c r="V1507" s="6">
        <f t="shared" si="180"/>
        <v>138.02099999999999</v>
      </c>
    </row>
    <row r="1508" spans="1:22" hidden="1" x14ac:dyDescent="0.35">
      <c r="A1508" s="6" t="s">
        <v>1672</v>
      </c>
      <c r="B1508" s="6" t="s">
        <v>1652</v>
      </c>
      <c r="C1508" s="6" t="s">
        <v>1653</v>
      </c>
      <c r="D1508" s="6">
        <f t="shared" si="181"/>
        <v>0.5</v>
      </c>
      <c r="E1508" s="6" t="s">
        <v>23</v>
      </c>
      <c r="F1508" s="6" t="str">
        <f>MID(A1508,19,1)</f>
        <v>C</v>
      </c>
      <c r="G1508" s="6">
        <v>-23.09592177333171</v>
      </c>
      <c r="H1508" s="6">
        <v>-47.016052546990032</v>
      </c>
      <c r="I1508" s="9">
        <v>14787.5</v>
      </c>
      <c r="J1508" s="9">
        <f>I1508/500</f>
        <v>29.574999999999999</v>
      </c>
      <c r="K1508" s="6">
        <v>4.9800000000000004</v>
      </c>
      <c r="L1508" s="6">
        <v>80</v>
      </c>
      <c r="N1508" s="1">
        <f t="shared" si="177"/>
        <v>0</v>
      </c>
      <c r="O1508" s="8" t="s">
        <v>185</v>
      </c>
      <c r="P1508" s="8"/>
      <c r="Q1508" s="8" t="s">
        <v>21</v>
      </c>
      <c r="R1508" s="8" t="s">
        <v>21</v>
      </c>
      <c r="S1508" s="8" t="s">
        <v>21</v>
      </c>
      <c r="T1508" s="8" t="s">
        <v>21</v>
      </c>
      <c r="U1508" s="6">
        <f t="shared" si="178"/>
        <v>11830</v>
      </c>
      <c r="V1508" s="6">
        <f t="shared" si="180"/>
        <v>11830</v>
      </c>
    </row>
    <row r="1509" spans="1:22" x14ac:dyDescent="0.35">
      <c r="A1509" s="6" t="s">
        <v>1673</v>
      </c>
      <c r="B1509" s="6" t="s">
        <v>1652</v>
      </c>
      <c r="C1509" s="6" t="s">
        <v>1653</v>
      </c>
      <c r="D1509" s="6">
        <f t="shared" si="181"/>
        <v>0.5</v>
      </c>
      <c r="E1509" s="6" t="s">
        <v>19</v>
      </c>
      <c r="F1509" s="6" t="str">
        <f>MID(A1509,19,1)</f>
        <v>N</v>
      </c>
      <c r="G1509" s="6">
        <v>-23.100710908126079</v>
      </c>
      <c r="H1509" s="6">
        <v>-47.011690153564992</v>
      </c>
      <c r="I1509" s="9">
        <v>456.69</v>
      </c>
      <c r="K1509" s="6">
        <v>3.52</v>
      </c>
      <c r="L1509" s="6">
        <v>40</v>
      </c>
      <c r="N1509" s="1">
        <f t="shared" si="177"/>
        <v>0</v>
      </c>
      <c r="O1509" s="8" t="s">
        <v>20</v>
      </c>
      <c r="P1509" s="8"/>
      <c r="Q1509" s="8" t="s">
        <v>21</v>
      </c>
      <c r="R1509" s="8" t="s">
        <v>21</v>
      </c>
      <c r="S1509" s="8" t="s">
        <v>21</v>
      </c>
      <c r="T1509" s="8" t="s">
        <v>21</v>
      </c>
      <c r="U1509" s="6">
        <f t="shared" si="178"/>
        <v>182.67600000000002</v>
      </c>
      <c r="V1509" s="6">
        <f t="shared" si="180"/>
        <v>182.67600000000002</v>
      </c>
    </row>
    <row r="1510" spans="1:22" x14ac:dyDescent="0.35">
      <c r="A1510" s="6" t="s">
        <v>1674</v>
      </c>
      <c r="B1510" s="6" t="s">
        <v>1675</v>
      </c>
      <c r="C1510" s="6" t="s">
        <v>1676</v>
      </c>
      <c r="D1510" s="6">
        <f t="shared" si="181"/>
        <v>0.5</v>
      </c>
      <c r="E1510" s="6" t="s">
        <v>19</v>
      </c>
      <c r="F1510" s="6" t="str">
        <f>MID(A1510,19,1)</f>
        <v>N</v>
      </c>
      <c r="G1510" s="6">
        <v>-23.092887155723243</v>
      </c>
      <c r="H1510" s="6">
        <v>-47.016957682074406</v>
      </c>
      <c r="I1510" s="9">
        <v>853.02</v>
      </c>
      <c r="K1510" s="6">
        <v>5.64</v>
      </c>
      <c r="L1510" s="6">
        <v>50</v>
      </c>
      <c r="N1510" s="1">
        <f t="shared" si="177"/>
        <v>0</v>
      </c>
      <c r="O1510" s="8" t="s">
        <v>20</v>
      </c>
      <c r="P1510" s="8"/>
      <c r="Q1510" s="8" t="s">
        <v>21</v>
      </c>
      <c r="R1510" s="8" t="s">
        <v>21</v>
      </c>
      <c r="S1510" s="8" t="s">
        <v>21</v>
      </c>
      <c r="T1510" s="8" t="s">
        <v>21</v>
      </c>
      <c r="U1510" s="6">
        <f t="shared" si="178"/>
        <v>426.51</v>
      </c>
      <c r="V1510" s="6">
        <f t="shared" si="180"/>
        <v>426.51</v>
      </c>
    </row>
    <row r="1511" spans="1:22" x14ac:dyDescent="0.35">
      <c r="A1511" s="6" t="s">
        <v>1677</v>
      </c>
      <c r="B1511" s="6" t="s">
        <v>1675</v>
      </c>
      <c r="C1511" s="6" t="s">
        <v>1676</v>
      </c>
      <c r="D1511" s="6">
        <f t="shared" si="181"/>
        <v>0.5</v>
      </c>
      <c r="E1511" s="6" t="s">
        <v>19</v>
      </c>
      <c r="F1511" s="6" t="str">
        <f>MID(A1511,19,1)</f>
        <v>N</v>
      </c>
      <c r="G1511" s="6">
        <v>-23.090580197695441</v>
      </c>
      <c r="H1511" s="6">
        <v>-47.017674376580437</v>
      </c>
      <c r="I1511" s="9">
        <v>1349.06</v>
      </c>
      <c r="K1511" s="6">
        <v>5.73</v>
      </c>
      <c r="L1511" s="6">
        <v>50</v>
      </c>
      <c r="N1511" s="1">
        <f t="shared" si="177"/>
        <v>0</v>
      </c>
      <c r="O1511" s="8" t="s">
        <v>20</v>
      </c>
      <c r="P1511" s="8"/>
      <c r="Q1511" s="8" t="s">
        <v>21</v>
      </c>
      <c r="R1511" s="8" t="s">
        <v>21</v>
      </c>
      <c r="S1511" s="8" t="s">
        <v>21</v>
      </c>
      <c r="T1511" s="8" t="s">
        <v>21</v>
      </c>
      <c r="U1511" s="6">
        <f t="shared" si="178"/>
        <v>674.53</v>
      </c>
      <c r="V1511" s="6">
        <f t="shared" si="180"/>
        <v>674.53</v>
      </c>
    </row>
    <row r="1512" spans="1:22" hidden="1" x14ac:dyDescent="0.35">
      <c r="A1512" s="6" t="s">
        <v>1678</v>
      </c>
      <c r="B1512" s="6" t="s">
        <v>1675</v>
      </c>
      <c r="C1512" s="6" t="s">
        <v>1676</v>
      </c>
      <c r="D1512" s="6">
        <f t="shared" si="181"/>
        <v>0.5</v>
      </c>
      <c r="E1512" s="6" t="s">
        <v>23</v>
      </c>
      <c r="F1512" s="6" t="str">
        <f>MID(A1512,19,1)</f>
        <v>C</v>
      </c>
      <c r="G1512" s="6">
        <v>-23.088619989575697</v>
      </c>
      <c r="H1512" s="6">
        <v>-47.01892207630614</v>
      </c>
      <c r="I1512" s="9">
        <v>5451.36</v>
      </c>
      <c r="J1512" s="9">
        <f>I1512/500</f>
        <v>10.902719999999999</v>
      </c>
      <c r="K1512" s="6">
        <v>4.59</v>
      </c>
      <c r="L1512" s="6">
        <v>80</v>
      </c>
      <c r="N1512" s="1">
        <f t="shared" si="177"/>
        <v>0</v>
      </c>
      <c r="O1512" s="8" t="s">
        <v>185</v>
      </c>
      <c r="P1512" s="8"/>
      <c r="Q1512" s="8" t="s">
        <v>21</v>
      </c>
      <c r="R1512" s="8" t="s">
        <v>21</v>
      </c>
      <c r="S1512" s="8" t="s">
        <v>21</v>
      </c>
      <c r="T1512" s="8" t="s">
        <v>21</v>
      </c>
      <c r="U1512" s="6">
        <f t="shared" si="178"/>
        <v>4361.0879999999997</v>
      </c>
      <c r="V1512" s="6">
        <f t="shared" si="180"/>
        <v>4361.0879999999997</v>
      </c>
    </row>
    <row r="1513" spans="1:22" hidden="1" x14ac:dyDescent="0.35">
      <c r="A1513" s="6" t="s">
        <v>1679</v>
      </c>
      <c r="B1513" s="6" t="s">
        <v>1675</v>
      </c>
      <c r="C1513" s="6" t="s">
        <v>1676</v>
      </c>
      <c r="D1513" s="6">
        <f t="shared" si="181"/>
        <v>0.5</v>
      </c>
      <c r="E1513" s="6" t="s">
        <v>19</v>
      </c>
      <c r="F1513" s="6" t="str">
        <f>MID(A1513,19,1)</f>
        <v>S</v>
      </c>
      <c r="G1513" s="6">
        <v>-23.083164787918204</v>
      </c>
      <c r="H1513" s="6">
        <v>-46.977812920774269</v>
      </c>
      <c r="I1513" s="9">
        <v>346.19</v>
      </c>
      <c r="K1513" s="6">
        <v>3.11</v>
      </c>
      <c r="L1513" s="6">
        <v>30</v>
      </c>
      <c r="N1513" s="1">
        <f t="shared" si="177"/>
        <v>0</v>
      </c>
      <c r="O1513" s="8" t="s">
        <v>20</v>
      </c>
      <c r="P1513" s="8"/>
      <c r="Q1513" s="8" t="s">
        <v>21</v>
      </c>
      <c r="R1513" s="8" t="s">
        <v>21</v>
      </c>
      <c r="S1513" s="8" t="s">
        <v>21</v>
      </c>
      <c r="T1513" s="8" t="s">
        <v>21</v>
      </c>
      <c r="U1513" s="6">
        <f t="shared" si="178"/>
        <v>103.857</v>
      </c>
      <c r="V1513" s="6">
        <f t="shared" si="180"/>
        <v>103.857</v>
      </c>
    </row>
    <row r="1514" spans="1:22" hidden="1" x14ac:dyDescent="0.35">
      <c r="A1514" s="6" t="s">
        <v>1680</v>
      </c>
      <c r="B1514" s="6" t="s">
        <v>1675</v>
      </c>
      <c r="C1514" s="6" t="s">
        <v>1676</v>
      </c>
      <c r="D1514" s="6">
        <f t="shared" si="181"/>
        <v>0.5</v>
      </c>
      <c r="E1514" s="6" t="s">
        <v>19</v>
      </c>
      <c r="F1514" s="6" t="str">
        <f>MID(A1514,19,1)</f>
        <v>S</v>
      </c>
      <c r="G1514" s="6">
        <v>-23.084873825022342</v>
      </c>
      <c r="H1514" s="6">
        <v>-46.976632882556807</v>
      </c>
      <c r="I1514" s="9">
        <v>1635.68</v>
      </c>
      <c r="K1514" s="6">
        <v>5.61</v>
      </c>
      <c r="L1514" s="6">
        <v>30</v>
      </c>
      <c r="N1514" s="1">
        <f t="shared" si="177"/>
        <v>0</v>
      </c>
      <c r="O1514" s="8" t="s">
        <v>20</v>
      </c>
      <c r="P1514" s="8"/>
      <c r="Q1514" s="8" t="s">
        <v>21</v>
      </c>
      <c r="R1514" s="8" t="s">
        <v>21</v>
      </c>
      <c r="S1514" s="8" t="s">
        <v>21</v>
      </c>
      <c r="T1514" s="8" t="s">
        <v>21</v>
      </c>
      <c r="U1514" s="6">
        <f t="shared" si="178"/>
        <v>490.70400000000001</v>
      </c>
      <c r="V1514" s="6">
        <f t="shared" si="180"/>
        <v>490.70400000000001</v>
      </c>
    </row>
    <row r="1515" spans="1:22" hidden="1" x14ac:dyDescent="0.35">
      <c r="A1515" s="6" t="s">
        <v>1681</v>
      </c>
      <c r="B1515" s="6" t="s">
        <v>1675</v>
      </c>
      <c r="C1515" s="6" t="s">
        <v>1676</v>
      </c>
      <c r="D1515" s="6">
        <f t="shared" si="181"/>
        <v>0.5</v>
      </c>
      <c r="E1515" s="6" t="s">
        <v>19</v>
      </c>
      <c r="F1515" s="6" t="str">
        <f>MID(A1515,19,1)</f>
        <v>S</v>
      </c>
      <c r="G1515" s="6">
        <v>-23.091736287119875</v>
      </c>
      <c r="H1515" s="6">
        <v>-47.017967703604604</v>
      </c>
      <c r="I1515" s="9">
        <v>2118.8200000000002</v>
      </c>
      <c r="K1515" s="6">
        <v>9.09</v>
      </c>
      <c r="L1515" s="6">
        <v>50</v>
      </c>
      <c r="N1515" s="1">
        <f t="shared" si="177"/>
        <v>0</v>
      </c>
      <c r="O1515" s="8" t="s">
        <v>20</v>
      </c>
      <c r="P1515" s="8"/>
      <c r="Q1515" s="8" t="s">
        <v>21</v>
      </c>
      <c r="R1515" s="8" t="s">
        <v>21</v>
      </c>
      <c r="S1515" s="8" t="s">
        <v>21</v>
      </c>
      <c r="T1515" s="8" t="s">
        <v>21</v>
      </c>
      <c r="U1515" s="6">
        <f t="shared" si="178"/>
        <v>1059.4100000000001</v>
      </c>
      <c r="V1515" s="6">
        <f t="shared" si="180"/>
        <v>1059.4100000000001</v>
      </c>
    </row>
    <row r="1516" spans="1:22" x14ac:dyDescent="0.35">
      <c r="A1516" s="6" t="s">
        <v>1682</v>
      </c>
      <c r="B1516" s="6" t="s">
        <v>1675</v>
      </c>
      <c r="C1516" s="6" t="s">
        <v>1676</v>
      </c>
      <c r="D1516" s="6">
        <f t="shared" si="181"/>
        <v>0.5</v>
      </c>
      <c r="E1516" s="6" t="s">
        <v>19</v>
      </c>
      <c r="F1516" s="6" t="str">
        <f>MID(A1516,19,1)</f>
        <v>N</v>
      </c>
      <c r="G1516" s="6">
        <v>-23.086384171406891</v>
      </c>
      <c r="H1516" s="6">
        <v>-47.019994647510572</v>
      </c>
      <c r="I1516" s="9">
        <v>1278.6500000000001</v>
      </c>
      <c r="K1516" s="6">
        <v>7.09</v>
      </c>
      <c r="L1516" s="6">
        <v>10</v>
      </c>
      <c r="N1516" s="1">
        <f t="shared" si="177"/>
        <v>0</v>
      </c>
      <c r="O1516" s="8" t="s">
        <v>20</v>
      </c>
      <c r="P1516" s="8"/>
      <c r="Q1516" s="8" t="s">
        <v>21</v>
      </c>
      <c r="R1516" s="8" t="s">
        <v>21</v>
      </c>
      <c r="S1516" s="8" t="s">
        <v>21</v>
      </c>
      <c r="T1516" s="8" t="s">
        <v>21</v>
      </c>
      <c r="U1516" s="6">
        <f t="shared" si="178"/>
        <v>127.86500000000001</v>
      </c>
      <c r="V1516" s="6">
        <f t="shared" si="180"/>
        <v>127.86500000000001</v>
      </c>
    </row>
    <row r="1517" spans="1:22" x14ac:dyDescent="0.35">
      <c r="A1517" s="6" t="s">
        <v>1683</v>
      </c>
      <c r="B1517" s="6" t="s">
        <v>1675</v>
      </c>
      <c r="C1517" s="6" t="s">
        <v>1676</v>
      </c>
      <c r="D1517" s="6">
        <f t="shared" si="181"/>
        <v>0.5</v>
      </c>
      <c r="E1517" s="6" t="s">
        <v>19</v>
      </c>
      <c r="F1517" s="6" t="str">
        <f>MID(A1517,19,1)</f>
        <v>N</v>
      </c>
      <c r="G1517" s="6">
        <v>-23.080992642892781</v>
      </c>
      <c r="H1517" s="6">
        <v>-46.978811407813062</v>
      </c>
      <c r="I1517" s="9">
        <v>1798.06</v>
      </c>
      <c r="K1517" s="6">
        <v>5.39</v>
      </c>
      <c r="L1517" s="6">
        <v>20</v>
      </c>
      <c r="N1517" s="1">
        <f t="shared" si="177"/>
        <v>0</v>
      </c>
      <c r="O1517" s="8" t="s">
        <v>20</v>
      </c>
      <c r="P1517" s="8"/>
      <c r="Q1517" s="8" t="s">
        <v>21</v>
      </c>
      <c r="R1517" s="8" t="s">
        <v>21</v>
      </c>
      <c r="S1517" s="8" t="s">
        <v>21</v>
      </c>
      <c r="T1517" s="8" t="s">
        <v>21</v>
      </c>
      <c r="U1517" s="6">
        <f t="shared" si="178"/>
        <v>359.61200000000002</v>
      </c>
      <c r="V1517" s="6">
        <f t="shared" si="180"/>
        <v>359.61200000000002</v>
      </c>
    </row>
    <row r="1518" spans="1:22" hidden="1" x14ac:dyDescent="0.35">
      <c r="A1518" s="6" t="s">
        <v>1684</v>
      </c>
      <c r="B1518" s="6" t="s">
        <v>1675</v>
      </c>
      <c r="C1518" s="6" t="s">
        <v>1676</v>
      </c>
      <c r="D1518" s="6">
        <f t="shared" si="181"/>
        <v>0.5</v>
      </c>
      <c r="E1518" s="6" t="s">
        <v>23</v>
      </c>
      <c r="F1518" s="6" t="str">
        <f>MID(A1518,19,1)</f>
        <v>C</v>
      </c>
      <c r="G1518" s="6">
        <v>-23.091630122413026</v>
      </c>
      <c r="H1518" s="6">
        <v>-47.017680550002616</v>
      </c>
      <c r="I1518" s="9">
        <v>16168.23</v>
      </c>
      <c r="J1518" s="9">
        <f t="shared" ref="J1518:J1519" si="182">I1518/500</f>
        <v>32.336460000000002</v>
      </c>
      <c r="K1518" s="6">
        <v>7.68</v>
      </c>
      <c r="L1518" s="6">
        <v>80</v>
      </c>
      <c r="N1518" s="1">
        <f t="shared" si="177"/>
        <v>0</v>
      </c>
      <c r="O1518" s="8" t="s">
        <v>185</v>
      </c>
      <c r="P1518" s="8"/>
      <c r="Q1518" s="8" t="s">
        <v>21</v>
      </c>
      <c r="R1518" s="8" t="s">
        <v>21</v>
      </c>
      <c r="S1518" s="8" t="s">
        <v>21</v>
      </c>
      <c r="T1518" s="8" t="s">
        <v>21</v>
      </c>
      <c r="U1518" s="6">
        <f t="shared" si="178"/>
        <v>12934.584000000001</v>
      </c>
      <c r="V1518" s="6">
        <f t="shared" si="180"/>
        <v>12934.584000000001</v>
      </c>
    </row>
    <row r="1519" spans="1:22" hidden="1" x14ac:dyDescent="0.35">
      <c r="A1519" s="6" t="s">
        <v>1685</v>
      </c>
      <c r="B1519" s="6" t="s">
        <v>1675</v>
      </c>
      <c r="C1519" s="6" t="s">
        <v>1676</v>
      </c>
      <c r="D1519" s="6">
        <f t="shared" si="181"/>
        <v>0.5</v>
      </c>
      <c r="E1519" s="6" t="s">
        <v>23</v>
      </c>
      <c r="F1519" s="6" t="str">
        <f>MID(A1519,19,1)</f>
        <v>C</v>
      </c>
      <c r="G1519" s="6">
        <v>-23.086722687566983</v>
      </c>
      <c r="H1519" s="6">
        <v>-47.020350220881163</v>
      </c>
      <c r="I1519" s="9">
        <v>9220.2000000000007</v>
      </c>
      <c r="J1519" s="9">
        <f t="shared" si="182"/>
        <v>18.4404</v>
      </c>
      <c r="K1519" s="6">
        <v>5</v>
      </c>
      <c r="L1519" s="6">
        <v>80</v>
      </c>
      <c r="N1519" s="1">
        <f t="shared" si="177"/>
        <v>0</v>
      </c>
      <c r="O1519" s="8" t="s">
        <v>185</v>
      </c>
      <c r="P1519" s="8"/>
      <c r="Q1519" s="8" t="s">
        <v>21</v>
      </c>
      <c r="R1519" s="8" t="s">
        <v>21</v>
      </c>
      <c r="S1519" s="8" t="s">
        <v>21</v>
      </c>
      <c r="T1519" s="8" t="s">
        <v>21</v>
      </c>
      <c r="U1519" s="6">
        <f t="shared" si="178"/>
        <v>7376.1600000000008</v>
      </c>
      <c r="V1519" s="6">
        <f t="shared" si="180"/>
        <v>7376.1600000000008</v>
      </c>
    </row>
    <row r="1520" spans="1:22" hidden="1" x14ac:dyDescent="0.35">
      <c r="A1520" s="6" t="s">
        <v>1686</v>
      </c>
      <c r="B1520" s="6" t="s">
        <v>1675</v>
      </c>
      <c r="C1520" s="6" t="s">
        <v>1676</v>
      </c>
      <c r="D1520" s="6">
        <f t="shared" si="181"/>
        <v>0.5</v>
      </c>
      <c r="E1520" s="6" t="s">
        <v>19</v>
      </c>
      <c r="F1520" s="6" t="str">
        <f>MID(A1520,19,1)</f>
        <v>S</v>
      </c>
      <c r="G1520" s="6">
        <v>-23.087441726644233</v>
      </c>
      <c r="H1520" s="6">
        <v>-47.020259325863513</v>
      </c>
      <c r="I1520" s="9">
        <v>2643.33</v>
      </c>
      <c r="K1520" s="6">
        <v>3.86</v>
      </c>
      <c r="L1520" s="6">
        <v>60</v>
      </c>
      <c r="N1520" s="1">
        <f t="shared" si="177"/>
        <v>0</v>
      </c>
      <c r="O1520" s="8" t="s">
        <v>20</v>
      </c>
      <c r="P1520" s="8"/>
      <c r="Q1520" s="8" t="s">
        <v>21</v>
      </c>
      <c r="R1520" s="8" t="s">
        <v>21</v>
      </c>
      <c r="S1520" s="8" t="s">
        <v>21</v>
      </c>
      <c r="T1520" s="8" t="s">
        <v>21</v>
      </c>
      <c r="U1520" s="6">
        <f t="shared" si="178"/>
        <v>1585.9979999999998</v>
      </c>
      <c r="V1520" s="6">
        <f t="shared" si="180"/>
        <v>1585.9979999999998</v>
      </c>
    </row>
    <row r="1521" spans="1:22" hidden="1" x14ac:dyDescent="0.35">
      <c r="A1521" s="6" t="s">
        <v>1687</v>
      </c>
      <c r="B1521" s="6" t="s">
        <v>1675</v>
      </c>
      <c r="C1521" s="6" t="s">
        <v>1676</v>
      </c>
      <c r="D1521" s="6">
        <f t="shared" si="181"/>
        <v>0.5</v>
      </c>
      <c r="E1521" s="6" t="s">
        <v>19</v>
      </c>
      <c r="F1521" s="6" t="str">
        <f>MID(A1521,19,1)</f>
        <v>S</v>
      </c>
      <c r="G1521" s="6">
        <v>-23.083397738298984</v>
      </c>
      <c r="H1521" s="6">
        <v>-46.977601647160022</v>
      </c>
      <c r="I1521" s="9">
        <v>216.51</v>
      </c>
      <c r="K1521" s="6">
        <v>5.66</v>
      </c>
      <c r="L1521" s="6">
        <v>30</v>
      </c>
      <c r="N1521" s="1">
        <f t="shared" si="177"/>
        <v>0</v>
      </c>
      <c r="O1521" s="8" t="s">
        <v>20</v>
      </c>
      <c r="P1521" s="8"/>
      <c r="Q1521" s="8" t="s">
        <v>21</v>
      </c>
      <c r="R1521" s="8" t="s">
        <v>21</v>
      </c>
      <c r="S1521" s="8" t="s">
        <v>21</v>
      </c>
      <c r="T1521" s="8" t="s">
        <v>21</v>
      </c>
      <c r="U1521" s="6">
        <f t="shared" si="178"/>
        <v>64.952999999999989</v>
      </c>
      <c r="V1521" s="6">
        <f t="shared" si="180"/>
        <v>64.952999999999989</v>
      </c>
    </row>
    <row r="1522" spans="1:22" hidden="1" x14ac:dyDescent="0.35">
      <c r="A1522" s="6" t="s">
        <v>1688</v>
      </c>
      <c r="B1522" s="6" t="s">
        <v>1675</v>
      </c>
      <c r="C1522" s="6" t="s">
        <v>1676</v>
      </c>
      <c r="D1522" s="6">
        <f t="shared" si="181"/>
        <v>0.5</v>
      </c>
      <c r="E1522" s="6" t="s">
        <v>19</v>
      </c>
      <c r="F1522" s="6" t="str">
        <f>MID(A1522,19,1)</f>
        <v>S</v>
      </c>
      <c r="G1522" s="6">
        <v>-23.08629729252608</v>
      </c>
      <c r="H1522" s="6">
        <v>-47.021077990404315</v>
      </c>
      <c r="I1522" s="9">
        <v>508.55</v>
      </c>
      <c r="K1522" s="6">
        <v>6.89</v>
      </c>
      <c r="L1522" s="6">
        <v>60</v>
      </c>
      <c r="N1522" s="1">
        <f t="shared" si="177"/>
        <v>0</v>
      </c>
      <c r="O1522" s="8" t="s">
        <v>20</v>
      </c>
      <c r="P1522" s="8"/>
      <c r="Q1522" s="8" t="s">
        <v>21</v>
      </c>
      <c r="R1522" s="8" t="s">
        <v>21</v>
      </c>
      <c r="S1522" s="8" t="s">
        <v>21</v>
      </c>
      <c r="T1522" s="8" t="s">
        <v>21</v>
      </c>
      <c r="U1522" s="6">
        <f t="shared" si="178"/>
        <v>305.13</v>
      </c>
      <c r="V1522" s="6">
        <f t="shared" si="180"/>
        <v>305.13</v>
      </c>
    </row>
    <row r="1523" spans="1:22" hidden="1" x14ac:dyDescent="0.35">
      <c r="A1523" s="8" t="s">
        <v>1689</v>
      </c>
      <c r="B1523" s="8" t="s">
        <v>1675</v>
      </c>
      <c r="C1523" s="8" t="s">
        <v>1676</v>
      </c>
      <c r="D1523" s="6">
        <f t="shared" si="181"/>
        <v>0.5</v>
      </c>
      <c r="E1523" s="8" t="s">
        <v>19</v>
      </c>
      <c r="F1523" s="8" t="str">
        <f>MID(A1523,19,1)</f>
        <v>S</v>
      </c>
      <c r="G1523" s="8">
        <v>-23.081155694990947</v>
      </c>
      <c r="H1523" s="8">
        <v>-46.979097915968197</v>
      </c>
      <c r="I1523" s="7">
        <v>1739.3</v>
      </c>
      <c r="J1523" s="7"/>
      <c r="K1523" s="8">
        <v>7.16</v>
      </c>
      <c r="L1523" s="8">
        <v>65</v>
      </c>
      <c r="M1523" s="8"/>
      <c r="N1523" s="11">
        <f t="shared" si="177"/>
        <v>1130.5450000000001</v>
      </c>
      <c r="O1523" s="8" t="s">
        <v>25</v>
      </c>
      <c r="P1523" s="8"/>
      <c r="Q1523" s="8" t="s">
        <v>21</v>
      </c>
      <c r="R1523" s="8" t="s">
        <v>26</v>
      </c>
      <c r="S1523" s="8" t="s">
        <v>21</v>
      </c>
      <c r="T1523" s="8" t="s">
        <v>26</v>
      </c>
      <c r="U1523" s="6">
        <f t="shared" si="178"/>
        <v>0</v>
      </c>
    </row>
    <row r="1524" spans="1:22" hidden="1" x14ac:dyDescent="0.35">
      <c r="A1524" s="8" t="s">
        <v>1690</v>
      </c>
      <c r="B1524" s="8" t="s">
        <v>1675</v>
      </c>
      <c r="C1524" s="8" t="s">
        <v>1676</v>
      </c>
      <c r="D1524" s="6">
        <f t="shared" si="181"/>
        <v>0.5</v>
      </c>
      <c r="E1524" s="8" t="s">
        <v>19</v>
      </c>
      <c r="F1524" s="8" t="str">
        <f>MID(A1524,19,1)</f>
        <v>S</v>
      </c>
      <c r="G1524" s="8">
        <v>-23.088699653224545</v>
      </c>
      <c r="H1524" s="8">
        <v>-47.019248187879292</v>
      </c>
      <c r="I1524" s="7">
        <v>795.96</v>
      </c>
      <c r="J1524" s="7"/>
      <c r="K1524" s="8">
        <v>7.54</v>
      </c>
      <c r="L1524" s="8">
        <v>60</v>
      </c>
      <c r="M1524" s="8"/>
      <c r="N1524" s="1">
        <f t="shared" si="177"/>
        <v>0</v>
      </c>
      <c r="O1524" s="8" t="s">
        <v>20</v>
      </c>
      <c r="P1524" s="8"/>
      <c r="Q1524" s="8" t="s">
        <v>21</v>
      </c>
      <c r="R1524" s="8" t="s">
        <v>21</v>
      </c>
      <c r="S1524" s="8" t="s">
        <v>21</v>
      </c>
      <c r="T1524" s="8" t="s">
        <v>21</v>
      </c>
      <c r="U1524" s="6">
        <f t="shared" si="178"/>
        <v>477.57600000000002</v>
      </c>
      <c r="V1524" s="6">
        <f t="shared" ref="V1524:V1541" si="183">(I1524*(L1524/100))</f>
        <v>477.57600000000002</v>
      </c>
    </row>
    <row r="1525" spans="1:22" x14ac:dyDescent="0.35">
      <c r="A1525" s="8" t="s">
        <v>1691</v>
      </c>
      <c r="B1525" s="8" t="s">
        <v>1675</v>
      </c>
      <c r="C1525" s="8" t="s">
        <v>1676</v>
      </c>
      <c r="D1525" s="6">
        <f t="shared" si="181"/>
        <v>0.5</v>
      </c>
      <c r="E1525" s="8" t="s">
        <v>19</v>
      </c>
      <c r="F1525" s="8" t="str">
        <f>MID(A1525,19,1)</f>
        <v>N</v>
      </c>
      <c r="G1525" s="8">
        <v>-23.084422087557506</v>
      </c>
      <c r="H1525" s="8">
        <v>-46.976418554716801</v>
      </c>
      <c r="I1525" s="7">
        <v>2973.22</v>
      </c>
      <c r="J1525" s="7"/>
      <c r="K1525" s="8">
        <v>5.25</v>
      </c>
      <c r="L1525" s="8">
        <v>50</v>
      </c>
      <c r="M1525" s="8"/>
      <c r="N1525" s="1">
        <f t="shared" si="177"/>
        <v>0</v>
      </c>
      <c r="O1525" s="8" t="s">
        <v>20</v>
      </c>
      <c r="P1525" s="8"/>
      <c r="Q1525" s="8" t="s">
        <v>21</v>
      </c>
      <c r="R1525" s="8" t="s">
        <v>21</v>
      </c>
      <c r="S1525" s="8" t="s">
        <v>21</v>
      </c>
      <c r="T1525" s="8" t="s">
        <v>21</v>
      </c>
      <c r="U1525" s="6">
        <f t="shared" si="178"/>
        <v>1486.61</v>
      </c>
      <c r="V1525" s="6">
        <f t="shared" si="183"/>
        <v>1486.61</v>
      </c>
    </row>
    <row r="1526" spans="1:22" x14ac:dyDescent="0.35">
      <c r="A1526" s="8" t="s">
        <v>1692</v>
      </c>
      <c r="B1526" s="8" t="s">
        <v>1675</v>
      </c>
      <c r="C1526" s="8" t="s">
        <v>1676</v>
      </c>
      <c r="D1526" s="6">
        <f t="shared" si="181"/>
        <v>0.5</v>
      </c>
      <c r="E1526" s="8" t="s">
        <v>19</v>
      </c>
      <c r="F1526" s="8" t="str">
        <f>MID(A1526,19,1)</f>
        <v>N</v>
      </c>
      <c r="G1526" s="8">
        <v>-23.083316724155846</v>
      </c>
      <c r="H1526" s="8">
        <v>-46.977150664959836</v>
      </c>
      <c r="I1526" s="7">
        <v>528.4</v>
      </c>
      <c r="J1526" s="7"/>
      <c r="K1526" s="8">
        <v>3.35</v>
      </c>
      <c r="L1526" s="8">
        <v>50</v>
      </c>
      <c r="M1526" s="8"/>
      <c r="N1526" s="1">
        <f t="shared" si="177"/>
        <v>0</v>
      </c>
      <c r="O1526" s="8" t="s">
        <v>20</v>
      </c>
      <c r="P1526" s="8"/>
      <c r="Q1526" s="8" t="s">
        <v>21</v>
      </c>
      <c r="R1526" s="8" t="s">
        <v>21</v>
      </c>
      <c r="S1526" s="8" t="s">
        <v>21</v>
      </c>
      <c r="T1526" s="8" t="s">
        <v>21</v>
      </c>
      <c r="U1526" s="6">
        <f t="shared" si="178"/>
        <v>264.2</v>
      </c>
      <c r="V1526" s="6">
        <f t="shared" si="183"/>
        <v>264.2</v>
      </c>
    </row>
    <row r="1527" spans="1:22" x14ac:dyDescent="0.35">
      <c r="A1527" s="8" t="s">
        <v>1693</v>
      </c>
      <c r="B1527" s="8" t="s">
        <v>1675</v>
      </c>
      <c r="C1527" s="8" t="s">
        <v>1676</v>
      </c>
      <c r="D1527" s="6">
        <f t="shared" si="181"/>
        <v>0.5</v>
      </c>
      <c r="E1527" s="8" t="s">
        <v>19</v>
      </c>
      <c r="F1527" s="8" t="str">
        <f>MID(A1527,19,1)</f>
        <v>N</v>
      </c>
      <c r="G1527" s="8">
        <v>-23.082836304830753</v>
      </c>
      <c r="H1527" s="8">
        <v>-46.977526435015889</v>
      </c>
      <c r="I1527" s="7">
        <v>145.72</v>
      </c>
      <c r="J1527" s="7"/>
      <c r="K1527" s="8">
        <v>1.3</v>
      </c>
      <c r="L1527" s="8">
        <v>50</v>
      </c>
      <c r="M1527" s="8"/>
      <c r="N1527" s="1">
        <f t="shared" si="177"/>
        <v>0</v>
      </c>
      <c r="O1527" s="8" t="s">
        <v>20</v>
      </c>
      <c r="P1527" s="8"/>
      <c r="Q1527" s="8" t="s">
        <v>21</v>
      </c>
      <c r="R1527" s="8" t="s">
        <v>21</v>
      </c>
      <c r="S1527" s="8" t="s">
        <v>21</v>
      </c>
      <c r="T1527" s="8" t="s">
        <v>21</v>
      </c>
      <c r="U1527" s="6">
        <f t="shared" si="178"/>
        <v>72.86</v>
      </c>
      <c r="V1527" s="6">
        <f t="shared" si="183"/>
        <v>72.86</v>
      </c>
    </row>
    <row r="1528" spans="1:22" x14ac:dyDescent="0.35">
      <c r="A1528" s="8" t="s">
        <v>1694</v>
      </c>
      <c r="B1528" s="8" t="s">
        <v>1675</v>
      </c>
      <c r="C1528" s="8" t="s">
        <v>1676</v>
      </c>
      <c r="D1528" s="6">
        <f t="shared" si="181"/>
        <v>0.5</v>
      </c>
      <c r="E1528" s="8" t="s">
        <v>19</v>
      </c>
      <c r="F1528" s="8" t="str">
        <f>MID(A1528,19,1)</f>
        <v>N</v>
      </c>
      <c r="G1528" s="8">
        <v>-23.086056314530371</v>
      </c>
      <c r="H1528" s="8">
        <v>-46.975304844771067</v>
      </c>
      <c r="I1528" s="7">
        <v>294.95</v>
      </c>
      <c r="J1528" s="7"/>
      <c r="K1528" s="8">
        <v>5.27</v>
      </c>
      <c r="L1528" s="8">
        <v>50</v>
      </c>
      <c r="M1528" s="8"/>
      <c r="N1528" s="1">
        <f t="shared" si="177"/>
        <v>0</v>
      </c>
      <c r="O1528" s="8" t="s">
        <v>20</v>
      </c>
      <c r="P1528" s="8"/>
      <c r="Q1528" s="8" t="s">
        <v>21</v>
      </c>
      <c r="R1528" s="8" t="s">
        <v>21</v>
      </c>
      <c r="S1528" s="8" t="s">
        <v>21</v>
      </c>
      <c r="T1528" s="8" t="s">
        <v>21</v>
      </c>
      <c r="U1528" s="6">
        <f t="shared" si="178"/>
        <v>147.47499999999999</v>
      </c>
      <c r="V1528" s="6">
        <f t="shared" si="183"/>
        <v>147.47499999999999</v>
      </c>
    </row>
    <row r="1529" spans="1:22" x14ac:dyDescent="0.35">
      <c r="A1529" s="8" t="s">
        <v>1695</v>
      </c>
      <c r="B1529" s="8" t="s">
        <v>1675</v>
      </c>
      <c r="C1529" s="8" t="s">
        <v>1676</v>
      </c>
      <c r="D1529" s="6">
        <f t="shared" si="181"/>
        <v>0.5</v>
      </c>
      <c r="E1529" s="8" t="s">
        <v>19</v>
      </c>
      <c r="F1529" s="8" t="str">
        <f>MID(A1529,19,1)</f>
        <v>N</v>
      </c>
      <c r="G1529" s="8">
        <v>-23.088467749110595</v>
      </c>
      <c r="H1529" s="8">
        <v>-47.018648089504197</v>
      </c>
      <c r="I1529" s="7">
        <v>837.24</v>
      </c>
      <c r="J1529" s="7"/>
      <c r="K1529" s="8">
        <v>3.66</v>
      </c>
      <c r="L1529" s="8">
        <v>10</v>
      </c>
      <c r="M1529" s="8"/>
      <c r="N1529" s="1">
        <f t="shared" si="177"/>
        <v>0</v>
      </c>
      <c r="O1529" s="8" t="s">
        <v>20</v>
      </c>
      <c r="P1529" s="8"/>
      <c r="Q1529" s="8" t="s">
        <v>21</v>
      </c>
      <c r="R1529" s="8" t="s">
        <v>21</v>
      </c>
      <c r="S1529" s="8" t="s">
        <v>21</v>
      </c>
      <c r="T1529" s="8" t="s">
        <v>21</v>
      </c>
      <c r="U1529" s="6">
        <f t="shared" si="178"/>
        <v>83.724000000000004</v>
      </c>
      <c r="V1529" s="6">
        <f t="shared" si="183"/>
        <v>83.724000000000004</v>
      </c>
    </row>
    <row r="1530" spans="1:22" x14ac:dyDescent="0.35">
      <c r="A1530" s="8" t="s">
        <v>1696</v>
      </c>
      <c r="B1530" s="8" t="s">
        <v>1675</v>
      </c>
      <c r="C1530" s="8" t="s">
        <v>1676</v>
      </c>
      <c r="D1530" s="6">
        <f t="shared" si="181"/>
        <v>0.5</v>
      </c>
      <c r="E1530" s="8" t="s">
        <v>19</v>
      </c>
      <c r="F1530" s="8" t="str">
        <f>MID(A1530,19,1)</f>
        <v>N</v>
      </c>
      <c r="G1530" s="8">
        <v>-23.086663789245495</v>
      </c>
      <c r="H1530" s="8">
        <v>-47.01993146800077</v>
      </c>
      <c r="I1530" s="7">
        <v>4026.26</v>
      </c>
      <c r="J1530" s="7"/>
      <c r="K1530" s="8">
        <v>6.7</v>
      </c>
      <c r="L1530" s="8">
        <v>10</v>
      </c>
      <c r="M1530" s="8"/>
      <c r="N1530" s="1">
        <f t="shared" si="177"/>
        <v>0</v>
      </c>
      <c r="O1530" s="8" t="s">
        <v>20</v>
      </c>
      <c r="P1530" s="8"/>
      <c r="Q1530" s="8" t="s">
        <v>21</v>
      </c>
      <c r="R1530" s="8" t="s">
        <v>21</v>
      </c>
      <c r="S1530" s="8" t="s">
        <v>21</v>
      </c>
      <c r="T1530" s="8" t="s">
        <v>21</v>
      </c>
      <c r="U1530" s="6">
        <f t="shared" si="178"/>
        <v>402.62600000000003</v>
      </c>
      <c r="V1530" s="6">
        <f t="shared" si="183"/>
        <v>402.62600000000003</v>
      </c>
    </row>
    <row r="1531" spans="1:22" x14ac:dyDescent="0.35">
      <c r="A1531" s="8" t="s">
        <v>1697</v>
      </c>
      <c r="B1531" s="8" t="s">
        <v>1698</v>
      </c>
      <c r="C1531" s="8" t="s">
        <v>1699</v>
      </c>
      <c r="D1531" s="6">
        <f t="shared" si="181"/>
        <v>0.5</v>
      </c>
      <c r="E1531" s="8" t="s">
        <v>19</v>
      </c>
      <c r="F1531" s="8" t="str">
        <f>MID(A1531,19,1)</f>
        <v>N</v>
      </c>
      <c r="G1531" s="8">
        <v>-23.074930116308206</v>
      </c>
      <c r="H1531" s="8">
        <v>-46.983283137025509</v>
      </c>
      <c r="I1531" s="7">
        <v>17.47</v>
      </c>
      <c r="J1531" s="7"/>
      <c r="K1531" s="8">
        <v>3.66</v>
      </c>
      <c r="L1531" s="8">
        <v>20</v>
      </c>
      <c r="M1531" s="8"/>
      <c r="N1531" s="1">
        <f t="shared" si="177"/>
        <v>0</v>
      </c>
      <c r="O1531" s="8" t="s">
        <v>20</v>
      </c>
      <c r="P1531" s="8"/>
      <c r="Q1531" s="8" t="s">
        <v>21</v>
      </c>
      <c r="R1531" s="8" t="s">
        <v>21</v>
      </c>
      <c r="S1531" s="8" t="s">
        <v>21</v>
      </c>
      <c r="T1531" s="8" t="s">
        <v>21</v>
      </c>
      <c r="U1531" s="6">
        <f t="shared" si="178"/>
        <v>3.4939999999999998</v>
      </c>
      <c r="V1531" s="6">
        <f t="shared" si="183"/>
        <v>3.4939999999999998</v>
      </c>
    </row>
    <row r="1532" spans="1:22" hidden="1" x14ac:dyDescent="0.35">
      <c r="A1532" s="8" t="s">
        <v>1700</v>
      </c>
      <c r="B1532" s="8" t="s">
        <v>1698</v>
      </c>
      <c r="C1532" s="8" t="s">
        <v>1699</v>
      </c>
      <c r="D1532" s="6">
        <f t="shared" si="181"/>
        <v>0.5</v>
      </c>
      <c r="E1532" s="8" t="s">
        <v>19</v>
      </c>
      <c r="F1532" s="8" t="str">
        <f>MID(A1532,19,1)</f>
        <v>S</v>
      </c>
      <c r="G1532" s="8">
        <v>-23.073684844987461</v>
      </c>
      <c r="H1532" s="8">
        <v>-46.984646022084007</v>
      </c>
      <c r="I1532" s="7">
        <v>1612.6</v>
      </c>
      <c r="J1532" s="7"/>
      <c r="K1532" s="8">
        <v>4.99</v>
      </c>
      <c r="L1532" s="8">
        <v>30</v>
      </c>
      <c r="M1532" s="8"/>
      <c r="N1532" s="1">
        <f t="shared" si="177"/>
        <v>0</v>
      </c>
      <c r="O1532" s="8" t="s">
        <v>20</v>
      </c>
      <c r="P1532" s="8"/>
      <c r="Q1532" s="8" t="s">
        <v>21</v>
      </c>
      <c r="R1532" s="8" t="s">
        <v>21</v>
      </c>
      <c r="S1532" s="8" t="s">
        <v>21</v>
      </c>
      <c r="T1532" s="8" t="s">
        <v>21</v>
      </c>
      <c r="U1532" s="6">
        <f t="shared" si="178"/>
        <v>483.78</v>
      </c>
      <c r="V1532" s="6">
        <f t="shared" si="183"/>
        <v>483.78</v>
      </c>
    </row>
    <row r="1533" spans="1:22" x14ac:dyDescent="0.35">
      <c r="A1533" s="8" t="s">
        <v>1701</v>
      </c>
      <c r="B1533" s="8" t="s">
        <v>1698</v>
      </c>
      <c r="C1533" s="8" t="s">
        <v>1699</v>
      </c>
      <c r="D1533" s="6">
        <f t="shared" si="181"/>
        <v>0.5</v>
      </c>
      <c r="E1533" s="8" t="s">
        <v>19</v>
      </c>
      <c r="F1533" s="8" t="str">
        <f>MID(A1533,19,1)</f>
        <v>N</v>
      </c>
      <c r="G1533" s="8">
        <v>-23.079378926365191</v>
      </c>
      <c r="H1533" s="8">
        <v>-47.02528852517122</v>
      </c>
      <c r="I1533" s="7">
        <v>2231.96</v>
      </c>
      <c r="J1533" s="7"/>
      <c r="K1533" s="8">
        <v>2.44</v>
      </c>
      <c r="L1533" s="8">
        <v>40</v>
      </c>
      <c r="M1533" s="8"/>
      <c r="N1533" s="1">
        <f t="shared" si="177"/>
        <v>0</v>
      </c>
      <c r="O1533" s="8" t="s">
        <v>20</v>
      </c>
      <c r="P1533" s="8"/>
      <c r="Q1533" s="8" t="s">
        <v>21</v>
      </c>
      <c r="R1533" s="8" t="s">
        <v>21</v>
      </c>
      <c r="S1533" s="8" t="s">
        <v>21</v>
      </c>
      <c r="T1533" s="8" t="s">
        <v>21</v>
      </c>
      <c r="U1533" s="6">
        <f t="shared" si="178"/>
        <v>892.78400000000011</v>
      </c>
      <c r="V1533" s="6">
        <f t="shared" si="183"/>
        <v>892.78400000000011</v>
      </c>
    </row>
    <row r="1534" spans="1:22" x14ac:dyDescent="0.35">
      <c r="A1534" s="8" t="s">
        <v>1702</v>
      </c>
      <c r="B1534" s="8" t="s">
        <v>1698</v>
      </c>
      <c r="C1534" s="8" t="s">
        <v>1699</v>
      </c>
      <c r="D1534" s="6">
        <f t="shared" si="181"/>
        <v>0.5</v>
      </c>
      <c r="E1534" s="8" t="s">
        <v>19</v>
      </c>
      <c r="F1534" s="8" t="str">
        <f>MID(A1534,19,1)</f>
        <v>N</v>
      </c>
      <c r="G1534" s="8">
        <v>-23.075184930263582</v>
      </c>
      <c r="H1534" s="8">
        <v>-46.982959098558787</v>
      </c>
      <c r="I1534" s="7">
        <v>1590.28</v>
      </c>
      <c r="J1534" s="7"/>
      <c r="K1534" s="8">
        <v>4.3</v>
      </c>
      <c r="L1534" s="8">
        <v>20</v>
      </c>
      <c r="M1534" s="8"/>
      <c r="N1534" s="1">
        <f t="shared" si="177"/>
        <v>0</v>
      </c>
      <c r="O1534" s="8" t="s">
        <v>20</v>
      </c>
      <c r="P1534" s="8"/>
      <c r="Q1534" s="8" t="s">
        <v>21</v>
      </c>
      <c r="R1534" s="8" t="s">
        <v>21</v>
      </c>
      <c r="S1534" s="8" t="s">
        <v>21</v>
      </c>
      <c r="T1534" s="8" t="s">
        <v>21</v>
      </c>
      <c r="U1534" s="6">
        <f t="shared" si="178"/>
        <v>318.05600000000004</v>
      </c>
      <c r="V1534" s="6">
        <f t="shared" si="183"/>
        <v>318.05600000000004</v>
      </c>
    </row>
    <row r="1535" spans="1:22" hidden="1" x14ac:dyDescent="0.35">
      <c r="A1535" s="8" t="s">
        <v>1703</v>
      </c>
      <c r="B1535" s="8" t="s">
        <v>1698</v>
      </c>
      <c r="C1535" s="8" t="s">
        <v>1699</v>
      </c>
      <c r="D1535" s="6">
        <f t="shared" si="181"/>
        <v>0.5</v>
      </c>
      <c r="E1535" s="8" t="s">
        <v>23</v>
      </c>
      <c r="F1535" s="8" t="str">
        <f>MID(A1535,19,1)</f>
        <v>C</v>
      </c>
      <c r="G1535" s="8">
        <v>-23.079568123549997</v>
      </c>
      <c r="H1535" s="8">
        <v>-47.025528843285805</v>
      </c>
      <c r="I1535" s="7">
        <v>17001.8</v>
      </c>
      <c r="J1535" s="9">
        <f>I1535/500</f>
        <v>34.003599999999999</v>
      </c>
      <c r="K1535" s="8">
        <v>5.07</v>
      </c>
      <c r="L1535" s="8">
        <v>80</v>
      </c>
      <c r="M1535" s="8"/>
      <c r="N1535" s="1">
        <f t="shared" si="177"/>
        <v>0</v>
      </c>
      <c r="O1535" s="8" t="s">
        <v>185</v>
      </c>
      <c r="P1535" s="8"/>
      <c r="Q1535" s="8" t="s">
        <v>21</v>
      </c>
      <c r="R1535" s="8" t="s">
        <v>21</v>
      </c>
      <c r="S1535" s="8" t="s">
        <v>21</v>
      </c>
      <c r="T1535" s="8" t="s">
        <v>21</v>
      </c>
      <c r="U1535" s="6">
        <f t="shared" si="178"/>
        <v>13601.44</v>
      </c>
      <c r="V1535" s="6">
        <f t="shared" si="183"/>
        <v>13601.44</v>
      </c>
    </row>
    <row r="1536" spans="1:22" x14ac:dyDescent="0.35">
      <c r="A1536" s="8" t="s">
        <v>1704</v>
      </c>
      <c r="B1536" s="8" t="s">
        <v>1698</v>
      </c>
      <c r="C1536" s="8" t="s">
        <v>1699</v>
      </c>
      <c r="D1536" s="6">
        <f t="shared" si="181"/>
        <v>0.5</v>
      </c>
      <c r="E1536" s="8" t="s">
        <v>19</v>
      </c>
      <c r="F1536" s="8" t="str">
        <f>MID(A1536,19,1)</f>
        <v>N</v>
      </c>
      <c r="G1536" s="8">
        <v>-23.077305862052558</v>
      </c>
      <c r="H1536" s="8">
        <v>-46.981458156097098</v>
      </c>
      <c r="I1536" s="7">
        <v>2126.0700000000002</v>
      </c>
      <c r="J1536" s="7"/>
      <c r="K1536" s="8">
        <v>5.42</v>
      </c>
      <c r="L1536" s="8">
        <v>20</v>
      </c>
      <c r="M1536" s="8"/>
      <c r="N1536" s="1">
        <f t="shared" si="177"/>
        <v>0</v>
      </c>
      <c r="O1536" s="8" t="s">
        <v>20</v>
      </c>
      <c r="P1536" s="8"/>
      <c r="Q1536" s="8" t="s">
        <v>21</v>
      </c>
      <c r="R1536" s="8" t="s">
        <v>21</v>
      </c>
      <c r="S1536" s="8" t="s">
        <v>21</v>
      </c>
      <c r="T1536" s="8" t="s">
        <v>21</v>
      </c>
      <c r="U1536" s="6">
        <f t="shared" si="178"/>
        <v>425.21400000000006</v>
      </c>
      <c r="V1536" s="6">
        <f t="shared" si="183"/>
        <v>425.21400000000006</v>
      </c>
    </row>
    <row r="1537" spans="1:22" hidden="1" x14ac:dyDescent="0.35">
      <c r="A1537" s="8" t="s">
        <v>1705</v>
      </c>
      <c r="B1537" s="8" t="s">
        <v>1698</v>
      </c>
      <c r="C1537" s="8" t="s">
        <v>1699</v>
      </c>
      <c r="D1537" s="6">
        <f t="shared" si="181"/>
        <v>0.5</v>
      </c>
      <c r="E1537" s="8" t="s">
        <v>19</v>
      </c>
      <c r="F1537" s="8" t="str">
        <f>MID(A1537,19,1)</f>
        <v>S</v>
      </c>
      <c r="G1537" s="8">
        <v>-23.07974421133159</v>
      </c>
      <c r="H1537" s="8">
        <v>-47.025779350719674</v>
      </c>
      <c r="I1537" s="7">
        <v>2233.77</v>
      </c>
      <c r="J1537" s="7"/>
      <c r="K1537" s="8">
        <v>7.86</v>
      </c>
      <c r="L1537" s="8">
        <v>70</v>
      </c>
      <c r="M1537" s="8"/>
      <c r="N1537" s="1">
        <f t="shared" si="177"/>
        <v>0</v>
      </c>
      <c r="O1537" s="8" t="s">
        <v>20</v>
      </c>
      <c r="P1537" s="8"/>
      <c r="Q1537" s="8" t="s">
        <v>21</v>
      </c>
      <c r="R1537" s="8" t="s">
        <v>21</v>
      </c>
      <c r="S1537" s="8" t="s">
        <v>21</v>
      </c>
      <c r="T1537" s="8" t="s">
        <v>21</v>
      </c>
      <c r="U1537" s="6">
        <f t="shared" si="178"/>
        <v>1563.6389999999999</v>
      </c>
      <c r="V1537" s="6">
        <f t="shared" si="183"/>
        <v>1563.6389999999999</v>
      </c>
    </row>
    <row r="1538" spans="1:22" hidden="1" x14ac:dyDescent="0.35">
      <c r="A1538" s="8" t="s">
        <v>1706</v>
      </c>
      <c r="B1538" s="8" t="s">
        <v>1698</v>
      </c>
      <c r="C1538" s="8" t="s">
        <v>1699</v>
      </c>
      <c r="D1538" s="6">
        <f t="shared" si="181"/>
        <v>0.5</v>
      </c>
      <c r="E1538" s="8" t="s">
        <v>23</v>
      </c>
      <c r="F1538" s="8" t="str">
        <f>MID(A1538,19,1)</f>
        <v>C</v>
      </c>
      <c r="G1538" s="8">
        <v>-23.083720306776357</v>
      </c>
      <c r="H1538" s="8">
        <v>-47.022725450557644</v>
      </c>
      <c r="I1538" s="7">
        <v>16481.64</v>
      </c>
      <c r="J1538" s="9">
        <f>I1538/500</f>
        <v>32.963279999999997</v>
      </c>
      <c r="K1538" s="8">
        <v>5.7</v>
      </c>
      <c r="L1538" s="8">
        <v>80</v>
      </c>
      <c r="M1538" s="8"/>
      <c r="N1538" s="1">
        <f t="shared" ref="N1538:N1601" si="184">IF(OR(R1538="Sim",S1538="Sim",T1538="Sim"),(L1538/100)*I1538,0)</f>
        <v>0</v>
      </c>
      <c r="O1538" s="8" t="s">
        <v>185</v>
      </c>
      <c r="P1538" s="8"/>
      <c r="Q1538" s="8" t="s">
        <v>21</v>
      </c>
      <c r="R1538" s="8" t="s">
        <v>21</v>
      </c>
      <c r="S1538" s="8" t="s">
        <v>21</v>
      </c>
      <c r="T1538" s="8" t="s">
        <v>21</v>
      </c>
      <c r="U1538" s="6">
        <f t="shared" si="178"/>
        <v>13185.312</v>
      </c>
      <c r="V1538" s="6">
        <f t="shared" si="183"/>
        <v>13185.312</v>
      </c>
    </row>
    <row r="1539" spans="1:22" x14ac:dyDescent="0.35">
      <c r="A1539" s="8" t="s">
        <v>1707</v>
      </c>
      <c r="B1539" s="8" t="s">
        <v>1698</v>
      </c>
      <c r="C1539" s="8" t="s">
        <v>1699</v>
      </c>
      <c r="D1539" s="6">
        <f t="shared" si="181"/>
        <v>0.5</v>
      </c>
      <c r="E1539" s="8" t="s">
        <v>19</v>
      </c>
      <c r="F1539" s="8" t="str">
        <f>MID(A1539,19,1)</f>
        <v>N</v>
      </c>
      <c r="G1539" s="8">
        <v>-23.083523694043635</v>
      </c>
      <c r="H1539" s="8">
        <v>-47.022493230635455</v>
      </c>
      <c r="I1539" s="7">
        <v>2102.5</v>
      </c>
      <c r="J1539" s="7"/>
      <c r="K1539" s="8">
        <v>3.88</v>
      </c>
      <c r="L1539" s="8">
        <v>10</v>
      </c>
      <c r="M1539" s="8"/>
      <c r="N1539" s="1">
        <f t="shared" si="184"/>
        <v>0</v>
      </c>
      <c r="O1539" s="8" t="s">
        <v>20</v>
      </c>
      <c r="P1539" s="8"/>
      <c r="Q1539" s="8" t="s">
        <v>21</v>
      </c>
      <c r="R1539" s="8" t="s">
        <v>21</v>
      </c>
      <c r="S1539" s="8" t="s">
        <v>21</v>
      </c>
      <c r="T1539" s="8" t="s">
        <v>21</v>
      </c>
      <c r="U1539" s="6">
        <f t="shared" ref="U1539:U1602" si="185">IF(N1539=0,(I1539*(L1539/100)),0)</f>
        <v>210.25</v>
      </c>
      <c r="V1539" s="6">
        <f t="shared" si="183"/>
        <v>210.25</v>
      </c>
    </row>
    <row r="1540" spans="1:22" x14ac:dyDescent="0.35">
      <c r="A1540" s="8" t="s">
        <v>1708</v>
      </c>
      <c r="B1540" s="8" t="s">
        <v>1698</v>
      </c>
      <c r="C1540" s="8" t="s">
        <v>1699</v>
      </c>
      <c r="D1540" s="6">
        <f t="shared" si="181"/>
        <v>0.5</v>
      </c>
      <c r="E1540" s="8" t="s">
        <v>19</v>
      </c>
      <c r="F1540" s="8" t="str">
        <f>MID(A1540,19,1)</f>
        <v>N</v>
      </c>
      <c r="G1540" s="8">
        <v>-23.073503916858709</v>
      </c>
      <c r="H1540" s="8">
        <v>-46.9843363870433</v>
      </c>
      <c r="I1540" s="7">
        <v>1551.97</v>
      </c>
      <c r="J1540" s="7"/>
      <c r="K1540" s="8">
        <v>3.13</v>
      </c>
      <c r="L1540" s="8">
        <v>40</v>
      </c>
      <c r="M1540" s="8"/>
      <c r="N1540" s="1">
        <f t="shared" si="184"/>
        <v>0</v>
      </c>
      <c r="O1540" s="8" t="s">
        <v>20</v>
      </c>
      <c r="P1540" s="8"/>
      <c r="Q1540" s="8" t="s">
        <v>21</v>
      </c>
      <c r="R1540" s="8" t="s">
        <v>21</v>
      </c>
      <c r="S1540" s="8" t="s">
        <v>21</v>
      </c>
      <c r="T1540" s="8" t="s">
        <v>21</v>
      </c>
      <c r="U1540" s="6">
        <f t="shared" si="185"/>
        <v>620.78800000000001</v>
      </c>
      <c r="V1540" s="6">
        <f t="shared" si="183"/>
        <v>620.78800000000001</v>
      </c>
    </row>
    <row r="1541" spans="1:22" x14ac:dyDescent="0.35">
      <c r="A1541" s="8" t="s">
        <v>1709</v>
      </c>
      <c r="B1541" s="8" t="s">
        <v>1698</v>
      </c>
      <c r="C1541" s="8" t="s">
        <v>1699</v>
      </c>
      <c r="D1541" s="6">
        <f t="shared" si="181"/>
        <v>0.5</v>
      </c>
      <c r="E1541" s="8" t="s">
        <v>19</v>
      </c>
      <c r="F1541" s="8" t="str">
        <f>MID(A1541,19,1)</f>
        <v>N</v>
      </c>
      <c r="G1541" s="8">
        <v>-23.074902579623149</v>
      </c>
      <c r="H1541" s="8">
        <v>-46.983056413640547</v>
      </c>
      <c r="I1541" s="7">
        <v>103.99</v>
      </c>
      <c r="J1541" s="7"/>
      <c r="K1541" s="8">
        <v>2.86</v>
      </c>
      <c r="L1541" s="8">
        <v>40</v>
      </c>
      <c r="M1541" s="8"/>
      <c r="N1541" s="1">
        <f t="shared" si="184"/>
        <v>0</v>
      </c>
      <c r="O1541" s="8" t="s">
        <v>20</v>
      </c>
      <c r="P1541" s="8"/>
      <c r="Q1541" s="8" t="s">
        <v>21</v>
      </c>
      <c r="R1541" s="8" t="s">
        <v>21</v>
      </c>
      <c r="S1541" s="8" t="s">
        <v>21</v>
      </c>
      <c r="T1541" s="8" t="s">
        <v>21</v>
      </c>
      <c r="U1541" s="6">
        <f t="shared" si="185"/>
        <v>41.596000000000004</v>
      </c>
      <c r="V1541" s="6">
        <f t="shared" si="183"/>
        <v>41.596000000000004</v>
      </c>
    </row>
    <row r="1542" spans="1:22" hidden="1" x14ac:dyDescent="0.35">
      <c r="A1542" s="8" t="s">
        <v>1710</v>
      </c>
      <c r="B1542" s="8" t="s">
        <v>1698</v>
      </c>
      <c r="C1542" s="8" t="s">
        <v>1699</v>
      </c>
      <c r="D1542" s="6">
        <f t="shared" si="181"/>
        <v>0.5</v>
      </c>
      <c r="E1542" s="8" t="s">
        <v>19</v>
      </c>
      <c r="F1542" s="8" t="str">
        <f>MID(A1542,19,1)</f>
        <v>S</v>
      </c>
      <c r="G1542" s="8">
        <v>-23.077342567940526</v>
      </c>
      <c r="H1542" s="8">
        <v>-46.981885587845952</v>
      </c>
      <c r="I1542" s="7">
        <v>2340.29</v>
      </c>
      <c r="J1542" s="7"/>
      <c r="K1542" s="8">
        <v>5.73</v>
      </c>
      <c r="L1542" s="8">
        <v>65</v>
      </c>
      <c r="M1542" s="8"/>
      <c r="N1542" s="11">
        <f t="shared" si="184"/>
        <v>1521.1885</v>
      </c>
      <c r="O1542" s="8" t="s">
        <v>25</v>
      </c>
      <c r="P1542" s="8"/>
      <c r="Q1542" s="8" t="s">
        <v>21</v>
      </c>
      <c r="R1542" s="8" t="s">
        <v>21</v>
      </c>
      <c r="S1542" s="8" t="s">
        <v>21</v>
      </c>
      <c r="T1542" s="8" t="s">
        <v>26</v>
      </c>
      <c r="U1542" s="6">
        <f t="shared" si="185"/>
        <v>0</v>
      </c>
    </row>
    <row r="1543" spans="1:22" hidden="1" x14ac:dyDescent="0.35">
      <c r="A1543" s="8" t="s">
        <v>1711</v>
      </c>
      <c r="B1543" s="8" t="s">
        <v>1698</v>
      </c>
      <c r="C1543" s="8" t="s">
        <v>1699</v>
      </c>
      <c r="D1543" s="6">
        <f t="shared" si="181"/>
        <v>0.5</v>
      </c>
      <c r="E1543" s="8" t="s">
        <v>19</v>
      </c>
      <c r="F1543" s="8" t="str">
        <f>MID(A1543,19,1)</f>
        <v>S</v>
      </c>
      <c r="G1543" s="8">
        <v>-23.083904706908665</v>
      </c>
      <c r="H1543" s="8">
        <v>-47.022970418346524</v>
      </c>
      <c r="I1543" s="7">
        <v>2118.79</v>
      </c>
      <c r="J1543" s="7"/>
      <c r="K1543" s="8">
        <v>7.8</v>
      </c>
      <c r="L1543" s="8">
        <v>60</v>
      </c>
      <c r="M1543" s="8"/>
      <c r="N1543" s="1">
        <f t="shared" si="184"/>
        <v>0</v>
      </c>
      <c r="O1543" s="8" t="s">
        <v>20</v>
      </c>
      <c r="P1543" s="8"/>
      <c r="Q1543" s="8" t="s">
        <v>21</v>
      </c>
      <c r="R1543" s="8" t="s">
        <v>21</v>
      </c>
      <c r="S1543" s="8" t="s">
        <v>21</v>
      </c>
      <c r="T1543" s="8" t="s">
        <v>21</v>
      </c>
      <c r="U1543" s="6">
        <f t="shared" si="185"/>
        <v>1271.2739999999999</v>
      </c>
      <c r="V1543" s="6">
        <f t="shared" ref="V1543:V1552" si="186">(I1543*(L1543/100))</f>
        <v>1271.2739999999999</v>
      </c>
    </row>
    <row r="1544" spans="1:22" x14ac:dyDescent="0.35">
      <c r="A1544" s="8" t="s">
        <v>1712</v>
      </c>
      <c r="B1544" s="8" t="s">
        <v>1713</v>
      </c>
      <c r="C1544" s="8" t="s">
        <v>1714</v>
      </c>
      <c r="D1544" s="6">
        <f t="shared" si="181"/>
        <v>0.5</v>
      </c>
      <c r="E1544" s="8" t="s">
        <v>19</v>
      </c>
      <c r="F1544" s="8" t="str">
        <f>MID(A1544,19,1)</f>
        <v>N</v>
      </c>
      <c r="G1544" s="8">
        <v>-23.067676017448125</v>
      </c>
      <c r="H1544" s="8">
        <v>-46.98865995944346</v>
      </c>
      <c r="I1544" s="7">
        <v>441.17</v>
      </c>
      <c r="J1544" s="7"/>
      <c r="K1544" s="8">
        <v>5.08</v>
      </c>
      <c r="L1544" s="8">
        <v>40</v>
      </c>
      <c r="M1544" s="8"/>
      <c r="N1544" s="1">
        <f t="shared" si="184"/>
        <v>0</v>
      </c>
      <c r="O1544" s="8" t="s">
        <v>20</v>
      </c>
      <c r="P1544" s="8"/>
      <c r="Q1544" s="8" t="s">
        <v>21</v>
      </c>
      <c r="R1544" s="8" t="s">
        <v>21</v>
      </c>
      <c r="S1544" s="8" t="s">
        <v>21</v>
      </c>
      <c r="T1544" s="8" t="s">
        <v>21</v>
      </c>
      <c r="U1544" s="6">
        <f t="shared" si="185"/>
        <v>176.46800000000002</v>
      </c>
      <c r="V1544" s="6">
        <f t="shared" si="186"/>
        <v>176.46800000000002</v>
      </c>
    </row>
    <row r="1545" spans="1:22" x14ac:dyDescent="0.35">
      <c r="A1545" s="8" t="s">
        <v>1715</v>
      </c>
      <c r="B1545" s="8" t="s">
        <v>1713</v>
      </c>
      <c r="C1545" s="8" t="s">
        <v>1714</v>
      </c>
      <c r="D1545" s="6">
        <f t="shared" si="181"/>
        <v>0.5</v>
      </c>
      <c r="E1545" s="8" t="s">
        <v>19</v>
      </c>
      <c r="F1545" s="8" t="str">
        <f>MID(A1545,19,1)</f>
        <v>N</v>
      </c>
      <c r="G1545" s="8">
        <v>-23.071136994681268</v>
      </c>
      <c r="H1545" s="8">
        <v>-47.030051319058359</v>
      </c>
      <c r="I1545" s="7">
        <v>2251.7600000000002</v>
      </c>
      <c r="J1545" s="7"/>
      <c r="K1545" s="8">
        <v>4.09</v>
      </c>
      <c r="L1545" s="8">
        <v>40</v>
      </c>
      <c r="M1545" s="8"/>
      <c r="N1545" s="1">
        <f t="shared" si="184"/>
        <v>0</v>
      </c>
      <c r="O1545" s="8" t="s">
        <v>20</v>
      </c>
      <c r="P1545" s="8"/>
      <c r="Q1545" s="8" t="s">
        <v>21</v>
      </c>
      <c r="R1545" s="8" t="s">
        <v>21</v>
      </c>
      <c r="S1545" s="8" t="s">
        <v>21</v>
      </c>
      <c r="T1545" s="8" t="s">
        <v>21</v>
      </c>
      <c r="U1545" s="6">
        <f t="shared" si="185"/>
        <v>900.70400000000018</v>
      </c>
      <c r="V1545" s="6">
        <f t="shared" si="186"/>
        <v>900.70400000000018</v>
      </c>
    </row>
    <row r="1546" spans="1:22" x14ac:dyDescent="0.35">
      <c r="A1546" s="8" t="s">
        <v>1716</v>
      </c>
      <c r="B1546" s="8" t="s">
        <v>1713</v>
      </c>
      <c r="C1546" s="8" t="s">
        <v>1714</v>
      </c>
      <c r="D1546" s="6">
        <f t="shared" si="181"/>
        <v>0.5</v>
      </c>
      <c r="E1546" s="8" t="s">
        <v>19</v>
      </c>
      <c r="F1546" s="8" t="str">
        <f>MID(A1546,19,1)</f>
        <v>N</v>
      </c>
      <c r="G1546" s="8">
        <v>-23.070129616192169</v>
      </c>
      <c r="H1546" s="8">
        <v>-46.986900146942482</v>
      </c>
      <c r="I1546" s="7">
        <v>2103.2600000000002</v>
      </c>
      <c r="J1546" s="7"/>
      <c r="K1546" s="8">
        <v>4.08</v>
      </c>
      <c r="L1546" s="8">
        <v>40</v>
      </c>
      <c r="M1546" s="8"/>
      <c r="N1546" s="1">
        <f t="shared" si="184"/>
        <v>0</v>
      </c>
      <c r="O1546" s="8" t="s">
        <v>20</v>
      </c>
      <c r="P1546" s="8"/>
      <c r="Q1546" s="8" t="s">
        <v>21</v>
      </c>
      <c r="R1546" s="8" t="s">
        <v>21</v>
      </c>
      <c r="S1546" s="8" t="s">
        <v>21</v>
      </c>
      <c r="T1546" s="8" t="s">
        <v>21</v>
      </c>
      <c r="U1546" s="6">
        <f t="shared" si="185"/>
        <v>841.30400000000009</v>
      </c>
      <c r="V1546" s="6">
        <f t="shared" si="186"/>
        <v>841.30400000000009</v>
      </c>
    </row>
    <row r="1547" spans="1:22" hidden="1" x14ac:dyDescent="0.35">
      <c r="A1547" s="8" t="s">
        <v>1717</v>
      </c>
      <c r="B1547" s="8" t="s">
        <v>1713</v>
      </c>
      <c r="C1547" s="8" t="s">
        <v>1714</v>
      </c>
      <c r="D1547" s="6">
        <f t="shared" si="181"/>
        <v>0.5</v>
      </c>
      <c r="E1547" s="8" t="s">
        <v>19</v>
      </c>
      <c r="F1547" s="8" t="str">
        <f>MID(A1547,19,1)</f>
        <v>S</v>
      </c>
      <c r="G1547" s="8">
        <v>-23.070307277584973</v>
      </c>
      <c r="H1547" s="8">
        <v>-46.987201204968898</v>
      </c>
      <c r="I1547" s="7">
        <v>2040.57</v>
      </c>
      <c r="J1547" s="7"/>
      <c r="K1547" s="8">
        <v>6.45</v>
      </c>
      <c r="L1547" s="8">
        <v>30</v>
      </c>
      <c r="M1547" s="8"/>
      <c r="N1547" s="1">
        <f t="shared" si="184"/>
        <v>0</v>
      </c>
      <c r="O1547" s="8" t="s">
        <v>20</v>
      </c>
      <c r="P1547" s="8"/>
      <c r="Q1547" s="8" t="s">
        <v>21</v>
      </c>
      <c r="R1547" s="8" t="s">
        <v>21</v>
      </c>
      <c r="S1547" s="8" t="s">
        <v>21</v>
      </c>
      <c r="T1547" s="8" t="s">
        <v>21</v>
      </c>
      <c r="U1547" s="6">
        <f t="shared" si="185"/>
        <v>612.17099999999994</v>
      </c>
      <c r="V1547" s="6">
        <f t="shared" si="186"/>
        <v>612.17099999999994</v>
      </c>
    </row>
    <row r="1548" spans="1:22" x14ac:dyDescent="0.35">
      <c r="A1548" s="8" t="s">
        <v>1718</v>
      </c>
      <c r="B1548" s="8" t="s">
        <v>1713</v>
      </c>
      <c r="C1548" s="8" t="s">
        <v>1714</v>
      </c>
      <c r="D1548" s="6">
        <f t="shared" si="181"/>
        <v>0.5</v>
      </c>
      <c r="E1548" s="8" t="s">
        <v>19</v>
      </c>
      <c r="F1548" s="8" t="str">
        <f>MID(A1548,19,1)</f>
        <v>N</v>
      </c>
      <c r="G1548" s="8">
        <v>-23.0679159668416</v>
      </c>
      <c r="H1548" s="8">
        <v>-46.988458033190973</v>
      </c>
      <c r="I1548" s="7">
        <v>256.92</v>
      </c>
      <c r="J1548" s="7"/>
      <c r="K1548" s="8">
        <v>3.44</v>
      </c>
      <c r="L1548" s="8">
        <v>40</v>
      </c>
      <c r="M1548" s="8"/>
      <c r="N1548" s="1">
        <f t="shared" si="184"/>
        <v>0</v>
      </c>
      <c r="O1548" s="8" t="s">
        <v>20</v>
      </c>
      <c r="P1548" s="8"/>
      <c r="Q1548" s="8" t="s">
        <v>21</v>
      </c>
      <c r="R1548" s="8" t="s">
        <v>21</v>
      </c>
      <c r="S1548" s="8" t="s">
        <v>21</v>
      </c>
      <c r="T1548" s="8" t="s">
        <v>21</v>
      </c>
      <c r="U1548" s="6">
        <f t="shared" si="185"/>
        <v>102.76800000000001</v>
      </c>
      <c r="V1548" s="6">
        <f t="shared" si="186"/>
        <v>102.76800000000001</v>
      </c>
    </row>
    <row r="1549" spans="1:22" hidden="1" x14ac:dyDescent="0.35">
      <c r="A1549" s="8" t="s">
        <v>1719</v>
      </c>
      <c r="B1549" s="8" t="s">
        <v>1713</v>
      </c>
      <c r="C1549" s="8" t="s">
        <v>1714</v>
      </c>
      <c r="D1549" s="6">
        <f t="shared" si="181"/>
        <v>0.5</v>
      </c>
      <c r="E1549" s="8" t="s">
        <v>23</v>
      </c>
      <c r="F1549" s="8" t="str">
        <f>MID(A1549,19,1)</f>
        <v>C</v>
      </c>
      <c r="G1549" s="8">
        <v>-23.071315305874176</v>
      </c>
      <c r="H1549" s="8">
        <v>-47.030302541107837</v>
      </c>
      <c r="I1549" s="7">
        <v>16319.69</v>
      </c>
      <c r="J1549" s="9">
        <f>I1549/500</f>
        <v>32.639380000000003</v>
      </c>
      <c r="K1549" s="8">
        <v>7.28</v>
      </c>
      <c r="L1549" s="8">
        <v>80</v>
      </c>
      <c r="M1549" s="8"/>
      <c r="N1549" s="1">
        <f t="shared" si="184"/>
        <v>0</v>
      </c>
      <c r="O1549" s="8" t="s">
        <v>185</v>
      </c>
      <c r="P1549" s="8"/>
      <c r="Q1549" s="8" t="s">
        <v>21</v>
      </c>
      <c r="R1549" s="8" t="s">
        <v>21</v>
      </c>
      <c r="S1549" s="8" t="s">
        <v>21</v>
      </c>
      <c r="T1549" s="8" t="s">
        <v>21</v>
      </c>
      <c r="U1549" s="6">
        <f t="shared" si="185"/>
        <v>13055.752</v>
      </c>
      <c r="V1549" s="6">
        <f t="shared" si="186"/>
        <v>13055.752</v>
      </c>
    </row>
    <row r="1550" spans="1:22" hidden="1" x14ac:dyDescent="0.35">
      <c r="A1550" s="8" t="s">
        <v>1720</v>
      </c>
      <c r="B1550" s="8" t="s">
        <v>1713</v>
      </c>
      <c r="C1550" s="8" t="s">
        <v>1714</v>
      </c>
      <c r="D1550" s="6">
        <f t="shared" ref="D1550:D1613" si="187">C1550-B1550</f>
        <v>0.5</v>
      </c>
      <c r="E1550" s="8" t="s">
        <v>19</v>
      </c>
      <c r="F1550" s="8" t="str">
        <f>MID(A1550,19,1)</f>
        <v>S</v>
      </c>
      <c r="G1550" s="8">
        <v>-23.075467953780752</v>
      </c>
      <c r="H1550" s="8">
        <v>-47.028201367415932</v>
      </c>
      <c r="I1550" s="7">
        <v>2064.52</v>
      </c>
      <c r="J1550" s="7"/>
      <c r="K1550" s="8">
        <v>4.33</v>
      </c>
      <c r="L1550" s="8">
        <v>70</v>
      </c>
      <c r="M1550" s="8"/>
      <c r="N1550" s="1">
        <f t="shared" si="184"/>
        <v>0</v>
      </c>
      <c r="O1550" s="8" t="s">
        <v>20</v>
      </c>
      <c r="P1550" s="8"/>
      <c r="Q1550" s="8" t="s">
        <v>21</v>
      </c>
      <c r="R1550" s="8" t="s">
        <v>21</v>
      </c>
      <c r="S1550" s="8" t="s">
        <v>21</v>
      </c>
      <c r="T1550" s="8" t="s">
        <v>21</v>
      </c>
      <c r="U1550" s="6">
        <f t="shared" si="185"/>
        <v>1445.164</v>
      </c>
      <c r="V1550" s="6">
        <f t="shared" si="186"/>
        <v>1445.164</v>
      </c>
    </row>
    <row r="1551" spans="1:22" hidden="1" x14ac:dyDescent="0.35">
      <c r="A1551" s="8" t="s">
        <v>1721</v>
      </c>
      <c r="B1551" s="8" t="s">
        <v>1713</v>
      </c>
      <c r="C1551" s="8" t="s">
        <v>1714</v>
      </c>
      <c r="D1551" s="6">
        <f t="shared" si="187"/>
        <v>0.5</v>
      </c>
      <c r="E1551" s="8" t="s">
        <v>23</v>
      </c>
      <c r="F1551" s="8" t="str">
        <f>MID(A1551,19,1)</f>
        <v>C</v>
      </c>
      <c r="G1551" s="8">
        <v>-23.075371786414301</v>
      </c>
      <c r="H1551" s="8">
        <v>-47.027897903075456</v>
      </c>
      <c r="I1551" s="7">
        <v>14938.89</v>
      </c>
      <c r="J1551" s="9">
        <f>I1551/500</f>
        <v>29.877779999999998</v>
      </c>
      <c r="K1551" s="8">
        <v>3.32</v>
      </c>
      <c r="L1551" s="8">
        <v>80</v>
      </c>
      <c r="M1551" s="8"/>
      <c r="N1551" s="1">
        <f t="shared" si="184"/>
        <v>0</v>
      </c>
      <c r="O1551" s="8" t="s">
        <v>185</v>
      </c>
      <c r="P1551" s="8"/>
      <c r="Q1551" s="8" t="s">
        <v>21</v>
      </c>
      <c r="R1551" s="8" t="s">
        <v>21</v>
      </c>
      <c r="S1551" s="8" t="s">
        <v>21</v>
      </c>
      <c r="T1551" s="8" t="s">
        <v>21</v>
      </c>
      <c r="U1551" s="6">
        <f t="shared" si="185"/>
        <v>11951.112000000001</v>
      </c>
      <c r="V1551" s="6">
        <f t="shared" si="186"/>
        <v>11951.112000000001</v>
      </c>
    </row>
    <row r="1552" spans="1:22" hidden="1" x14ac:dyDescent="0.35">
      <c r="A1552" s="8" t="s">
        <v>1722</v>
      </c>
      <c r="B1552" s="8" t="s">
        <v>1713</v>
      </c>
      <c r="C1552" s="8" t="s">
        <v>1714</v>
      </c>
      <c r="D1552" s="6">
        <f t="shared" si="187"/>
        <v>0.5</v>
      </c>
      <c r="E1552" s="8" t="s">
        <v>19</v>
      </c>
      <c r="F1552" s="8" t="str">
        <f>MID(A1552,19,1)</f>
        <v>S</v>
      </c>
      <c r="G1552" s="8">
        <v>-23.075221422718091</v>
      </c>
      <c r="H1552" s="8">
        <v>-47.028554294816104</v>
      </c>
      <c r="I1552" s="7">
        <v>245.31</v>
      </c>
      <c r="J1552" s="7"/>
      <c r="K1552" s="8">
        <v>2.88</v>
      </c>
      <c r="L1552" s="8">
        <v>70</v>
      </c>
      <c r="M1552" s="8"/>
      <c r="N1552" s="1">
        <f t="shared" si="184"/>
        <v>0</v>
      </c>
      <c r="O1552" s="8" t="s">
        <v>20</v>
      </c>
      <c r="P1552" s="8"/>
      <c r="Q1552" s="8" t="s">
        <v>21</v>
      </c>
      <c r="R1552" s="8" t="s">
        <v>21</v>
      </c>
      <c r="S1552" s="8" t="s">
        <v>21</v>
      </c>
      <c r="T1552" s="8" t="s">
        <v>21</v>
      </c>
      <c r="U1552" s="6">
        <f t="shared" si="185"/>
        <v>171.71699999999998</v>
      </c>
      <c r="V1552" s="6">
        <f t="shared" si="186"/>
        <v>171.71699999999998</v>
      </c>
    </row>
    <row r="1553" spans="1:22" hidden="1" x14ac:dyDescent="0.35">
      <c r="A1553" s="8" t="s">
        <v>1723</v>
      </c>
      <c r="B1553" s="8" t="s">
        <v>1713</v>
      </c>
      <c r="C1553" s="8" t="s">
        <v>1714</v>
      </c>
      <c r="D1553" s="6">
        <f t="shared" si="187"/>
        <v>0.5</v>
      </c>
      <c r="E1553" s="8" t="s">
        <v>19</v>
      </c>
      <c r="F1553" s="8" t="str">
        <f>MID(A1553,19,1)</f>
        <v>S</v>
      </c>
      <c r="G1553" s="8">
        <v>-23.066374735052314</v>
      </c>
      <c r="H1553" s="8">
        <v>-46.990174481331103</v>
      </c>
      <c r="I1553" s="7">
        <v>2211.9499999999998</v>
      </c>
      <c r="J1553" s="7"/>
      <c r="K1553" s="8">
        <v>3.08</v>
      </c>
      <c r="L1553" s="8">
        <v>55</v>
      </c>
      <c r="M1553" s="8"/>
      <c r="N1553" s="11">
        <f t="shared" si="184"/>
        <v>1216.5725</v>
      </c>
      <c r="O1553" s="8" t="s">
        <v>25</v>
      </c>
      <c r="P1553" s="8"/>
      <c r="Q1553" s="8" t="s">
        <v>21</v>
      </c>
      <c r="R1553" s="8" t="s">
        <v>26</v>
      </c>
      <c r="S1553" s="8" t="s">
        <v>21</v>
      </c>
      <c r="T1553" s="8" t="s">
        <v>21</v>
      </c>
      <c r="U1553" s="6">
        <f t="shared" si="185"/>
        <v>0</v>
      </c>
    </row>
    <row r="1554" spans="1:22" hidden="1" x14ac:dyDescent="0.35">
      <c r="A1554" s="6" t="s">
        <v>1724</v>
      </c>
      <c r="B1554" s="6" t="s">
        <v>1713</v>
      </c>
      <c r="C1554" s="6" t="s">
        <v>1714</v>
      </c>
      <c r="D1554" s="6">
        <f t="shared" si="187"/>
        <v>0.5</v>
      </c>
      <c r="E1554" s="6" t="s">
        <v>19</v>
      </c>
      <c r="F1554" s="6" t="str">
        <f>MID(A1554,19,1)</f>
        <v>S</v>
      </c>
      <c r="G1554" s="6">
        <v>-23.071469624901578</v>
      </c>
      <c r="H1554" s="6">
        <v>-47.030562414702835</v>
      </c>
      <c r="I1554" s="9">
        <v>2090.02</v>
      </c>
      <c r="K1554" s="6">
        <v>10.96</v>
      </c>
      <c r="L1554" s="6">
        <v>60</v>
      </c>
      <c r="N1554" s="1">
        <f t="shared" si="184"/>
        <v>0</v>
      </c>
      <c r="O1554" s="8" t="s">
        <v>20</v>
      </c>
      <c r="P1554" s="8"/>
      <c r="Q1554" s="8" t="s">
        <v>21</v>
      </c>
      <c r="R1554" s="8" t="s">
        <v>21</v>
      </c>
      <c r="S1554" s="8" t="s">
        <v>21</v>
      </c>
      <c r="T1554" s="8" t="s">
        <v>21</v>
      </c>
      <c r="U1554" s="6">
        <f t="shared" si="185"/>
        <v>1254.0119999999999</v>
      </c>
      <c r="V1554" s="6">
        <f t="shared" ref="V1554:V1617" si="188">(I1554*(L1554/100))</f>
        <v>1254.0119999999999</v>
      </c>
    </row>
    <row r="1555" spans="1:22" x14ac:dyDescent="0.35">
      <c r="A1555" s="6" t="s">
        <v>1725</v>
      </c>
      <c r="B1555" s="6" t="s">
        <v>1713</v>
      </c>
      <c r="C1555" s="6" t="s">
        <v>1714</v>
      </c>
      <c r="D1555" s="6">
        <f t="shared" si="187"/>
        <v>0.5</v>
      </c>
      <c r="E1555" s="6" t="s">
        <v>19</v>
      </c>
      <c r="F1555" s="6" t="str">
        <f>MID(A1555,19,1)</f>
        <v>N</v>
      </c>
      <c r="G1555" s="6">
        <v>-23.065897360473063</v>
      </c>
      <c r="H1555" s="6">
        <v>-46.99008818824629</v>
      </c>
      <c r="I1555" s="9">
        <v>1975.73</v>
      </c>
      <c r="K1555" s="6">
        <v>2.95</v>
      </c>
      <c r="L1555" s="6">
        <v>40</v>
      </c>
      <c r="N1555" s="1">
        <f t="shared" si="184"/>
        <v>0</v>
      </c>
      <c r="O1555" s="8" t="s">
        <v>20</v>
      </c>
      <c r="P1555" s="8"/>
      <c r="Q1555" s="8" t="s">
        <v>21</v>
      </c>
      <c r="R1555" s="8" t="s">
        <v>21</v>
      </c>
      <c r="S1555" s="8" t="s">
        <v>21</v>
      </c>
      <c r="T1555" s="8" t="s">
        <v>21</v>
      </c>
      <c r="U1555" s="6">
        <f t="shared" si="185"/>
        <v>790.29200000000003</v>
      </c>
      <c r="V1555" s="6">
        <f t="shared" si="188"/>
        <v>790.29200000000003</v>
      </c>
    </row>
    <row r="1556" spans="1:22" x14ac:dyDescent="0.35">
      <c r="A1556" s="6" t="s">
        <v>1726</v>
      </c>
      <c r="B1556" s="6" t="s">
        <v>1713</v>
      </c>
      <c r="C1556" s="6" t="s">
        <v>1714</v>
      </c>
      <c r="D1556" s="6">
        <f t="shared" si="187"/>
        <v>0.5</v>
      </c>
      <c r="E1556" s="6" t="s">
        <v>19</v>
      </c>
      <c r="F1556" s="6" t="str">
        <f>MID(A1556,19,1)</f>
        <v>N</v>
      </c>
      <c r="G1556" s="6">
        <v>-23.075241391704669</v>
      </c>
      <c r="H1556" s="6">
        <v>-47.027623698732107</v>
      </c>
      <c r="I1556" s="9">
        <v>1904.61</v>
      </c>
      <c r="K1556" s="6">
        <v>3.09</v>
      </c>
      <c r="L1556" s="6">
        <v>40</v>
      </c>
      <c r="N1556" s="1">
        <f t="shared" si="184"/>
        <v>0</v>
      </c>
      <c r="O1556" s="8" t="s">
        <v>20</v>
      </c>
      <c r="P1556" s="8"/>
      <c r="Q1556" s="8" t="s">
        <v>21</v>
      </c>
      <c r="R1556" s="8" t="s">
        <v>21</v>
      </c>
      <c r="S1556" s="8" t="s">
        <v>21</v>
      </c>
      <c r="T1556" s="8" t="s">
        <v>21</v>
      </c>
      <c r="U1556" s="6">
        <f t="shared" si="185"/>
        <v>761.84400000000005</v>
      </c>
      <c r="V1556" s="6">
        <f t="shared" si="188"/>
        <v>761.84400000000005</v>
      </c>
    </row>
    <row r="1557" spans="1:22" hidden="1" x14ac:dyDescent="0.35">
      <c r="A1557" s="6" t="s">
        <v>1727</v>
      </c>
      <c r="B1557" s="6" t="s">
        <v>1728</v>
      </c>
      <c r="C1557" s="6" t="s">
        <v>1729</v>
      </c>
      <c r="D1557" s="6">
        <f t="shared" si="187"/>
        <v>0.5</v>
      </c>
      <c r="E1557" s="6" t="s">
        <v>19</v>
      </c>
      <c r="F1557" s="6" t="str">
        <f>MID(A1557,19,1)</f>
        <v>S</v>
      </c>
      <c r="G1557" s="6">
        <v>-23.061128801174135</v>
      </c>
      <c r="H1557" s="6">
        <v>-46.994516891390752</v>
      </c>
      <c r="I1557" s="9">
        <v>6098.1</v>
      </c>
      <c r="K1557" s="6">
        <v>3.76</v>
      </c>
      <c r="L1557" s="6">
        <v>0</v>
      </c>
      <c r="N1557" s="1">
        <f t="shared" si="184"/>
        <v>0</v>
      </c>
      <c r="O1557" s="8"/>
      <c r="P1557" s="8"/>
      <c r="Q1557" s="8" t="s">
        <v>21</v>
      </c>
      <c r="R1557" s="8" t="s">
        <v>21</v>
      </c>
      <c r="S1557" s="8" t="s">
        <v>21</v>
      </c>
      <c r="T1557" s="8" t="s">
        <v>21</v>
      </c>
      <c r="U1557" s="6">
        <f t="shared" si="185"/>
        <v>0</v>
      </c>
      <c r="V1557" s="6">
        <f t="shared" si="188"/>
        <v>0</v>
      </c>
    </row>
    <row r="1558" spans="1:22" hidden="1" x14ac:dyDescent="0.35">
      <c r="A1558" s="6" t="s">
        <v>1730</v>
      </c>
      <c r="B1558" s="6" t="s">
        <v>1728</v>
      </c>
      <c r="C1558" s="6" t="s">
        <v>1729</v>
      </c>
      <c r="D1558" s="6">
        <f t="shared" si="187"/>
        <v>0.5</v>
      </c>
      <c r="E1558" s="6" t="s">
        <v>23</v>
      </c>
      <c r="F1558" s="6" t="str">
        <f>MID(A1558,19,1)</f>
        <v>C</v>
      </c>
      <c r="G1558" s="6">
        <v>-23.067034757919522</v>
      </c>
      <c r="H1558" s="6">
        <v>-47.033904575384177</v>
      </c>
      <c r="I1558" s="9">
        <v>1497.91</v>
      </c>
      <c r="J1558" s="9">
        <f>I1558/500</f>
        <v>2.9958200000000001</v>
      </c>
      <c r="K1558" s="6">
        <v>2.79</v>
      </c>
      <c r="L1558" s="6">
        <v>40</v>
      </c>
      <c r="N1558" s="1">
        <f t="shared" si="184"/>
        <v>0</v>
      </c>
      <c r="O1558" s="8" t="s">
        <v>20</v>
      </c>
      <c r="P1558" s="8"/>
      <c r="Q1558" s="8" t="s">
        <v>21</v>
      </c>
      <c r="R1558" s="8" t="s">
        <v>21</v>
      </c>
      <c r="S1558" s="8" t="s">
        <v>21</v>
      </c>
      <c r="T1558" s="8" t="s">
        <v>21</v>
      </c>
      <c r="U1558" s="6">
        <f t="shared" si="185"/>
        <v>599.1640000000001</v>
      </c>
      <c r="V1558" s="6">
        <f t="shared" si="188"/>
        <v>599.1640000000001</v>
      </c>
    </row>
    <row r="1559" spans="1:22" hidden="1" x14ac:dyDescent="0.35">
      <c r="A1559" s="6" t="s">
        <v>1731</v>
      </c>
      <c r="B1559" s="6" t="s">
        <v>1728</v>
      </c>
      <c r="C1559" s="6" t="s">
        <v>1729</v>
      </c>
      <c r="D1559" s="6">
        <f t="shared" si="187"/>
        <v>0.5</v>
      </c>
      <c r="E1559" s="6" t="s">
        <v>19</v>
      </c>
      <c r="F1559" s="6" t="str">
        <f>MID(A1559,19,1)</f>
        <v>S</v>
      </c>
      <c r="G1559" s="6">
        <v>-23.061968774205841</v>
      </c>
      <c r="H1559" s="6">
        <v>-46.99451553241952</v>
      </c>
      <c r="I1559" s="9">
        <v>2347.21</v>
      </c>
      <c r="K1559" s="6">
        <v>5.89</v>
      </c>
      <c r="L1559" s="6">
        <v>0</v>
      </c>
      <c r="N1559" s="1">
        <f t="shared" si="184"/>
        <v>0</v>
      </c>
      <c r="O1559" s="8"/>
      <c r="P1559" s="8"/>
      <c r="Q1559" s="8" t="s">
        <v>21</v>
      </c>
      <c r="R1559" s="8" t="s">
        <v>21</v>
      </c>
      <c r="S1559" s="8" t="s">
        <v>21</v>
      </c>
      <c r="T1559" s="8" t="s">
        <v>21</v>
      </c>
      <c r="U1559" s="6">
        <f t="shared" si="185"/>
        <v>0</v>
      </c>
      <c r="V1559" s="6">
        <f t="shared" si="188"/>
        <v>0</v>
      </c>
    </row>
    <row r="1560" spans="1:22" x14ac:dyDescent="0.35">
      <c r="A1560" s="6" t="s">
        <v>1732</v>
      </c>
      <c r="B1560" s="6" t="s">
        <v>1728</v>
      </c>
      <c r="C1560" s="6" t="s">
        <v>1729</v>
      </c>
      <c r="D1560" s="6">
        <f t="shared" si="187"/>
        <v>0.5</v>
      </c>
      <c r="E1560" s="6" t="s">
        <v>19</v>
      </c>
      <c r="F1560" s="6" t="str">
        <f>MID(A1560,19,1)</f>
        <v>N</v>
      </c>
      <c r="G1560" s="6">
        <v>-23.06061267498476</v>
      </c>
      <c r="H1560" s="6">
        <v>-46.99368286572367</v>
      </c>
      <c r="I1560" s="9">
        <v>5980.61</v>
      </c>
      <c r="K1560" s="6">
        <v>2.99</v>
      </c>
      <c r="L1560" s="6">
        <v>40</v>
      </c>
      <c r="N1560" s="1">
        <f t="shared" si="184"/>
        <v>0</v>
      </c>
      <c r="O1560" s="8" t="s">
        <v>20</v>
      </c>
      <c r="P1560" s="8"/>
      <c r="Q1560" s="8" t="s">
        <v>21</v>
      </c>
      <c r="R1560" s="8" t="s">
        <v>21</v>
      </c>
      <c r="S1560" s="8" t="s">
        <v>21</v>
      </c>
      <c r="T1560" s="8" t="s">
        <v>21</v>
      </c>
      <c r="U1560" s="6">
        <f t="shared" si="185"/>
        <v>2392.2440000000001</v>
      </c>
      <c r="V1560" s="6">
        <f t="shared" si="188"/>
        <v>2392.2440000000001</v>
      </c>
    </row>
    <row r="1561" spans="1:22" hidden="1" x14ac:dyDescent="0.35">
      <c r="A1561" s="6" t="s">
        <v>1733</v>
      </c>
      <c r="B1561" s="6" t="s">
        <v>1728</v>
      </c>
      <c r="C1561" s="6" t="s">
        <v>1729</v>
      </c>
      <c r="D1561" s="6">
        <f t="shared" si="187"/>
        <v>0.5</v>
      </c>
      <c r="E1561" s="6" t="s">
        <v>19</v>
      </c>
      <c r="F1561" s="6" t="str">
        <f>MID(A1561,19,1)</f>
        <v>S</v>
      </c>
      <c r="G1561" s="6">
        <v>-23.06923530900028</v>
      </c>
      <c r="H1561" s="6">
        <v>-47.032459916813735</v>
      </c>
      <c r="I1561" s="9">
        <v>442.64</v>
      </c>
      <c r="K1561" s="6">
        <v>5.56</v>
      </c>
      <c r="L1561" s="6">
        <v>60</v>
      </c>
      <c r="N1561" s="1">
        <f t="shared" si="184"/>
        <v>0</v>
      </c>
      <c r="O1561" s="8" t="s">
        <v>20</v>
      </c>
      <c r="P1561" s="8"/>
      <c r="Q1561" s="8" t="s">
        <v>21</v>
      </c>
      <c r="R1561" s="8" t="s">
        <v>21</v>
      </c>
      <c r="S1561" s="8" t="s">
        <v>21</v>
      </c>
      <c r="T1561" s="8" t="s">
        <v>21</v>
      </c>
      <c r="U1561" s="6">
        <f t="shared" si="185"/>
        <v>265.584</v>
      </c>
      <c r="V1561" s="6">
        <f t="shared" si="188"/>
        <v>265.584</v>
      </c>
    </row>
    <row r="1562" spans="1:22" x14ac:dyDescent="0.35">
      <c r="A1562" s="6" t="s">
        <v>1734</v>
      </c>
      <c r="B1562" s="6" t="s">
        <v>1728</v>
      </c>
      <c r="C1562" s="6" t="s">
        <v>1729</v>
      </c>
      <c r="D1562" s="6">
        <f t="shared" si="187"/>
        <v>0.5</v>
      </c>
      <c r="E1562" s="6" t="s">
        <v>19</v>
      </c>
      <c r="F1562" s="6" t="str">
        <f>MID(A1562,19,1)</f>
        <v>N</v>
      </c>
      <c r="G1562" s="6">
        <v>-23.063877987110878</v>
      </c>
      <c r="H1562" s="6">
        <v>-46.991614861733787</v>
      </c>
      <c r="I1562" s="9">
        <v>119.97</v>
      </c>
      <c r="K1562" s="6">
        <v>4.8</v>
      </c>
      <c r="L1562" s="6">
        <v>40</v>
      </c>
      <c r="N1562" s="1">
        <f t="shared" si="184"/>
        <v>0</v>
      </c>
      <c r="O1562" s="8" t="s">
        <v>20</v>
      </c>
      <c r="P1562" s="8"/>
      <c r="Q1562" s="8" t="s">
        <v>21</v>
      </c>
      <c r="R1562" s="8" t="s">
        <v>21</v>
      </c>
      <c r="S1562" s="8" t="s">
        <v>21</v>
      </c>
      <c r="T1562" s="8" t="s">
        <v>21</v>
      </c>
      <c r="U1562" s="6">
        <f t="shared" si="185"/>
        <v>47.988</v>
      </c>
      <c r="V1562" s="6">
        <f t="shared" si="188"/>
        <v>47.988</v>
      </c>
    </row>
    <row r="1563" spans="1:22" hidden="1" x14ac:dyDescent="0.35">
      <c r="A1563" s="6" t="s">
        <v>1735</v>
      </c>
      <c r="B1563" s="6" t="s">
        <v>1728</v>
      </c>
      <c r="C1563" s="6" t="s">
        <v>1729</v>
      </c>
      <c r="D1563" s="6">
        <f t="shared" si="187"/>
        <v>0.5</v>
      </c>
      <c r="E1563" s="6" t="s">
        <v>19</v>
      </c>
      <c r="F1563" s="6" t="str">
        <f>MID(A1563,19,1)</f>
        <v>S</v>
      </c>
      <c r="G1563" s="6">
        <v>-23.064669249915681</v>
      </c>
      <c r="H1563" s="6">
        <v>-47.036893581010716</v>
      </c>
      <c r="I1563" s="9">
        <v>13636.37</v>
      </c>
      <c r="K1563" s="6">
        <v>2.94</v>
      </c>
      <c r="L1563" s="6">
        <v>80</v>
      </c>
      <c r="N1563" s="1">
        <f t="shared" si="184"/>
        <v>0</v>
      </c>
      <c r="O1563" s="8" t="s">
        <v>185</v>
      </c>
      <c r="P1563" s="8"/>
      <c r="Q1563" s="8" t="s">
        <v>21</v>
      </c>
      <c r="R1563" s="8" t="s">
        <v>21</v>
      </c>
      <c r="S1563" s="8" t="s">
        <v>21</v>
      </c>
      <c r="T1563" s="8" t="s">
        <v>21</v>
      </c>
      <c r="U1563" s="6">
        <f t="shared" si="185"/>
        <v>10909.096000000001</v>
      </c>
      <c r="V1563" s="6">
        <f t="shared" si="188"/>
        <v>10909.096000000001</v>
      </c>
    </row>
    <row r="1564" spans="1:22" x14ac:dyDescent="0.35">
      <c r="A1564" s="6" t="s">
        <v>1736</v>
      </c>
      <c r="B1564" s="6" t="s">
        <v>1728</v>
      </c>
      <c r="C1564" s="6" t="s">
        <v>1729</v>
      </c>
      <c r="D1564" s="6">
        <f t="shared" si="187"/>
        <v>0.5</v>
      </c>
      <c r="E1564" s="6" t="s">
        <v>19</v>
      </c>
      <c r="F1564" s="6" t="str">
        <f>MID(A1564,19,1)</f>
        <v>N</v>
      </c>
      <c r="G1564" s="6">
        <v>-23.059855957999435</v>
      </c>
      <c r="H1564" s="6">
        <v>-46.993124331340837</v>
      </c>
      <c r="I1564" s="9">
        <v>542.04999999999995</v>
      </c>
      <c r="K1564" s="6">
        <v>4.8</v>
      </c>
      <c r="L1564" s="6">
        <v>40</v>
      </c>
      <c r="N1564" s="1">
        <f t="shared" si="184"/>
        <v>0</v>
      </c>
      <c r="O1564" s="8" t="s">
        <v>20</v>
      </c>
      <c r="P1564" s="8"/>
      <c r="Q1564" s="8" t="s">
        <v>21</v>
      </c>
      <c r="R1564" s="8" t="s">
        <v>21</v>
      </c>
      <c r="S1564" s="8" t="s">
        <v>21</v>
      </c>
      <c r="T1564" s="8" t="s">
        <v>21</v>
      </c>
      <c r="U1564" s="6">
        <f t="shared" si="185"/>
        <v>216.82</v>
      </c>
      <c r="V1564" s="6">
        <f t="shared" si="188"/>
        <v>216.82</v>
      </c>
    </row>
    <row r="1565" spans="1:22" x14ac:dyDescent="0.35">
      <c r="A1565" s="6" t="s">
        <v>1737</v>
      </c>
      <c r="B1565" s="6" t="s">
        <v>1728</v>
      </c>
      <c r="C1565" s="6" t="s">
        <v>1729</v>
      </c>
      <c r="D1565" s="6">
        <f t="shared" si="187"/>
        <v>0.5</v>
      </c>
      <c r="E1565" s="6" t="s">
        <v>19</v>
      </c>
      <c r="F1565" s="6" t="str">
        <f>MID(A1565,19,1)</f>
        <v>N</v>
      </c>
      <c r="G1565" s="6">
        <v>-23.064587955137839</v>
      </c>
      <c r="H1565" s="6">
        <v>-47.036518765486981</v>
      </c>
      <c r="I1565" s="9">
        <v>2048.98</v>
      </c>
      <c r="K1565" s="6">
        <v>3.11</v>
      </c>
      <c r="L1565" s="6">
        <v>40</v>
      </c>
      <c r="N1565" s="1">
        <f t="shared" si="184"/>
        <v>0</v>
      </c>
      <c r="O1565" s="8" t="s">
        <v>20</v>
      </c>
      <c r="P1565" s="8"/>
      <c r="Q1565" s="8" t="s">
        <v>21</v>
      </c>
      <c r="R1565" s="8" t="s">
        <v>21</v>
      </c>
      <c r="S1565" s="8" t="s">
        <v>21</v>
      </c>
      <c r="T1565" s="8" t="s">
        <v>21</v>
      </c>
      <c r="U1565" s="6">
        <f t="shared" si="185"/>
        <v>819.5920000000001</v>
      </c>
      <c r="V1565" s="6">
        <f t="shared" si="188"/>
        <v>819.5920000000001</v>
      </c>
    </row>
    <row r="1566" spans="1:22" x14ac:dyDescent="0.35">
      <c r="A1566" s="6" t="s">
        <v>1738</v>
      </c>
      <c r="B1566" s="6" t="s">
        <v>1728</v>
      </c>
      <c r="C1566" s="6" t="s">
        <v>1729</v>
      </c>
      <c r="D1566" s="6">
        <f t="shared" si="187"/>
        <v>0.5</v>
      </c>
      <c r="E1566" s="6" t="s">
        <v>19</v>
      </c>
      <c r="F1566" s="6" t="str">
        <f>MID(A1566,19,1)</f>
        <v>N</v>
      </c>
      <c r="G1566" s="6">
        <v>-23.060225925736194</v>
      </c>
      <c r="H1566" s="6">
        <v>-46.993557495813278</v>
      </c>
      <c r="I1566" s="9">
        <v>3016.29</v>
      </c>
      <c r="K1566" s="6">
        <v>4.2699999999999996</v>
      </c>
      <c r="L1566" s="6">
        <v>40</v>
      </c>
      <c r="N1566" s="1">
        <f t="shared" si="184"/>
        <v>0</v>
      </c>
      <c r="O1566" s="8" t="s">
        <v>20</v>
      </c>
      <c r="P1566" s="8"/>
      <c r="Q1566" s="8" t="s">
        <v>21</v>
      </c>
      <c r="R1566" s="8" t="s">
        <v>21</v>
      </c>
      <c r="S1566" s="8" t="s">
        <v>21</v>
      </c>
      <c r="T1566" s="8" t="s">
        <v>21</v>
      </c>
      <c r="U1566" s="6">
        <f t="shared" si="185"/>
        <v>1206.5160000000001</v>
      </c>
      <c r="V1566" s="6">
        <f t="shared" si="188"/>
        <v>1206.5160000000001</v>
      </c>
    </row>
    <row r="1567" spans="1:22" hidden="1" x14ac:dyDescent="0.35">
      <c r="A1567" s="6" t="s">
        <v>1739</v>
      </c>
      <c r="B1567" s="6" t="s">
        <v>1728</v>
      </c>
      <c r="C1567" s="6" t="s">
        <v>1729</v>
      </c>
      <c r="D1567" s="6">
        <f t="shared" si="187"/>
        <v>0.5</v>
      </c>
      <c r="E1567" s="6" t="s">
        <v>19</v>
      </c>
      <c r="F1567" s="6" t="str">
        <f>MID(A1567,19,1)</f>
        <v>S</v>
      </c>
      <c r="G1567" s="6">
        <v>-23.062263485422172</v>
      </c>
      <c r="H1567" s="6">
        <v>-46.99364580392254</v>
      </c>
      <c r="I1567" s="9">
        <v>11955.36</v>
      </c>
      <c r="K1567" s="6">
        <v>3.89</v>
      </c>
      <c r="L1567" s="6">
        <v>0</v>
      </c>
      <c r="N1567" s="1">
        <f t="shared" si="184"/>
        <v>0</v>
      </c>
      <c r="O1567" s="8"/>
      <c r="P1567" s="8"/>
      <c r="Q1567" s="8" t="s">
        <v>21</v>
      </c>
      <c r="R1567" s="8" t="s">
        <v>21</v>
      </c>
      <c r="S1567" s="8" t="s">
        <v>21</v>
      </c>
      <c r="T1567" s="8" t="s">
        <v>21</v>
      </c>
      <c r="U1567" s="6">
        <f t="shared" si="185"/>
        <v>0</v>
      </c>
      <c r="V1567" s="6">
        <f t="shared" si="188"/>
        <v>0</v>
      </c>
    </row>
    <row r="1568" spans="1:22" hidden="1" x14ac:dyDescent="0.35">
      <c r="A1568" s="6" t="s">
        <v>1740</v>
      </c>
      <c r="B1568" s="6" t="s">
        <v>1728</v>
      </c>
      <c r="C1568" s="6" t="s">
        <v>1729</v>
      </c>
      <c r="D1568" s="6">
        <f t="shared" si="187"/>
        <v>0.5</v>
      </c>
      <c r="E1568" s="6" t="s">
        <v>19</v>
      </c>
      <c r="F1568" s="6" t="str">
        <f>MID(A1568,19,1)</f>
        <v>S</v>
      </c>
      <c r="G1568" s="6">
        <v>-23.059046735504637</v>
      </c>
      <c r="H1568" s="6">
        <v>-46.99570292769107</v>
      </c>
      <c r="I1568" s="9">
        <v>1486.22</v>
      </c>
      <c r="K1568" s="6">
        <v>2.6</v>
      </c>
      <c r="L1568" s="6">
        <v>0</v>
      </c>
      <c r="N1568" s="1">
        <f t="shared" si="184"/>
        <v>0</v>
      </c>
      <c r="O1568" s="8"/>
      <c r="P1568" s="8"/>
      <c r="Q1568" s="8" t="s">
        <v>21</v>
      </c>
      <c r="R1568" s="8" t="s">
        <v>21</v>
      </c>
      <c r="S1568" s="8" t="s">
        <v>21</v>
      </c>
      <c r="T1568" s="8" t="s">
        <v>21</v>
      </c>
      <c r="U1568" s="6">
        <f t="shared" si="185"/>
        <v>0</v>
      </c>
      <c r="V1568" s="6">
        <f t="shared" si="188"/>
        <v>0</v>
      </c>
    </row>
    <row r="1569" spans="1:22" hidden="1" x14ac:dyDescent="0.35">
      <c r="A1569" s="6" t="s">
        <v>1741</v>
      </c>
      <c r="B1569" s="6" t="s">
        <v>1728</v>
      </c>
      <c r="C1569" s="6" t="s">
        <v>1729</v>
      </c>
      <c r="D1569" s="6">
        <f t="shared" si="187"/>
        <v>0.5</v>
      </c>
      <c r="E1569" s="6" t="s">
        <v>19</v>
      </c>
      <c r="F1569" s="6" t="str">
        <f>MID(A1569,19,1)</f>
        <v>S</v>
      </c>
      <c r="G1569" s="6">
        <v>-23.064856284007561</v>
      </c>
      <c r="H1569" s="6">
        <v>-47.03713596790211</v>
      </c>
      <c r="I1569" s="9">
        <v>1732.98</v>
      </c>
      <c r="K1569" s="6">
        <v>2.48</v>
      </c>
      <c r="L1569" s="6">
        <v>60</v>
      </c>
      <c r="N1569" s="1">
        <f t="shared" si="184"/>
        <v>0</v>
      </c>
      <c r="O1569" s="8" t="s">
        <v>20</v>
      </c>
      <c r="P1569" s="8"/>
      <c r="Q1569" s="8" t="s">
        <v>21</v>
      </c>
      <c r="R1569" s="8" t="s">
        <v>21</v>
      </c>
      <c r="S1569" s="8" t="s">
        <v>21</v>
      </c>
      <c r="T1569" s="8" t="s">
        <v>21</v>
      </c>
      <c r="U1569" s="6">
        <f t="shared" si="185"/>
        <v>1039.788</v>
      </c>
      <c r="V1569" s="6">
        <f t="shared" si="188"/>
        <v>1039.788</v>
      </c>
    </row>
    <row r="1570" spans="1:22" hidden="1" x14ac:dyDescent="0.35">
      <c r="A1570" s="6" t="s">
        <v>1742</v>
      </c>
      <c r="B1570" s="6" t="s">
        <v>1728</v>
      </c>
      <c r="C1570" s="6" t="s">
        <v>1729</v>
      </c>
      <c r="D1570" s="6">
        <f t="shared" si="187"/>
        <v>0.5</v>
      </c>
      <c r="E1570" s="6" t="s">
        <v>19</v>
      </c>
      <c r="F1570" s="6" t="str">
        <f>MID(A1570,19,1)</f>
        <v>S</v>
      </c>
      <c r="G1570" s="6">
        <v>-23.062708274286834</v>
      </c>
      <c r="H1570" s="6">
        <v>-46.99395929308438</v>
      </c>
      <c r="I1570" s="9">
        <v>2023.75</v>
      </c>
      <c r="K1570" s="6">
        <v>5.53</v>
      </c>
      <c r="L1570" s="6">
        <v>0</v>
      </c>
      <c r="N1570" s="1">
        <f t="shared" si="184"/>
        <v>0</v>
      </c>
      <c r="O1570" s="8"/>
      <c r="P1570" s="8"/>
      <c r="Q1570" s="8" t="s">
        <v>21</v>
      </c>
      <c r="R1570" s="8" t="s">
        <v>21</v>
      </c>
      <c r="S1570" s="8" t="s">
        <v>21</v>
      </c>
      <c r="T1570" s="8" t="s">
        <v>21</v>
      </c>
      <c r="U1570" s="6">
        <f t="shared" si="185"/>
        <v>0</v>
      </c>
      <c r="V1570" s="6">
        <f t="shared" si="188"/>
        <v>0</v>
      </c>
    </row>
    <row r="1571" spans="1:22" x14ac:dyDescent="0.35">
      <c r="A1571" s="6" t="s">
        <v>1743</v>
      </c>
      <c r="B1571" s="6" t="s">
        <v>1728</v>
      </c>
      <c r="C1571" s="6" t="s">
        <v>1729</v>
      </c>
      <c r="D1571" s="6">
        <f t="shared" si="187"/>
        <v>0.5</v>
      </c>
      <c r="E1571" s="6" t="s">
        <v>19</v>
      </c>
      <c r="F1571" s="6" t="str">
        <f>MID(A1571,19,1)</f>
        <v>N</v>
      </c>
      <c r="G1571" s="6">
        <v>-23.061709699539357</v>
      </c>
      <c r="H1571" s="6">
        <v>-46.992812555636</v>
      </c>
      <c r="I1571" s="9">
        <v>12809.24</v>
      </c>
      <c r="K1571" s="6">
        <v>4.88</v>
      </c>
      <c r="L1571" s="6">
        <v>40</v>
      </c>
      <c r="N1571" s="1">
        <f t="shared" si="184"/>
        <v>0</v>
      </c>
      <c r="O1571" s="8" t="s">
        <v>20</v>
      </c>
      <c r="P1571" s="8"/>
      <c r="Q1571" s="8" t="s">
        <v>21</v>
      </c>
      <c r="R1571" s="8" t="s">
        <v>21</v>
      </c>
      <c r="S1571" s="8" t="s">
        <v>21</v>
      </c>
      <c r="T1571" s="8" t="s">
        <v>21</v>
      </c>
      <c r="U1571" s="6">
        <f t="shared" si="185"/>
        <v>5123.6959999999999</v>
      </c>
      <c r="V1571" s="6">
        <f t="shared" si="188"/>
        <v>5123.6959999999999</v>
      </c>
    </row>
    <row r="1572" spans="1:22" hidden="1" x14ac:dyDescent="0.35">
      <c r="A1572" s="6" t="s">
        <v>1744</v>
      </c>
      <c r="B1572" s="6" t="s">
        <v>1728</v>
      </c>
      <c r="C1572" s="6" t="s">
        <v>1729</v>
      </c>
      <c r="D1572" s="6">
        <f t="shared" si="187"/>
        <v>0.5</v>
      </c>
      <c r="E1572" s="6" t="s">
        <v>23</v>
      </c>
      <c r="F1572" s="6" t="str">
        <f>MID(A1572,19,1)</f>
        <v>C</v>
      </c>
      <c r="G1572" s="6">
        <v>-23.062004224401797</v>
      </c>
      <c r="H1572" s="6">
        <v>-46.992496528771682</v>
      </c>
      <c r="I1572" s="9">
        <v>5087.95</v>
      </c>
      <c r="J1572" s="9">
        <f>I1572/500</f>
        <v>10.1759</v>
      </c>
      <c r="K1572" s="6">
        <v>4.92</v>
      </c>
      <c r="L1572" s="6">
        <v>40</v>
      </c>
      <c r="N1572" s="1">
        <f t="shared" si="184"/>
        <v>0</v>
      </c>
      <c r="O1572" s="8" t="s">
        <v>20</v>
      </c>
      <c r="P1572" s="8"/>
      <c r="Q1572" s="8" t="s">
        <v>21</v>
      </c>
      <c r="R1572" s="8" t="s">
        <v>21</v>
      </c>
      <c r="S1572" s="8" t="s">
        <v>21</v>
      </c>
      <c r="T1572" s="8" t="s">
        <v>21</v>
      </c>
      <c r="U1572" s="6">
        <f t="shared" si="185"/>
        <v>2035.18</v>
      </c>
      <c r="V1572" s="6">
        <f t="shared" si="188"/>
        <v>2035.18</v>
      </c>
    </row>
    <row r="1573" spans="1:22" x14ac:dyDescent="0.35">
      <c r="A1573" s="6" t="s">
        <v>1745</v>
      </c>
      <c r="B1573" s="6" t="s">
        <v>1728</v>
      </c>
      <c r="C1573" s="6" t="s">
        <v>1729</v>
      </c>
      <c r="D1573" s="6">
        <f t="shared" si="187"/>
        <v>0.5</v>
      </c>
      <c r="E1573" s="6" t="s">
        <v>19</v>
      </c>
      <c r="F1573" s="6" t="str">
        <f>MID(A1573,19,1)</f>
        <v>N</v>
      </c>
      <c r="G1573" s="6">
        <v>-23.06011898018264</v>
      </c>
      <c r="H1573" s="6">
        <v>-46.994365576068361</v>
      </c>
      <c r="I1573" s="9">
        <v>1145.48</v>
      </c>
      <c r="K1573" s="6">
        <v>5.17</v>
      </c>
      <c r="L1573" s="6">
        <v>60</v>
      </c>
      <c r="N1573" s="1">
        <f t="shared" si="184"/>
        <v>0</v>
      </c>
      <c r="O1573" s="8" t="s">
        <v>20</v>
      </c>
      <c r="P1573" s="8"/>
      <c r="Q1573" s="8" t="s">
        <v>21</v>
      </c>
      <c r="R1573" s="8" t="s">
        <v>21</v>
      </c>
      <c r="S1573" s="8" t="s">
        <v>21</v>
      </c>
      <c r="T1573" s="8" t="s">
        <v>21</v>
      </c>
      <c r="U1573" s="6">
        <f t="shared" si="185"/>
        <v>687.28800000000001</v>
      </c>
      <c r="V1573" s="6">
        <f t="shared" si="188"/>
        <v>687.28800000000001</v>
      </c>
    </row>
    <row r="1574" spans="1:22" hidden="1" x14ac:dyDescent="0.35">
      <c r="A1574" s="6" t="s">
        <v>1746</v>
      </c>
      <c r="B1574" s="6" t="s">
        <v>1728</v>
      </c>
      <c r="C1574" s="6" t="s">
        <v>1729</v>
      </c>
      <c r="D1574" s="6">
        <f t="shared" si="187"/>
        <v>0.5</v>
      </c>
      <c r="E1574" s="6" t="s">
        <v>23</v>
      </c>
      <c r="F1574" s="6" t="str">
        <f>MID(A1574,19,1)</f>
        <v>C</v>
      </c>
      <c r="G1574" s="6">
        <v>-23.067311422795868</v>
      </c>
      <c r="H1574" s="6">
        <v>-47.03407302568462</v>
      </c>
      <c r="I1574" s="9">
        <v>11710.72</v>
      </c>
      <c r="J1574" s="9">
        <f t="shared" ref="J1574:J1575" si="189">I1574/500</f>
        <v>23.421439999999997</v>
      </c>
      <c r="K1574" s="6">
        <v>2.54</v>
      </c>
      <c r="L1574" s="6">
        <v>80</v>
      </c>
      <c r="N1574" s="1">
        <f t="shared" si="184"/>
        <v>0</v>
      </c>
      <c r="O1574" s="8" t="s">
        <v>185</v>
      </c>
      <c r="P1574" s="8"/>
      <c r="Q1574" s="8" t="s">
        <v>21</v>
      </c>
      <c r="R1574" s="8" t="s">
        <v>21</v>
      </c>
      <c r="S1574" s="8" t="s">
        <v>21</v>
      </c>
      <c r="T1574" s="8" t="s">
        <v>21</v>
      </c>
      <c r="U1574" s="6">
        <f t="shared" si="185"/>
        <v>9368.5759999999991</v>
      </c>
      <c r="V1574" s="6">
        <f t="shared" si="188"/>
        <v>9368.5759999999991</v>
      </c>
    </row>
    <row r="1575" spans="1:22" hidden="1" x14ac:dyDescent="0.35">
      <c r="A1575" s="6" t="s">
        <v>1747</v>
      </c>
      <c r="B1575" s="6" t="s">
        <v>1728</v>
      </c>
      <c r="C1575" s="6" t="s">
        <v>1729</v>
      </c>
      <c r="D1575" s="6">
        <f t="shared" si="187"/>
        <v>0.5</v>
      </c>
      <c r="E1575" s="6" t="s">
        <v>23</v>
      </c>
      <c r="F1575" s="6" t="str">
        <f>MID(A1575,19,1)</f>
        <v>C</v>
      </c>
      <c r="G1575" s="6">
        <v>-23.068981373455461</v>
      </c>
      <c r="H1575" s="6">
        <v>-47.032290290338956</v>
      </c>
      <c r="I1575" s="9">
        <v>3723.58</v>
      </c>
      <c r="J1575" s="9">
        <f t="shared" si="189"/>
        <v>7.4471600000000002</v>
      </c>
      <c r="K1575" s="6">
        <v>4.92</v>
      </c>
      <c r="L1575" s="6">
        <v>80</v>
      </c>
      <c r="N1575" s="1">
        <f t="shared" si="184"/>
        <v>0</v>
      </c>
      <c r="O1575" s="8" t="s">
        <v>185</v>
      </c>
      <c r="P1575" s="8"/>
      <c r="Q1575" s="8" t="s">
        <v>21</v>
      </c>
      <c r="R1575" s="8" t="s">
        <v>21</v>
      </c>
      <c r="S1575" s="8" t="s">
        <v>21</v>
      </c>
      <c r="T1575" s="8" t="s">
        <v>21</v>
      </c>
      <c r="U1575" s="6">
        <f t="shared" si="185"/>
        <v>2978.864</v>
      </c>
      <c r="V1575" s="6">
        <f t="shared" si="188"/>
        <v>2978.864</v>
      </c>
    </row>
    <row r="1576" spans="1:22" hidden="1" x14ac:dyDescent="0.35">
      <c r="A1576" s="6" t="s">
        <v>1748</v>
      </c>
      <c r="B1576" s="6" t="s">
        <v>1728</v>
      </c>
      <c r="C1576" s="6" t="s">
        <v>1729</v>
      </c>
      <c r="D1576" s="6">
        <f t="shared" si="187"/>
        <v>0.5</v>
      </c>
      <c r="E1576" s="6" t="s">
        <v>19</v>
      </c>
      <c r="F1576" s="6" t="str">
        <f>MID(A1576,19,1)</f>
        <v>S</v>
      </c>
      <c r="G1576" s="6">
        <v>-23.063205119474866</v>
      </c>
      <c r="H1576" s="6">
        <v>-46.992684554161229</v>
      </c>
      <c r="I1576" s="9">
        <v>2479.87</v>
      </c>
      <c r="K1576" s="6">
        <v>3.9</v>
      </c>
      <c r="L1576" s="6">
        <v>0</v>
      </c>
      <c r="N1576" s="1">
        <f t="shared" si="184"/>
        <v>0</v>
      </c>
      <c r="O1576" s="8"/>
      <c r="P1576" s="8"/>
      <c r="Q1576" s="8" t="s">
        <v>21</v>
      </c>
      <c r="R1576" s="8" t="s">
        <v>21</v>
      </c>
      <c r="S1576" s="8" t="s">
        <v>21</v>
      </c>
      <c r="T1576" s="8" t="s">
        <v>21</v>
      </c>
      <c r="U1576" s="6">
        <f t="shared" si="185"/>
        <v>0</v>
      </c>
      <c r="V1576" s="6">
        <f t="shared" si="188"/>
        <v>0</v>
      </c>
    </row>
    <row r="1577" spans="1:22" hidden="1" x14ac:dyDescent="0.35">
      <c r="A1577" s="6" t="s">
        <v>1749</v>
      </c>
      <c r="B1577" s="6" t="s">
        <v>1728</v>
      </c>
      <c r="C1577" s="6" t="s">
        <v>1729</v>
      </c>
      <c r="D1577" s="6">
        <f t="shared" si="187"/>
        <v>0.5</v>
      </c>
      <c r="E1577" s="6" t="s">
        <v>19</v>
      </c>
      <c r="F1577" s="6" t="str">
        <f>MID(A1577,19,1)</f>
        <v>S</v>
      </c>
      <c r="G1577" s="6">
        <v>-23.0640814721514</v>
      </c>
      <c r="H1577" s="6">
        <v>-46.991906886980928</v>
      </c>
      <c r="I1577" s="9">
        <v>86.3</v>
      </c>
      <c r="K1577" s="6">
        <v>3.15</v>
      </c>
      <c r="L1577" s="6">
        <v>0</v>
      </c>
      <c r="N1577" s="1">
        <f t="shared" si="184"/>
        <v>0</v>
      </c>
      <c r="O1577" s="8"/>
      <c r="P1577" s="8"/>
      <c r="Q1577" s="8" t="s">
        <v>21</v>
      </c>
      <c r="R1577" s="8" t="s">
        <v>21</v>
      </c>
      <c r="S1577" s="8" t="s">
        <v>21</v>
      </c>
      <c r="T1577" s="8" t="s">
        <v>21</v>
      </c>
      <c r="U1577" s="6">
        <f t="shared" si="185"/>
        <v>0</v>
      </c>
      <c r="V1577" s="6">
        <f t="shared" si="188"/>
        <v>0</v>
      </c>
    </row>
    <row r="1578" spans="1:22" hidden="1" x14ac:dyDescent="0.35">
      <c r="A1578" s="6" t="s">
        <v>1750</v>
      </c>
      <c r="B1578" s="6" t="s">
        <v>1728</v>
      </c>
      <c r="C1578" s="6" t="s">
        <v>1729</v>
      </c>
      <c r="D1578" s="6">
        <f t="shared" si="187"/>
        <v>0.5</v>
      </c>
      <c r="E1578" s="6" t="s">
        <v>19</v>
      </c>
      <c r="F1578" s="6" t="str">
        <f>MID(A1578,19,1)</f>
        <v>S</v>
      </c>
      <c r="G1578" s="6">
        <v>-23.067444672000267</v>
      </c>
      <c r="H1578" s="6">
        <v>-47.034377852332213</v>
      </c>
      <c r="I1578" s="9">
        <v>1487.93</v>
      </c>
      <c r="K1578" s="6">
        <v>2.39</v>
      </c>
      <c r="L1578" s="6">
        <v>60</v>
      </c>
      <c r="N1578" s="1">
        <f t="shared" si="184"/>
        <v>0</v>
      </c>
      <c r="O1578" s="8" t="s">
        <v>20</v>
      </c>
      <c r="P1578" s="8"/>
      <c r="Q1578" s="8" t="s">
        <v>21</v>
      </c>
      <c r="R1578" s="8" t="s">
        <v>21</v>
      </c>
      <c r="S1578" s="8" t="s">
        <v>21</v>
      </c>
      <c r="T1578" s="8" t="s">
        <v>21</v>
      </c>
      <c r="U1578" s="6">
        <f t="shared" si="185"/>
        <v>892.75800000000004</v>
      </c>
      <c r="V1578" s="6">
        <f t="shared" si="188"/>
        <v>892.75800000000004</v>
      </c>
    </row>
    <row r="1579" spans="1:22" x14ac:dyDescent="0.35">
      <c r="A1579" s="6" t="s">
        <v>1751</v>
      </c>
      <c r="B1579" s="6" t="s">
        <v>1728</v>
      </c>
      <c r="C1579" s="6" t="s">
        <v>1729</v>
      </c>
      <c r="D1579" s="6">
        <f t="shared" si="187"/>
        <v>0.5</v>
      </c>
      <c r="E1579" s="6" t="s">
        <v>19</v>
      </c>
      <c r="F1579" s="6" t="str">
        <f>MID(A1579,19,1)</f>
        <v>N</v>
      </c>
      <c r="G1579" s="6">
        <v>-23.068754186203567</v>
      </c>
      <c r="H1579" s="6">
        <v>-47.032079066802872</v>
      </c>
      <c r="I1579" s="9">
        <v>575.55999999999995</v>
      </c>
      <c r="K1579" s="6">
        <v>5.45</v>
      </c>
      <c r="L1579" s="6">
        <v>40</v>
      </c>
      <c r="N1579" s="1">
        <f t="shared" si="184"/>
        <v>0</v>
      </c>
      <c r="O1579" s="8" t="s">
        <v>20</v>
      </c>
      <c r="P1579" s="8"/>
      <c r="Q1579" s="8" t="s">
        <v>21</v>
      </c>
      <c r="R1579" s="8" t="s">
        <v>21</v>
      </c>
      <c r="S1579" s="8" t="s">
        <v>21</v>
      </c>
      <c r="T1579" s="8" t="s">
        <v>21</v>
      </c>
      <c r="U1579" s="6">
        <f t="shared" si="185"/>
        <v>230.22399999999999</v>
      </c>
      <c r="V1579" s="6">
        <f t="shared" si="188"/>
        <v>230.22399999999999</v>
      </c>
    </row>
    <row r="1580" spans="1:22" hidden="1" x14ac:dyDescent="0.35">
      <c r="A1580" s="6" t="s">
        <v>1752</v>
      </c>
      <c r="B1580" s="6" t="s">
        <v>1728</v>
      </c>
      <c r="C1580" s="6" t="s">
        <v>1729</v>
      </c>
      <c r="D1580" s="6">
        <f t="shared" si="187"/>
        <v>0.5</v>
      </c>
      <c r="E1580" s="6" t="s">
        <v>19</v>
      </c>
      <c r="F1580" s="6" t="str">
        <f>MID(A1580,19,1)</f>
        <v>S</v>
      </c>
      <c r="G1580" s="6">
        <v>-23.06107820849277</v>
      </c>
      <c r="H1580" s="6">
        <v>-46.994970152842377</v>
      </c>
      <c r="I1580" s="9">
        <v>3185.56</v>
      </c>
      <c r="K1580" s="6">
        <v>5.56</v>
      </c>
      <c r="L1580" s="6">
        <v>0</v>
      </c>
      <c r="N1580" s="1">
        <f t="shared" si="184"/>
        <v>0</v>
      </c>
      <c r="O1580" s="8"/>
      <c r="P1580" s="8"/>
      <c r="Q1580" s="8" t="s">
        <v>21</v>
      </c>
      <c r="R1580" s="8" t="s">
        <v>21</v>
      </c>
      <c r="S1580" s="8" t="s">
        <v>21</v>
      </c>
      <c r="T1580" s="8" t="s">
        <v>21</v>
      </c>
      <c r="U1580" s="6">
        <f t="shared" si="185"/>
        <v>0</v>
      </c>
      <c r="V1580" s="6">
        <f t="shared" si="188"/>
        <v>0</v>
      </c>
    </row>
    <row r="1581" spans="1:22" x14ac:dyDescent="0.35">
      <c r="A1581" s="6" t="s">
        <v>1753</v>
      </c>
      <c r="B1581" s="6" t="s">
        <v>1728</v>
      </c>
      <c r="C1581" s="6" t="s">
        <v>1729</v>
      </c>
      <c r="D1581" s="6">
        <f t="shared" si="187"/>
        <v>0.5</v>
      </c>
      <c r="E1581" s="6" t="s">
        <v>19</v>
      </c>
      <c r="F1581" s="6" t="str">
        <f>MID(A1581,19,1)</f>
        <v>N</v>
      </c>
      <c r="G1581" s="6">
        <v>-23.061668974851774</v>
      </c>
      <c r="H1581" s="6">
        <v>-46.992274373643838</v>
      </c>
      <c r="I1581" s="9">
        <v>2012.05</v>
      </c>
      <c r="K1581" s="6">
        <v>5.27</v>
      </c>
      <c r="L1581" s="6">
        <v>40</v>
      </c>
      <c r="N1581" s="1">
        <f t="shared" si="184"/>
        <v>0</v>
      </c>
      <c r="O1581" s="8" t="s">
        <v>20</v>
      </c>
      <c r="P1581" s="8"/>
      <c r="Q1581" s="8" t="s">
        <v>21</v>
      </c>
      <c r="R1581" s="8" t="s">
        <v>21</v>
      </c>
      <c r="S1581" s="8" t="s">
        <v>21</v>
      </c>
      <c r="T1581" s="8" t="s">
        <v>21</v>
      </c>
      <c r="U1581" s="6">
        <f t="shared" si="185"/>
        <v>804.82</v>
      </c>
      <c r="V1581" s="6">
        <f t="shared" si="188"/>
        <v>804.82</v>
      </c>
    </row>
    <row r="1582" spans="1:22" hidden="1" x14ac:dyDescent="0.35">
      <c r="A1582" s="6" t="s">
        <v>1754</v>
      </c>
      <c r="B1582" s="6" t="s">
        <v>1728</v>
      </c>
      <c r="C1582" s="6" t="s">
        <v>1729</v>
      </c>
      <c r="D1582" s="6">
        <f t="shared" si="187"/>
        <v>0.5</v>
      </c>
      <c r="E1582" s="6" t="s">
        <v>19</v>
      </c>
      <c r="F1582" s="6" t="str">
        <f>MID(A1582,19,1)</f>
        <v>S</v>
      </c>
      <c r="G1582" s="6">
        <v>-23.060366413272671</v>
      </c>
      <c r="H1582" s="6">
        <v>-46.994798143961852</v>
      </c>
      <c r="I1582" s="9">
        <v>773.4</v>
      </c>
      <c r="K1582" s="6">
        <v>3.79</v>
      </c>
      <c r="L1582" s="6">
        <v>0</v>
      </c>
      <c r="N1582" s="1">
        <f t="shared" si="184"/>
        <v>0</v>
      </c>
      <c r="O1582" s="8"/>
      <c r="P1582" s="8"/>
      <c r="Q1582" s="8" t="s">
        <v>21</v>
      </c>
      <c r="R1582" s="8" t="s">
        <v>21</v>
      </c>
      <c r="S1582" s="8" t="s">
        <v>21</v>
      </c>
      <c r="T1582" s="8" t="s">
        <v>21</v>
      </c>
      <c r="U1582" s="6">
        <f t="shared" si="185"/>
        <v>0</v>
      </c>
      <c r="V1582" s="6">
        <f t="shared" si="188"/>
        <v>0</v>
      </c>
    </row>
    <row r="1583" spans="1:22" x14ac:dyDescent="0.35">
      <c r="A1583" s="6" t="s">
        <v>1755</v>
      </c>
      <c r="B1583" s="6" t="s">
        <v>1728</v>
      </c>
      <c r="C1583" s="6" t="s">
        <v>1729</v>
      </c>
      <c r="D1583" s="6">
        <f t="shared" si="187"/>
        <v>0.5</v>
      </c>
      <c r="E1583" s="6" t="s">
        <v>19</v>
      </c>
      <c r="F1583" s="6" t="str">
        <f>MID(A1583,19,1)</f>
        <v>N</v>
      </c>
      <c r="G1583" s="6">
        <v>-23.058952592240814</v>
      </c>
      <c r="H1583" s="6">
        <v>-46.995313816288601</v>
      </c>
      <c r="I1583" s="9">
        <v>1634.96</v>
      </c>
      <c r="K1583" s="6">
        <v>4.28</v>
      </c>
      <c r="L1583" s="6">
        <v>60</v>
      </c>
      <c r="N1583" s="1">
        <f t="shared" si="184"/>
        <v>0</v>
      </c>
      <c r="O1583" s="8" t="s">
        <v>20</v>
      </c>
      <c r="P1583" s="8"/>
      <c r="Q1583" s="8" t="s">
        <v>21</v>
      </c>
      <c r="R1583" s="8" t="s">
        <v>21</v>
      </c>
      <c r="S1583" s="8" t="s">
        <v>21</v>
      </c>
      <c r="T1583" s="8" t="s">
        <v>21</v>
      </c>
      <c r="U1583" s="6">
        <f t="shared" si="185"/>
        <v>980.976</v>
      </c>
      <c r="V1583" s="6">
        <f t="shared" si="188"/>
        <v>980.976</v>
      </c>
    </row>
    <row r="1584" spans="1:22" hidden="1" x14ac:dyDescent="0.35">
      <c r="A1584" s="6" t="s">
        <v>1756</v>
      </c>
      <c r="B1584" s="6" t="s">
        <v>1757</v>
      </c>
      <c r="C1584" s="6" t="s">
        <v>1758</v>
      </c>
      <c r="D1584" s="6">
        <f t="shared" si="187"/>
        <v>0.5</v>
      </c>
      <c r="E1584" s="6" t="s">
        <v>19</v>
      </c>
      <c r="F1584" s="6" t="str">
        <f>MID(A1584,19,1)</f>
        <v>S</v>
      </c>
      <c r="G1584" s="6">
        <v>-23.062237162634215</v>
      </c>
      <c r="H1584" s="6">
        <v>-47.039965034945972</v>
      </c>
      <c r="I1584" s="9">
        <v>1548.5</v>
      </c>
      <c r="K1584" s="6">
        <v>12.06</v>
      </c>
      <c r="L1584" s="6">
        <v>60</v>
      </c>
      <c r="N1584" s="1">
        <f t="shared" si="184"/>
        <v>0</v>
      </c>
      <c r="O1584" s="8" t="s">
        <v>20</v>
      </c>
      <c r="P1584" s="8"/>
      <c r="Q1584" s="8" t="s">
        <v>21</v>
      </c>
      <c r="R1584" s="8" t="s">
        <v>21</v>
      </c>
      <c r="S1584" s="8" t="s">
        <v>21</v>
      </c>
      <c r="T1584" s="8" t="s">
        <v>21</v>
      </c>
      <c r="U1584" s="6">
        <f t="shared" si="185"/>
        <v>929.09999999999991</v>
      </c>
      <c r="V1584" s="6">
        <f t="shared" si="188"/>
        <v>929.09999999999991</v>
      </c>
    </row>
    <row r="1585" spans="1:22" x14ac:dyDescent="0.35">
      <c r="A1585" s="6" t="s">
        <v>1759</v>
      </c>
      <c r="B1585" s="6" t="s">
        <v>1757</v>
      </c>
      <c r="C1585" s="6" t="s">
        <v>1758</v>
      </c>
      <c r="D1585" s="6">
        <f t="shared" si="187"/>
        <v>0.5</v>
      </c>
      <c r="E1585" s="6" t="s">
        <v>19</v>
      </c>
      <c r="F1585" s="6" t="str">
        <f>MID(A1585,19,1)</f>
        <v>N</v>
      </c>
      <c r="G1585" s="6">
        <v>-23.061806161098488</v>
      </c>
      <c r="H1585" s="6">
        <v>-47.039495699064403</v>
      </c>
      <c r="I1585" s="9">
        <v>1527.71</v>
      </c>
      <c r="K1585" s="6">
        <v>3.82</v>
      </c>
      <c r="L1585" s="6">
        <v>40</v>
      </c>
      <c r="N1585" s="1">
        <f t="shared" si="184"/>
        <v>0</v>
      </c>
      <c r="O1585" s="8" t="s">
        <v>20</v>
      </c>
      <c r="P1585" s="8"/>
      <c r="Q1585" s="8" t="s">
        <v>21</v>
      </c>
      <c r="R1585" s="8" t="s">
        <v>21</v>
      </c>
      <c r="S1585" s="8" t="s">
        <v>21</v>
      </c>
      <c r="T1585" s="8" t="s">
        <v>21</v>
      </c>
      <c r="U1585" s="6">
        <f t="shared" si="185"/>
        <v>611.08400000000006</v>
      </c>
      <c r="V1585" s="6">
        <f t="shared" si="188"/>
        <v>611.08400000000006</v>
      </c>
    </row>
    <row r="1586" spans="1:22" x14ac:dyDescent="0.35">
      <c r="A1586" s="6" t="s">
        <v>1760</v>
      </c>
      <c r="B1586" s="6" t="s">
        <v>1757</v>
      </c>
      <c r="C1586" s="6" t="s">
        <v>1758</v>
      </c>
      <c r="D1586" s="6">
        <f t="shared" si="187"/>
        <v>0.5</v>
      </c>
      <c r="E1586" s="6" t="s">
        <v>19</v>
      </c>
      <c r="F1586" s="6" t="str">
        <f>MID(A1586,19,1)</f>
        <v>N</v>
      </c>
      <c r="G1586" s="6">
        <v>-23.06035042145222</v>
      </c>
      <c r="H1586" s="6">
        <v>-47.041064661659611</v>
      </c>
      <c r="I1586" s="9">
        <v>294.06</v>
      </c>
      <c r="K1586" s="6">
        <v>1.93</v>
      </c>
      <c r="L1586" s="6">
        <v>0</v>
      </c>
      <c r="N1586" s="1">
        <f t="shared" si="184"/>
        <v>0</v>
      </c>
      <c r="O1586" s="8"/>
      <c r="P1586" s="8"/>
      <c r="Q1586" s="8" t="s">
        <v>21</v>
      </c>
      <c r="R1586" s="8" t="s">
        <v>21</v>
      </c>
      <c r="S1586" s="8" t="s">
        <v>21</v>
      </c>
      <c r="T1586" s="8" t="s">
        <v>21</v>
      </c>
      <c r="U1586" s="6">
        <f t="shared" si="185"/>
        <v>0</v>
      </c>
      <c r="V1586" s="6">
        <f t="shared" si="188"/>
        <v>0</v>
      </c>
    </row>
    <row r="1587" spans="1:22" x14ac:dyDescent="0.35">
      <c r="A1587" s="6" t="s">
        <v>1761</v>
      </c>
      <c r="B1587" s="6" t="s">
        <v>1757</v>
      </c>
      <c r="C1587" s="6" t="s">
        <v>1758</v>
      </c>
      <c r="D1587" s="6">
        <f t="shared" si="187"/>
        <v>0.5</v>
      </c>
      <c r="E1587" s="6" t="s">
        <v>19</v>
      </c>
      <c r="F1587" s="6" t="str">
        <f>MID(A1587,19,1)</f>
        <v>N</v>
      </c>
      <c r="G1587" s="6">
        <v>-23.058208544735365</v>
      </c>
      <c r="H1587" s="6">
        <v>-47.043043400555824</v>
      </c>
      <c r="I1587" s="9">
        <v>1859.01</v>
      </c>
      <c r="K1587" s="6">
        <v>3.78</v>
      </c>
      <c r="L1587" s="6">
        <v>0</v>
      </c>
      <c r="N1587" s="1">
        <f t="shared" si="184"/>
        <v>0</v>
      </c>
      <c r="O1587" s="8"/>
      <c r="P1587" s="8"/>
      <c r="Q1587" s="8" t="s">
        <v>21</v>
      </c>
      <c r="R1587" s="8" t="s">
        <v>21</v>
      </c>
      <c r="S1587" s="8" t="s">
        <v>21</v>
      </c>
      <c r="T1587" s="8" t="s">
        <v>21</v>
      </c>
      <c r="U1587" s="6">
        <f t="shared" si="185"/>
        <v>0</v>
      </c>
      <c r="V1587" s="6">
        <f t="shared" si="188"/>
        <v>0</v>
      </c>
    </row>
    <row r="1588" spans="1:22" hidden="1" x14ac:dyDescent="0.35">
      <c r="A1588" s="6" t="s">
        <v>1762</v>
      </c>
      <c r="B1588" s="6" t="s">
        <v>1757</v>
      </c>
      <c r="C1588" s="6" t="s">
        <v>1758</v>
      </c>
      <c r="D1588" s="6">
        <f t="shared" si="187"/>
        <v>0.5</v>
      </c>
      <c r="E1588" s="6" t="s">
        <v>19</v>
      </c>
      <c r="F1588" s="6" t="str">
        <f>MID(A1588,19,1)</f>
        <v>S</v>
      </c>
      <c r="G1588" s="6">
        <v>-23.059062247496414</v>
      </c>
      <c r="H1588" s="6">
        <v>-47.04407332976588</v>
      </c>
      <c r="I1588" s="9">
        <v>1874.06</v>
      </c>
      <c r="K1588" s="6">
        <v>2.6</v>
      </c>
      <c r="L1588" s="6">
        <v>0</v>
      </c>
      <c r="N1588" s="1">
        <f t="shared" si="184"/>
        <v>0</v>
      </c>
      <c r="O1588" s="8"/>
      <c r="P1588" s="8"/>
      <c r="Q1588" s="8" t="s">
        <v>21</v>
      </c>
      <c r="R1588" s="8" t="s">
        <v>21</v>
      </c>
      <c r="S1588" s="8" t="s">
        <v>21</v>
      </c>
      <c r="T1588" s="8" t="s">
        <v>21</v>
      </c>
      <c r="U1588" s="6">
        <f t="shared" si="185"/>
        <v>0</v>
      </c>
      <c r="V1588" s="6">
        <f t="shared" si="188"/>
        <v>0</v>
      </c>
    </row>
    <row r="1589" spans="1:22" x14ac:dyDescent="0.35">
      <c r="A1589" s="6" t="s">
        <v>1763</v>
      </c>
      <c r="B1589" s="6" t="s">
        <v>1757</v>
      </c>
      <c r="C1589" s="6" t="s">
        <v>1758</v>
      </c>
      <c r="D1589" s="6">
        <f t="shared" si="187"/>
        <v>0.5</v>
      </c>
      <c r="E1589" s="6" t="s">
        <v>19</v>
      </c>
      <c r="F1589" s="6" t="str">
        <f>MID(A1589,19,1)</f>
        <v>N</v>
      </c>
      <c r="G1589" s="6">
        <v>-23.049208592115523</v>
      </c>
      <c r="H1589" s="6">
        <v>-47.001751710425253</v>
      </c>
      <c r="I1589" s="9">
        <v>171.53</v>
      </c>
      <c r="K1589" s="6">
        <v>5.22</v>
      </c>
      <c r="L1589" s="6">
        <v>70</v>
      </c>
      <c r="N1589" s="1">
        <f t="shared" si="184"/>
        <v>0</v>
      </c>
      <c r="O1589" s="8" t="s">
        <v>20</v>
      </c>
      <c r="P1589" s="8"/>
      <c r="Q1589" s="8" t="s">
        <v>21</v>
      </c>
      <c r="R1589" s="8" t="s">
        <v>21</v>
      </c>
      <c r="S1589" s="8" t="s">
        <v>21</v>
      </c>
      <c r="T1589" s="8" t="s">
        <v>21</v>
      </c>
      <c r="U1589" s="6">
        <f t="shared" si="185"/>
        <v>120.071</v>
      </c>
      <c r="V1589" s="6">
        <f t="shared" si="188"/>
        <v>120.071</v>
      </c>
    </row>
    <row r="1590" spans="1:22" x14ac:dyDescent="0.35">
      <c r="A1590" s="6" t="s">
        <v>1764</v>
      </c>
      <c r="B1590" s="6" t="s">
        <v>1757</v>
      </c>
      <c r="C1590" s="6" t="s">
        <v>1758</v>
      </c>
      <c r="D1590" s="6">
        <f t="shared" si="187"/>
        <v>0.5</v>
      </c>
      <c r="E1590" s="6" t="s">
        <v>19</v>
      </c>
      <c r="F1590" s="6" t="str">
        <f>MID(A1590,19,1)</f>
        <v>N</v>
      </c>
      <c r="G1590" s="6">
        <v>-23.051107423048578</v>
      </c>
      <c r="H1590" s="6">
        <v>-47.000716681747463</v>
      </c>
      <c r="I1590" s="9">
        <v>1941.17</v>
      </c>
      <c r="K1590" s="6">
        <v>3.23</v>
      </c>
      <c r="L1590" s="6">
        <v>70</v>
      </c>
      <c r="N1590" s="1">
        <f t="shared" si="184"/>
        <v>0</v>
      </c>
      <c r="O1590" s="8" t="s">
        <v>20</v>
      </c>
      <c r="P1590" s="8"/>
      <c r="Q1590" s="8" t="s">
        <v>21</v>
      </c>
      <c r="R1590" s="8" t="s">
        <v>21</v>
      </c>
      <c r="S1590" s="8" t="s">
        <v>21</v>
      </c>
      <c r="T1590" s="8" t="s">
        <v>21</v>
      </c>
      <c r="U1590" s="6">
        <f t="shared" si="185"/>
        <v>1358.819</v>
      </c>
      <c r="V1590" s="6">
        <f t="shared" si="188"/>
        <v>1358.819</v>
      </c>
    </row>
    <row r="1591" spans="1:22" hidden="1" x14ac:dyDescent="0.35">
      <c r="A1591" s="6" t="s">
        <v>1765</v>
      </c>
      <c r="B1591" s="6" t="s">
        <v>1757</v>
      </c>
      <c r="C1591" s="6" t="s">
        <v>1758</v>
      </c>
      <c r="D1591" s="6">
        <f t="shared" si="187"/>
        <v>0.5</v>
      </c>
      <c r="E1591" s="6" t="s">
        <v>19</v>
      </c>
      <c r="F1591" s="6" t="str">
        <f>MID(A1591,19,1)</f>
        <v>S</v>
      </c>
      <c r="G1591" s="6">
        <v>-23.050313647387672</v>
      </c>
      <c r="H1591" s="6">
        <v>-47.00157520788273</v>
      </c>
      <c r="I1591" s="9">
        <v>1001.39</v>
      </c>
      <c r="K1591" s="6">
        <v>7.6</v>
      </c>
      <c r="L1591" s="6">
        <v>50</v>
      </c>
      <c r="N1591" s="1">
        <f t="shared" si="184"/>
        <v>0</v>
      </c>
      <c r="O1591" s="8" t="s">
        <v>20</v>
      </c>
      <c r="P1591" s="8"/>
      <c r="Q1591" s="8" t="s">
        <v>21</v>
      </c>
      <c r="R1591" s="8" t="s">
        <v>21</v>
      </c>
      <c r="S1591" s="8" t="s">
        <v>21</v>
      </c>
      <c r="T1591" s="8" t="s">
        <v>21</v>
      </c>
      <c r="U1591" s="6">
        <f t="shared" si="185"/>
        <v>500.69499999999999</v>
      </c>
      <c r="V1591" s="6">
        <f t="shared" si="188"/>
        <v>500.69499999999999</v>
      </c>
    </row>
    <row r="1592" spans="1:22" hidden="1" x14ac:dyDescent="0.35">
      <c r="A1592" s="6" t="s">
        <v>1766</v>
      </c>
      <c r="B1592" s="6" t="s">
        <v>1757</v>
      </c>
      <c r="C1592" s="6" t="s">
        <v>1758</v>
      </c>
      <c r="D1592" s="6">
        <f t="shared" si="187"/>
        <v>0.5</v>
      </c>
      <c r="E1592" s="6" t="s">
        <v>19</v>
      </c>
      <c r="F1592" s="6" t="str">
        <f>MID(A1592,19,1)</f>
        <v>S</v>
      </c>
      <c r="G1592" s="6">
        <v>-23.052092737433593</v>
      </c>
      <c r="H1592" s="6">
        <v>-47.00045552999476</v>
      </c>
      <c r="I1592" s="9">
        <v>1041.56</v>
      </c>
      <c r="K1592" s="6">
        <v>2.54</v>
      </c>
      <c r="L1592" s="6">
        <v>50</v>
      </c>
      <c r="N1592" s="1">
        <f t="shared" si="184"/>
        <v>0</v>
      </c>
      <c r="O1592" s="8" t="s">
        <v>20</v>
      </c>
      <c r="P1592" s="8"/>
      <c r="Q1592" s="8" t="s">
        <v>21</v>
      </c>
      <c r="R1592" s="8" t="s">
        <v>21</v>
      </c>
      <c r="S1592" s="8" t="s">
        <v>21</v>
      </c>
      <c r="T1592" s="8" t="s">
        <v>21</v>
      </c>
      <c r="U1592" s="6">
        <f t="shared" si="185"/>
        <v>520.78</v>
      </c>
      <c r="V1592" s="6">
        <f t="shared" si="188"/>
        <v>520.78</v>
      </c>
    </row>
    <row r="1593" spans="1:22" hidden="1" x14ac:dyDescent="0.35">
      <c r="A1593" s="6" t="s">
        <v>1767</v>
      </c>
      <c r="B1593" s="6" t="s">
        <v>1757</v>
      </c>
      <c r="C1593" s="6" t="s">
        <v>1758</v>
      </c>
      <c r="D1593" s="6">
        <f t="shared" si="187"/>
        <v>0.5</v>
      </c>
      <c r="E1593" s="6" t="s">
        <v>19</v>
      </c>
      <c r="F1593" s="6" t="str">
        <f>MID(A1593,19,1)</f>
        <v>S</v>
      </c>
      <c r="G1593" s="6">
        <v>-23.055388381441801</v>
      </c>
      <c r="H1593" s="6">
        <v>-46.998281888580131</v>
      </c>
      <c r="I1593" s="9">
        <v>2390</v>
      </c>
      <c r="K1593" s="6">
        <v>7.42</v>
      </c>
      <c r="L1593" s="6">
        <v>0</v>
      </c>
      <c r="N1593" s="1">
        <f t="shared" si="184"/>
        <v>0</v>
      </c>
      <c r="O1593" s="8"/>
      <c r="P1593" s="8"/>
      <c r="Q1593" s="8" t="s">
        <v>21</v>
      </c>
      <c r="R1593" s="8" t="s">
        <v>21</v>
      </c>
      <c r="S1593" s="8" t="s">
        <v>21</v>
      </c>
      <c r="T1593" s="8" t="s">
        <v>21</v>
      </c>
      <c r="U1593" s="6">
        <f t="shared" si="185"/>
        <v>0</v>
      </c>
      <c r="V1593" s="6">
        <f t="shared" si="188"/>
        <v>0</v>
      </c>
    </row>
    <row r="1594" spans="1:22" x14ac:dyDescent="0.35">
      <c r="A1594" s="6" t="s">
        <v>1768</v>
      </c>
      <c r="B1594" s="6" t="s">
        <v>1757</v>
      </c>
      <c r="C1594" s="6" t="s">
        <v>1758</v>
      </c>
      <c r="D1594" s="6">
        <f t="shared" si="187"/>
        <v>0.5</v>
      </c>
      <c r="E1594" s="6" t="s">
        <v>19</v>
      </c>
      <c r="F1594" s="6" t="str">
        <f>MID(A1594,19,1)</f>
        <v>N</v>
      </c>
      <c r="G1594" s="6">
        <v>-23.049357604169373</v>
      </c>
      <c r="H1594" s="6">
        <v>-47.001827964209511</v>
      </c>
      <c r="I1594" s="9">
        <v>56.05</v>
      </c>
      <c r="K1594" s="6">
        <v>7.2</v>
      </c>
      <c r="L1594" s="6">
        <v>70</v>
      </c>
      <c r="N1594" s="1">
        <f t="shared" si="184"/>
        <v>0</v>
      </c>
      <c r="O1594" s="8" t="s">
        <v>20</v>
      </c>
      <c r="P1594" s="8"/>
      <c r="Q1594" s="8" t="s">
        <v>21</v>
      </c>
      <c r="R1594" s="8" t="s">
        <v>21</v>
      </c>
      <c r="S1594" s="8" t="s">
        <v>21</v>
      </c>
      <c r="T1594" s="8" t="s">
        <v>21</v>
      </c>
      <c r="U1594" s="6">
        <f t="shared" si="185"/>
        <v>39.234999999999992</v>
      </c>
      <c r="V1594" s="6">
        <f t="shared" si="188"/>
        <v>39.234999999999992</v>
      </c>
    </row>
    <row r="1595" spans="1:22" hidden="1" x14ac:dyDescent="0.35">
      <c r="A1595" s="6" t="s">
        <v>1769</v>
      </c>
      <c r="B1595" s="6" t="s">
        <v>1757</v>
      </c>
      <c r="C1595" s="6" t="s">
        <v>1758</v>
      </c>
      <c r="D1595" s="6">
        <f t="shared" si="187"/>
        <v>0.5</v>
      </c>
      <c r="E1595" s="6" t="s">
        <v>23</v>
      </c>
      <c r="F1595" s="6" t="str">
        <f>MID(A1595,19,1)</f>
        <v>C</v>
      </c>
      <c r="G1595" s="6">
        <v>-23.06202061313514</v>
      </c>
      <c r="H1595" s="6">
        <v>-47.039724582472225</v>
      </c>
      <c r="I1595" s="9">
        <v>11747.8</v>
      </c>
      <c r="J1595" s="9">
        <f t="shared" ref="J1595:J1596" si="190">I1595/500</f>
        <v>23.4956</v>
      </c>
      <c r="K1595" s="6">
        <v>6.88</v>
      </c>
      <c r="L1595" s="6">
        <v>80</v>
      </c>
      <c r="N1595" s="1">
        <f t="shared" si="184"/>
        <v>0</v>
      </c>
      <c r="O1595" s="8" t="s">
        <v>185</v>
      </c>
      <c r="P1595" s="8"/>
      <c r="Q1595" s="8" t="s">
        <v>21</v>
      </c>
      <c r="R1595" s="8" t="s">
        <v>21</v>
      </c>
      <c r="S1595" s="8" t="s">
        <v>21</v>
      </c>
      <c r="T1595" s="8" t="s">
        <v>21</v>
      </c>
      <c r="U1595" s="6">
        <f t="shared" si="185"/>
        <v>9398.24</v>
      </c>
      <c r="V1595" s="6">
        <f t="shared" si="188"/>
        <v>9398.24</v>
      </c>
    </row>
    <row r="1596" spans="1:22" hidden="1" x14ac:dyDescent="0.35">
      <c r="A1596" s="6" t="s">
        <v>1770</v>
      </c>
      <c r="B1596" s="6" t="s">
        <v>1757</v>
      </c>
      <c r="C1596" s="6" t="s">
        <v>1758</v>
      </c>
      <c r="D1596" s="6">
        <f t="shared" si="187"/>
        <v>0.5</v>
      </c>
      <c r="E1596" s="6" t="s">
        <v>23</v>
      </c>
      <c r="F1596" s="6" t="str">
        <f>MID(A1596,19,1)</f>
        <v>C</v>
      </c>
      <c r="G1596" s="6">
        <v>-23.060488873599834</v>
      </c>
      <c r="H1596" s="6">
        <v>-47.041362532200345</v>
      </c>
      <c r="I1596" s="9">
        <v>2729.33</v>
      </c>
      <c r="J1596" s="9">
        <f t="shared" si="190"/>
        <v>5.4586600000000001</v>
      </c>
      <c r="K1596" s="6">
        <v>4.88</v>
      </c>
      <c r="L1596" s="6">
        <v>0</v>
      </c>
      <c r="N1596" s="1">
        <f t="shared" si="184"/>
        <v>0</v>
      </c>
      <c r="O1596" s="8"/>
      <c r="P1596" s="8"/>
      <c r="Q1596" s="8" t="s">
        <v>21</v>
      </c>
      <c r="R1596" s="8" t="s">
        <v>21</v>
      </c>
      <c r="S1596" s="8" t="s">
        <v>21</v>
      </c>
      <c r="T1596" s="8" t="s">
        <v>21</v>
      </c>
      <c r="U1596" s="6">
        <f t="shared" si="185"/>
        <v>0</v>
      </c>
      <c r="V1596" s="6">
        <f t="shared" si="188"/>
        <v>0</v>
      </c>
    </row>
    <row r="1597" spans="1:22" hidden="1" x14ac:dyDescent="0.35">
      <c r="A1597" s="6" t="s">
        <v>1771</v>
      </c>
      <c r="B1597" s="6" t="s">
        <v>1757</v>
      </c>
      <c r="C1597" s="6" t="s">
        <v>1758</v>
      </c>
      <c r="D1597" s="6">
        <f t="shared" si="187"/>
        <v>0.5</v>
      </c>
      <c r="E1597" s="6" t="s">
        <v>19</v>
      </c>
      <c r="F1597" s="6" t="str">
        <f>MID(A1597,19,1)</f>
        <v>S</v>
      </c>
      <c r="G1597" s="6">
        <v>-23.051199481703485</v>
      </c>
      <c r="H1597" s="6">
        <v>-47.00105276945704</v>
      </c>
      <c r="I1597" s="9">
        <v>249.59</v>
      </c>
      <c r="K1597" s="6">
        <v>4.51</v>
      </c>
      <c r="L1597" s="6">
        <v>50</v>
      </c>
      <c r="N1597" s="1">
        <f t="shared" si="184"/>
        <v>0</v>
      </c>
      <c r="O1597" s="8" t="s">
        <v>20</v>
      </c>
      <c r="P1597" s="8"/>
      <c r="Q1597" s="8" t="s">
        <v>21</v>
      </c>
      <c r="R1597" s="8" t="s">
        <v>21</v>
      </c>
      <c r="S1597" s="8" t="s">
        <v>21</v>
      </c>
      <c r="T1597" s="8" t="s">
        <v>21</v>
      </c>
      <c r="U1597" s="6">
        <f t="shared" si="185"/>
        <v>124.795</v>
      </c>
      <c r="V1597" s="6">
        <f t="shared" si="188"/>
        <v>124.795</v>
      </c>
    </row>
    <row r="1598" spans="1:22" hidden="1" x14ac:dyDescent="0.35">
      <c r="A1598" s="6" t="s">
        <v>1772</v>
      </c>
      <c r="B1598" s="6" t="s">
        <v>1757</v>
      </c>
      <c r="C1598" s="6" t="s">
        <v>1758</v>
      </c>
      <c r="D1598" s="6">
        <f t="shared" si="187"/>
        <v>0.5</v>
      </c>
      <c r="E1598" s="6" t="s">
        <v>19</v>
      </c>
      <c r="F1598" s="6" t="str">
        <f>MID(A1598,19,1)</f>
        <v>S</v>
      </c>
      <c r="G1598" s="6">
        <v>-23.060819281220645</v>
      </c>
      <c r="H1598" s="6">
        <v>-47.041599219995831</v>
      </c>
      <c r="I1598" s="9">
        <v>288.77</v>
      </c>
      <c r="K1598" s="6">
        <v>11.54</v>
      </c>
      <c r="L1598" s="6">
        <v>0</v>
      </c>
      <c r="N1598" s="1">
        <f t="shared" si="184"/>
        <v>0</v>
      </c>
      <c r="O1598" s="8"/>
      <c r="P1598" s="8"/>
      <c r="Q1598" s="8" t="s">
        <v>21</v>
      </c>
      <c r="R1598" s="8" t="s">
        <v>21</v>
      </c>
      <c r="S1598" s="8" t="s">
        <v>21</v>
      </c>
      <c r="T1598" s="8" t="s">
        <v>21</v>
      </c>
      <c r="U1598" s="6">
        <f t="shared" si="185"/>
        <v>0</v>
      </c>
      <c r="V1598" s="6">
        <f t="shared" si="188"/>
        <v>0</v>
      </c>
    </row>
    <row r="1599" spans="1:22" x14ac:dyDescent="0.35">
      <c r="A1599" s="6" t="s">
        <v>1773</v>
      </c>
      <c r="B1599" s="6" t="s">
        <v>1757</v>
      </c>
      <c r="C1599" s="6" t="s">
        <v>1758</v>
      </c>
      <c r="D1599" s="6">
        <f t="shared" si="187"/>
        <v>0.5</v>
      </c>
      <c r="E1599" s="6" t="s">
        <v>19</v>
      </c>
      <c r="F1599" s="6" t="str">
        <f>MID(A1599,19,1)</f>
        <v>N</v>
      </c>
      <c r="G1599" s="6">
        <v>-23.055254695654998</v>
      </c>
      <c r="H1599" s="6">
        <v>-46.998036323310423</v>
      </c>
      <c r="I1599" s="9">
        <v>2346.9699999999998</v>
      </c>
      <c r="K1599" s="6">
        <v>7.72</v>
      </c>
      <c r="L1599" s="6">
        <v>60</v>
      </c>
      <c r="N1599" s="1">
        <f t="shared" si="184"/>
        <v>0</v>
      </c>
      <c r="O1599" s="8" t="s">
        <v>20</v>
      </c>
      <c r="P1599" s="8"/>
      <c r="Q1599" s="8" t="s">
        <v>21</v>
      </c>
      <c r="R1599" s="8" t="s">
        <v>21</v>
      </c>
      <c r="S1599" s="8" t="s">
        <v>21</v>
      </c>
      <c r="T1599" s="8" t="s">
        <v>21</v>
      </c>
      <c r="U1599" s="6">
        <f t="shared" si="185"/>
        <v>1408.1819999999998</v>
      </c>
      <c r="V1599" s="6">
        <f t="shared" si="188"/>
        <v>1408.1819999999998</v>
      </c>
    </row>
    <row r="1600" spans="1:22" hidden="1" x14ac:dyDescent="0.35">
      <c r="A1600" s="6" t="s">
        <v>1774</v>
      </c>
      <c r="B1600" s="6" t="s">
        <v>1757</v>
      </c>
      <c r="C1600" s="6" t="s">
        <v>1758</v>
      </c>
      <c r="D1600" s="6">
        <f t="shared" si="187"/>
        <v>0.5</v>
      </c>
      <c r="E1600" s="6" t="s">
        <v>23</v>
      </c>
      <c r="F1600" s="6" t="str">
        <f>MID(A1600,19,1)</f>
        <v>C</v>
      </c>
      <c r="G1600" s="6">
        <v>-23.059441801075671</v>
      </c>
      <c r="H1600" s="6">
        <v>-47.042554949561492</v>
      </c>
      <c r="I1600" s="9">
        <v>5476.02</v>
      </c>
      <c r="J1600" s="9">
        <f>I1600/500</f>
        <v>10.95204</v>
      </c>
      <c r="K1600" s="6">
        <v>2.78</v>
      </c>
      <c r="L1600" s="6">
        <v>0</v>
      </c>
      <c r="N1600" s="1">
        <f t="shared" si="184"/>
        <v>0</v>
      </c>
      <c r="O1600" s="8"/>
      <c r="P1600" s="8"/>
      <c r="Q1600" s="8" t="s">
        <v>21</v>
      </c>
      <c r="R1600" s="8" t="s">
        <v>21</v>
      </c>
      <c r="S1600" s="8" t="s">
        <v>21</v>
      </c>
      <c r="T1600" s="8" t="s">
        <v>21</v>
      </c>
      <c r="U1600" s="6">
        <f t="shared" si="185"/>
        <v>0</v>
      </c>
      <c r="V1600" s="6">
        <f t="shared" si="188"/>
        <v>0</v>
      </c>
    </row>
    <row r="1601" spans="1:22" x14ac:dyDescent="0.35">
      <c r="A1601" s="6" t="s">
        <v>1775</v>
      </c>
      <c r="B1601" s="6" t="s">
        <v>1776</v>
      </c>
      <c r="C1601" s="6" t="s">
        <v>1777</v>
      </c>
      <c r="D1601" s="6">
        <f t="shared" si="187"/>
        <v>0.5</v>
      </c>
      <c r="E1601" s="6" t="s">
        <v>19</v>
      </c>
      <c r="F1601" s="6" t="str">
        <f>MID(A1601,19,1)</f>
        <v>N</v>
      </c>
      <c r="G1601" s="6">
        <v>-23.053692594542188</v>
      </c>
      <c r="H1601" s="6">
        <v>-47.047332358547109</v>
      </c>
      <c r="I1601" s="9">
        <v>821.89</v>
      </c>
      <c r="K1601" s="6">
        <v>3.94</v>
      </c>
      <c r="L1601" s="6">
        <v>0</v>
      </c>
      <c r="N1601" s="1">
        <f t="shared" si="184"/>
        <v>0</v>
      </c>
      <c r="O1601" s="8"/>
      <c r="P1601" s="8"/>
      <c r="Q1601" s="8" t="s">
        <v>21</v>
      </c>
      <c r="R1601" s="8" t="s">
        <v>21</v>
      </c>
      <c r="S1601" s="8" t="s">
        <v>21</v>
      </c>
      <c r="T1601" s="8" t="s">
        <v>21</v>
      </c>
      <c r="U1601" s="6">
        <f t="shared" si="185"/>
        <v>0</v>
      </c>
      <c r="V1601" s="6">
        <f t="shared" si="188"/>
        <v>0</v>
      </c>
    </row>
    <row r="1602" spans="1:22" hidden="1" x14ac:dyDescent="0.35">
      <c r="A1602" s="6" t="s">
        <v>1778</v>
      </c>
      <c r="B1602" s="6" t="s">
        <v>1776</v>
      </c>
      <c r="C1602" s="6" t="s">
        <v>1777</v>
      </c>
      <c r="D1602" s="6">
        <f t="shared" si="187"/>
        <v>0.5</v>
      </c>
      <c r="E1602" s="6" t="s">
        <v>19</v>
      </c>
      <c r="F1602" s="6" t="str">
        <f>MID(A1602,19,1)</f>
        <v>S</v>
      </c>
      <c r="G1602" s="6">
        <v>-23.057300623153409</v>
      </c>
      <c r="H1602" s="6">
        <v>-47.045075840905014</v>
      </c>
      <c r="I1602" s="9">
        <v>4.2699999999999996</v>
      </c>
      <c r="K1602" s="6">
        <v>3.62</v>
      </c>
      <c r="N1602" s="1">
        <f t="shared" ref="N1602:N1665" si="191">IF(OR(R1602="Sim",S1602="Sim",T1602="Sim"),(L1602/100)*I1602,0)</f>
        <v>0</v>
      </c>
      <c r="O1602" s="8"/>
      <c r="P1602" s="8"/>
      <c r="Q1602" s="8" t="s">
        <v>21</v>
      </c>
      <c r="R1602" s="8" t="s">
        <v>21</v>
      </c>
      <c r="S1602" s="8" t="s">
        <v>21</v>
      </c>
      <c r="T1602" s="8" t="s">
        <v>21</v>
      </c>
      <c r="U1602" s="6">
        <f t="shared" si="185"/>
        <v>0</v>
      </c>
      <c r="V1602" s="6">
        <f t="shared" si="188"/>
        <v>0</v>
      </c>
    </row>
    <row r="1603" spans="1:22" hidden="1" x14ac:dyDescent="0.35">
      <c r="A1603" s="6" t="s">
        <v>1779</v>
      </c>
      <c r="B1603" s="6" t="s">
        <v>1776</v>
      </c>
      <c r="C1603" s="6" t="s">
        <v>1777</v>
      </c>
      <c r="D1603" s="6">
        <f t="shared" si="187"/>
        <v>0.5</v>
      </c>
      <c r="E1603" s="6" t="s">
        <v>23</v>
      </c>
      <c r="F1603" s="6" t="str">
        <f>MID(A1603,19,1)</f>
        <v>C</v>
      </c>
      <c r="G1603" s="6">
        <v>-23.055707410954096</v>
      </c>
      <c r="H1603" s="6">
        <v>-47.045841533020145</v>
      </c>
      <c r="I1603" s="9">
        <v>1944.25</v>
      </c>
      <c r="J1603" s="9">
        <f t="shared" ref="J1603:J1605" si="192">I1603/500</f>
        <v>3.8885000000000001</v>
      </c>
      <c r="K1603" s="6">
        <v>4.43</v>
      </c>
      <c r="L1603" s="6">
        <v>0</v>
      </c>
      <c r="N1603" s="1">
        <f t="shared" si="191"/>
        <v>0</v>
      </c>
      <c r="O1603" s="8"/>
      <c r="P1603" s="8"/>
      <c r="Q1603" s="8" t="s">
        <v>21</v>
      </c>
      <c r="R1603" s="8" t="s">
        <v>21</v>
      </c>
      <c r="S1603" s="8" t="s">
        <v>21</v>
      </c>
      <c r="T1603" s="8" t="s">
        <v>21</v>
      </c>
      <c r="U1603" s="6">
        <f t="shared" ref="U1603:U1666" si="193">IF(N1603=0,(I1603*(L1603/100)),0)</f>
        <v>0</v>
      </c>
      <c r="V1603" s="6">
        <f t="shared" si="188"/>
        <v>0</v>
      </c>
    </row>
    <row r="1604" spans="1:22" hidden="1" x14ac:dyDescent="0.35">
      <c r="A1604" s="6" t="s">
        <v>1780</v>
      </c>
      <c r="B1604" s="6" t="s">
        <v>1776</v>
      </c>
      <c r="C1604" s="6" t="s">
        <v>1777</v>
      </c>
      <c r="D1604" s="6">
        <f t="shared" si="187"/>
        <v>0.5</v>
      </c>
      <c r="E1604" s="6" t="s">
        <v>23</v>
      </c>
      <c r="F1604" s="6" t="str">
        <f>MID(A1604,19,1)</f>
        <v>C</v>
      </c>
      <c r="G1604" s="6">
        <v>-23.052739973771853</v>
      </c>
      <c r="H1604" s="6">
        <v>-47.050622341962033</v>
      </c>
      <c r="I1604" s="9">
        <v>1608.94</v>
      </c>
      <c r="J1604" s="9">
        <f t="shared" si="192"/>
        <v>3.2178800000000001</v>
      </c>
      <c r="K1604" s="6">
        <v>3.51</v>
      </c>
      <c r="L1604" s="6">
        <v>0</v>
      </c>
      <c r="N1604" s="1">
        <f t="shared" si="191"/>
        <v>0</v>
      </c>
      <c r="O1604" s="8"/>
      <c r="P1604" s="8"/>
      <c r="Q1604" s="8" t="s">
        <v>21</v>
      </c>
      <c r="R1604" s="8" t="s">
        <v>21</v>
      </c>
      <c r="S1604" s="8" t="s">
        <v>21</v>
      </c>
      <c r="T1604" s="8" t="s">
        <v>21</v>
      </c>
      <c r="U1604" s="6">
        <f t="shared" si="193"/>
        <v>0</v>
      </c>
      <c r="V1604" s="6">
        <f t="shared" si="188"/>
        <v>0</v>
      </c>
    </row>
    <row r="1605" spans="1:22" hidden="1" x14ac:dyDescent="0.35">
      <c r="A1605" s="6" t="s">
        <v>1781</v>
      </c>
      <c r="B1605" s="6" t="s">
        <v>1776</v>
      </c>
      <c r="C1605" s="6" t="s">
        <v>1777</v>
      </c>
      <c r="D1605" s="6">
        <f t="shared" si="187"/>
        <v>0.5</v>
      </c>
      <c r="E1605" s="6" t="s">
        <v>23</v>
      </c>
      <c r="F1605" s="6" t="str">
        <f>MID(A1605,19,1)</f>
        <v>C</v>
      </c>
      <c r="G1605" s="6">
        <v>-23.053165905678043</v>
      </c>
      <c r="H1605" s="6">
        <v>-47.049158883734535</v>
      </c>
      <c r="I1605" s="9">
        <v>1642.79</v>
      </c>
      <c r="J1605" s="9">
        <f t="shared" si="192"/>
        <v>3.2855799999999999</v>
      </c>
      <c r="K1605" s="6">
        <v>1.88</v>
      </c>
      <c r="L1605" s="6">
        <v>70</v>
      </c>
      <c r="N1605" s="1">
        <f t="shared" si="191"/>
        <v>0</v>
      </c>
      <c r="O1605" s="8" t="s">
        <v>185</v>
      </c>
      <c r="P1605" s="8"/>
      <c r="Q1605" s="8" t="s">
        <v>21</v>
      </c>
      <c r="R1605" s="8" t="s">
        <v>21</v>
      </c>
      <c r="S1605" s="8" t="s">
        <v>21</v>
      </c>
      <c r="T1605" s="8" t="s">
        <v>21</v>
      </c>
      <c r="U1605" s="6">
        <f t="shared" si="193"/>
        <v>1149.953</v>
      </c>
      <c r="V1605" s="6">
        <f t="shared" si="188"/>
        <v>1149.953</v>
      </c>
    </row>
    <row r="1606" spans="1:22" x14ac:dyDescent="0.35">
      <c r="A1606" s="6" t="s">
        <v>1782</v>
      </c>
      <c r="B1606" s="6" t="s">
        <v>1776</v>
      </c>
      <c r="C1606" s="6" t="s">
        <v>1777</v>
      </c>
      <c r="D1606" s="6">
        <f t="shared" si="187"/>
        <v>0.5</v>
      </c>
      <c r="E1606" s="6" t="s">
        <v>19</v>
      </c>
      <c r="F1606" s="6" t="str">
        <f>MID(A1606,19,1)</f>
        <v>N</v>
      </c>
      <c r="G1606" s="6">
        <v>-23.054425866045477</v>
      </c>
      <c r="H1606" s="6">
        <v>-47.045262686547737</v>
      </c>
      <c r="I1606" s="9">
        <v>1135.9100000000001</v>
      </c>
      <c r="K1606" s="6">
        <v>8.44</v>
      </c>
      <c r="L1606" s="6">
        <v>0</v>
      </c>
      <c r="N1606" s="1">
        <f t="shared" si="191"/>
        <v>0</v>
      </c>
      <c r="O1606" s="8"/>
      <c r="P1606" s="8"/>
      <c r="Q1606" s="8" t="s">
        <v>21</v>
      </c>
      <c r="R1606" s="8" t="s">
        <v>21</v>
      </c>
      <c r="S1606" s="8" t="s">
        <v>21</v>
      </c>
      <c r="T1606" s="8" t="s">
        <v>21</v>
      </c>
      <c r="U1606" s="6">
        <f t="shared" si="193"/>
        <v>0</v>
      </c>
      <c r="V1606" s="6">
        <f t="shared" si="188"/>
        <v>0</v>
      </c>
    </row>
    <row r="1607" spans="1:22" hidden="1" x14ac:dyDescent="0.35">
      <c r="A1607" s="6" t="s">
        <v>1783</v>
      </c>
      <c r="B1607" s="6" t="s">
        <v>1776</v>
      </c>
      <c r="C1607" s="6" t="s">
        <v>1777</v>
      </c>
      <c r="D1607" s="6">
        <f t="shared" si="187"/>
        <v>0.5</v>
      </c>
      <c r="E1607" s="6" t="s">
        <v>23</v>
      </c>
      <c r="F1607" s="6" t="str">
        <f>MID(A1607,19,1)</f>
        <v>C</v>
      </c>
      <c r="G1607" s="6">
        <v>-23.052233118501274</v>
      </c>
      <c r="H1607" s="6">
        <v>-47.050184922371393</v>
      </c>
      <c r="I1607" s="9">
        <v>6118.61</v>
      </c>
      <c r="J1607" s="9">
        <f>I1607/500</f>
        <v>12.237219999999999</v>
      </c>
      <c r="K1607" s="6">
        <v>2.59</v>
      </c>
      <c r="L1607" s="6">
        <v>70</v>
      </c>
      <c r="N1607" s="1">
        <f t="shared" si="191"/>
        <v>0</v>
      </c>
      <c r="O1607" s="8" t="s">
        <v>185</v>
      </c>
      <c r="P1607" s="8"/>
      <c r="Q1607" s="8" t="s">
        <v>21</v>
      </c>
      <c r="R1607" s="8" t="s">
        <v>21</v>
      </c>
      <c r="S1607" s="8" t="s">
        <v>21</v>
      </c>
      <c r="T1607" s="8" t="s">
        <v>21</v>
      </c>
      <c r="U1607" s="6">
        <f t="shared" si="193"/>
        <v>4283.0269999999991</v>
      </c>
      <c r="V1607" s="6">
        <f t="shared" si="188"/>
        <v>4283.0269999999991</v>
      </c>
    </row>
    <row r="1608" spans="1:22" x14ac:dyDescent="0.35">
      <c r="A1608" s="6" t="s">
        <v>1784</v>
      </c>
      <c r="B1608" s="6" t="s">
        <v>1776</v>
      </c>
      <c r="C1608" s="6" t="s">
        <v>1777</v>
      </c>
      <c r="D1608" s="6">
        <f t="shared" si="187"/>
        <v>0.5</v>
      </c>
      <c r="E1608" s="6" t="s">
        <v>19</v>
      </c>
      <c r="F1608" s="6" t="str">
        <f>MID(A1608,19,1)</f>
        <v>N</v>
      </c>
      <c r="G1608" s="6">
        <v>-23.052110013838366</v>
      </c>
      <c r="H1608" s="6">
        <v>-47.049826395312195</v>
      </c>
      <c r="I1608" s="9">
        <v>1000.38</v>
      </c>
      <c r="K1608" s="6">
        <v>2.35</v>
      </c>
      <c r="L1608" s="6">
        <v>60</v>
      </c>
      <c r="N1608" s="1">
        <f t="shared" si="191"/>
        <v>0</v>
      </c>
      <c r="O1608" s="8" t="s">
        <v>20</v>
      </c>
      <c r="P1608" s="8"/>
      <c r="Q1608" s="8" t="s">
        <v>21</v>
      </c>
      <c r="R1608" s="8" t="s">
        <v>21</v>
      </c>
      <c r="S1608" s="8" t="s">
        <v>21</v>
      </c>
      <c r="T1608" s="8" t="s">
        <v>21</v>
      </c>
      <c r="U1608" s="6">
        <f t="shared" si="193"/>
        <v>600.22799999999995</v>
      </c>
      <c r="V1608" s="6">
        <f t="shared" si="188"/>
        <v>600.22799999999995</v>
      </c>
    </row>
    <row r="1609" spans="1:22" hidden="1" x14ac:dyDescent="0.35">
      <c r="A1609" s="6" t="s">
        <v>1785</v>
      </c>
      <c r="B1609" s="6" t="s">
        <v>1776</v>
      </c>
      <c r="C1609" s="6" t="s">
        <v>1777</v>
      </c>
      <c r="D1609" s="6">
        <f t="shared" si="187"/>
        <v>0.5</v>
      </c>
      <c r="E1609" s="6" t="s">
        <v>19</v>
      </c>
      <c r="F1609" s="6" t="str">
        <f>MID(A1609,19,1)</f>
        <v>S</v>
      </c>
      <c r="G1609" s="6">
        <v>-23.041965630166047</v>
      </c>
      <c r="H1609" s="6">
        <v>-47.006876549773835</v>
      </c>
      <c r="I1609" s="9">
        <v>214.3</v>
      </c>
      <c r="K1609" s="6">
        <v>3.35</v>
      </c>
      <c r="L1609" s="6">
        <v>0</v>
      </c>
      <c r="N1609" s="1">
        <f t="shared" si="191"/>
        <v>0</v>
      </c>
      <c r="O1609" s="8"/>
      <c r="P1609" s="8"/>
      <c r="Q1609" s="8" t="s">
        <v>21</v>
      </c>
      <c r="R1609" s="8" t="s">
        <v>21</v>
      </c>
      <c r="S1609" s="8" t="s">
        <v>21</v>
      </c>
      <c r="T1609" s="8" t="s">
        <v>21</v>
      </c>
      <c r="U1609" s="6">
        <f t="shared" si="193"/>
        <v>0</v>
      </c>
      <c r="V1609" s="6">
        <f t="shared" si="188"/>
        <v>0</v>
      </c>
    </row>
    <row r="1610" spans="1:22" hidden="1" x14ac:dyDescent="0.35">
      <c r="A1610" s="6" t="s">
        <v>1786</v>
      </c>
      <c r="B1610" s="6" t="s">
        <v>1776</v>
      </c>
      <c r="C1610" s="6" t="s">
        <v>1777</v>
      </c>
      <c r="D1610" s="6">
        <f t="shared" si="187"/>
        <v>0.5</v>
      </c>
      <c r="E1610" s="6" t="s">
        <v>19</v>
      </c>
      <c r="F1610" s="6" t="str">
        <f>MID(A1610,19,1)</f>
        <v>S</v>
      </c>
      <c r="G1610" s="6">
        <v>-23.053413602719548</v>
      </c>
      <c r="H1610" s="6">
        <v>-47.050234073976178</v>
      </c>
      <c r="I1610" s="9">
        <v>1396.64</v>
      </c>
      <c r="K1610" s="6">
        <v>4.6100000000000003</v>
      </c>
      <c r="L1610" s="6">
        <v>0</v>
      </c>
      <c r="N1610" s="1">
        <f t="shared" si="191"/>
        <v>0</v>
      </c>
      <c r="O1610" s="8"/>
      <c r="P1610" s="8"/>
      <c r="Q1610" s="8" t="s">
        <v>21</v>
      </c>
      <c r="R1610" s="8" t="s">
        <v>21</v>
      </c>
      <c r="S1610" s="8" t="s">
        <v>21</v>
      </c>
      <c r="T1610" s="8" t="s">
        <v>21</v>
      </c>
      <c r="U1610" s="6">
        <f t="shared" si="193"/>
        <v>0</v>
      </c>
      <c r="V1610" s="6">
        <f t="shared" si="188"/>
        <v>0</v>
      </c>
    </row>
    <row r="1611" spans="1:22" hidden="1" x14ac:dyDescent="0.35">
      <c r="A1611" s="6" t="s">
        <v>1787</v>
      </c>
      <c r="B1611" s="6" t="s">
        <v>1776</v>
      </c>
      <c r="C1611" s="6" t="s">
        <v>1777</v>
      </c>
      <c r="D1611" s="6">
        <f t="shared" si="187"/>
        <v>0.5</v>
      </c>
      <c r="E1611" s="6" t="s">
        <v>19</v>
      </c>
      <c r="F1611" s="6" t="str">
        <f>MID(A1611,19,1)</f>
        <v>S</v>
      </c>
      <c r="G1611" s="6">
        <v>-23.04723535477309</v>
      </c>
      <c r="H1611" s="6">
        <v>-47.003492900898742</v>
      </c>
      <c r="I1611" s="9">
        <v>2158.06</v>
      </c>
      <c r="K1611" s="6">
        <v>7.22</v>
      </c>
      <c r="L1611" s="6">
        <v>50</v>
      </c>
      <c r="N1611" s="1">
        <f t="shared" si="191"/>
        <v>0</v>
      </c>
      <c r="O1611" s="8" t="s">
        <v>20</v>
      </c>
      <c r="P1611" s="8"/>
      <c r="Q1611" s="8" t="s">
        <v>21</v>
      </c>
      <c r="R1611" s="8" t="s">
        <v>21</v>
      </c>
      <c r="S1611" s="8" t="s">
        <v>21</v>
      </c>
      <c r="T1611" s="8" t="s">
        <v>21</v>
      </c>
      <c r="U1611" s="6">
        <f t="shared" si="193"/>
        <v>1079.03</v>
      </c>
      <c r="V1611" s="6">
        <f t="shared" si="188"/>
        <v>1079.03</v>
      </c>
    </row>
    <row r="1612" spans="1:22" hidden="1" x14ac:dyDescent="0.35">
      <c r="A1612" s="6" t="s">
        <v>1788</v>
      </c>
      <c r="B1612" s="6" t="s">
        <v>1776</v>
      </c>
      <c r="C1612" s="6" t="s">
        <v>1777</v>
      </c>
      <c r="D1612" s="6">
        <f t="shared" si="187"/>
        <v>0.5</v>
      </c>
      <c r="E1612" s="6" t="s">
        <v>19</v>
      </c>
      <c r="F1612" s="6" t="str">
        <f>MID(A1612,19,1)</f>
        <v>S</v>
      </c>
      <c r="G1612" s="6">
        <v>-23.042616757951283</v>
      </c>
      <c r="H1612" s="6">
        <v>-47.006516291345406</v>
      </c>
      <c r="I1612" s="9">
        <v>109.05</v>
      </c>
      <c r="K1612" s="6">
        <v>6.18</v>
      </c>
      <c r="L1612" s="6">
        <v>0</v>
      </c>
      <c r="N1612" s="1">
        <f t="shared" si="191"/>
        <v>0</v>
      </c>
      <c r="O1612" s="8"/>
      <c r="P1612" s="8"/>
      <c r="Q1612" s="8" t="s">
        <v>21</v>
      </c>
      <c r="R1612" s="8" t="s">
        <v>21</v>
      </c>
      <c r="S1612" s="8" t="s">
        <v>21</v>
      </c>
      <c r="T1612" s="8" t="s">
        <v>21</v>
      </c>
      <c r="U1612" s="6">
        <f t="shared" si="193"/>
        <v>0</v>
      </c>
      <c r="V1612" s="6">
        <f t="shared" si="188"/>
        <v>0</v>
      </c>
    </row>
    <row r="1613" spans="1:22" x14ac:dyDescent="0.35">
      <c r="A1613" s="6" t="s">
        <v>1789</v>
      </c>
      <c r="B1613" s="6" t="s">
        <v>1776</v>
      </c>
      <c r="C1613" s="6" t="s">
        <v>1777</v>
      </c>
      <c r="D1613" s="6">
        <f t="shared" si="187"/>
        <v>0.5</v>
      </c>
      <c r="E1613" s="6" t="s">
        <v>19</v>
      </c>
      <c r="F1613" s="6" t="str">
        <f>MID(A1613,19,1)</f>
        <v>N</v>
      </c>
      <c r="G1613" s="6">
        <v>-23.04706283709945</v>
      </c>
      <c r="H1613" s="6">
        <v>-47.003283621526414</v>
      </c>
      <c r="I1613" s="9">
        <v>2157.71</v>
      </c>
      <c r="K1613" s="6">
        <v>6.38</v>
      </c>
      <c r="L1613" s="6">
        <v>70</v>
      </c>
      <c r="N1613" s="1">
        <f t="shared" si="191"/>
        <v>0</v>
      </c>
      <c r="O1613" s="8" t="s">
        <v>20</v>
      </c>
      <c r="P1613" s="8"/>
      <c r="Q1613" s="8" t="s">
        <v>21</v>
      </c>
      <c r="R1613" s="8" t="s">
        <v>21</v>
      </c>
      <c r="S1613" s="8" t="s">
        <v>21</v>
      </c>
      <c r="T1613" s="8" t="s">
        <v>21</v>
      </c>
      <c r="U1613" s="6">
        <f t="shared" si="193"/>
        <v>1510.3969999999999</v>
      </c>
      <c r="V1613" s="6">
        <f t="shared" si="188"/>
        <v>1510.3969999999999</v>
      </c>
    </row>
    <row r="1614" spans="1:22" x14ac:dyDescent="0.35">
      <c r="A1614" s="6" t="s">
        <v>1790</v>
      </c>
      <c r="B1614" s="6" t="s">
        <v>1776</v>
      </c>
      <c r="C1614" s="6" t="s">
        <v>1777</v>
      </c>
      <c r="D1614" s="6">
        <f t="shared" ref="D1614:D1677" si="194">C1614-B1614</f>
        <v>0.5</v>
      </c>
      <c r="E1614" s="6" t="s">
        <v>19</v>
      </c>
      <c r="F1614" s="6" t="str">
        <f>MID(A1614,19,1)</f>
        <v>N</v>
      </c>
      <c r="G1614" s="6">
        <v>-23.054550567635573</v>
      </c>
      <c r="H1614" s="6">
        <v>-47.046521337040723</v>
      </c>
      <c r="I1614" s="9">
        <v>819.77</v>
      </c>
      <c r="K1614" s="6">
        <v>5.12</v>
      </c>
      <c r="L1614" s="6">
        <v>0</v>
      </c>
      <c r="N1614" s="1">
        <f t="shared" si="191"/>
        <v>0</v>
      </c>
      <c r="O1614" s="8"/>
      <c r="P1614" s="8"/>
      <c r="Q1614" s="8" t="s">
        <v>21</v>
      </c>
      <c r="R1614" s="8" t="s">
        <v>21</v>
      </c>
      <c r="S1614" s="8" t="s">
        <v>21</v>
      </c>
      <c r="T1614" s="8" t="s">
        <v>21</v>
      </c>
      <c r="U1614" s="6">
        <f t="shared" si="193"/>
        <v>0</v>
      </c>
      <c r="V1614" s="6">
        <f t="shared" si="188"/>
        <v>0</v>
      </c>
    </row>
    <row r="1615" spans="1:22" hidden="1" x14ac:dyDescent="0.35">
      <c r="A1615" s="6" t="s">
        <v>1791</v>
      </c>
      <c r="B1615" s="6" t="s">
        <v>1776</v>
      </c>
      <c r="C1615" s="6" t="s">
        <v>1777</v>
      </c>
      <c r="D1615" s="6">
        <f t="shared" si="194"/>
        <v>0.5</v>
      </c>
      <c r="E1615" s="6" t="s">
        <v>23</v>
      </c>
      <c r="F1615" s="6" t="str">
        <f>MID(A1615,19,1)</f>
        <v>C</v>
      </c>
      <c r="G1615" s="6">
        <v>-23.053979769313123</v>
      </c>
      <c r="H1615" s="6">
        <v>-47.048316860414964</v>
      </c>
      <c r="I1615" s="9">
        <v>3397.89</v>
      </c>
      <c r="J1615" s="9">
        <f>I1615/500</f>
        <v>6.7957799999999997</v>
      </c>
      <c r="K1615" s="6">
        <v>4.5999999999999996</v>
      </c>
      <c r="L1615" s="6">
        <v>70</v>
      </c>
      <c r="N1615" s="1">
        <f t="shared" si="191"/>
        <v>0</v>
      </c>
      <c r="O1615" s="8" t="s">
        <v>185</v>
      </c>
      <c r="P1615" s="8"/>
      <c r="Q1615" s="8" t="s">
        <v>21</v>
      </c>
      <c r="R1615" s="8" t="s">
        <v>21</v>
      </c>
      <c r="S1615" s="8" t="s">
        <v>21</v>
      </c>
      <c r="T1615" s="8" t="s">
        <v>21</v>
      </c>
      <c r="U1615" s="6">
        <f t="shared" si="193"/>
        <v>2378.5229999999997</v>
      </c>
      <c r="V1615" s="6">
        <f t="shared" si="188"/>
        <v>2378.5229999999997</v>
      </c>
    </row>
    <row r="1616" spans="1:22" x14ac:dyDescent="0.35">
      <c r="A1616" s="6" t="s">
        <v>1792</v>
      </c>
      <c r="B1616" s="6" t="s">
        <v>1776</v>
      </c>
      <c r="C1616" s="6" t="s">
        <v>1777</v>
      </c>
      <c r="D1616" s="6">
        <f t="shared" si="194"/>
        <v>0.5</v>
      </c>
      <c r="E1616" s="6" t="s">
        <v>19</v>
      </c>
      <c r="F1616" s="6" t="str">
        <f>MID(A1616,19,1)</f>
        <v>N</v>
      </c>
      <c r="G1616" s="6">
        <v>-23.054718397126845</v>
      </c>
      <c r="H1616" s="6">
        <v>-47.044522920266452</v>
      </c>
      <c r="I1616" s="9">
        <v>1119.9000000000001</v>
      </c>
      <c r="K1616" s="6">
        <v>5.97</v>
      </c>
      <c r="L1616" s="6">
        <v>0</v>
      </c>
      <c r="N1616" s="1">
        <f t="shared" si="191"/>
        <v>0</v>
      </c>
      <c r="O1616" s="8"/>
      <c r="P1616" s="8"/>
      <c r="Q1616" s="8" t="s">
        <v>21</v>
      </c>
      <c r="R1616" s="8" t="s">
        <v>21</v>
      </c>
      <c r="S1616" s="8" t="s">
        <v>21</v>
      </c>
      <c r="T1616" s="8" t="s">
        <v>21</v>
      </c>
      <c r="U1616" s="6">
        <f t="shared" si="193"/>
        <v>0</v>
      </c>
      <c r="V1616" s="6">
        <f t="shared" si="188"/>
        <v>0</v>
      </c>
    </row>
    <row r="1617" spans="1:22" x14ac:dyDescent="0.35">
      <c r="A1617" s="6" t="s">
        <v>1793</v>
      </c>
      <c r="B1617" s="6" t="s">
        <v>1776</v>
      </c>
      <c r="C1617" s="6" t="s">
        <v>1777</v>
      </c>
      <c r="D1617" s="6">
        <f t="shared" si="194"/>
        <v>0.5</v>
      </c>
      <c r="E1617" s="6" t="s">
        <v>19</v>
      </c>
      <c r="F1617" s="6" t="str">
        <f>MID(A1617,19,1)</f>
        <v>N</v>
      </c>
      <c r="G1617" s="6">
        <v>-23.054274170132572</v>
      </c>
      <c r="H1617" s="6">
        <v>-47.046126518597077</v>
      </c>
      <c r="I1617" s="9">
        <v>125.47</v>
      </c>
      <c r="K1617" s="6">
        <v>6.18</v>
      </c>
      <c r="L1617" s="6">
        <v>0</v>
      </c>
      <c r="N1617" s="1">
        <f t="shared" si="191"/>
        <v>0</v>
      </c>
      <c r="O1617" s="8"/>
      <c r="P1617" s="8"/>
      <c r="Q1617" s="8" t="s">
        <v>21</v>
      </c>
      <c r="R1617" s="8" t="s">
        <v>21</v>
      </c>
      <c r="S1617" s="8" t="s">
        <v>21</v>
      </c>
      <c r="T1617" s="8" t="s">
        <v>21</v>
      </c>
      <c r="U1617" s="6">
        <f t="shared" si="193"/>
        <v>0</v>
      </c>
      <c r="V1617" s="6">
        <f t="shared" si="188"/>
        <v>0</v>
      </c>
    </row>
    <row r="1618" spans="1:22" x14ac:dyDescent="0.35">
      <c r="A1618" s="6" t="s">
        <v>1794</v>
      </c>
      <c r="B1618" s="6" t="s">
        <v>1776</v>
      </c>
      <c r="C1618" s="6" t="s">
        <v>1777</v>
      </c>
      <c r="D1618" s="6">
        <f t="shared" si="194"/>
        <v>0.5</v>
      </c>
      <c r="E1618" s="6" t="s">
        <v>19</v>
      </c>
      <c r="F1618" s="6" t="str">
        <f>MID(A1618,19,1)</f>
        <v>N</v>
      </c>
      <c r="G1618" s="6">
        <v>-23.041829385669161</v>
      </c>
      <c r="H1618" s="6">
        <v>-47.006544538150422</v>
      </c>
      <c r="I1618" s="9">
        <v>182.81</v>
      </c>
      <c r="K1618" s="6">
        <v>2.97</v>
      </c>
      <c r="L1618" s="6">
        <v>60</v>
      </c>
      <c r="N1618" s="1">
        <f t="shared" si="191"/>
        <v>0</v>
      </c>
      <c r="O1618" s="8" t="s">
        <v>20</v>
      </c>
      <c r="P1618" s="8"/>
      <c r="Q1618" s="8" t="s">
        <v>21</v>
      </c>
      <c r="R1618" s="8" t="s">
        <v>21</v>
      </c>
      <c r="S1618" s="8" t="s">
        <v>21</v>
      </c>
      <c r="T1618" s="8" t="s">
        <v>21</v>
      </c>
      <c r="U1618" s="6">
        <f t="shared" si="193"/>
        <v>109.68599999999999</v>
      </c>
      <c r="V1618" s="6">
        <f t="shared" ref="V1618:V1621" si="195">(I1618*(L1618/100))</f>
        <v>109.68599999999999</v>
      </c>
    </row>
    <row r="1619" spans="1:22" x14ac:dyDescent="0.35">
      <c r="A1619" s="6" t="s">
        <v>1795</v>
      </c>
      <c r="B1619" s="6" t="s">
        <v>1776</v>
      </c>
      <c r="C1619" s="6" t="s">
        <v>1777</v>
      </c>
      <c r="D1619" s="6">
        <f t="shared" si="194"/>
        <v>0.5</v>
      </c>
      <c r="E1619" s="6" t="s">
        <v>19</v>
      </c>
      <c r="F1619" s="6" t="str">
        <f>MID(A1619,19,1)</f>
        <v>N</v>
      </c>
      <c r="G1619" s="6">
        <v>-23.053589501485984</v>
      </c>
      <c r="H1619" s="6">
        <v>-47.048021551233354</v>
      </c>
      <c r="I1619" s="9">
        <v>18.13</v>
      </c>
      <c r="K1619" s="6">
        <v>5</v>
      </c>
      <c r="L1619" s="6">
        <v>0</v>
      </c>
      <c r="N1619" s="1">
        <f t="shared" si="191"/>
        <v>0</v>
      </c>
      <c r="O1619" s="8"/>
      <c r="P1619" s="8"/>
      <c r="Q1619" s="8" t="s">
        <v>21</v>
      </c>
      <c r="R1619" s="8" t="s">
        <v>21</v>
      </c>
      <c r="S1619" s="8" t="s">
        <v>21</v>
      </c>
      <c r="T1619" s="8" t="s">
        <v>21</v>
      </c>
      <c r="U1619" s="6">
        <f t="shared" si="193"/>
        <v>0</v>
      </c>
      <c r="V1619" s="6">
        <f t="shared" si="195"/>
        <v>0</v>
      </c>
    </row>
    <row r="1620" spans="1:22" x14ac:dyDescent="0.35">
      <c r="A1620" s="6" t="s">
        <v>1796</v>
      </c>
      <c r="B1620" s="6" t="s">
        <v>1776</v>
      </c>
      <c r="C1620" s="6" t="s">
        <v>1777</v>
      </c>
      <c r="D1620" s="6">
        <f t="shared" si="194"/>
        <v>0.5</v>
      </c>
      <c r="E1620" s="6" t="s">
        <v>19</v>
      </c>
      <c r="F1620" s="6" t="str">
        <f>MID(A1620,19,1)</f>
        <v>N</v>
      </c>
      <c r="G1620" s="6">
        <v>-23.043591278303186</v>
      </c>
      <c r="H1620" s="6">
        <v>-47.00547165074159</v>
      </c>
      <c r="I1620" s="9">
        <v>1403.72</v>
      </c>
      <c r="K1620" s="6">
        <v>7.69</v>
      </c>
      <c r="L1620" s="6">
        <v>60</v>
      </c>
      <c r="N1620" s="1">
        <f t="shared" si="191"/>
        <v>0</v>
      </c>
      <c r="O1620" s="8" t="s">
        <v>20</v>
      </c>
      <c r="P1620" s="8"/>
      <c r="Q1620" s="8" t="s">
        <v>21</v>
      </c>
      <c r="R1620" s="8" t="s">
        <v>21</v>
      </c>
      <c r="S1620" s="8" t="s">
        <v>21</v>
      </c>
      <c r="T1620" s="8" t="s">
        <v>21</v>
      </c>
      <c r="U1620" s="6">
        <f t="shared" si="193"/>
        <v>842.23199999999997</v>
      </c>
      <c r="V1620" s="6">
        <f t="shared" si="195"/>
        <v>842.23199999999997</v>
      </c>
    </row>
    <row r="1621" spans="1:22" hidden="1" x14ac:dyDescent="0.35">
      <c r="A1621" s="6" t="s">
        <v>1797</v>
      </c>
      <c r="B1621" s="6" t="s">
        <v>1776</v>
      </c>
      <c r="C1621" s="6" t="s">
        <v>1777</v>
      </c>
      <c r="D1621" s="6">
        <f t="shared" si="194"/>
        <v>0.5</v>
      </c>
      <c r="E1621" s="6" t="s">
        <v>23</v>
      </c>
      <c r="F1621" s="6" t="str">
        <f>MID(A1621,19,1)</f>
        <v>C</v>
      </c>
      <c r="G1621" s="6">
        <v>-23.05550380539924</v>
      </c>
      <c r="H1621" s="6">
        <v>-47.046735689779176</v>
      </c>
      <c r="I1621" s="9">
        <v>10491.32</v>
      </c>
      <c r="J1621" s="9">
        <f>I1621/500</f>
        <v>20.98264</v>
      </c>
      <c r="K1621" s="6">
        <v>3.95</v>
      </c>
      <c r="L1621" s="6">
        <v>70</v>
      </c>
      <c r="N1621" s="1">
        <f t="shared" si="191"/>
        <v>0</v>
      </c>
      <c r="O1621" s="8" t="s">
        <v>185</v>
      </c>
      <c r="P1621" s="8"/>
      <c r="Q1621" s="8" t="s">
        <v>21</v>
      </c>
      <c r="R1621" s="8" t="s">
        <v>21</v>
      </c>
      <c r="S1621" s="8" t="s">
        <v>21</v>
      </c>
      <c r="T1621" s="8" t="s">
        <v>21</v>
      </c>
      <c r="U1621" s="6">
        <f t="shared" si="193"/>
        <v>7343.9239999999991</v>
      </c>
      <c r="V1621" s="6">
        <f t="shared" si="195"/>
        <v>7343.9239999999991</v>
      </c>
    </row>
    <row r="1622" spans="1:22" hidden="1" x14ac:dyDescent="0.35">
      <c r="A1622" s="8" t="s">
        <v>1798</v>
      </c>
      <c r="B1622" s="8" t="s">
        <v>1776</v>
      </c>
      <c r="C1622" s="8" t="s">
        <v>1777</v>
      </c>
      <c r="D1622" s="6">
        <f t="shared" si="194"/>
        <v>0.5</v>
      </c>
      <c r="E1622" s="8" t="s">
        <v>19</v>
      </c>
      <c r="F1622" s="6" t="str">
        <f>MID(A1622,19,1)</f>
        <v>S</v>
      </c>
      <c r="G1622" s="8">
        <v>-23.043810299548273</v>
      </c>
      <c r="H1622" s="8">
        <v>-47.005701586961337</v>
      </c>
      <c r="I1622" s="7">
        <v>1387.05</v>
      </c>
      <c r="J1622" s="7"/>
      <c r="K1622" s="8">
        <v>8.34</v>
      </c>
      <c r="L1622" s="8">
        <v>40</v>
      </c>
      <c r="M1622" s="8"/>
      <c r="N1622" s="11">
        <f t="shared" si="191"/>
        <v>554.82000000000005</v>
      </c>
      <c r="O1622" s="8" t="s">
        <v>25</v>
      </c>
      <c r="P1622" s="8"/>
      <c r="Q1622" s="8" t="s">
        <v>21</v>
      </c>
      <c r="R1622" s="8" t="s">
        <v>21</v>
      </c>
      <c r="S1622" s="8" t="s">
        <v>21</v>
      </c>
      <c r="T1622" s="8" t="s">
        <v>26</v>
      </c>
      <c r="U1622" s="6">
        <f t="shared" si="193"/>
        <v>0</v>
      </c>
    </row>
    <row r="1623" spans="1:22" hidden="1" x14ac:dyDescent="0.35">
      <c r="A1623" s="6" t="s">
        <v>1799</v>
      </c>
      <c r="B1623" s="6" t="s">
        <v>1776</v>
      </c>
      <c r="C1623" s="6" t="s">
        <v>1777</v>
      </c>
      <c r="D1623" s="6">
        <f t="shared" si="194"/>
        <v>0.5</v>
      </c>
      <c r="E1623" s="6" t="s">
        <v>19</v>
      </c>
      <c r="F1623" s="6" t="str">
        <f>MID(A1623,19,1)</f>
        <v>S</v>
      </c>
      <c r="G1623" s="6">
        <v>-23.052891865226364</v>
      </c>
      <c r="H1623" s="6">
        <v>-47.051925890127471</v>
      </c>
      <c r="I1623" s="9">
        <v>67.86</v>
      </c>
      <c r="K1623" s="6">
        <v>4.63</v>
      </c>
      <c r="L1623" s="6">
        <v>0</v>
      </c>
      <c r="N1623" s="1">
        <f t="shared" si="191"/>
        <v>0</v>
      </c>
      <c r="O1623" s="8"/>
      <c r="P1623" s="8"/>
      <c r="Q1623" s="8" t="s">
        <v>21</v>
      </c>
      <c r="R1623" s="8" t="s">
        <v>21</v>
      </c>
      <c r="S1623" s="8" t="s">
        <v>21</v>
      </c>
      <c r="T1623" s="8" t="s">
        <v>21</v>
      </c>
      <c r="U1623" s="6">
        <f t="shared" si="193"/>
        <v>0</v>
      </c>
      <c r="V1623" s="6">
        <f t="shared" ref="V1623:V1636" si="196">(I1623*(L1623/100))</f>
        <v>0</v>
      </c>
    </row>
    <row r="1624" spans="1:22" x14ac:dyDescent="0.35">
      <c r="A1624" s="6" t="s">
        <v>1800</v>
      </c>
      <c r="B1624" s="6" t="s">
        <v>1776</v>
      </c>
      <c r="C1624" s="6" t="s">
        <v>1777</v>
      </c>
      <c r="D1624" s="6">
        <f t="shared" si="194"/>
        <v>0.5</v>
      </c>
      <c r="E1624" s="6" t="s">
        <v>19</v>
      </c>
      <c r="F1624" s="6" t="str">
        <f>MID(A1624,19,1)</f>
        <v>N</v>
      </c>
      <c r="G1624" s="6">
        <v>-23.053962420262938</v>
      </c>
      <c r="H1624" s="6">
        <v>-47.047610887222952</v>
      </c>
      <c r="I1624" s="9">
        <v>828.27</v>
      </c>
      <c r="K1624" s="6">
        <v>5.37</v>
      </c>
      <c r="L1624" s="6">
        <v>0</v>
      </c>
      <c r="N1624" s="1">
        <f t="shared" si="191"/>
        <v>0</v>
      </c>
      <c r="O1624" s="8"/>
      <c r="P1624" s="8"/>
      <c r="Q1624" s="8" t="s">
        <v>21</v>
      </c>
      <c r="R1624" s="8" t="s">
        <v>21</v>
      </c>
      <c r="S1624" s="8" t="s">
        <v>21</v>
      </c>
      <c r="T1624" s="8" t="s">
        <v>21</v>
      </c>
      <c r="U1624" s="6">
        <f t="shared" si="193"/>
        <v>0</v>
      </c>
      <c r="V1624" s="6">
        <f t="shared" si="196"/>
        <v>0</v>
      </c>
    </row>
    <row r="1625" spans="1:22" hidden="1" x14ac:dyDescent="0.35">
      <c r="A1625" s="6" t="s">
        <v>1801</v>
      </c>
      <c r="B1625" s="6" t="s">
        <v>1776</v>
      </c>
      <c r="C1625" s="6" t="s">
        <v>1777</v>
      </c>
      <c r="D1625" s="6">
        <f t="shared" si="194"/>
        <v>0.5</v>
      </c>
      <c r="E1625" s="6" t="s">
        <v>19</v>
      </c>
      <c r="F1625" s="6" t="str">
        <f>MID(A1625,19,1)</f>
        <v>S</v>
      </c>
      <c r="G1625" s="6">
        <v>-23.056004340456148</v>
      </c>
      <c r="H1625" s="6">
        <v>-47.04693552120321</v>
      </c>
      <c r="I1625" s="9">
        <v>1769.83</v>
      </c>
      <c r="K1625" s="6">
        <v>6.55</v>
      </c>
      <c r="L1625" s="6">
        <v>0</v>
      </c>
      <c r="N1625" s="1">
        <f t="shared" si="191"/>
        <v>0</v>
      </c>
      <c r="O1625" s="8"/>
      <c r="P1625" s="8"/>
      <c r="Q1625" s="8" t="s">
        <v>21</v>
      </c>
      <c r="R1625" s="8" t="s">
        <v>21</v>
      </c>
      <c r="S1625" s="8" t="s">
        <v>21</v>
      </c>
      <c r="T1625" s="8" t="s">
        <v>21</v>
      </c>
      <c r="U1625" s="6">
        <f t="shared" si="193"/>
        <v>0</v>
      </c>
      <c r="V1625" s="6">
        <f t="shared" si="196"/>
        <v>0</v>
      </c>
    </row>
    <row r="1626" spans="1:22" x14ac:dyDescent="0.35">
      <c r="A1626" s="6" t="s">
        <v>1802</v>
      </c>
      <c r="B1626" s="6" t="s">
        <v>1776</v>
      </c>
      <c r="C1626" s="6" t="s">
        <v>1777</v>
      </c>
      <c r="D1626" s="6">
        <f t="shared" si="194"/>
        <v>0.5</v>
      </c>
      <c r="E1626" s="6" t="s">
        <v>19</v>
      </c>
      <c r="F1626" s="6" t="str">
        <f>MID(A1626,19,1)</f>
        <v>N</v>
      </c>
      <c r="G1626" s="6">
        <v>-23.054989893994893</v>
      </c>
      <c r="H1626" s="6">
        <v>-47.044531892589333</v>
      </c>
      <c r="I1626" s="9">
        <v>1874.74</v>
      </c>
      <c r="K1626" s="6">
        <v>7.59</v>
      </c>
      <c r="L1626" s="6">
        <v>0</v>
      </c>
      <c r="N1626" s="1">
        <f t="shared" si="191"/>
        <v>0</v>
      </c>
      <c r="O1626" s="8"/>
      <c r="P1626" s="8"/>
      <c r="Q1626" s="8" t="s">
        <v>21</v>
      </c>
      <c r="R1626" s="8" t="s">
        <v>21</v>
      </c>
      <c r="S1626" s="8" t="s">
        <v>21</v>
      </c>
      <c r="T1626" s="8" t="s">
        <v>21</v>
      </c>
      <c r="U1626" s="6">
        <f t="shared" si="193"/>
        <v>0</v>
      </c>
      <c r="V1626" s="6">
        <f t="shared" si="196"/>
        <v>0</v>
      </c>
    </row>
    <row r="1627" spans="1:22" x14ac:dyDescent="0.35">
      <c r="A1627" s="6" t="s">
        <v>1803</v>
      </c>
      <c r="B1627" s="6" t="s">
        <v>1776</v>
      </c>
      <c r="C1627" s="6" t="s">
        <v>1777</v>
      </c>
      <c r="D1627" s="6">
        <f t="shared" si="194"/>
        <v>0.5</v>
      </c>
      <c r="E1627" s="6" t="s">
        <v>19</v>
      </c>
      <c r="F1627" s="6" t="str">
        <f>MID(A1627,19,1)</f>
        <v>N</v>
      </c>
      <c r="G1627" s="6">
        <v>-23.053171712856589</v>
      </c>
      <c r="H1627" s="6">
        <v>-47.048530173934637</v>
      </c>
      <c r="I1627" s="9">
        <v>886.56</v>
      </c>
      <c r="K1627" s="6">
        <v>3.38</v>
      </c>
      <c r="L1627" s="6">
        <v>60</v>
      </c>
      <c r="N1627" s="1">
        <f t="shared" si="191"/>
        <v>0</v>
      </c>
      <c r="O1627" s="8" t="s">
        <v>20</v>
      </c>
      <c r="P1627" s="8"/>
      <c r="Q1627" s="8" t="s">
        <v>21</v>
      </c>
      <c r="R1627" s="8" t="s">
        <v>21</v>
      </c>
      <c r="S1627" s="8" t="s">
        <v>21</v>
      </c>
      <c r="T1627" s="8" t="s">
        <v>21</v>
      </c>
      <c r="U1627" s="6">
        <f t="shared" si="193"/>
        <v>531.93599999999992</v>
      </c>
      <c r="V1627" s="6">
        <f t="shared" si="196"/>
        <v>531.93599999999992</v>
      </c>
    </row>
    <row r="1628" spans="1:22" x14ac:dyDescent="0.35">
      <c r="A1628" s="6" t="s">
        <v>1804</v>
      </c>
      <c r="B1628" s="6" t="s">
        <v>1776</v>
      </c>
      <c r="C1628" s="6" t="s">
        <v>1777</v>
      </c>
      <c r="D1628" s="6">
        <f t="shared" si="194"/>
        <v>0.5</v>
      </c>
      <c r="E1628" s="6" t="s">
        <v>19</v>
      </c>
      <c r="F1628" s="6" t="str">
        <f>MID(A1628,19,1)</f>
        <v>N</v>
      </c>
      <c r="G1628" s="6">
        <v>-23.054771259046539</v>
      </c>
      <c r="H1628" s="6">
        <v>-47.044339634045876</v>
      </c>
      <c r="I1628" s="9">
        <v>1819.97</v>
      </c>
      <c r="K1628" s="6">
        <v>5.64</v>
      </c>
      <c r="L1628" s="6">
        <v>0</v>
      </c>
      <c r="N1628" s="1">
        <f t="shared" si="191"/>
        <v>0</v>
      </c>
      <c r="O1628" s="8"/>
      <c r="P1628" s="8"/>
      <c r="Q1628" s="8" t="s">
        <v>21</v>
      </c>
      <c r="R1628" s="8" t="s">
        <v>21</v>
      </c>
      <c r="S1628" s="8" t="s">
        <v>21</v>
      </c>
      <c r="T1628" s="8" t="s">
        <v>21</v>
      </c>
      <c r="U1628" s="6">
        <f t="shared" si="193"/>
        <v>0</v>
      </c>
      <c r="V1628" s="6">
        <f t="shared" si="196"/>
        <v>0</v>
      </c>
    </row>
    <row r="1629" spans="1:22" hidden="1" x14ac:dyDescent="0.35">
      <c r="A1629" s="6" t="s">
        <v>1805</v>
      </c>
      <c r="B1629" s="6" t="s">
        <v>1776</v>
      </c>
      <c r="C1629" s="6" t="s">
        <v>1777</v>
      </c>
      <c r="D1629" s="6">
        <f t="shared" si="194"/>
        <v>0.5</v>
      </c>
      <c r="E1629" s="6" t="s">
        <v>19</v>
      </c>
      <c r="F1629" s="6" t="str">
        <f>MID(A1629,19,1)</f>
        <v>S</v>
      </c>
      <c r="G1629" s="6">
        <v>-23.054070688760671</v>
      </c>
      <c r="H1629" s="6">
        <v>-47.04879443972937</v>
      </c>
      <c r="I1629" s="9">
        <v>752.84</v>
      </c>
      <c r="K1629" s="6">
        <v>4.28</v>
      </c>
      <c r="L1629" s="6">
        <v>0</v>
      </c>
      <c r="N1629" s="1">
        <f t="shared" si="191"/>
        <v>0</v>
      </c>
      <c r="O1629" s="8"/>
      <c r="P1629" s="8"/>
      <c r="Q1629" s="8" t="s">
        <v>21</v>
      </c>
      <c r="R1629" s="8" t="s">
        <v>21</v>
      </c>
      <c r="S1629" s="8" t="s">
        <v>21</v>
      </c>
      <c r="T1629" s="8" t="s">
        <v>21</v>
      </c>
      <c r="U1629" s="6">
        <f t="shared" si="193"/>
        <v>0</v>
      </c>
      <c r="V1629" s="6">
        <f t="shared" si="196"/>
        <v>0</v>
      </c>
    </row>
    <row r="1630" spans="1:22" hidden="1" x14ac:dyDescent="0.35">
      <c r="A1630" s="6" t="s">
        <v>1806</v>
      </c>
      <c r="B1630" s="6" t="s">
        <v>1807</v>
      </c>
      <c r="C1630" s="6" t="s">
        <v>1808</v>
      </c>
      <c r="D1630" s="6">
        <f t="shared" si="194"/>
        <v>0.5</v>
      </c>
      <c r="E1630" s="6" t="s">
        <v>19</v>
      </c>
      <c r="F1630" s="6" t="str">
        <f>MID(A1630,19,1)</f>
        <v>S</v>
      </c>
      <c r="G1630" s="6">
        <v>-23.047002923887387</v>
      </c>
      <c r="H1630" s="6">
        <v>-47.056810372928922</v>
      </c>
      <c r="I1630" s="9">
        <v>2047.78</v>
      </c>
      <c r="K1630" s="6">
        <v>7.25</v>
      </c>
      <c r="L1630" s="6">
        <v>60</v>
      </c>
      <c r="N1630" s="1">
        <f t="shared" si="191"/>
        <v>0</v>
      </c>
      <c r="O1630" s="8" t="s">
        <v>20</v>
      </c>
      <c r="P1630" s="8"/>
      <c r="Q1630" s="8" t="s">
        <v>21</v>
      </c>
      <c r="R1630" s="8" t="s">
        <v>21</v>
      </c>
      <c r="S1630" s="8" t="s">
        <v>21</v>
      </c>
      <c r="T1630" s="8" t="s">
        <v>21</v>
      </c>
      <c r="U1630" s="6">
        <f t="shared" si="193"/>
        <v>1228.6679999999999</v>
      </c>
      <c r="V1630" s="6">
        <f t="shared" si="196"/>
        <v>1228.6679999999999</v>
      </c>
    </row>
    <row r="1631" spans="1:22" hidden="1" x14ac:dyDescent="0.35">
      <c r="A1631" s="6" t="s">
        <v>1809</v>
      </c>
      <c r="B1631" s="6" t="s">
        <v>1807</v>
      </c>
      <c r="C1631" s="6" t="s">
        <v>1808</v>
      </c>
      <c r="D1631" s="6">
        <f t="shared" si="194"/>
        <v>0.5</v>
      </c>
      <c r="E1631" s="6" t="s">
        <v>19</v>
      </c>
      <c r="F1631" s="6" t="str">
        <f>MID(A1631,19,1)</f>
        <v>S</v>
      </c>
      <c r="G1631" s="6">
        <v>-23.05017775376708</v>
      </c>
      <c r="H1631" s="6">
        <v>-47.052989244667017</v>
      </c>
      <c r="I1631" s="9">
        <v>2163.4</v>
      </c>
      <c r="K1631" s="6">
        <v>5.07</v>
      </c>
      <c r="L1631" s="6">
        <v>0</v>
      </c>
      <c r="N1631" s="1">
        <f t="shared" si="191"/>
        <v>0</v>
      </c>
      <c r="O1631" s="8"/>
      <c r="P1631" s="8"/>
      <c r="Q1631" s="8" t="s">
        <v>21</v>
      </c>
      <c r="R1631" s="8" t="s">
        <v>21</v>
      </c>
      <c r="S1631" s="8" t="s">
        <v>21</v>
      </c>
      <c r="T1631" s="8" t="s">
        <v>21</v>
      </c>
      <c r="U1631" s="6">
        <f t="shared" si="193"/>
        <v>0</v>
      </c>
      <c r="V1631" s="6">
        <f t="shared" si="196"/>
        <v>0</v>
      </c>
    </row>
    <row r="1632" spans="1:22" x14ac:dyDescent="0.35">
      <c r="A1632" s="6" t="s">
        <v>1810</v>
      </c>
      <c r="B1632" s="6" t="s">
        <v>1807</v>
      </c>
      <c r="C1632" s="6" t="s">
        <v>1808</v>
      </c>
      <c r="D1632" s="6">
        <f t="shared" si="194"/>
        <v>0.5</v>
      </c>
      <c r="E1632" s="6" t="s">
        <v>19</v>
      </c>
      <c r="F1632" s="6" t="str">
        <f>MID(A1632,19,1)</f>
        <v>N</v>
      </c>
      <c r="G1632" s="6">
        <v>-23.046567932276723</v>
      </c>
      <c r="H1632" s="6">
        <v>-47.056391011377549</v>
      </c>
      <c r="I1632" s="9">
        <v>2129.14</v>
      </c>
      <c r="K1632" s="6">
        <v>5.28</v>
      </c>
      <c r="L1632" s="6">
        <v>40</v>
      </c>
      <c r="N1632" s="1">
        <f t="shared" si="191"/>
        <v>0</v>
      </c>
      <c r="O1632" s="8" t="s">
        <v>20</v>
      </c>
      <c r="P1632" s="8"/>
      <c r="Q1632" s="8" t="s">
        <v>21</v>
      </c>
      <c r="R1632" s="8" t="s">
        <v>21</v>
      </c>
      <c r="S1632" s="8" t="s">
        <v>21</v>
      </c>
      <c r="T1632" s="8" t="s">
        <v>21</v>
      </c>
      <c r="U1632" s="6">
        <f t="shared" si="193"/>
        <v>851.65599999999995</v>
      </c>
      <c r="V1632" s="6">
        <f t="shared" si="196"/>
        <v>851.65599999999995</v>
      </c>
    </row>
    <row r="1633" spans="1:22" x14ac:dyDescent="0.35">
      <c r="A1633" s="6" t="s">
        <v>1811</v>
      </c>
      <c r="B1633" s="6" t="s">
        <v>1807</v>
      </c>
      <c r="C1633" s="6" t="s">
        <v>1808</v>
      </c>
      <c r="D1633" s="6">
        <f t="shared" si="194"/>
        <v>0.5</v>
      </c>
      <c r="E1633" s="6" t="s">
        <v>19</v>
      </c>
      <c r="F1633" s="6" t="str">
        <f>MID(A1633,19,1)</f>
        <v>N</v>
      </c>
      <c r="G1633" s="6">
        <v>-23.034981124858316</v>
      </c>
      <c r="H1633" s="6">
        <v>-47.010100085839952</v>
      </c>
      <c r="I1633" s="9">
        <v>1995.13</v>
      </c>
      <c r="K1633" s="6">
        <v>5.24</v>
      </c>
      <c r="L1633" s="6">
        <v>80</v>
      </c>
      <c r="N1633" s="1">
        <f t="shared" si="191"/>
        <v>0</v>
      </c>
      <c r="O1633" s="8" t="s">
        <v>20</v>
      </c>
      <c r="P1633" s="8"/>
      <c r="Q1633" s="8" t="s">
        <v>21</v>
      </c>
      <c r="R1633" s="8" t="s">
        <v>21</v>
      </c>
      <c r="S1633" s="8" t="s">
        <v>21</v>
      </c>
      <c r="T1633" s="8" t="s">
        <v>21</v>
      </c>
      <c r="U1633" s="6">
        <f t="shared" si="193"/>
        <v>1596.1040000000003</v>
      </c>
      <c r="V1633" s="6">
        <f t="shared" si="196"/>
        <v>1596.1040000000003</v>
      </c>
    </row>
    <row r="1634" spans="1:22" x14ac:dyDescent="0.35">
      <c r="A1634" s="6" t="s">
        <v>1812</v>
      </c>
      <c r="B1634" s="6" t="s">
        <v>1807</v>
      </c>
      <c r="C1634" s="6" t="s">
        <v>1808</v>
      </c>
      <c r="D1634" s="6">
        <f t="shared" si="194"/>
        <v>0.5</v>
      </c>
      <c r="E1634" s="6" t="s">
        <v>19</v>
      </c>
      <c r="F1634" s="6" t="str">
        <f>MID(A1634,19,1)</f>
        <v>N</v>
      </c>
      <c r="G1634" s="6">
        <v>-23.049743445366005</v>
      </c>
      <c r="H1634" s="6">
        <v>-47.052557405583535</v>
      </c>
      <c r="I1634" s="9">
        <v>2112.98</v>
      </c>
      <c r="K1634" s="6">
        <v>3.81</v>
      </c>
      <c r="N1634" s="1">
        <f t="shared" si="191"/>
        <v>0</v>
      </c>
      <c r="O1634" s="8"/>
      <c r="P1634" s="8"/>
      <c r="Q1634" s="8" t="s">
        <v>21</v>
      </c>
      <c r="R1634" s="8" t="s">
        <v>21</v>
      </c>
      <c r="S1634" s="8" t="s">
        <v>21</v>
      </c>
      <c r="T1634" s="8" t="s">
        <v>21</v>
      </c>
      <c r="U1634" s="6">
        <f t="shared" si="193"/>
        <v>0</v>
      </c>
      <c r="V1634" s="6">
        <f t="shared" si="196"/>
        <v>0</v>
      </c>
    </row>
    <row r="1635" spans="1:22" hidden="1" x14ac:dyDescent="0.35">
      <c r="A1635" s="6" t="s">
        <v>1813</v>
      </c>
      <c r="B1635" s="6" t="s">
        <v>1807</v>
      </c>
      <c r="C1635" s="6" t="s">
        <v>1808</v>
      </c>
      <c r="D1635" s="6">
        <f t="shared" si="194"/>
        <v>0.5</v>
      </c>
      <c r="E1635" s="6" t="s">
        <v>23</v>
      </c>
      <c r="F1635" s="6" t="str">
        <f>MID(A1635,19,1)</f>
        <v>C</v>
      </c>
      <c r="G1635" s="6">
        <v>-23.04996204144328</v>
      </c>
      <c r="H1635" s="6">
        <v>-47.052774204834321</v>
      </c>
      <c r="I1635" s="9">
        <v>16277.92</v>
      </c>
      <c r="J1635" s="9">
        <f t="shared" ref="J1635:J1636" si="197">I1635/500</f>
        <v>32.555840000000003</v>
      </c>
      <c r="K1635" s="6">
        <v>3.6</v>
      </c>
      <c r="L1635" s="6">
        <v>70</v>
      </c>
      <c r="N1635" s="1">
        <f t="shared" si="191"/>
        <v>0</v>
      </c>
      <c r="O1635" s="8" t="s">
        <v>185</v>
      </c>
      <c r="P1635" s="8"/>
      <c r="Q1635" s="8" t="s">
        <v>21</v>
      </c>
      <c r="R1635" s="8" t="s">
        <v>21</v>
      </c>
      <c r="S1635" s="8" t="s">
        <v>21</v>
      </c>
      <c r="T1635" s="8" t="s">
        <v>21</v>
      </c>
      <c r="U1635" s="6">
        <f t="shared" si="193"/>
        <v>11394.544</v>
      </c>
      <c r="V1635" s="6">
        <f t="shared" si="196"/>
        <v>11394.544</v>
      </c>
    </row>
    <row r="1636" spans="1:22" hidden="1" x14ac:dyDescent="0.35">
      <c r="A1636" s="6" t="s">
        <v>1814</v>
      </c>
      <c r="B1636" s="6" t="s">
        <v>1807</v>
      </c>
      <c r="C1636" s="6" t="s">
        <v>1808</v>
      </c>
      <c r="D1636" s="6">
        <f t="shared" si="194"/>
        <v>0.5</v>
      </c>
      <c r="E1636" s="6" t="s">
        <v>23</v>
      </c>
      <c r="F1636" s="6" t="str">
        <f>MID(A1636,19,1)</f>
        <v>C</v>
      </c>
      <c r="G1636" s="6">
        <v>-23.04679101501328</v>
      </c>
      <c r="H1636" s="6">
        <v>-47.056595485229892</v>
      </c>
      <c r="I1636" s="9">
        <v>15772.81</v>
      </c>
      <c r="J1636" s="9">
        <f t="shared" si="197"/>
        <v>31.54562</v>
      </c>
      <c r="K1636" s="6">
        <v>6.21</v>
      </c>
      <c r="L1636" s="6">
        <v>70</v>
      </c>
      <c r="N1636" s="1">
        <f t="shared" si="191"/>
        <v>0</v>
      </c>
      <c r="O1636" s="8" t="s">
        <v>185</v>
      </c>
      <c r="P1636" s="8"/>
      <c r="Q1636" s="8" t="s">
        <v>21</v>
      </c>
      <c r="R1636" s="8" t="s">
        <v>21</v>
      </c>
      <c r="S1636" s="8" t="s">
        <v>21</v>
      </c>
      <c r="T1636" s="8" t="s">
        <v>21</v>
      </c>
      <c r="U1636" s="6">
        <f t="shared" si="193"/>
        <v>11040.966999999999</v>
      </c>
      <c r="V1636" s="6">
        <f t="shared" si="196"/>
        <v>11040.966999999999</v>
      </c>
    </row>
    <row r="1637" spans="1:22" hidden="1" x14ac:dyDescent="0.35">
      <c r="A1637" s="8" t="s">
        <v>1815</v>
      </c>
      <c r="B1637" s="8" t="s">
        <v>1807</v>
      </c>
      <c r="C1637" s="8" t="s">
        <v>1808</v>
      </c>
      <c r="D1637" s="6">
        <f t="shared" si="194"/>
        <v>0.5</v>
      </c>
      <c r="E1637" s="8" t="s">
        <v>19</v>
      </c>
      <c r="F1637" s="6" t="str">
        <f>MID(A1637,19,1)</f>
        <v>S</v>
      </c>
      <c r="G1637" s="8">
        <v>-23.039488069926474</v>
      </c>
      <c r="H1637" s="8">
        <v>-47.008313003159628</v>
      </c>
      <c r="I1637" s="7">
        <v>2278.21</v>
      </c>
      <c r="J1637" s="7"/>
      <c r="K1637" s="8">
        <v>7.17</v>
      </c>
      <c r="L1637" s="8">
        <v>50</v>
      </c>
      <c r="M1637" s="8"/>
      <c r="N1637" s="11">
        <f t="shared" si="191"/>
        <v>1139.105</v>
      </c>
      <c r="O1637" s="8" t="s">
        <v>25</v>
      </c>
      <c r="P1637" s="8"/>
      <c r="Q1637" s="8" t="s">
        <v>21</v>
      </c>
      <c r="R1637" s="8" t="s">
        <v>21</v>
      </c>
      <c r="S1637" s="8" t="s">
        <v>21</v>
      </c>
      <c r="T1637" s="8" t="s">
        <v>26</v>
      </c>
      <c r="U1637" s="6">
        <f t="shared" si="193"/>
        <v>0</v>
      </c>
    </row>
    <row r="1638" spans="1:22" x14ac:dyDescent="0.35">
      <c r="A1638" s="6" t="s">
        <v>1816</v>
      </c>
      <c r="B1638" s="6" t="s">
        <v>1807</v>
      </c>
      <c r="C1638" s="6" t="s">
        <v>1808</v>
      </c>
      <c r="D1638" s="6">
        <f t="shared" si="194"/>
        <v>0.5</v>
      </c>
      <c r="E1638" s="6" t="s">
        <v>19</v>
      </c>
      <c r="F1638" s="6" t="str">
        <f>MID(A1638,19,1)</f>
        <v>N</v>
      </c>
      <c r="G1638" s="6">
        <v>-23.039411166789723</v>
      </c>
      <c r="H1638" s="6">
        <v>-47.008036021916823</v>
      </c>
      <c r="I1638" s="9">
        <v>2288.37</v>
      </c>
      <c r="K1638" s="6">
        <v>7.33</v>
      </c>
      <c r="L1638" s="6">
        <v>60</v>
      </c>
      <c r="N1638" s="1">
        <f t="shared" si="191"/>
        <v>0</v>
      </c>
      <c r="O1638" s="8" t="s">
        <v>20</v>
      </c>
      <c r="P1638" s="8"/>
      <c r="Q1638" s="8" t="s">
        <v>21</v>
      </c>
      <c r="R1638" s="8" t="s">
        <v>21</v>
      </c>
      <c r="S1638" s="8" t="s">
        <v>21</v>
      </c>
      <c r="T1638" s="8" t="s">
        <v>21</v>
      </c>
      <c r="U1638" s="6">
        <f t="shared" si="193"/>
        <v>1373.0219999999999</v>
      </c>
      <c r="V1638" s="6">
        <f>(I1638*(L1638/100))</f>
        <v>1373.0219999999999</v>
      </c>
    </row>
    <row r="1639" spans="1:22" hidden="1" x14ac:dyDescent="0.35">
      <c r="A1639" s="8" t="s">
        <v>1817</v>
      </c>
      <c r="B1639" s="8" t="s">
        <v>1807</v>
      </c>
      <c r="C1639" s="8" t="s">
        <v>1808</v>
      </c>
      <c r="D1639" s="6">
        <f t="shared" si="194"/>
        <v>0.5</v>
      </c>
      <c r="E1639" s="8" t="s">
        <v>19</v>
      </c>
      <c r="F1639" s="6" t="str">
        <f>MID(A1639,19,1)</f>
        <v>S</v>
      </c>
      <c r="G1639" s="8">
        <v>-23.035062774396952</v>
      </c>
      <c r="H1639" s="8">
        <v>-47.010359436632278</v>
      </c>
      <c r="I1639" s="7">
        <v>1995.09</v>
      </c>
      <c r="J1639" s="7"/>
      <c r="K1639" s="8">
        <v>4.8600000000000003</v>
      </c>
      <c r="L1639" s="8">
        <v>50</v>
      </c>
      <c r="M1639" s="8"/>
      <c r="N1639" s="11">
        <f t="shared" si="191"/>
        <v>997.54499999999996</v>
      </c>
      <c r="O1639" s="8" t="s">
        <v>25</v>
      </c>
      <c r="P1639" s="8"/>
      <c r="Q1639" s="8" t="s">
        <v>21</v>
      </c>
      <c r="R1639" s="8" t="s">
        <v>21</v>
      </c>
      <c r="S1639" s="8" t="s">
        <v>21</v>
      </c>
      <c r="T1639" s="8" t="s">
        <v>26</v>
      </c>
      <c r="U1639" s="6">
        <f t="shared" si="193"/>
        <v>0</v>
      </c>
    </row>
    <row r="1640" spans="1:22" hidden="1" x14ac:dyDescent="0.35">
      <c r="A1640" s="8" t="s">
        <v>1818</v>
      </c>
      <c r="B1640" s="8" t="s">
        <v>1819</v>
      </c>
      <c r="C1640" s="8" t="s">
        <v>1820</v>
      </c>
      <c r="D1640" s="6">
        <f t="shared" si="194"/>
        <v>0.5</v>
      </c>
      <c r="E1640" s="8" t="s">
        <v>19</v>
      </c>
      <c r="F1640" s="6" t="str">
        <f>MID(A1640,19,1)</f>
        <v>S</v>
      </c>
      <c r="G1640" s="8">
        <v>-23.031241312306669</v>
      </c>
      <c r="H1640" s="8">
        <v>-47.011913272717152</v>
      </c>
      <c r="I1640" s="7">
        <v>1627.08</v>
      </c>
      <c r="J1640" s="7"/>
      <c r="K1640" s="8">
        <v>8.27</v>
      </c>
      <c r="L1640" s="8">
        <v>65</v>
      </c>
      <c r="M1640" s="8"/>
      <c r="N1640" s="11">
        <f t="shared" si="191"/>
        <v>1057.6020000000001</v>
      </c>
      <c r="O1640" s="8" t="s">
        <v>25</v>
      </c>
      <c r="P1640" s="8"/>
      <c r="Q1640" s="8" t="s">
        <v>21</v>
      </c>
      <c r="R1640" s="8" t="s">
        <v>21</v>
      </c>
      <c r="S1640" s="8" t="s">
        <v>21</v>
      </c>
      <c r="T1640" s="8" t="s">
        <v>26</v>
      </c>
      <c r="U1640" s="6">
        <f t="shared" si="193"/>
        <v>0</v>
      </c>
    </row>
    <row r="1641" spans="1:22" hidden="1" x14ac:dyDescent="0.35">
      <c r="A1641" s="8" t="s">
        <v>1821</v>
      </c>
      <c r="B1641" s="8" t="s">
        <v>1819</v>
      </c>
      <c r="C1641" s="8" t="s">
        <v>1820</v>
      </c>
      <c r="D1641" s="6">
        <f t="shared" si="194"/>
        <v>0.5</v>
      </c>
      <c r="E1641" s="8" t="s">
        <v>19</v>
      </c>
      <c r="F1641" s="8" t="str">
        <f>MID(A1641,19,1)</f>
        <v>S</v>
      </c>
      <c r="G1641" s="8">
        <v>-23.027366432920079</v>
      </c>
      <c r="H1641" s="8">
        <v>-47.014192489815201</v>
      </c>
      <c r="I1641" s="7">
        <v>2286.09</v>
      </c>
      <c r="J1641" s="7"/>
      <c r="K1641" s="8">
        <v>6.6</v>
      </c>
      <c r="L1641" s="8">
        <v>60</v>
      </c>
      <c r="M1641" s="8"/>
      <c r="N1641" s="11">
        <f t="shared" si="191"/>
        <v>1371.654</v>
      </c>
      <c r="O1641" s="8" t="s">
        <v>25</v>
      </c>
      <c r="P1641" s="8"/>
      <c r="Q1641" s="8" t="s">
        <v>21</v>
      </c>
      <c r="R1641" s="8" t="s">
        <v>26</v>
      </c>
      <c r="S1641" s="8" t="s">
        <v>21</v>
      </c>
      <c r="T1641" s="8" t="s">
        <v>26</v>
      </c>
      <c r="U1641" s="6">
        <f t="shared" si="193"/>
        <v>0</v>
      </c>
    </row>
    <row r="1642" spans="1:22" hidden="1" x14ac:dyDescent="0.35">
      <c r="A1642" s="6" t="s">
        <v>1822</v>
      </c>
      <c r="B1642" s="6" t="s">
        <v>1819</v>
      </c>
      <c r="C1642" s="6" t="s">
        <v>1820</v>
      </c>
      <c r="D1642" s="6">
        <f t="shared" si="194"/>
        <v>0.5</v>
      </c>
      <c r="E1642" s="6" t="s">
        <v>23</v>
      </c>
      <c r="F1642" s="6" t="str">
        <f>MID(A1642,19,1)</f>
        <v>C</v>
      </c>
      <c r="G1642" s="6">
        <v>-23.040485839638539</v>
      </c>
      <c r="H1642" s="6">
        <v>-47.065894919268231</v>
      </c>
      <c r="I1642" s="9">
        <v>10405.36</v>
      </c>
      <c r="J1642" s="9">
        <f t="shared" ref="J1642:J1643" si="198">I1642/500</f>
        <v>20.81072</v>
      </c>
      <c r="K1642" s="6">
        <v>3.29</v>
      </c>
      <c r="L1642" s="6">
        <v>70</v>
      </c>
      <c r="N1642" s="1">
        <f t="shared" si="191"/>
        <v>0</v>
      </c>
      <c r="O1642" s="8" t="s">
        <v>185</v>
      </c>
      <c r="P1642" s="8"/>
      <c r="Q1642" s="8" t="s">
        <v>21</v>
      </c>
      <c r="R1642" s="8" t="s">
        <v>21</v>
      </c>
      <c r="S1642" s="8" t="s">
        <v>21</v>
      </c>
      <c r="T1642" s="8" t="s">
        <v>21</v>
      </c>
      <c r="U1642" s="6">
        <f t="shared" si="193"/>
        <v>7283.7519999999995</v>
      </c>
      <c r="V1642" s="6">
        <f t="shared" ref="V1642:V1705" si="199">(I1642*(L1642/100))</f>
        <v>7283.7519999999995</v>
      </c>
    </row>
    <row r="1643" spans="1:22" hidden="1" x14ac:dyDescent="0.35">
      <c r="A1643" s="6" t="s">
        <v>1823</v>
      </c>
      <c r="B1643" s="6" t="s">
        <v>1819</v>
      </c>
      <c r="C1643" s="6" t="s">
        <v>1820</v>
      </c>
      <c r="D1643" s="6">
        <f t="shared" si="194"/>
        <v>0.5</v>
      </c>
      <c r="E1643" s="6" t="s">
        <v>23</v>
      </c>
      <c r="F1643" s="6" t="str">
        <f>MID(A1643,19,1)</f>
        <v>C</v>
      </c>
      <c r="G1643" s="6">
        <v>-23.041878487491537</v>
      </c>
      <c r="H1643" s="6">
        <v>-47.063274879919852</v>
      </c>
      <c r="I1643" s="9">
        <v>7369.72</v>
      </c>
      <c r="J1643" s="9">
        <f t="shared" si="198"/>
        <v>14.73944</v>
      </c>
      <c r="K1643" s="6">
        <v>6.21</v>
      </c>
      <c r="L1643" s="6">
        <v>70</v>
      </c>
      <c r="N1643" s="1">
        <f t="shared" si="191"/>
        <v>0</v>
      </c>
      <c r="O1643" s="8" t="s">
        <v>185</v>
      </c>
      <c r="P1643" s="8"/>
      <c r="Q1643" s="8" t="s">
        <v>21</v>
      </c>
      <c r="R1643" s="8" t="s">
        <v>21</v>
      </c>
      <c r="S1643" s="8" t="s">
        <v>21</v>
      </c>
      <c r="T1643" s="8" t="s">
        <v>21</v>
      </c>
      <c r="U1643" s="6">
        <f t="shared" si="193"/>
        <v>5158.8040000000001</v>
      </c>
      <c r="V1643" s="6">
        <f t="shared" si="199"/>
        <v>5158.8040000000001</v>
      </c>
    </row>
    <row r="1644" spans="1:22" x14ac:dyDescent="0.35">
      <c r="A1644" s="6" t="s">
        <v>1824</v>
      </c>
      <c r="B1644" s="6" t="s">
        <v>1819</v>
      </c>
      <c r="C1644" s="6" t="s">
        <v>1820</v>
      </c>
      <c r="D1644" s="6">
        <f t="shared" si="194"/>
        <v>0.5</v>
      </c>
      <c r="E1644" s="6" t="s">
        <v>19</v>
      </c>
      <c r="F1644" s="6" t="str">
        <f>MID(A1644,19,1)</f>
        <v>N</v>
      </c>
      <c r="G1644" s="6">
        <v>-23.027273996218764</v>
      </c>
      <c r="H1644" s="6">
        <v>-47.013904839557775</v>
      </c>
      <c r="I1644" s="9">
        <v>2285.09</v>
      </c>
      <c r="K1644" s="6">
        <v>6.01</v>
      </c>
      <c r="L1644" s="6">
        <v>60</v>
      </c>
      <c r="N1644" s="1">
        <f t="shared" si="191"/>
        <v>0</v>
      </c>
      <c r="O1644" s="8" t="s">
        <v>20</v>
      </c>
      <c r="P1644" s="8"/>
      <c r="Q1644" s="8" t="s">
        <v>21</v>
      </c>
      <c r="R1644" s="8" t="s">
        <v>21</v>
      </c>
      <c r="S1644" s="8" t="s">
        <v>21</v>
      </c>
      <c r="T1644" s="8" t="s">
        <v>21</v>
      </c>
      <c r="U1644" s="6">
        <f t="shared" si="193"/>
        <v>1371.0540000000001</v>
      </c>
      <c r="V1644" s="6">
        <f t="shared" si="199"/>
        <v>1371.0540000000001</v>
      </c>
    </row>
    <row r="1645" spans="1:22" hidden="1" x14ac:dyDescent="0.35">
      <c r="A1645" s="6" t="s">
        <v>1825</v>
      </c>
      <c r="B1645" s="6" t="s">
        <v>1819</v>
      </c>
      <c r="C1645" s="6" t="s">
        <v>1820</v>
      </c>
      <c r="D1645" s="6">
        <f t="shared" si="194"/>
        <v>0.5</v>
      </c>
      <c r="E1645" s="6" t="s">
        <v>23</v>
      </c>
      <c r="F1645" s="6" t="str">
        <f>MID(A1645,19,1)</f>
        <v>C</v>
      </c>
      <c r="G1645" s="6">
        <v>-23.041242952117521</v>
      </c>
      <c r="H1645" s="6">
        <v>-47.065389899380392</v>
      </c>
      <c r="I1645" s="9">
        <v>660.18</v>
      </c>
      <c r="J1645" s="9">
        <f>I1645/500</f>
        <v>1.32036</v>
      </c>
      <c r="K1645" s="6">
        <v>3.72</v>
      </c>
      <c r="L1645" s="6">
        <v>70</v>
      </c>
      <c r="N1645" s="1">
        <f t="shared" si="191"/>
        <v>0</v>
      </c>
      <c r="O1645" s="8" t="s">
        <v>20</v>
      </c>
      <c r="P1645" s="8"/>
      <c r="Q1645" s="8" t="s">
        <v>21</v>
      </c>
      <c r="R1645" s="8" t="s">
        <v>21</v>
      </c>
      <c r="S1645" s="8" t="s">
        <v>21</v>
      </c>
      <c r="T1645" s="8" t="s">
        <v>21</v>
      </c>
      <c r="U1645" s="6">
        <f t="shared" si="193"/>
        <v>462.12599999999992</v>
      </c>
      <c r="V1645" s="6">
        <f t="shared" si="199"/>
        <v>462.12599999999992</v>
      </c>
    </row>
    <row r="1646" spans="1:22" x14ac:dyDescent="0.35">
      <c r="A1646" s="6" t="s">
        <v>1826</v>
      </c>
      <c r="B1646" s="6" t="s">
        <v>1819</v>
      </c>
      <c r="C1646" s="6" t="s">
        <v>1820</v>
      </c>
      <c r="D1646" s="6">
        <f t="shared" si="194"/>
        <v>0.5</v>
      </c>
      <c r="E1646" s="6" t="s">
        <v>19</v>
      </c>
      <c r="F1646" s="6" t="str">
        <f>MID(A1646,19,1)</f>
        <v>N</v>
      </c>
      <c r="G1646" s="6">
        <v>-23.040218980311277</v>
      </c>
      <c r="H1646" s="6">
        <v>-47.065732274393959</v>
      </c>
      <c r="I1646" s="9">
        <v>1346.38</v>
      </c>
      <c r="K1646" s="6">
        <v>5.69</v>
      </c>
      <c r="L1646" s="6">
        <v>60</v>
      </c>
      <c r="N1646" s="1">
        <f t="shared" si="191"/>
        <v>0</v>
      </c>
      <c r="O1646" s="8" t="s">
        <v>20</v>
      </c>
      <c r="P1646" s="8"/>
      <c r="Q1646" s="8" t="s">
        <v>21</v>
      </c>
      <c r="R1646" s="8" t="s">
        <v>21</v>
      </c>
      <c r="S1646" s="8" t="s">
        <v>21</v>
      </c>
      <c r="T1646" s="8" t="s">
        <v>21</v>
      </c>
      <c r="U1646" s="6">
        <f t="shared" si="193"/>
        <v>807.82800000000009</v>
      </c>
      <c r="V1646" s="6">
        <f t="shared" si="199"/>
        <v>807.82800000000009</v>
      </c>
    </row>
    <row r="1647" spans="1:22" x14ac:dyDescent="0.35">
      <c r="A1647" s="6" t="s">
        <v>1827</v>
      </c>
      <c r="B1647" s="6" t="s">
        <v>1819</v>
      </c>
      <c r="C1647" s="6" t="s">
        <v>1820</v>
      </c>
      <c r="D1647" s="6">
        <f t="shared" si="194"/>
        <v>0.5</v>
      </c>
      <c r="E1647" s="6" t="s">
        <v>19</v>
      </c>
      <c r="F1647" s="6" t="str">
        <f>MID(A1647,19,1)</f>
        <v>N</v>
      </c>
      <c r="G1647" s="6">
        <v>-23.043526064283707</v>
      </c>
      <c r="H1647" s="6">
        <v>-47.060180430168764</v>
      </c>
      <c r="I1647" s="9">
        <v>1985.81</v>
      </c>
      <c r="K1647" s="6">
        <v>4.1399999999999997</v>
      </c>
      <c r="L1647" s="6">
        <v>40</v>
      </c>
      <c r="N1647" s="1">
        <f t="shared" si="191"/>
        <v>0</v>
      </c>
      <c r="O1647" s="8" t="s">
        <v>20</v>
      </c>
      <c r="P1647" s="8"/>
      <c r="Q1647" s="8" t="s">
        <v>21</v>
      </c>
      <c r="R1647" s="8" t="s">
        <v>21</v>
      </c>
      <c r="S1647" s="8" t="s">
        <v>21</v>
      </c>
      <c r="T1647" s="8" t="s">
        <v>21</v>
      </c>
      <c r="U1647" s="6">
        <f t="shared" si="193"/>
        <v>794.32400000000007</v>
      </c>
      <c r="V1647" s="6">
        <f t="shared" si="199"/>
        <v>794.32400000000007</v>
      </c>
    </row>
    <row r="1648" spans="1:22" hidden="1" x14ac:dyDescent="0.35">
      <c r="A1648" s="6" t="s">
        <v>1828</v>
      </c>
      <c r="B1648" s="6" t="s">
        <v>1819</v>
      </c>
      <c r="C1648" s="6" t="s">
        <v>1820</v>
      </c>
      <c r="D1648" s="6">
        <f t="shared" si="194"/>
        <v>0.5</v>
      </c>
      <c r="E1648" s="6" t="s">
        <v>19</v>
      </c>
      <c r="F1648" s="6" t="str">
        <f>MID(A1648,19,1)</f>
        <v>S</v>
      </c>
      <c r="G1648" s="6">
        <v>-23.044037356133526</v>
      </c>
      <c r="H1648" s="6">
        <v>-47.060482511350124</v>
      </c>
      <c r="I1648" s="9">
        <v>1950.28</v>
      </c>
      <c r="K1648" s="6">
        <v>6.02</v>
      </c>
      <c r="L1648" s="6">
        <v>60</v>
      </c>
      <c r="N1648" s="1">
        <f t="shared" si="191"/>
        <v>0</v>
      </c>
      <c r="O1648" s="8" t="s">
        <v>20</v>
      </c>
      <c r="P1648" s="8"/>
      <c r="Q1648" s="8" t="s">
        <v>21</v>
      </c>
      <c r="R1648" s="8" t="s">
        <v>21</v>
      </c>
      <c r="S1648" s="8" t="s">
        <v>21</v>
      </c>
      <c r="T1648" s="8" t="s">
        <v>21</v>
      </c>
      <c r="U1648" s="6">
        <f t="shared" si="193"/>
        <v>1170.1679999999999</v>
      </c>
      <c r="V1648" s="6">
        <f t="shared" si="199"/>
        <v>1170.1679999999999</v>
      </c>
    </row>
    <row r="1649" spans="1:22" x14ac:dyDescent="0.35">
      <c r="A1649" s="6" t="s">
        <v>1829</v>
      </c>
      <c r="B1649" s="6" t="s">
        <v>1819</v>
      </c>
      <c r="C1649" s="6" t="s">
        <v>1820</v>
      </c>
      <c r="D1649" s="6">
        <f t="shared" si="194"/>
        <v>0.5</v>
      </c>
      <c r="E1649" s="6" t="s">
        <v>19</v>
      </c>
      <c r="F1649" s="6" t="str">
        <f>MID(A1649,19,1)</f>
        <v>N</v>
      </c>
      <c r="G1649" s="6">
        <v>-23.031152546299307</v>
      </c>
      <c r="H1649" s="6">
        <v>-47.011634452793842</v>
      </c>
      <c r="I1649" s="9">
        <v>1627.58</v>
      </c>
      <c r="K1649" s="6">
        <v>7.27</v>
      </c>
      <c r="L1649" s="6">
        <v>80</v>
      </c>
      <c r="N1649" s="1">
        <f t="shared" si="191"/>
        <v>0</v>
      </c>
      <c r="O1649" s="8" t="s">
        <v>20</v>
      </c>
      <c r="P1649" s="8"/>
      <c r="Q1649" s="8" t="s">
        <v>21</v>
      </c>
      <c r="R1649" s="8" t="s">
        <v>21</v>
      </c>
      <c r="S1649" s="8" t="s">
        <v>21</v>
      </c>
      <c r="T1649" s="8" t="s">
        <v>21</v>
      </c>
      <c r="U1649" s="6">
        <f t="shared" si="193"/>
        <v>1302.0640000000001</v>
      </c>
      <c r="V1649" s="6">
        <f t="shared" si="199"/>
        <v>1302.0640000000001</v>
      </c>
    </row>
    <row r="1650" spans="1:22" hidden="1" x14ac:dyDescent="0.35">
      <c r="A1650" s="6" t="s">
        <v>1830</v>
      </c>
      <c r="B1650" s="6" t="s">
        <v>1819</v>
      </c>
      <c r="C1650" s="6" t="s">
        <v>1820</v>
      </c>
      <c r="D1650" s="6">
        <f t="shared" si="194"/>
        <v>0.5</v>
      </c>
      <c r="E1650" s="6" t="s">
        <v>19</v>
      </c>
      <c r="F1650" s="6" t="str">
        <f>MID(A1650,19,1)</f>
        <v>S</v>
      </c>
      <c r="G1650" s="6">
        <v>-23.042165673141795</v>
      </c>
      <c r="H1650" s="6">
        <v>-47.063365102606063</v>
      </c>
      <c r="I1650" s="9">
        <v>945.06</v>
      </c>
      <c r="K1650" s="6">
        <v>9.43</v>
      </c>
      <c r="L1650" s="6">
        <v>70</v>
      </c>
      <c r="N1650" s="1">
        <f t="shared" si="191"/>
        <v>0</v>
      </c>
      <c r="O1650" s="8" t="s">
        <v>20</v>
      </c>
      <c r="P1650" s="8"/>
      <c r="Q1650" s="8" t="s">
        <v>21</v>
      </c>
      <c r="R1650" s="8" t="s">
        <v>21</v>
      </c>
      <c r="S1650" s="8" t="s">
        <v>21</v>
      </c>
      <c r="T1650" s="8" t="s">
        <v>21</v>
      </c>
      <c r="U1650" s="6">
        <f t="shared" si="193"/>
        <v>661.54199999999992</v>
      </c>
      <c r="V1650" s="6">
        <f t="shared" si="199"/>
        <v>661.54199999999992</v>
      </c>
    </row>
    <row r="1651" spans="1:22" x14ac:dyDescent="0.35">
      <c r="A1651" s="6" t="s">
        <v>1831</v>
      </c>
      <c r="B1651" s="6" t="s">
        <v>1819</v>
      </c>
      <c r="C1651" s="6" t="s">
        <v>1820</v>
      </c>
      <c r="D1651" s="6">
        <f t="shared" si="194"/>
        <v>0.5</v>
      </c>
      <c r="E1651" s="6" t="s">
        <v>19</v>
      </c>
      <c r="F1651" s="6" t="str">
        <f>MID(A1651,19,1)</f>
        <v>N</v>
      </c>
      <c r="G1651" s="6">
        <v>-23.040583552888524</v>
      </c>
      <c r="H1651" s="6">
        <v>-47.066648851935611</v>
      </c>
      <c r="I1651" s="9">
        <v>8011.79</v>
      </c>
      <c r="K1651" s="6">
        <v>3.7</v>
      </c>
      <c r="L1651" s="6">
        <v>70</v>
      </c>
      <c r="N1651" s="1">
        <f t="shared" si="191"/>
        <v>0</v>
      </c>
      <c r="O1651" s="8" t="s">
        <v>20</v>
      </c>
      <c r="P1651" s="8"/>
      <c r="Q1651" s="8" t="s">
        <v>21</v>
      </c>
      <c r="R1651" s="8" t="s">
        <v>21</v>
      </c>
      <c r="S1651" s="8" t="s">
        <v>21</v>
      </c>
      <c r="T1651" s="8" t="s">
        <v>21</v>
      </c>
      <c r="U1651" s="6">
        <f t="shared" si="193"/>
        <v>5608.2529999999997</v>
      </c>
      <c r="V1651" s="6">
        <f t="shared" si="199"/>
        <v>5608.2529999999997</v>
      </c>
    </row>
    <row r="1652" spans="1:22" x14ac:dyDescent="0.35">
      <c r="A1652" s="6" t="s">
        <v>1832</v>
      </c>
      <c r="B1652" s="6" t="s">
        <v>1819</v>
      </c>
      <c r="C1652" s="6" t="s">
        <v>1820</v>
      </c>
      <c r="D1652" s="6">
        <f t="shared" si="194"/>
        <v>0.5</v>
      </c>
      <c r="E1652" s="6" t="s">
        <v>19</v>
      </c>
      <c r="F1652" s="6" t="str">
        <f>MID(A1652,19,1)</f>
        <v>N</v>
      </c>
      <c r="G1652" s="6">
        <v>-23.041628177473008</v>
      </c>
      <c r="H1652" s="6">
        <v>-47.063103999220012</v>
      </c>
      <c r="I1652" s="9">
        <v>949.42</v>
      </c>
      <c r="K1652" s="6">
        <v>3.65</v>
      </c>
      <c r="L1652" s="6">
        <v>60</v>
      </c>
      <c r="N1652" s="1">
        <f t="shared" si="191"/>
        <v>0</v>
      </c>
      <c r="O1652" s="8" t="s">
        <v>20</v>
      </c>
      <c r="P1652" s="8"/>
      <c r="Q1652" s="8" t="s">
        <v>21</v>
      </c>
      <c r="R1652" s="8" t="s">
        <v>21</v>
      </c>
      <c r="S1652" s="8" t="s">
        <v>21</v>
      </c>
      <c r="T1652" s="8" t="s">
        <v>21</v>
      </c>
      <c r="U1652" s="6">
        <f t="shared" si="193"/>
        <v>569.65199999999993</v>
      </c>
      <c r="V1652" s="6">
        <f t="shared" si="199"/>
        <v>569.65199999999993</v>
      </c>
    </row>
    <row r="1653" spans="1:22" hidden="1" x14ac:dyDescent="0.35">
      <c r="A1653" s="6" t="s">
        <v>1833</v>
      </c>
      <c r="B1653" s="6" t="s">
        <v>1819</v>
      </c>
      <c r="C1653" s="6" t="s">
        <v>1820</v>
      </c>
      <c r="D1653" s="6">
        <f t="shared" si="194"/>
        <v>0.5</v>
      </c>
      <c r="E1653" s="6" t="s">
        <v>23</v>
      </c>
      <c r="F1653" s="6" t="str">
        <f>MID(A1653,19,1)</f>
        <v>C</v>
      </c>
      <c r="G1653" s="6">
        <v>-23.04377728557844</v>
      </c>
      <c r="H1653" s="6">
        <v>-47.060326964355447</v>
      </c>
      <c r="I1653" s="9">
        <v>14902.51</v>
      </c>
      <c r="J1653" s="9">
        <f t="shared" ref="J1653:J1654" si="200">I1653/500</f>
        <v>29.805019999999999</v>
      </c>
      <c r="K1653" s="6">
        <v>4.16</v>
      </c>
      <c r="L1653" s="6">
        <v>70</v>
      </c>
      <c r="N1653" s="1">
        <f t="shared" si="191"/>
        <v>0</v>
      </c>
      <c r="O1653" s="8" t="s">
        <v>185</v>
      </c>
      <c r="P1653" s="8"/>
      <c r="Q1653" s="8" t="s">
        <v>21</v>
      </c>
      <c r="R1653" s="8" t="s">
        <v>21</v>
      </c>
      <c r="S1653" s="8" t="s">
        <v>21</v>
      </c>
      <c r="T1653" s="8" t="s">
        <v>21</v>
      </c>
      <c r="U1653" s="6">
        <f t="shared" si="193"/>
        <v>10431.757</v>
      </c>
      <c r="V1653" s="6">
        <f t="shared" si="199"/>
        <v>10431.757</v>
      </c>
    </row>
    <row r="1654" spans="1:22" hidden="1" x14ac:dyDescent="0.35">
      <c r="A1654" s="6" t="s">
        <v>1834</v>
      </c>
      <c r="B1654" s="6" t="s">
        <v>1835</v>
      </c>
      <c r="C1654" s="6" t="s">
        <v>1836</v>
      </c>
      <c r="D1654" s="6">
        <f t="shared" si="194"/>
        <v>0.5</v>
      </c>
      <c r="E1654" s="6" t="s">
        <v>23</v>
      </c>
      <c r="F1654" s="6" t="str">
        <f>MID(A1654,19,1)</f>
        <v>C</v>
      </c>
      <c r="G1654" s="6">
        <v>-23.039486018044148</v>
      </c>
      <c r="H1654" s="6">
        <v>-47.068144711825965</v>
      </c>
      <c r="I1654" s="9">
        <v>4459.6499999999996</v>
      </c>
      <c r="J1654" s="9">
        <f t="shared" si="200"/>
        <v>8.9192999999999998</v>
      </c>
      <c r="K1654" s="6">
        <v>2.15</v>
      </c>
      <c r="L1654" s="6">
        <v>70</v>
      </c>
      <c r="N1654" s="1">
        <f t="shared" si="191"/>
        <v>0</v>
      </c>
      <c r="O1654" s="8" t="s">
        <v>20</v>
      </c>
      <c r="P1654" s="8"/>
      <c r="Q1654" s="8" t="s">
        <v>21</v>
      </c>
      <c r="R1654" s="8" t="s">
        <v>21</v>
      </c>
      <c r="S1654" s="8" t="s">
        <v>21</v>
      </c>
      <c r="T1654" s="8" t="s">
        <v>21</v>
      </c>
      <c r="U1654" s="6">
        <f t="shared" si="193"/>
        <v>3121.7549999999997</v>
      </c>
      <c r="V1654" s="6">
        <f t="shared" si="199"/>
        <v>3121.7549999999997</v>
      </c>
    </row>
    <row r="1655" spans="1:22" x14ac:dyDescent="0.35">
      <c r="A1655" s="6" t="s">
        <v>1837</v>
      </c>
      <c r="B1655" s="6" t="s">
        <v>1835</v>
      </c>
      <c r="C1655" s="6" t="s">
        <v>1836</v>
      </c>
      <c r="D1655" s="6">
        <f t="shared" si="194"/>
        <v>0.5</v>
      </c>
      <c r="E1655" s="6" t="s">
        <v>19</v>
      </c>
      <c r="F1655" s="6" t="str">
        <f>MID(A1655,19,1)</f>
        <v>N</v>
      </c>
      <c r="G1655" s="6">
        <v>-23.03396386424058</v>
      </c>
      <c r="H1655" s="6">
        <v>-47.070874030527172</v>
      </c>
      <c r="I1655" s="9">
        <v>1701.71</v>
      </c>
      <c r="K1655" s="6">
        <v>5.41</v>
      </c>
      <c r="L1655" s="6">
        <v>40</v>
      </c>
      <c r="N1655" s="1">
        <f t="shared" si="191"/>
        <v>0</v>
      </c>
      <c r="O1655" s="8" t="s">
        <v>20</v>
      </c>
      <c r="P1655" s="8"/>
      <c r="Q1655" s="8" t="s">
        <v>21</v>
      </c>
      <c r="R1655" s="8" t="s">
        <v>21</v>
      </c>
      <c r="S1655" s="8" t="s">
        <v>21</v>
      </c>
      <c r="T1655" s="8" t="s">
        <v>21</v>
      </c>
      <c r="U1655" s="6">
        <f t="shared" si="193"/>
        <v>680.68400000000008</v>
      </c>
      <c r="V1655" s="6">
        <f t="shared" si="199"/>
        <v>680.68400000000008</v>
      </c>
    </row>
    <row r="1656" spans="1:22" hidden="1" x14ac:dyDescent="0.35">
      <c r="A1656" s="6" t="s">
        <v>1838</v>
      </c>
      <c r="B1656" s="6" t="s">
        <v>1835</v>
      </c>
      <c r="C1656" s="6" t="s">
        <v>1836</v>
      </c>
      <c r="D1656" s="6">
        <f t="shared" si="194"/>
        <v>0.5</v>
      </c>
      <c r="E1656" s="6" t="s">
        <v>19</v>
      </c>
      <c r="F1656" s="6" t="str">
        <f>MID(A1656,19,1)</f>
        <v>S</v>
      </c>
      <c r="G1656" s="6">
        <v>-23.033869480626564</v>
      </c>
      <c r="H1656" s="6">
        <v>-47.071643482245555</v>
      </c>
      <c r="I1656" s="9">
        <v>2179.6</v>
      </c>
      <c r="K1656" s="6">
        <v>4.47</v>
      </c>
      <c r="L1656" s="6">
        <v>70</v>
      </c>
      <c r="N1656" s="1">
        <f t="shared" si="191"/>
        <v>0</v>
      </c>
      <c r="O1656" s="8" t="s">
        <v>20</v>
      </c>
      <c r="P1656" s="8"/>
      <c r="Q1656" s="8" t="s">
        <v>21</v>
      </c>
      <c r="R1656" s="8" t="s">
        <v>21</v>
      </c>
      <c r="S1656" s="8" t="s">
        <v>21</v>
      </c>
      <c r="T1656" s="8" t="s">
        <v>21</v>
      </c>
      <c r="U1656" s="6">
        <f t="shared" si="193"/>
        <v>1525.7199999999998</v>
      </c>
      <c r="V1656" s="6">
        <f t="shared" si="199"/>
        <v>1525.7199999999998</v>
      </c>
    </row>
    <row r="1657" spans="1:22" x14ac:dyDescent="0.35">
      <c r="A1657" s="6" t="s">
        <v>1839</v>
      </c>
      <c r="B1657" s="6" t="s">
        <v>1835</v>
      </c>
      <c r="C1657" s="6" t="s">
        <v>1836</v>
      </c>
      <c r="D1657" s="6">
        <f t="shared" si="194"/>
        <v>0.5</v>
      </c>
      <c r="E1657" s="6" t="s">
        <v>19</v>
      </c>
      <c r="F1657" s="6" t="str">
        <f>MID(A1657,19,1)</f>
        <v>N</v>
      </c>
      <c r="G1657" s="6">
        <v>-23.035882871908925</v>
      </c>
      <c r="H1657" s="6">
        <v>-47.069890978078462</v>
      </c>
      <c r="I1657" s="9">
        <v>251.81</v>
      </c>
      <c r="K1657" s="6">
        <v>3.54</v>
      </c>
      <c r="L1657" s="6">
        <v>40</v>
      </c>
      <c r="N1657" s="1">
        <f t="shared" si="191"/>
        <v>0</v>
      </c>
      <c r="O1657" s="8" t="s">
        <v>20</v>
      </c>
      <c r="P1657" s="8"/>
      <c r="Q1657" s="8" t="s">
        <v>21</v>
      </c>
      <c r="R1657" s="8" t="s">
        <v>21</v>
      </c>
      <c r="S1657" s="8" t="s">
        <v>21</v>
      </c>
      <c r="T1657" s="8" t="s">
        <v>21</v>
      </c>
      <c r="U1657" s="6">
        <f t="shared" si="193"/>
        <v>100.724</v>
      </c>
      <c r="V1657" s="6">
        <f t="shared" si="199"/>
        <v>100.724</v>
      </c>
    </row>
    <row r="1658" spans="1:22" hidden="1" x14ac:dyDescent="0.35">
      <c r="A1658" s="6" t="s">
        <v>1840</v>
      </c>
      <c r="B1658" s="6" t="s">
        <v>1835</v>
      </c>
      <c r="C1658" s="6" t="s">
        <v>1836</v>
      </c>
      <c r="D1658" s="6">
        <f t="shared" si="194"/>
        <v>0.5</v>
      </c>
      <c r="E1658" s="6" t="s">
        <v>19</v>
      </c>
      <c r="F1658" s="6" t="str">
        <f>MID(A1658,19,1)</f>
        <v>S</v>
      </c>
      <c r="G1658" s="6">
        <v>-23.036235626247311</v>
      </c>
      <c r="H1658" s="6">
        <v>-47.070590299536285</v>
      </c>
      <c r="I1658" s="9">
        <v>133.80000000000001</v>
      </c>
      <c r="K1658" s="6">
        <v>6.08</v>
      </c>
      <c r="L1658" s="6">
        <v>70</v>
      </c>
      <c r="N1658" s="1">
        <f t="shared" si="191"/>
        <v>0</v>
      </c>
      <c r="O1658" s="8" t="s">
        <v>20</v>
      </c>
      <c r="P1658" s="8"/>
      <c r="Q1658" s="8" t="s">
        <v>21</v>
      </c>
      <c r="R1658" s="8" t="s">
        <v>21</v>
      </c>
      <c r="S1658" s="8" t="s">
        <v>21</v>
      </c>
      <c r="T1658" s="8" t="s">
        <v>21</v>
      </c>
      <c r="U1658" s="6">
        <f t="shared" si="193"/>
        <v>93.66</v>
      </c>
      <c r="V1658" s="6">
        <f t="shared" si="199"/>
        <v>93.66</v>
      </c>
    </row>
    <row r="1659" spans="1:22" x14ac:dyDescent="0.35">
      <c r="A1659" s="6" t="s">
        <v>1841</v>
      </c>
      <c r="B1659" s="6" t="s">
        <v>1835</v>
      </c>
      <c r="C1659" s="6" t="s">
        <v>1836</v>
      </c>
      <c r="D1659" s="6">
        <f t="shared" si="194"/>
        <v>0.5</v>
      </c>
      <c r="E1659" s="6" t="s">
        <v>19</v>
      </c>
      <c r="F1659" s="6" t="str">
        <f>MID(A1659,19,1)</f>
        <v>N</v>
      </c>
      <c r="G1659" s="6">
        <v>-23.031765868968485</v>
      </c>
      <c r="H1659" s="6">
        <v>-47.071869602667924</v>
      </c>
      <c r="I1659" s="9">
        <v>3169.54</v>
      </c>
      <c r="K1659" s="6">
        <v>3.76</v>
      </c>
      <c r="L1659" s="6">
        <v>40</v>
      </c>
      <c r="N1659" s="1">
        <f t="shared" si="191"/>
        <v>0</v>
      </c>
      <c r="O1659" s="8" t="s">
        <v>20</v>
      </c>
      <c r="P1659" s="8"/>
      <c r="Q1659" s="8" t="s">
        <v>21</v>
      </c>
      <c r="R1659" s="8" t="s">
        <v>21</v>
      </c>
      <c r="S1659" s="8" t="s">
        <v>21</v>
      </c>
      <c r="T1659" s="8" t="s">
        <v>21</v>
      </c>
      <c r="U1659" s="6">
        <f t="shared" si="193"/>
        <v>1267.816</v>
      </c>
      <c r="V1659" s="6">
        <f t="shared" si="199"/>
        <v>1267.816</v>
      </c>
    </row>
    <row r="1660" spans="1:22" x14ac:dyDescent="0.35">
      <c r="A1660" s="6" t="s">
        <v>1842</v>
      </c>
      <c r="B1660" s="6" t="s">
        <v>1835</v>
      </c>
      <c r="C1660" s="6" t="s">
        <v>1836</v>
      </c>
      <c r="D1660" s="6">
        <f t="shared" si="194"/>
        <v>0.5</v>
      </c>
      <c r="E1660" s="6" t="s">
        <v>19</v>
      </c>
      <c r="F1660" s="6" t="str">
        <f>MID(A1660,19,1)</f>
        <v>N</v>
      </c>
      <c r="G1660" s="6">
        <v>-23.037725273551022</v>
      </c>
      <c r="H1660" s="6">
        <v>-47.068728875927327</v>
      </c>
      <c r="I1660" s="9">
        <v>2020.07</v>
      </c>
      <c r="K1660" s="6">
        <v>3.91</v>
      </c>
      <c r="L1660" s="6">
        <v>60</v>
      </c>
      <c r="N1660" s="1">
        <f t="shared" si="191"/>
        <v>0</v>
      </c>
      <c r="O1660" s="8" t="s">
        <v>20</v>
      </c>
      <c r="P1660" s="8"/>
      <c r="Q1660" s="8" t="s">
        <v>21</v>
      </c>
      <c r="R1660" s="8" t="s">
        <v>21</v>
      </c>
      <c r="S1660" s="8" t="s">
        <v>21</v>
      </c>
      <c r="T1660" s="8" t="s">
        <v>21</v>
      </c>
      <c r="U1660" s="6">
        <f t="shared" si="193"/>
        <v>1212.0419999999999</v>
      </c>
      <c r="V1660" s="6">
        <f t="shared" si="199"/>
        <v>1212.0419999999999</v>
      </c>
    </row>
    <row r="1661" spans="1:22" hidden="1" x14ac:dyDescent="0.35">
      <c r="A1661" s="6" t="s">
        <v>1843</v>
      </c>
      <c r="B1661" s="6" t="s">
        <v>1835</v>
      </c>
      <c r="C1661" s="6" t="s">
        <v>1836</v>
      </c>
      <c r="D1661" s="6">
        <f t="shared" si="194"/>
        <v>0.5</v>
      </c>
      <c r="E1661" s="6" t="s">
        <v>19</v>
      </c>
      <c r="F1661" s="6" t="str">
        <f>MID(A1661,19,1)</f>
        <v>S</v>
      </c>
      <c r="G1661" s="6">
        <v>-23.018883233329127</v>
      </c>
      <c r="H1661" s="6">
        <v>-47.019793288485388</v>
      </c>
      <c r="I1661" s="9">
        <v>1161.7</v>
      </c>
      <c r="K1661" s="6">
        <v>7.91</v>
      </c>
      <c r="L1661" s="6">
        <v>0</v>
      </c>
      <c r="N1661" s="1">
        <f t="shared" si="191"/>
        <v>0</v>
      </c>
      <c r="O1661" s="8"/>
      <c r="P1661" s="8"/>
      <c r="Q1661" s="8" t="s">
        <v>21</v>
      </c>
      <c r="R1661" s="8" t="s">
        <v>21</v>
      </c>
      <c r="S1661" s="8" t="s">
        <v>21</v>
      </c>
      <c r="T1661" s="8" t="s">
        <v>21</v>
      </c>
      <c r="U1661" s="6">
        <f t="shared" si="193"/>
        <v>0</v>
      </c>
      <c r="V1661" s="6">
        <f t="shared" si="199"/>
        <v>0</v>
      </c>
    </row>
    <row r="1662" spans="1:22" hidden="1" x14ac:dyDescent="0.35">
      <c r="A1662" s="6" t="s">
        <v>1844</v>
      </c>
      <c r="B1662" s="6" t="s">
        <v>1835</v>
      </c>
      <c r="C1662" s="6" t="s">
        <v>1836</v>
      </c>
      <c r="D1662" s="6">
        <f t="shared" si="194"/>
        <v>0.5</v>
      </c>
      <c r="E1662" s="6" t="s">
        <v>23</v>
      </c>
      <c r="F1662" s="6" t="str">
        <f>MID(A1662,19,1)</f>
        <v>C</v>
      </c>
      <c r="G1662" s="6">
        <v>-23.036019687220012</v>
      </c>
      <c r="H1662" s="6">
        <v>-47.070263826587947</v>
      </c>
      <c r="I1662" s="9">
        <v>665.99</v>
      </c>
      <c r="J1662" s="9">
        <f>I1662/500</f>
        <v>1.3319799999999999</v>
      </c>
      <c r="K1662" s="6">
        <v>4.42</v>
      </c>
      <c r="L1662" s="6">
        <v>70</v>
      </c>
      <c r="N1662" s="1">
        <f t="shared" si="191"/>
        <v>0</v>
      </c>
      <c r="O1662" s="8" t="s">
        <v>185</v>
      </c>
      <c r="P1662" s="8"/>
      <c r="Q1662" s="8" t="s">
        <v>21</v>
      </c>
      <c r="R1662" s="8" t="s">
        <v>21</v>
      </c>
      <c r="S1662" s="8" t="s">
        <v>21</v>
      </c>
      <c r="T1662" s="8" t="s">
        <v>21</v>
      </c>
      <c r="U1662" s="6">
        <f t="shared" si="193"/>
        <v>466.19299999999998</v>
      </c>
      <c r="V1662" s="6">
        <f t="shared" si="199"/>
        <v>466.19299999999998</v>
      </c>
    </row>
    <row r="1663" spans="1:22" hidden="1" x14ac:dyDescent="0.35">
      <c r="A1663" s="6" t="s">
        <v>1845</v>
      </c>
      <c r="B1663" s="6" t="s">
        <v>1835</v>
      </c>
      <c r="C1663" s="6" t="s">
        <v>1836</v>
      </c>
      <c r="D1663" s="6">
        <f t="shared" si="194"/>
        <v>0.5</v>
      </c>
      <c r="E1663" s="6" t="s">
        <v>19</v>
      </c>
      <c r="F1663" s="6" t="str">
        <f>MID(A1663,19,1)</f>
        <v>S</v>
      </c>
      <c r="G1663" s="6">
        <v>-23.037564581677376</v>
      </c>
      <c r="H1663" s="6">
        <v>-47.069736053797612</v>
      </c>
      <c r="I1663" s="9">
        <v>1532.46</v>
      </c>
      <c r="K1663" s="6">
        <v>3.89</v>
      </c>
      <c r="L1663" s="6">
        <v>70</v>
      </c>
      <c r="N1663" s="1">
        <f t="shared" si="191"/>
        <v>0</v>
      </c>
      <c r="O1663" s="8" t="s">
        <v>20</v>
      </c>
      <c r="P1663" s="8"/>
      <c r="Q1663" s="8" t="s">
        <v>21</v>
      </c>
      <c r="R1663" s="8" t="s">
        <v>21</v>
      </c>
      <c r="S1663" s="8" t="s">
        <v>21</v>
      </c>
      <c r="T1663" s="8" t="s">
        <v>21</v>
      </c>
      <c r="U1663" s="6">
        <f t="shared" si="193"/>
        <v>1072.722</v>
      </c>
      <c r="V1663" s="6">
        <f t="shared" si="199"/>
        <v>1072.722</v>
      </c>
    </row>
    <row r="1664" spans="1:22" hidden="1" x14ac:dyDescent="0.35">
      <c r="A1664" s="6" t="s">
        <v>1846</v>
      </c>
      <c r="B1664" s="6" t="s">
        <v>1835</v>
      </c>
      <c r="C1664" s="6" t="s">
        <v>1836</v>
      </c>
      <c r="D1664" s="6">
        <f t="shared" si="194"/>
        <v>0.5</v>
      </c>
      <c r="E1664" s="6" t="s">
        <v>23</v>
      </c>
      <c r="F1664" s="6" t="str">
        <f>MID(A1664,19,1)</f>
        <v>C</v>
      </c>
      <c r="G1664" s="6">
        <v>-23.038029287471982</v>
      </c>
      <c r="H1664" s="6">
        <v>-47.068904013654674</v>
      </c>
      <c r="I1664" s="9">
        <v>14662.25</v>
      </c>
      <c r="J1664" s="9">
        <f>I1664/500</f>
        <v>29.3245</v>
      </c>
      <c r="K1664" s="6">
        <v>3.63</v>
      </c>
      <c r="L1664" s="6">
        <v>70</v>
      </c>
      <c r="N1664" s="1">
        <f t="shared" si="191"/>
        <v>0</v>
      </c>
      <c r="O1664" s="8" t="s">
        <v>185</v>
      </c>
      <c r="P1664" s="8"/>
      <c r="Q1664" s="8" t="s">
        <v>21</v>
      </c>
      <c r="R1664" s="8" t="s">
        <v>21</v>
      </c>
      <c r="S1664" s="8" t="s">
        <v>21</v>
      </c>
      <c r="T1664" s="8" t="s">
        <v>21</v>
      </c>
      <c r="U1664" s="6">
        <f t="shared" si="193"/>
        <v>10263.574999999999</v>
      </c>
      <c r="V1664" s="6">
        <f t="shared" si="199"/>
        <v>10263.574999999999</v>
      </c>
    </row>
    <row r="1665" spans="1:22" hidden="1" x14ac:dyDescent="0.35">
      <c r="A1665" s="6" t="s">
        <v>1847</v>
      </c>
      <c r="B1665" s="6" t="s">
        <v>1835</v>
      </c>
      <c r="C1665" s="6" t="s">
        <v>1836</v>
      </c>
      <c r="D1665" s="6">
        <f t="shared" si="194"/>
        <v>0.5</v>
      </c>
      <c r="E1665" s="6" t="s">
        <v>19</v>
      </c>
      <c r="F1665" s="6" t="str">
        <f>MID(A1665,19,1)</f>
        <v>S</v>
      </c>
      <c r="G1665" s="6">
        <v>-23.021301733212042</v>
      </c>
      <c r="H1665" s="6">
        <v>-47.01834409759244</v>
      </c>
      <c r="I1665" s="9">
        <v>512.47</v>
      </c>
      <c r="K1665" s="6">
        <v>3.75</v>
      </c>
      <c r="L1665" s="6">
        <v>0</v>
      </c>
      <c r="N1665" s="1">
        <f t="shared" si="191"/>
        <v>0</v>
      </c>
      <c r="O1665" s="8"/>
      <c r="P1665" s="8"/>
      <c r="Q1665" s="8" t="s">
        <v>21</v>
      </c>
      <c r="R1665" s="8" t="s">
        <v>21</v>
      </c>
      <c r="S1665" s="8" t="s">
        <v>21</v>
      </c>
      <c r="T1665" s="8" t="s">
        <v>21</v>
      </c>
      <c r="U1665" s="6">
        <f t="shared" si="193"/>
        <v>0</v>
      </c>
      <c r="V1665" s="6">
        <f t="shared" si="199"/>
        <v>0</v>
      </c>
    </row>
    <row r="1666" spans="1:22" x14ac:dyDescent="0.35">
      <c r="A1666" s="6" t="s">
        <v>1848</v>
      </c>
      <c r="B1666" s="6" t="s">
        <v>1835</v>
      </c>
      <c r="C1666" s="6" t="s">
        <v>1836</v>
      </c>
      <c r="D1666" s="6">
        <f t="shared" si="194"/>
        <v>0.5</v>
      </c>
      <c r="E1666" s="6" t="s">
        <v>19</v>
      </c>
      <c r="F1666" s="6" t="str">
        <f>MID(A1666,19,1)</f>
        <v>N</v>
      </c>
      <c r="G1666" s="6">
        <v>-23.020887989409587</v>
      </c>
      <c r="H1666" s="6">
        <v>-47.017952412541753</v>
      </c>
      <c r="I1666" s="9">
        <v>587.9</v>
      </c>
      <c r="K1666" s="6">
        <v>4.16</v>
      </c>
      <c r="L1666" s="6">
        <v>60</v>
      </c>
      <c r="N1666" s="1">
        <f t="shared" ref="N1666:N1729" si="201">IF(OR(R1666="Sim",S1666="Sim",T1666="Sim"),(L1666/100)*I1666,0)</f>
        <v>0</v>
      </c>
      <c r="O1666" s="8" t="s">
        <v>20</v>
      </c>
      <c r="P1666" s="8"/>
      <c r="Q1666" s="8" t="s">
        <v>21</v>
      </c>
      <c r="R1666" s="8" t="s">
        <v>21</v>
      </c>
      <c r="S1666" s="8" t="s">
        <v>21</v>
      </c>
      <c r="T1666" s="8" t="s">
        <v>21</v>
      </c>
      <c r="U1666" s="6">
        <f t="shared" si="193"/>
        <v>352.73999999999995</v>
      </c>
      <c r="V1666" s="6">
        <f t="shared" si="199"/>
        <v>352.73999999999995</v>
      </c>
    </row>
    <row r="1667" spans="1:22" x14ac:dyDescent="0.35">
      <c r="A1667" s="6" t="s">
        <v>1849</v>
      </c>
      <c r="B1667" s="6" t="s">
        <v>1835</v>
      </c>
      <c r="C1667" s="6" t="s">
        <v>1836</v>
      </c>
      <c r="D1667" s="6">
        <f t="shared" si="194"/>
        <v>0.5</v>
      </c>
      <c r="E1667" s="6" t="s">
        <v>19</v>
      </c>
      <c r="F1667" s="6" t="str">
        <f>MID(A1667,19,1)</f>
        <v>N</v>
      </c>
      <c r="G1667" s="6">
        <v>-23.023254479331353</v>
      </c>
      <c r="H1667" s="6">
        <v>-47.01645128508811</v>
      </c>
      <c r="I1667" s="9">
        <v>1843.83</v>
      </c>
      <c r="K1667" s="6">
        <v>3.75</v>
      </c>
      <c r="L1667" s="6">
        <v>60</v>
      </c>
      <c r="N1667" s="1">
        <f t="shared" si="201"/>
        <v>0</v>
      </c>
      <c r="O1667" s="8" t="s">
        <v>20</v>
      </c>
      <c r="P1667" s="8"/>
      <c r="Q1667" s="8" t="s">
        <v>21</v>
      </c>
      <c r="R1667" s="8" t="s">
        <v>21</v>
      </c>
      <c r="S1667" s="8" t="s">
        <v>21</v>
      </c>
      <c r="T1667" s="8" t="s">
        <v>21</v>
      </c>
      <c r="U1667" s="6">
        <f t="shared" ref="U1667:U1730" si="202">IF(N1667=0,(I1667*(L1667/100)),0)</f>
        <v>1106.298</v>
      </c>
      <c r="V1667" s="6">
        <f t="shared" si="199"/>
        <v>1106.298</v>
      </c>
    </row>
    <row r="1668" spans="1:22" hidden="1" x14ac:dyDescent="0.35">
      <c r="A1668" s="6" t="s">
        <v>1850</v>
      </c>
      <c r="B1668" s="6" t="s">
        <v>1835</v>
      </c>
      <c r="C1668" s="6" t="s">
        <v>1836</v>
      </c>
      <c r="D1668" s="6">
        <f t="shared" si="194"/>
        <v>0.5</v>
      </c>
      <c r="E1668" s="6" t="s">
        <v>19</v>
      </c>
      <c r="F1668" s="6" t="str">
        <f>MID(A1668,19,1)</f>
        <v>S</v>
      </c>
      <c r="G1668" s="6">
        <v>-23.023434074640488</v>
      </c>
      <c r="H1668" s="6">
        <v>-47.016754182376992</v>
      </c>
      <c r="I1668" s="9">
        <v>1783.66</v>
      </c>
      <c r="K1668" s="6">
        <v>6</v>
      </c>
      <c r="L1668" s="6">
        <v>0</v>
      </c>
      <c r="N1668" s="1">
        <f t="shared" si="201"/>
        <v>0</v>
      </c>
      <c r="O1668" s="8"/>
      <c r="P1668" s="8"/>
      <c r="Q1668" s="8" t="s">
        <v>21</v>
      </c>
      <c r="R1668" s="8" t="s">
        <v>21</v>
      </c>
      <c r="S1668" s="8" t="s">
        <v>21</v>
      </c>
      <c r="T1668" s="8" t="s">
        <v>21</v>
      </c>
      <c r="U1668" s="6">
        <f t="shared" si="202"/>
        <v>0</v>
      </c>
      <c r="V1668" s="6">
        <f t="shared" si="199"/>
        <v>0</v>
      </c>
    </row>
    <row r="1669" spans="1:22" x14ac:dyDescent="0.35">
      <c r="A1669" s="6" t="s">
        <v>1851</v>
      </c>
      <c r="B1669" s="6" t="s">
        <v>1835</v>
      </c>
      <c r="C1669" s="6" t="s">
        <v>1836</v>
      </c>
      <c r="D1669" s="6">
        <f t="shared" si="194"/>
        <v>0.5</v>
      </c>
      <c r="E1669" s="6" t="s">
        <v>19</v>
      </c>
      <c r="F1669" s="6" t="str">
        <f>MID(A1669,19,1)</f>
        <v>N</v>
      </c>
      <c r="G1669" s="6">
        <v>-23.018731522766387</v>
      </c>
      <c r="H1669" s="6">
        <v>-47.019305304590553</v>
      </c>
      <c r="I1669" s="9">
        <v>1317.75</v>
      </c>
      <c r="K1669" s="6">
        <v>7.7</v>
      </c>
      <c r="L1669" s="6">
        <v>60</v>
      </c>
      <c r="N1669" s="1">
        <f t="shared" si="201"/>
        <v>0</v>
      </c>
      <c r="O1669" s="8" t="s">
        <v>20</v>
      </c>
      <c r="P1669" s="8"/>
      <c r="Q1669" s="8" t="s">
        <v>21</v>
      </c>
      <c r="R1669" s="8" t="s">
        <v>21</v>
      </c>
      <c r="S1669" s="8" t="s">
        <v>21</v>
      </c>
      <c r="T1669" s="8" t="s">
        <v>21</v>
      </c>
      <c r="U1669" s="6">
        <f t="shared" si="202"/>
        <v>790.65</v>
      </c>
      <c r="V1669" s="6">
        <f t="shared" si="199"/>
        <v>790.65</v>
      </c>
    </row>
    <row r="1670" spans="1:22" hidden="1" x14ac:dyDescent="0.35">
      <c r="A1670" s="6" t="s">
        <v>1852</v>
      </c>
      <c r="B1670" s="6" t="s">
        <v>1835</v>
      </c>
      <c r="C1670" s="6" t="s">
        <v>1836</v>
      </c>
      <c r="D1670" s="6">
        <f t="shared" si="194"/>
        <v>0.5</v>
      </c>
      <c r="E1670" s="6" t="s">
        <v>23</v>
      </c>
      <c r="F1670" s="6" t="str">
        <f>MID(A1670,19,1)</f>
        <v>C</v>
      </c>
      <c r="G1670" s="6">
        <v>-23.033675412136631</v>
      </c>
      <c r="H1670" s="6">
        <v>-47.071391338047697</v>
      </c>
      <c r="I1670" s="9">
        <v>16596.650000000001</v>
      </c>
      <c r="J1670" s="9">
        <f>I1670/500</f>
        <v>33.193300000000001</v>
      </c>
      <c r="K1670" s="6">
        <v>4.43</v>
      </c>
      <c r="L1670" s="6">
        <v>70</v>
      </c>
      <c r="N1670" s="1">
        <f t="shared" si="201"/>
        <v>0</v>
      </c>
      <c r="O1670" s="8" t="s">
        <v>185</v>
      </c>
      <c r="P1670" s="8"/>
      <c r="Q1670" s="8" t="s">
        <v>21</v>
      </c>
      <c r="R1670" s="8" t="s">
        <v>21</v>
      </c>
      <c r="S1670" s="8" t="s">
        <v>21</v>
      </c>
      <c r="T1670" s="8" t="s">
        <v>21</v>
      </c>
      <c r="U1670" s="6">
        <f t="shared" si="202"/>
        <v>11617.655000000001</v>
      </c>
      <c r="V1670" s="6">
        <f t="shared" si="199"/>
        <v>11617.655000000001</v>
      </c>
    </row>
    <row r="1671" spans="1:22" x14ac:dyDescent="0.35">
      <c r="A1671" s="6" t="s">
        <v>1853</v>
      </c>
      <c r="B1671" s="6" t="s">
        <v>1854</v>
      </c>
      <c r="C1671" s="6" t="s">
        <v>1855</v>
      </c>
      <c r="D1671" s="6">
        <f t="shared" si="194"/>
        <v>0.5</v>
      </c>
      <c r="E1671" s="6" t="s">
        <v>19</v>
      </c>
      <c r="F1671" s="6" t="str">
        <f>MID(A1671,19,1)</f>
        <v>N</v>
      </c>
      <c r="G1671" s="6">
        <v>-23.023448414004857</v>
      </c>
      <c r="H1671" s="6">
        <v>-47.076139681754803</v>
      </c>
      <c r="I1671" s="9">
        <v>431.43</v>
      </c>
      <c r="K1671" s="6">
        <v>2.4900000000000002</v>
      </c>
      <c r="L1671" s="6">
        <v>70</v>
      </c>
      <c r="N1671" s="1">
        <f t="shared" si="201"/>
        <v>0</v>
      </c>
      <c r="O1671" s="8" t="s">
        <v>20</v>
      </c>
      <c r="P1671" s="8"/>
      <c r="Q1671" s="8" t="s">
        <v>21</v>
      </c>
      <c r="R1671" s="8" t="s">
        <v>21</v>
      </c>
      <c r="S1671" s="8" t="s">
        <v>21</v>
      </c>
      <c r="T1671" s="8" t="s">
        <v>21</v>
      </c>
      <c r="U1671" s="6">
        <f t="shared" si="202"/>
        <v>302.00099999999998</v>
      </c>
      <c r="V1671" s="6">
        <f t="shared" si="199"/>
        <v>302.00099999999998</v>
      </c>
    </row>
    <row r="1672" spans="1:22" hidden="1" x14ac:dyDescent="0.35">
      <c r="A1672" s="6" t="s">
        <v>1856</v>
      </c>
      <c r="B1672" s="6" t="s">
        <v>1854</v>
      </c>
      <c r="C1672" s="6" t="s">
        <v>1855</v>
      </c>
      <c r="D1672" s="6">
        <f t="shared" si="194"/>
        <v>0.5</v>
      </c>
      <c r="E1672" s="6" t="s">
        <v>19</v>
      </c>
      <c r="F1672" s="6" t="str">
        <f>MID(A1672,19,1)</f>
        <v>S</v>
      </c>
      <c r="G1672" s="6">
        <v>-23.011760444314987</v>
      </c>
      <c r="H1672" s="6">
        <v>-47.025071354115546</v>
      </c>
      <c r="I1672" s="9">
        <v>20682.77</v>
      </c>
      <c r="K1672" s="6">
        <v>5.25</v>
      </c>
      <c r="L1672" s="6">
        <v>70</v>
      </c>
      <c r="N1672" s="1">
        <f t="shared" si="201"/>
        <v>0</v>
      </c>
      <c r="O1672" s="8" t="s">
        <v>20</v>
      </c>
      <c r="P1672" s="8"/>
      <c r="Q1672" s="8" t="s">
        <v>21</v>
      </c>
      <c r="R1672" s="8" t="s">
        <v>21</v>
      </c>
      <c r="S1672" s="8" t="s">
        <v>21</v>
      </c>
      <c r="T1672" s="8" t="s">
        <v>21</v>
      </c>
      <c r="U1672" s="6">
        <f t="shared" si="202"/>
        <v>14477.938999999998</v>
      </c>
      <c r="V1672" s="6">
        <f t="shared" si="199"/>
        <v>14477.938999999998</v>
      </c>
    </row>
    <row r="1673" spans="1:22" x14ac:dyDescent="0.35">
      <c r="A1673" s="6" t="s">
        <v>1857</v>
      </c>
      <c r="B1673" s="6" t="s">
        <v>1854</v>
      </c>
      <c r="C1673" s="6" t="s">
        <v>1855</v>
      </c>
      <c r="D1673" s="6">
        <f t="shared" si="194"/>
        <v>0.5</v>
      </c>
      <c r="E1673" s="6" t="s">
        <v>19</v>
      </c>
      <c r="F1673" s="6" t="str">
        <f>MID(A1673,19,1)</f>
        <v>N</v>
      </c>
      <c r="G1673" s="6">
        <v>-23.009456882034218</v>
      </c>
      <c r="H1673" s="6">
        <v>-47.024037482067705</v>
      </c>
      <c r="I1673" s="9">
        <v>335.27</v>
      </c>
      <c r="K1673" s="6">
        <v>5.27</v>
      </c>
      <c r="L1673" s="6">
        <v>60</v>
      </c>
      <c r="N1673" s="1">
        <f t="shared" si="201"/>
        <v>0</v>
      </c>
      <c r="O1673" s="8" t="s">
        <v>20</v>
      </c>
      <c r="P1673" s="8"/>
      <c r="Q1673" s="8" t="s">
        <v>21</v>
      </c>
      <c r="R1673" s="8" t="s">
        <v>21</v>
      </c>
      <c r="S1673" s="8" t="s">
        <v>21</v>
      </c>
      <c r="T1673" s="8" t="s">
        <v>21</v>
      </c>
      <c r="U1673" s="6">
        <f t="shared" si="202"/>
        <v>201.16199999999998</v>
      </c>
      <c r="V1673" s="6">
        <f t="shared" si="199"/>
        <v>201.16199999999998</v>
      </c>
    </row>
    <row r="1674" spans="1:22" x14ac:dyDescent="0.35">
      <c r="A1674" s="6" t="s">
        <v>1858</v>
      </c>
      <c r="B1674" s="6" t="s">
        <v>1854</v>
      </c>
      <c r="C1674" s="6" t="s">
        <v>1855</v>
      </c>
      <c r="D1674" s="6">
        <f t="shared" si="194"/>
        <v>0.5</v>
      </c>
      <c r="E1674" s="6" t="s">
        <v>19</v>
      </c>
      <c r="F1674" s="6" t="str">
        <f>MID(A1674,19,1)</f>
        <v>N</v>
      </c>
      <c r="G1674" s="6">
        <v>-23.026079108297306</v>
      </c>
      <c r="H1674" s="6">
        <v>-47.074715430413214</v>
      </c>
      <c r="I1674" s="9">
        <v>1721.15</v>
      </c>
      <c r="K1674" s="6">
        <v>5.05</v>
      </c>
      <c r="L1674" s="6">
        <v>70</v>
      </c>
      <c r="N1674" s="1">
        <f t="shared" si="201"/>
        <v>0</v>
      </c>
      <c r="O1674" s="8" t="s">
        <v>20</v>
      </c>
      <c r="P1674" s="8"/>
      <c r="Q1674" s="8" t="s">
        <v>21</v>
      </c>
      <c r="R1674" s="8" t="s">
        <v>21</v>
      </c>
      <c r="S1674" s="8" t="s">
        <v>21</v>
      </c>
      <c r="T1674" s="8" t="s">
        <v>21</v>
      </c>
      <c r="U1674" s="6">
        <f t="shared" si="202"/>
        <v>1204.8050000000001</v>
      </c>
      <c r="V1674" s="6">
        <f t="shared" si="199"/>
        <v>1204.8050000000001</v>
      </c>
    </row>
    <row r="1675" spans="1:22" hidden="1" x14ac:dyDescent="0.35">
      <c r="A1675" s="6" t="s">
        <v>1859</v>
      </c>
      <c r="B1675" s="6" t="s">
        <v>1854</v>
      </c>
      <c r="C1675" s="6" t="s">
        <v>1855</v>
      </c>
      <c r="D1675" s="6">
        <f t="shared" si="194"/>
        <v>0.5</v>
      </c>
      <c r="E1675" s="6" t="s">
        <v>19</v>
      </c>
      <c r="F1675" s="6" t="str">
        <f>MID(A1675,19,1)</f>
        <v>S</v>
      </c>
      <c r="G1675" s="6">
        <v>-23.01566537952511</v>
      </c>
      <c r="H1675" s="6">
        <v>-47.021815442443007</v>
      </c>
      <c r="I1675" s="9">
        <v>2139.96</v>
      </c>
      <c r="K1675" s="6">
        <v>3.26</v>
      </c>
      <c r="L1675" s="6">
        <v>0</v>
      </c>
      <c r="N1675" s="1">
        <f t="shared" si="201"/>
        <v>0</v>
      </c>
      <c r="O1675" s="8"/>
      <c r="P1675" s="8"/>
      <c r="Q1675" s="8" t="s">
        <v>21</v>
      </c>
      <c r="R1675" s="8" t="s">
        <v>21</v>
      </c>
      <c r="S1675" s="8" t="s">
        <v>21</v>
      </c>
      <c r="T1675" s="8" t="s">
        <v>21</v>
      </c>
      <c r="U1675" s="6">
        <f t="shared" si="202"/>
        <v>0</v>
      </c>
      <c r="V1675" s="6">
        <f t="shared" si="199"/>
        <v>0</v>
      </c>
    </row>
    <row r="1676" spans="1:22" x14ac:dyDescent="0.35">
      <c r="A1676" s="6" t="s">
        <v>1860</v>
      </c>
      <c r="B1676" s="6" t="s">
        <v>1854</v>
      </c>
      <c r="C1676" s="6" t="s">
        <v>1855</v>
      </c>
      <c r="D1676" s="6">
        <f t="shared" si="194"/>
        <v>0.5</v>
      </c>
      <c r="E1676" s="6" t="s">
        <v>19</v>
      </c>
      <c r="F1676" s="6" t="str">
        <f>MID(A1676,19,1)</f>
        <v>N</v>
      </c>
      <c r="G1676" s="6">
        <v>-23.009342628164319</v>
      </c>
      <c r="H1676" s="6">
        <v>-47.023152833309481</v>
      </c>
      <c r="I1676" s="9">
        <v>504.7</v>
      </c>
      <c r="K1676" s="6">
        <v>2.2799999999999998</v>
      </c>
      <c r="L1676" s="6">
        <v>60</v>
      </c>
      <c r="N1676" s="1">
        <f t="shared" si="201"/>
        <v>0</v>
      </c>
      <c r="O1676" s="8" t="s">
        <v>20</v>
      </c>
      <c r="P1676" s="8"/>
      <c r="Q1676" s="8" t="s">
        <v>21</v>
      </c>
      <c r="R1676" s="8" t="s">
        <v>21</v>
      </c>
      <c r="S1676" s="8" t="s">
        <v>21</v>
      </c>
      <c r="T1676" s="8" t="s">
        <v>21</v>
      </c>
      <c r="U1676" s="6">
        <f t="shared" si="202"/>
        <v>302.82</v>
      </c>
      <c r="V1676" s="6">
        <f t="shared" si="199"/>
        <v>302.82</v>
      </c>
    </row>
    <row r="1677" spans="1:22" x14ac:dyDescent="0.35">
      <c r="A1677" s="6" t="s">
        <v>1861</v>
      </c>
      <c r="B1677" s="6" t="s">
        <v>1854</v>
      </c>
      <c r="C1677" s="6" t="s">
        <v>1855</v>
      </c>
      <c r="D1677" s="6">
        <f t="shared" si="194"/>
        <v>0.5</v>
      </c>
      <c r="E1677" s="6" t="s">
        <v>19</v>
      </c>
      <c r="F1677" s="6" t="str">
        <f>MID(A1677,19,1)</f>
        <v>N</v>
      </c>
      <c r="G1677" s="6">
        <v>-23.010353027892503</v>
      </c>
      <c r="H1677" s="6">
        <v>-47.023791729582761</v>
      </c>
      <c r="I1677" s="9">
        <v>278.98</v>
      </c>
      <c r="K1677" s="6">
        <v>3.11</v>
      </c>
      <c r="L1677" s="6">
        <v>60</v>
      </c>
      <c r="N1677" s="1">
        <f t="shared" si="201"/>
        <v>0</v>
      </c>
      <c r="O1677" s="8" t="s">
        <v>20</v>
      </c>
      <c r="P1677" s="8"/>
      <c r="Q1677" s="8" t="s">
        <v>21</v>
      </c>
      <c r="R1677" s="8" t="s">
        <v>21</v>
      </c>
      <c r="S1677" s="8" t="s">
        <v>21</v>
      </c>
      <c r="T1677" s="8" t="s">
        <v>21</v>
      </c>
      <c r="U1677" s="6">
        <f t="shared" si="202"/>
        <v>167.38800000000001</v>
      </c>
      <c r="V1677" s="6">
        <f t="shared" si="199"/>
        <v>167.38800000000001</v>
      </c>
    </row>
    <row r="1678" spans="1:22" x14ac:dyDescent="0.35">
      <c r="A1678" s="6" t="s">
        <v>1862</v>
      </c>
      <c r="B1678" s="6" t="s">
        <v>1854</v>
      </c>
      <c r="C1678" s="6" t="s">
        <v>1855</v>
      </c>
      <c r="D1678" s="6">
        <f t="shared" ref="D1678:D1741" si="203">C1678-B1678</f>
        <v>0.5</v>
      </c>
      <c r="E1678" s="6" t="s">
        <v>19</v>
      </c>
      <c r="F1678" s="6" t="str">
        <f>MID(A1678,19,1)</f>
        <v>N</v>
      </c>
      <c r="G1678" s="6">
        <v>-23.010447270602967</v>
      </c>
      <c r="H1678" s="6">
        <v>-47.022571092400241</v>
      </c>
      <c r="I1678" s="9">
        <v>1464.48</v>
      </c>
      <c r="K1678" s="6">
        <v>4.43</v>
      </c>
      <c r="L1678" s="6">
        <v>60</v>
      </c>
      <c r="N1678" s="1">
        <f t="shared" si="201"/>
        <v>0</v>
      </c>
      <c r="O1678" s="8" t="s">
        <v>20</v>
      </c>
      <c r="P1678" s="8"/>
      <c r="Q1678" s="8" t="s">
        <v>21</v>
      </c>
      <c r="R1678" s="8" t="s">
        <v>21</v>
      </c>
      <c r="S1678" s="8" t="s">
        <v>21</v>
      </c>
      <c r="T1678" s="8" t="s">
        <v>21</v>
      </c>
      <c r="U1678" s="6">
        <f t="shared" si="202"/>
        <v>878.68799999999999</v>
      </c>
      <c r="V1678" s="6">
        <f t="shared" si="199"/>
        <v>878.68799999999999</v>
      </c>
    </row>
    <row r="1679" spans="1:22" x14ac:dyDescent="0.35">
      <c r="A1679" s="6" t="s">
        <v>1863</v>
      </c>
      <c r="B1679" s="6" t="s">
        <v>1854</v>
      </c>
      <c r="C1679" s="6" t="s">
        <v>1855</v>
      </c>
      <c r="D1679" s="6">
        <f t="shared" si="203"/>
        <v>0.5</v>
      </c>
      <c r="E1679" s="6" t="s">
        <v>19</v>
      </c>
      <c r="F1679" s="6" t="str">
        <f>MID(A1679,19,1)</f>
        <v>N</v>
      </c>
      <c r="G1679" s="6">
        <v>-23.030608070641438</v>
      </c>
      <c r="H1679" s="6">
        <v>-47.072449914940982</v>
      </c>
      <c r="I1679" s="9">
        <v>2806.02</v>
      </c>
      <c r="K1679" s="6">
        <v>2.93</v>
      </c>
      <c r="L1679" s="6">
        <v>40</v>
      </c>
      <c r="N1679" s="1">
        <f t="shared" si="201"/>
        <v>0</v>
      </c>
      <c r="O1679" s="8" t="s">
        <v>20</v>
      </c>
      <c r="P1679" s="8"/>
      <c r="Q1679" s="8" t="s">
        <v>21</v>
      </c>
      <c r="R1679" s="8" t="s">
        <v>21</v>
      </c>
      <c r="S1679" s="8" t="s">
        <v>21</v>
      </c>
      <c r="T1679" s="8" t="s">
        <v>21</v>
      </c>
      <c r="U1679" s="6">
        <f t="shared" si="202"/>
        <v>1122.4080000000001</v>
      </c>
      <c r="V1679" s="6">
        <f t="shared" si="199"/>
        <v>1122.4080000000001</v>
      </c>
    </row>
    <row r="1680" spans="1:22" hidden="1" x14ac:dyDescent="0.35">
      <c r="A1680" s="6" t="s">
        <v>1864</v>
      </c>
      <c r="B1680" s="6" t="s">
        <v>1854</v>
      </c>
      <c r="C1680" s="6" t="s">
        <v>1855</v>
      </c>
      <c r="D1680" s="6">
        <f t="shared" si="203"/>
        <v>0.5</v>
      </c>
      <c r="E1680" s="6" t="s">
        <v>19</v>
      </c>
      <c r="F1680" s="6" t="str">
        <f>MID(A1680,19,1)</f>
        <v>S</v>
      </c>
      <c r="G1680" s="6">
        <v>-23.011925179863553</v>
      </c>
      <c r="H1680" s="6">
        <v>-47.026151234545246</v>
      </c>
      <c r="I1680" s="9">
        <v>71.959999999999994</v>
      </c>
      <c r="K1680" s="6">
        <v>1.77</v>
      </c>
      <c r="L1680" s="6">
        <v>70</v>
      </c>
      <c r="N1680" s="1">
        <f t="shared" si="201"/>
        <v>0</v>
      </c>
      <c r="O1680" s="8" t="s">
        <v>20</v>
      </c>
      <c r="P1680" s="8"/>
      <c r="Q1680" s="8" t="s">
        <v>21</v>
      </c>
      <c r="R1680" s="8" t="s">
        <v>21</v>
      </c>
      <c r="S1680" s="8" t="s">
        <v>21</v>
      </c>
      <c r="T1680" s="8" t="s">
        <v>21</v>
      </c>
      <c r="U1680" s="6">
        <f t="shared" si="202"/>
        <v>50.371999999999993</v>
      </c>
      <c r="V1680" s="6">
        <f t="shared" si="199"/>
        <v>50.371999999999993</v>
      </c>
    </row>
    <row r="1681" spans="1:22" x14ac:dyDescent="0.35">
      <c r="A1681" s="6" t="s">
        <v>1865</v>
      </c>
      <c r="B1681" s="6" t="s">
        <v>1854</v>
      </c>
      <c r="C1681" s="6" t="s">
        <v>1855</v>
      </c>
      <c r="D1681" s="6">
        <f t="shared" si="203"/>
        <v>0.5</v>
      </c>
      <c r="E1681" s="6" t="s">
        <v>19</v>
      </c>
      <c r="F1681" s="6" t="str">
        <f>MID(A1681,19,1)</f>
        <v>N</v>
      </c>
      <c r="G1681" s="6">
        <v>-23.010374493205759</v>
      </c>
      <c r="H1681" s="6">
        <v>-47.02277421443376</v>
      </c>
      <c r="I1681" s="9">
        <v>325.77999999999997</v>
      </c>
      <c r="K1681" s="6">
        <v>4.7300000000000004</v>
      </c>
      <c r="L1681" s="6">
        <v>60</v>
      </c>
      <c r="N1681" s="1">
        <f t="shared" si="201"/>
        <v>0</v>
      </c>
      <c r="O1681" s="8" t="s">
        <v>20</v>
      </c>
      <c r="P1681" s="8"/>
      <c r="Q1681" s="8" t="s">
        <v>21</v>
      </c>
      <c r="R1681" s="8" t="s">
        <v>21</v>
      </c>
      <c r="S1681" s="8" t="s">
        <v>21</v>
      </c>
      <c r="T1681" s="8" t="s">
        <v>21</v>
      </c>
      <c r="U1681" s="6">
        <f t="shared" si="202"/>
        <v>195.46799999999999</v>
      </c>
      <c r="V1681" s="6">
        <f t="shared" si="199"/>
        <v>195.46799999999999</v>
      </c>
    </row>
    <row r="1682" spans="1:22" x14ac:dyDescent="0.35">
      <c r="A1682" s="6" t="s">
        <v>1866</v>
      </c>
      <c r="B1682" s="6" t="s">
        <v>1854</v>
      </c>
      <c r="C1682" s="6" t="s">
        <v>1855</v>
      </c>
      <c r="D1682" s="6">
        <f t="shared" si="203"/>
        <v>0.5</v>
      </c>
      <c r="E1682" s="6" t="s">
        <v>19</v>
      </c>
      <c r="F1682" s="6" t="str">
        <f>MID(A1682,19,1)</f>
        <v>N</v>
      </c>
      <c r="G1682" s="6">
        <v>-23.011156631726116</v>
      </c>
      <c r="H1682" s="6">
        <v>-47.023456856263557</v>
      </c>
      <c r="I1682" s="9">
        <v>18472.16</v>
      </c>
      <c r="K1682" s="6">
        <v>4.57</v>
      </c>
      <c r="L1682" s="6">
        <v>60</v>
      </c>
      <c r="N1682" s="1">
        <f t="shared" si="201"/>
        <v>0</v>
      </c>
      <c r="O1682" s="8" t="s">
        <v>20</v>
      </c>
      <c r="P1682" s="8"/>
      <c r="Q1682" s="8" t="s">
        <v>21</v>
      </c>
      <c r="R1682" s="8" t="s">
        <v>21</v>
      </c>
      <c r="S1682" s="8" t="s">
        <v>21</v>
      </c>
      <c r="T1682" s="8" t="s">
        <v>21</v>
      </c>
      <c r="U1682" s="6">
        <f t="shared" si="202"/>
        <v>11083.296</v>
      </c>
      <c r="V1682" s="6">
        <f t="shared" si="199"/>
        <v>11083.296</v>
      </c>
    </row>
    <row r="1683" spans="1:22" hidden="1" x14ac:dyDescent="0.35">
      <c r="A1683" s="6" t="s">
        <v>1867</v>
      </c>
      <c r="B1683" s="6" t="s">
        <v>1854</v>
      </c>
      <c r="C1683" s="6" t="s">
        <v>1855</v>
      </c>
      <c r="D1683" s="6">
        <f t="shared" si="203"/>
        <v>0.5</v>
      </c>
      <c r="E1683" s="6" t="s">
        <v>19</v>
      </c>
      <c r="F1683" s="6" t="str">
        <f>MID(A1683,19,1)</f>
        <v>S</v>
      </c>
      <c r="G1683" s="6">
        <v>-23.011257198540747</v>
      </c>
      <c r="H1683" s="6">
        <v>-47.026108018422406</v>
      </c>
      <c r="I1683" s="9">
        <v>709.1</v>
      </c>
      <c r="K1683" s="6">
        <v>2.36</v>
      </c>
      <c r="L1683" s="6">
        <v>70</v>
      </c>
      <c r="N1683" s="1">
        <f t="shared" si="201"/>
        <v>0</v>
      </c>
      <c r="O1683" s="8" t="s">
        <v>20</v>
      </c>
      <c r="P1683" s="8"/>
      <c r="Q1683" s="8" t="s">
        <v>21</v>
      </c>
      <c r="R1683" s="8" t="s">
        <v>21</v>
      </c>
      <c r="S1683" s="8" t="s">
        <v>21</v>
      </c>
      <c r="T1683" s="8" t="s">
        <v>21</v>
      </c>
      <c r="U1683" s="6">
        <f t="shared" si="202"/>
        <v>496.37</v>
      </c>
      <c r="V1683" s="6">
        <f t="shared" si="199"/>
        <v>496.37</v>
      </c>
    </row>
    <row r="1684" spans="1:22" hidden="1" x14ac:dyDescent="0.35">
      <c r="A1684" s="6" t="s">
        <v>1868</v>
      </c>
      <c r="B1684" s="6" t="s">
        <v>1854</v>
      </c>
      <c r="C1684" s="6" t="s">
        <v>1855</v>
      </c>
      <c r="D1684" s="6">
        <f t="shared" si="203"/>
        <v>0.5</v>
      </c>
      <c r="E1684" s="6" t="s">
        <v>19</v>
      </c>
      <c r="F1684" s="6" t="str">
        <f>MID(A1684,19,1)</f>
        <v>S</v>
      </c>
      <c r="G1684" s="6">
        <v>-23.011655986997276</v>
      </c>
      <c r="H1684" s="6">
        <v>-47.026270763169016</v>
      </c>
      <c r="I1684" s="9">
        <v>527.32000000000005</v>
      </c>
      <c r="K1684" s="6">
        <v>1.44</v>
      </c>
      <c r="L1684" s="6">
        <v>70</v>
      </c>
      <c r="N1684" s="1">
        <f t="shared" si="201"/>
        <v>0</v>
      </c>
      <c r="O1684" s="8" t="s">
        <v>20</v>
      </c>
      <c r="P1684" s="8"/>
      <c r="Q1684" s="8" t="s">
        <v>21</v>
      </c>
      <c r="R1684" s="8" t="s">
        <v>21</v>
      </c>
      <c r="S1684" s="8" t="s">
        <v>21</v>
      </c>
      <c r="T1684" s="8" t="s">
        <v>21</v>
      </c>
      <c r="U1684" s="6">
        <f t="shared" si="202"/>
        <v>369.12400000000002</v>
      </c>
      <c r="V1684" s="6">
        <f t="shared" si="199"/>
        <v>369.12400000000002</v>
      </c>
    </row>
    <row r="1685" spans="1:22" hidden="1" x14ac:dyDescent="0.35">
      <c r="A1685" s="6" t="s">
        <v>1869</v>
      </c>
      <c r="B1685" s="6" t="s">
        <v>1854</v>
      </c>
      <c r="C1685" s="6" t="s">
        <v>1855</v>
      </c>
      <c r="D1685" s="6">
        <f t="shared" si="203"/>
        <v>0.5</v>
      </c>
      <c r="E1685" s="6" t="s">
        <v>23</v>
      </c>
      <c r="F1685" s="6" t="str">
        <f>MID(A1685,19,1)</f>
        <v>C</v>
      </c>
      <c r="G1685" s="6">
        <v>-23.026095266072719</v>
      </c>
      <c r="H1685" s="6">
        <v>-47.07505770032845</v>
      </c>
      <c r="I1685" s="9">
        <v>14287.87</v>
      </c>
      <c r="J1685" s="9">
        <f>I1685/500</f>
        <v>28.575740000000003</v>
      </c>
      <c r="K1685" s="6">
        <v>5.9</v>
      </c>
      <c r="L1685" s="6">
        <v>70</v>
      </c>
      <c r="N1685" s="1">
        <f t="shared" si="201"/>
        <v>0</v>
      </c>
      <c r="O1685" s="8" t="s">
        <v>185</v>
      </c>
      <c r="P1685" s="8"/>
      <c r="Q1685" s="8" t="s">
        <v>21</v>
      </c>
      <c r="R1685" s="8" t="s">
        <v>21</v>
      </c>
      <c r="S1685" s="8" t="s">
        <v>21</v>
      </c>
      <c r="T1685" s="8" t="s">
        <v>21</v>
      </c>
      <c r="U1685" s="6">
        <f t="shared" si="202"/>
        <v>10001.509</v>
      </c>
      <c r="V1685" s="6">
        <f t="shared" si="199"/>
        <v>10001.509</v>
      </c>
    </row>
    <row r="1686" spans="1:22" hidden="1" x14ac:dyDescent="0.35">
      <c r="A1686" s="6" t="s">
        <v>1870</v>
      </c>
      <c r="B1686" s="6" t="s">
        <v>1854</v>
      </c>
      <c r="C1686" s="6" t="s">
        <v>1855</v>
      </c>
      <c r="D1686" s="6">
        <f t="shared" si="203"/>
        <v>0.5</v>
      </c>
      <c r="E1686" s="6" t="s">
        <v>19</v>
      </c>
      <c r="F1686" s="6" t="str">
        <f>MID(A1686,19,1)</f>
        <v>S</v>
      </c>
      <c r="G1686" s="6">
        <v>-23.012519406903142</v>
      </c>
      <c r="H1686" s="6">
        <v>-47.024840193121314</v>
      </c>
      <c r="I1686" s="9">
        <v>1782.54</v>
      </c>
      <c r="K1686" s="6">
        <v>5.56</v>
      </c>
      <c r="L1686" s="6">
        <v>70</v>
      </c>
      <c r="N1686" s="1">
        <f t="shared" si="201"/>
        <v>0</v>
      </c>
      <c r="O1686" s="8" t="s">
        <v>20</v>
      </c>
      <c r="P1686" s="8"/>
      <c r="Q1686" s="8" t="s">
        <v>21</v>
      </c>
      <c r="R1686" s="8" t="s">
        <v>21</v>
      </c>
      <c r="S1686" s="8" t="s">
        <v>21</v>
      </c>
      <c r="T1686" s="8" t="s">
        <v>21</v>
      </c>
      <c r="U1686" s="6">
        <f t="shared" si="202"/>
        <v>1247.7779999999998</v>
      </c>
      <c r="V1686" s="6">
        <f t="shared" si="199"/>
        <v>1247.7779999999998</v>
      </c>
    </row>
    <row r="1687" spans="1:22" hidden="1" x14ac:dyDescent="0.35">
      <c r="A1687" s="6" t="s">
        <v>1871</v>
      </c>
      <c r="B1687" s="6" t="s">
        <v>1854</v>
      </c>
      <c r="C1687" s="6" t="s">
        <v>1855</v>
      </c>
      <c r="D1687" s="6">
        <f t="shared" si="203"/>
        <v>0.5</v>
      </c>
      <c r="E1687" s="6" t="s">
        <v>19</v>
      </c>
      <c r="F1687" s="6" t="str">
        <f>MID(A1687,19,1)</f>
        <v>S</v>
      </c>
      <c r="G1687" s="6">
        <v>-23.010745271464064</v>
      </c>
      <c r="H1687" s="6">
        <v>-47.025450907812889</v>
      </c>
      <c r="I1687" s="9">
        <v>7967.16</v>
      </c>
      <c r="K1687" s="6">
        <v>7.83</v>
      </c>
      <c r="L1687" s="6">
        <v>70</v>
      </c>
      <c r="N1687" s="1">
        <f t="shared" si="201"/>
        <v>0</v>
      </c>
      <c r="O1687" s="8" t="s">
        <v>20</v>
      </c>
      <c r="P1687" s="8"/>
      <c r="Q1687" s="8" t="s">
        <v>21</v>
      </c>
      <c r="R1687" s="8" t="s">
        <v>21</v>
      </c>
      <c r="S1687" s="8" t="s">
        <v>21</v>
      </c>
      <c r="T1687" s="8" t="s">
        <v>21</v>
      </c>
      <c r="U1687" s="6">
        <f t="shared" si="202"/>
        <v>5577.0119999999997</v>
      </c>
      <c r="V1687" s="6">
        <f t="shared" si="199"/>
        <v>5577.0119999999997</v>
      </c>
    </row>
    <row r="1688" spans="1:22" hidden="1" x14ac:dyDescent="0.35">
      <c r="A1688" s="6" t="s">
        <v>1872</v>
      </c>
      <c r="B1688" s="6" t="s">
        <v>1854</v>
      </c>
      <c r="C1688" s="6" t="s">
        <v>1855</v>
      </c>
      <c r="D1688" s="6">
        <f t="shared" si="203"/>
        <v>0.5</v>
      </c>
      <c r="E1688" s="6" t="s">
        <v>19</v>
      </c>
      <c r="F1688" s="6" t="str">
        <f>MID(A1688,19,1)</f>
        <v>S</v>
      </c>
      <c r="G1688" s="6">
        <v>-23.012346775979513</v>
      </c>
      <c r="H1688" s="6">
        <v>-47.024107782602037</v>
      </c>
      <c r="I1688" s="9">
        <v>1037.42</v>
      </c>
      <c r="K1688" s="6">
        <v>6.24</v>
      </c>
      <c r="L1688" s="6">
        <v>70</v>
      </c>
      <c r="N1688" s="1">
        <f t="shared" si="201"/>
        <v>0</v>
      </c>
      <c r="O1688" s="8" t="s">
        <v>20</v>
      </c>
      <c r="P1688" s="8"/>
      <c r="Q1688" s="8" t="s">
        <v>21</v>
      </c>
      <c r="R1688" s="8" t="s">
        <v>21</v>
      </c>
      <c r="S1688" s="8" t="s">
        <v>21</v>
      </c>
      <c r="T1688" s="8" t="s">
        <v>21</v>
      </c>
      <c r="U1688" s="6">
        <f t="shared" si="202"/>
        <v>726.19399999999996</v>
      </c>
      <c r="V1688" s="6">
        <f t="shared" si="199"/>
        <v>726.19399999999996</v>
      </c>
    </row>
    <row r="1689" spans="1:22" x14ac:dyDescent="0.35">
      <c r="A1689" s="6" t="s">
        <v>1873</v>
      </c>
      <c r="B1689" s="6" t="s">
        <v>1854</v>
      </c>
      <c r="C1689" s="6" t="s">
        <v>1855</v>
      </c>
      <c r="D1689" s="6">
        <f t="shared" si="203"/>
        <v>0.5</v>
      </c>
      <c r="E1689" s="6" t="s">
        <v>19</v>
      </c>
      <c r="F1689" s="6" t="str">
        <f>MID(A1689,19,1)</f>
        <v>N</v>
      </c>
      <c r="G1689" s="6">
        <v>-23.009559121353313</v>
      </c>
      <c r="H1689" s="6">
        <v>-47.024653934732825</v>
      </c>
      <c r="I1689" s="9">
        <v>3048</v>
      </c>
      <c r="K1689" s="6">
        <v>8.5</v>
      </c>
      <c r="L1689" s="6">
        <v>60</v>
      </c>
      <c r="N1689" s="1">
        <f t="shared" si="201"/>
        <v>0</v>
      </c>
      <c r="O1689" s="8" t="s">
        <v>20</v>
      </c>
      <c r="P1689" s="8"/>
      <c r="Q1689" s="8" t="s">
        <v>21</v>
      </c>
      <c r="R1689" s="8" t="s">
        <v>21</v>
      </c>
      <c r="S1689" s="8" t="s">
        <v>21</v>
      </c>
      <c r="T1689" s="8" t="s">
        <v>21</v>
      </c>
      <c r="U1689" s="6">
        <f t="shared" si="202"/>
        <v>1828.8</v>
      </c>
      <c r="V1689" s="6">
        <f t="shared" si="199"/>
        <v>1828.8</v>
      </c>
    </row>
    <row r="1690" spans="1:22" x14ac:dyDescent="0.35">
      <c r="A1690" s="6" t="s">
        <v>1874</v>
      </c>
      <c r="B1690" s="6" t="s">
        <v>1854</v>
      </c>
      <c r="C1690" s="6" t="s">
        <v>1855</v>
      </c>
      <c r="D1690" s="6">
        <f t="shared" si="203"/>
        <v>0.5</v>
      </c>
      <c r="E1690" s="6" t="s">
        <v>19</v>
      </c>
      <c r="F1690" s="6" t="str">
        <f>MID(A1690,19,1)</f>
        <v>N</v>
      </c>
      <c r="G1690" s="6">
        <v>-23.013019935285673</v>
      </c>
      <c r="H1690" s="6">
        <v>-47.022581601018523</v>
      </c>
      <c r="I1690" s="9">
        <v>344.55</v>
      </c>
      <c r="K1690" s="6">
        <v>3.11</v>
      </c>
      <c r="L1690" s="6">
        <v>60</v>
      </c>
      <c r="N1690" s="1">
        <f t="shared" si="201"/>
        <v>0</v>
      </c>
      <c r="O1690" s="8" t="s">
        <v>20</v>
      </c>
      <c r="P1690" s="8"/>
      <c r="Q1690" s="8" t="s">
        <v>21</v>
      </c>
      <c r="R1690" s="8" t="s">
        <v>21</v>
      </c>
      <c r="S1690" s="8" t="s">
        <v>21</v>
      </c>
      <c r="T1690" s="8" t="s">
        <v>21</v>
      </c>
      <c r="U1690" s="6">
        <f t="shared" si="202"/>
        <v>206.73</v>
      </c>
      <c r="V1690" s="6">
        <f t="shared" si="199"/>
        <v>206.73</v>
      </c>
    </row>
    <row r="1691" spans="1:22" hidden="1" x14ac:dyDescent="0.35">
      <c r="A1691" s="6" t="s">
        <v>1875</v>
      </c>
      <c r="B1691" s="6" t="s">
        <v>1854</v>
      </c>
      <c r="C1691" s="6" t="s">
        <v>1855</v>
      </c>
      <c r="D1691" s="6">
        <f t="shared" si="203"/>
        <v>0.5</v>
      </c>
      <c r="E1691" s="6" t="s">
        <v>19</v>
      </c>
      <c r="F1691" s="6" t="str">
        <f>MID(A1691,19,1)</f>
        <v>S</v>
      </c>
      <c r="G1691" s="6">
        <v>-23.026190489566414</v>
      </c>
      <c r="H1691" s="6">
        <v>-47.07536097165292</v>
      </c>
      <c r="I1691" s="9">
        <v>1903.22</v>
      </c>
      <c r="K1691" s="6">
        <v>4.46</v>
      </c>
      <c r="L1691" s="6">
        <v>50</v>
      </c>
      <c r="N1691" s="1">
        <f t="shared" si="201"/>
        <v>0</v>
      </c>
      <c r="O1691" s="8" t="s">
        <v>20</v>
      </c>
      <c r="P1691" s="8"/>
      <c r="Q1691" s="8" t="s">
        <v>21</v>
      </c>
      <c r="R1691" s="8" t="s">
        <v>21</v>
      </c>
      <c r="S1691" s="8" t="s">
        <v>21</v>
      </c>
      <c r="T1691" s="8" t="s">
        <v>21</v>
      </c>
      <c r="U1691" s="6">
        <f t="shared" si="202"/>
        <v>951.61</v>
      </c>
      <c r="V1691" s="6">
        <f t="shared" si="199"/>
        <v>951.61</v>
      </c>
    </row>
    <row r="1692" spans="1:22" x14ac:dyDescent="0.35">
      <c r="A1692" s="6" t="s">
        <v>1876</v>
      </c>
      <c r="B1692" s="6" t="s">
        <v>1854</v>
      </c>
      <c r="C1692" s="6" t="s">
        <v>1855</v>
      </c>
      <c r="D1692" s="6">
        <f t="shared" si="203"/>
        <v>0.5</v>
      </c>
      <c r="E1692" s="6" t="s">
        <v>19</v>
      </c>
      <c r="F1692" s="6" t="str">
        <f>MID(A1692,19,1)</f>
        <v>N</v>
      </c>
      <c r="G1692" s="6">
        <v>-23.01543768499646</v>
      </c>
      <c r="H1692" s="6">
        <v>-47.02131976451119</v>
      </c>
      <c r="I1692" s="9">
        <v>2037.67</v>
      </c>
      <c r="K1692" s="6">
        <v>4.84</v>
      </c>
      <c r="L1692" s="6">
        <v>60</v>
      </c>
      <c r="N1692" s="1">
        <f t="shared" si="201"/>
        <v>0</v>
      </c>
      <c r="O1692" s="8" t="s">
        <v>20</v>
      </c>
      <c r="P1692" s="8"/>
      <c r="Q1692" s="8" t="s">
        <v>21</v>
      </c>
      <c r="R1692" s="8" t="s">
        <v>21</v>
      </c>
      <c r="S1692" s="8" t="s">
        <v>21</v>
      </c>
      <c r="T1692" s="8" t="s">
        <v>21</v>
      </c>
      <c r="U1692" s="6">
        <f t="shared" si="202"/>
        <v>1222.6020000000001</v>
      </c>
      <c r="V1692" s="6">
        <f t="shared" si="199"/>
        <v>1222.6020000000001</v>
      </c>
    </row>
    <row r="1693" spans="1:22" hidden="1" x14ac:dyDescent="0.35">
      <c r="A1693" s="6" t="s">
        <v>1877</v>
      </c>
      <c r="B1693" s="6" t="s">
        <v>1854</v>
      </c>
      <c r="C1693" s="6" t="s">
        <v>1855</v>
      </c>
      <c r="D1693" s="6">
        <f t="shared" si="203"/>
        <v>0.5</v>
      </c>
      <c r="E1693" s="6" t="s">
        <v>19</v>
      </c>
      <c r="F1693" s="6" t="str">
        <f>MID(A1693,19,1)</f>
        <v>S</v>
      </c>
      <c r="G1693" s="6">
        <v>-23.011438953209062</v>
      </c>
      <c r="H1693" s="6">
        <v>-47.026500756922516</v>
      </c>
      <c r="I1693" s="9">
        <v>102.47</v>
      </c>
      <c r="K1693" s="6">
        <v>1.75</v>
      </c>
      <c r="L1693" s="6">
        <v>70</v>
      </c>
      <c r="N1693" s="1">
        <f t="shared" si="201"/>
        <v>0</v>
      </c>
      <c r="O1693" s="8" t="s">
        <v>20</v>
      </c>
      <c r="P1693" s="8"/>
      <c r="Q1693" s="8" t="s">
        <v>21</v>
      </c>
      <c r="R1693" s="8" t="s">
        <v>21</v>
      </c>
      <c r="S1693" s="8" t="s">
        <v>21</v>
      </c>
      <c r="T1693" s="8" t="s">
        <v>21</v>
      </c>
      <c r="U1693" s="6">
        <f t="shared" si="202"/>
        <v>71.728999999999999</v>
      </c>
      <c r="V1693" s="6">
        <f t="shared" si="199"/>
        <v>71.728999999999999</v>
      </c>
    </row>
    <row r="1694" spans="1:22" hidden="1" x14ac:dyDescent="0.35">
      <c r="A1694" s="6" t="s">
        <v>1878</v>
      </c>
      <c r="B1694" s="6" t="s">
        <v>1854</v>
      </c>
      <c r="C1694" s="6" t="s">
        <v>1855</v>
      </c>
      <c r="D1694" s="6">
        <f t="shared" si="203"/>
        <v>0.5</v>
      </c>
      <c r="E1694" s="6" t="s">
        <v>19</v>
      </c>
      <c r="F1694" s="6" t="str">
        <f>MID(A1694,19,1)</f>
        <v>S</v>
      </c>
      <c r="G1694" s="6">
        <v>-23.011542232738247</v>
      </c>
      <c r="H1694" s="6">
        <v>-47.026058905262232</v>
      </c>
      <c r="I1694" s="9">
        <v>41.49</v>
      </c>
      <c r="K1694" s="6">
        <v>2.15</v>
      </c>
      <c r="L1694" s="6">
        <v>70</v>
      </c>
      <c r="N1694" s="1">
        <f t="shared" si="201"/>
        <v>0</v>
      </c>
      <c r="O1694" s="8" t="s">
        <v>20</v>
      </c>
      <c r="P1694" s="8"/>
      <c r="Q1694" s="8" t="s">
        <v>21</v>
      </c>
      <c r="R1694" s="8" t="s">
        <v>21</v>
      </c>
      <c r="S1694" s="8" t="s">
        <v>21</v>
      </c>
      <c r="T1694" s="8" t="s">
        <v>21</v>
      </c>
      <c r="U1694" s="6">
        <f t="shared" si="202"/>
        <v>29.042999999999999</v>
      </c>
      <c r="V1694" s="6">
        <f t="shared" si="199"/>
        <v>29.042999999999999</v>
      </c>
    </row>
    <row r="1695" spans="1:22" x14ac:dyDescent="0.35">
      <c r="A1695" s="6" t="s">
        <v>1879</v>
      </c>
      <c r="B1695" s="6" t="s">
        <v>1854</v>
      </c>
      <c r="C1695" s="6" t="s">
        <v>1855</v>
      </c>
      <c r="D1695" s="6">
        <f t="shared" si="203"/>
        <v>0.5</v>
      </c>
      <c r="E1695" s="6" t="s">
        <v>19</v>
      </c>
      <c r="F1695" s="6" t="str">
        <f>MID(A1695,19,1)</f>
        <v>N</v>
      </c>
      <c r="G1695" s="6">
        <v>-23.029239614587393</v>
      </c>
      <c r="H1695" s="6">
        <v>-47.073107266901488</v>
      </c>
      <c r="I1695" s="9">
        <v>1285.82</v>
      </c>
      <c r="K1695" s="6">
        <v>3.92</v>
      </c>
      <c r="L1695" s="6">
        <v>40</v>
      </c>
      <c r="N1695" s="1">
        <f t="shared" si="201"/>
        <v>0</v>
      </c>
      <c r="O1695" s="8" t="s">
        <v>20</v>
      </c>
      <c r="P1695" s="8"/>
      <c r="Q1695" s="8" t="s">
        <v>21</v>
      </c>
      <c r="R1695" s="8" t="s">
        <v>21</v>
      </c>
      <c r="S1695" s="8" t="s">
        <v>21</v>
      </c>
      <c r="T1695" s="8" t="s">
        <v>21</v>
      </c>
      <c r="U1695" s="6">
        <f t="shared" si="202"/>
        <v>514.32799999999997</v>
      </c>
      <c r="V1695" s="6">
        <f t="shared" si="199"/>
        <v>514.32799999999997</v>
      </c>
    </row>
    <row r="1696" spans="1:22" hidden="1" x14ac:dyDescent="0.35">
      <c r="A1696" s="6" t="s">
        <v>1880</v>
      </c>
      <c r="B1696" s="6" t="s">
        <v>1854</v>
      </c>
      <c r="C1696" s="6" t="s">
        <v>1855</v>
      </c>
      <c r="D1696" s="6">
        <f t="shared" si="203"/>
        <v>0.5</v>
      </c>
      <c r="E1696" s="6" t="s">
        <v>19</v>
      </c>
      <c r="F1696" s="6" t="str">
        <f>MID(A1696,19,1)</f>
        <v>S</v>
      </c>
      <c r="G1696" s="6">
        <v>-23.029884642786804</v>
      </c>
      <c r="H1696" s="6">
        <v>-47.073563984280966</v>
      </c>
      <c r="I1696" s="9">
        <v>1686.76</v>
      </c>
      <c r="K1696" s="6">
        <v>4.4000000000000004</v>
      </c>
      <c r="L1696" s="6">
        <v>70</v>
      </c>
      <c r="N1696" s="1">
        <f t="shared" si="201"/>
        <v>0</v>
      </c>
      <c r="O1696" s="8" t="s">
        <v>20</v>
      </c>
      <c r="P1696" s="8"/>
      <c r="Q1696" s="8" t="s">
        <v>21</v>
      </c>
      <c r="R1696" s="8" t="s">
        <v>21</v>
      </c>
      <c r="S1696" s="8" t="s">
        <v>21</v>
      </c>
      <c r="T1696" s="8" t="s">
        <v>21</v>
      </c>
      <c r="U1696" s="6">
        <f t="shared" si="202"/>
        <v>1180.732</v>
      </c>
      <c r="V1696" s="6">
        <f t="shared" si="199"/>
        <v>1180.732</v>
      </c>
    </row>
    <row r="1697" spans="1:22" hidden="1" x14ac:dyDescent="0.35">
      <c r="A1697" s="6" t="s">
        <v>1881</v>
      </c>
      <c r="B1697" s="6" t="s">
        <v>1854</v>
      </c>
      <c r="C1697" s="6" t="s">
        <v>1855</v>
      </c>
      <c r="D1697" s="6">
        <f t="shared" si="203"/>
        <v>0.5</v>
      </c>
      <c r="E1697" s="6" t="s">
        <v>23</v>
      </c>
      <c r="F1697" s="6" t="str">
        <f>MID(A1697,19,1)</f>
        <v>C</v>
      </c>
      <c r="G1697" s="6">
        <v>-23.029734270587003</v>
      </c>
      <c r="H1697" s="6">
        <v>-47.073290435794256</v>
      </c>
      <c r="I1697" s="9">
        <v>12407</v>
      </c>
      <c r="J1697" s="9">
        <f>I1697/500</f>
        <v>24.814</v>
      </c>
      <c r="K1697" s="6">
        <v>4.0999999999999996</v>
      </c>
      <c r="L1697" s="6">
        <v>70</v>
      </c>
      <c r="N1697" s="1">
        <f t="shared" si="201"/>
        <v>0</v>
      </c>
      <c r="O1697" s="8" t="s">
        <v>185</v>
      </c>
      <c r="P1697" s="8"/>
      <c r="Q1697" s="8" t="s">
        <v>21</v>
      </c>
      <c r="R1697" s="8" t="s">
        <v>21</v>
      </c>
      <c r="S1697" s="8" t="s">
        <v>21</v>
      </c>
      <c r="T1697" s="8" t="s">
        <v>21</v>
      </c>
      <c r="U1697" s="6">
        <f t="shared" si="202"/>
        <v>8684.9</v>
      </c>
      <c r="V1697" s="6">
        <f t="shared" si="199"/>
        <v>8684.9</v>
      </c>
    </row>
    <row r="1698" spans="1:22" x14ac:dyDescent="0.35">
      <c r="A1698" s="6" t="s">
        <v>1882</v>
      </c>
      <c r="B1698" s="6" t="s">
        <v>1854</v>
      </c>
      <c r="C1698" s="6" t="s">
        <v>1855</v>
      </c>
      <c r="D1698" s="6">
        <f t="shared" si="203"/>
        <v>0.5</v>
      </c>
      <c r="E1698" s="6" t="s">
        <v>19</v>
      </c>
      <c r="F1698" s="6" t="str">
        <f>MID(A1698,19,1)</f>
        <v>N</v>
      </c>
      <c r="G1698" s="6">
        <v>-23.009603149854193</v>
      </c>
      <c r="H1698" s="6">
        <v>-47.022648105885303</v>
      </c>
      <c r="I1698" s="9">
        <v>1474.73</v>
      </c>
      <c r="K1698" s="6">
        <v>2.58</v>
      </c>
      <c r="L1698" s="6">
        <v>60</v>
      </c>
      <c r="N1698" s="1">
        <f t="shared" si="201"/>
        <v>0</v>
      </c>
      <c r="O1698" s="8" t="s">
        <v>20</v>
      </c>
      <c r="P1698" s="8"/>
      <c r="Q1698" s="8" t="s">
        <v>21</v>
      </c>
      <c r="R1698" s="8" t="s">
        <v>21</v>
      </c>
      <c r="S1698" s="8" t="s">
        <v>21</v>
      </c>
      <c r="T1698" s="8" t="s">
        <v>21</v>
      </c>
      <c r="U1698" s="6">
        <f t="shared" si="202"/>
        <v>884.83799999999997</v>
      </c>
      <c r="V1698" s="6">
        <f t="shared" si="199"/>
        <v>884.83799999999997</v>
      </c>
    </row>
    <row r="1699" spans="1:22" x14ac:dyDescent="0.35">
      <c r="A1699" s="6" t="s">
        <v>1883</v>
      </c>
      <c r="B1699" s="6" t="s">
        <v>1854</v>
      </c>
      <c r="C1699" s="6" t="s">
        <v>1855</v>
      </c>
      <c r="D1699" s="6">
        <f t="shared" si="203"/>
        <v>0.5</v>
      </c>
      <c r="E1699" s="6" t="s">
        <v>19</v>
      </c>
      <c r="F1699" s="6" t="str">
        <f>MID(A1699,19,1)</f>
        <v>N</v>
      </c>
      <c r="G1699" s="6">
        <v>-23.009919567271773</v>
      </c>
      <c r="H1699" s="6">
        <v>-47.023400348883683</v>
      </c>
      <c r="I1699" s="9">
        <v>10188.84</v>
      </c>
      <c r="K1699" s="6">
        <v>3.82</v>
      </c>
      <c r="L1699" s="6">
        <v>60</v>
      </c>
      <c r="N1699" s="1">
        <f t="shared" si="201"/>
        <v>0</v>
      </c>
      <c r="O1699" s="8" t="s">
        <v>20</v>
      </c>
      <c r="P1699" s="8"/>
      <c r="Q1699" s="8" t="s">
        <v>21</v>
      </c>
      <c r="R1699" s="8" t="s">
        <v>21</v>
      </c>
      <c r="S1699" s="8" t="s">
        <v>21</v>
      </c>
      <c r="T1699" s="8" t="s">
        <v>21</v>
      </c>
      <c r="U1699" s="6">
        <f t="shared" si="202"/>
        <v>6113.3040000000001</v>
      </c>
      <c r="V1699" s="6">
        <f t="shared" si="199"/>
        <v>6113.3040000000001</v>
      </c>
    </row>
    <row r="1700" spans="1:22" x14ac:dyDescent="0.35">
      <c r="A1700" s="6" t="s">
        <v>1884</v>
      </c>
      <c r="B1700" s="6" t="s">
        <v>1854</v>
      </c>
      <c r="C1700" s="6" t="s">
        <v>1855</v>
      </c>
      <c r="D1700" s="6">
        <f t="shared" si="203"/>
        <v>0.5</v>
      </c>
      <c r="E1700" s="6" t="s">
        <v>19</v>
      </c>
      <c r="F1700" s="6" t="str">
        <f>MID(A1700,19,1)</f>
        <v>N</v>
      </c>
      <c r="G1700" s="6">
        <v>-23.010086040703417</v>
      </c>
      <c r="H1700" s="6">
        <v>-47.024353668442942</v>
      </c>
      <c r="I1700" s="9">
        <v>5865.35</v>
      </c>
      <c r="K1700" s="6">
        <v>6.41</v>
      </c>
      <c r="L1700" s="6">
        <v>60</v>
      </c>
      <c r="N1700" s="1">
        <f t="shared" si="201"/>
        <v>0</v>
      </c>
      <c r="O1700" s="8" t="s">
        <v>20</v>
      </c>
      <c r="P1700" s="8"/>
      <c r="Q1700" s="8" t="s">
        <v>21</v>
      </c>
      <c r="R1700" s="8" t="s">
        <v>21</v>
      </c>
      <c r="S1700" s="8" t="s">
        <v>21</v>
      </c>
      <c r="T1700" s="8" t="s">
        <v>21</v>
      </c>
      <c r="U1700" s="6">
        <f t="shared" si="202"/>
        <v>3519.21</v>
      </c>
      <c r="V1700" s="6">
        <f t="shared" si="199"/>
        <v>3519.21</v>
      </c>
    </row>
    <row r="1701" spans="1:22" hidden="1" x14ac:dyDescent="0.35">
      <c r="A1701" s="6" t="s">
        <v>1885</v>
      </c>
      <c r="B1701" s="6" t="s">
        <v>1854</v>
      </c>
      <c r="C1701" s="6" t="s">
        <v>1855</v>
      </c>
      <c r="D1701" s="6">
        <f t="shared" si="203"/>
        <v>0.5</v>
      </c>
      <c r="E1701" s="6" t="s">
        <v>23</v>
      </c>
      <c r="F1701" s="6" t="str">
        <f>MID(A1701,19,1)</f>
        <v>C</v>
      </c>
      <c r="G1701" s="6">
        <v>-23.010558996619125</v>
      </c>
      <c r="H1701" s="6">
        <v>-47.024811417891257</v>
      </c>
      <c r="I1701" s="9">
        <v>797.34</v>
      </c>
      <c r="J1701" s="9">
        <f t="shared" ref="J1701:J1702" si="204">I1701/500</f>
        <v>1.5946800000000001</v>
      </c>
      <c r="K1701" s="6">
        <v>8.58</v>
      </c>
      <c r="L1701" s="6">
        <v>70</v>
      </c>
      <c r="N1701" s="1">
        <f t="shared" si="201"/>
        <v>0</v>
      </c>
      <c r="O1701" s="8" t="s">
        <v>20</v>
      </c>
      <c r="P1701" s="8"/>
      <c r="Q1701" s="8" t="s">
        <v>21</v>
      </c>
      <c r="R1701" s="8" t="s">
        <v>21</v>
      </c>
      <c r="S1701" s="8" t="s">
        <v>21</v>
      </c>
      <c r="T1701" s="8" t="s">
        <v>21</v>
      </c>
      <c r="U1701" s="6">
        <f t="shared" si="202"/>
        <v>558.13800000000003</v>
      </c>
      <c r="V1701" s="6">
        <f t="shared" si="199"/>
        <v>558.13800000000003</v>
      </c>
    </row>
    <row r="1702" spans="1:22" hidden="1" x14ac:dyDescent="0.35">
      <c r="A1702" s="6" t="s">
        <v>1886</v>
      </c>
      <c r="B1702" s="6" t="s">
        <v>1854</v>
      </c>
      <c r="C1702" s="6" t="s">
        <v>1855</v>
      </c>
      <c r="D1702" s="6">
        <f t="shared" si="203"/>
        <v>0.5</v>
      </c>
      <c r="E1702" s="6" t="s">
        <v>23</v>
      </c>
      <c r="F1702" s="6" t="str">
        <f>MID(A1702,19,1)</f>
        <v>C</v>
      </c>
      <c r="G1702" s="6">
        <v>-23.010108234009039</v>
      </c>
      <c r="H1702" s="6">
        <v>-47.025853738678812</v>
      </c>
      <c r="I1702" s="9">
        <v>10516.9</v>
      </c>
      <c r="J1702" s="9">
        <f t="shared" si="204"/>
        <v>21.033799999999999</v>
      </c>
      <c r="K1702" s="6">
        <v>9.39</v>
      </c>
      <c r="L1702" s="6">
        <v>70</v>
      </c>
      <c r="N1702" s="1">
        <f t="shared" si="201"/>
        <v>0</v>
      </c>
      <c r="O1702" s="8" t="s">
        <v>20</v>
      </c>
      <c r="P1702" s="8"/>
      <c r="Q1702" s="8" t="s">
        <v>21</v>
      </c>
      <c r="R1702" s="8" t="s">
        <v>21</v>
      </c>
      <c r="S1702" s="8" t="s">
        <v>21</v>
      </c>
      <c r="T1702" s="8" t="s">
        <v>21</v>
      </c>
      <c r="U1702" s="6">
        <f t="shared" si="202"/>
        <v>7361.829999999999</v>
      </c>
      <c r="V1702" s="6">
        <f t="shared" si="199"/>
        <v>7361.829999999999</v>
      </c>
    </row>
    <row r="1703" spans="1:22" x14ac:dyDescent="0.35">
      <c r="A1703" s="6" t="s">
        <v>1887</v>
      </c>
      <c r="B1703" s="6" t="s">
        <v>1888</v>
      </c>
      <c r="C1703" s="6" t="s">
        <v>1889</v>
      </c>
      <c r="D1703" s="6">
        <f t="shared" si="203"/>
        <v>0.5</v>
      </c>
      <c r="E1703" s="6" t="s">
        <v>19</v>
      </c>
      <c r="F1703" s="6" t="str">
        <f>MID(A1703,19,1)</f>
        <v>N</v>
      </c>
      <c r="G1703" s="6">
        <v>-23.008279043148899</v>
      </c>
      <c r="H1703" s="6">
        <v>-47.025713961973487</v>
      </c>
      <c r="I1703" s="9">
        <v>8045.78</v>
      </c>
      <c r="K1703" s="6">
        <v>6.92</v>
      </c>
      <c r="L1703" s="6">
        <v>60</v>
      </c>
      <c r="N1703" s="1">
        <f t="shared" si="201"/>
        <v>0</v>
      </c>
      <c r="O1703" s="8" t="s">
        <v>20</v>
      </c>
      <c r="P1703" s="8"/>
      <c r="Q1703" s="8" t="s">
        <v>21</v>
      </c>
      <c r="R1703" s="8" t="s">
        <v>21</v>
      </c>
      <c r="S1703" s="8" t="s">
        <v>21</v>
      </c>
      <c r="T1703" s="8" t="s">
        <v>21</v>
      </c>
      <c r="U1703" s="6">
        <f t="shared" si="202"/>
        <v>4827.4679999999998</v>
      </c>
      <c r="V1703" s="6">
        <f t="shared" si="199"/>
        <v>4827.4679999999998</v>
      </c>
    </row>
    <row r="1704" spans="1:22" hidden="1" x14ac:dyDescent="0.35">
      <c r="A1704" s="6" t="s">
        <v>1890</v>
      </c>
      <c r="B1704" s="6" t="s">
        <v>1888</v>
      </c>
      <c r="C1704" s="6" t="s">
        <v>1889</v>
      </c>
      <c r="D1704" s="6">
        <f t="shared" si="203"/>
        <v>0.5</v>
      </c>
      <c r="E1704" s="6" t="s">
        <v>19</v>
      </c>
      <c r="F1704" s="6" t="str">
        <f>MID(A1704,19,1)</f>
        <v>S</v>
      </c>
      <c r="G1704" s="6">
        <v>-23.021480419307753</v>
      </c>
      <c r="H1704" s="6">
        <v>-47.078444438388338</v>
      </c>
      <c r="I1704" s="9">
        <v>1873.52</v>
      </c>
      <c r="K1704" s="6">
        <v>7.77</v>
      </c>
      <c r="L1704" s="6">
        <v>50</v>
      </c>
      <c r="N1704" s="1">
        <f t="shared" si="201"/>
        <v>0</v>
      </c>
      <c r="O1704" s="8" t="s">
        <v>20</v>
      </c>
      <c r="P1704" s="8"/>
      <c r="Q1704" s="8" t="s">
        <v>21</v>
      </c>
      <c r="R1704" s="8" t="s">
        <v>21</v>
      </c>
      <c r="S1704" s="8" t="s">
        <v>21</v>
      </c>
      <c r="T1704" s="8" t="s">
        <v>21</v>
      </c>
      <c r="U1704" s="6">
        <f t="shared" si="202"/>
        <v>936.76</v>
      </c>
      <c r="V1704" s="6">
        <f t="shared" si="199"/>
        <v>936.76</v>
      </c>
    </row>
    <row r="1705" spans="1:22" x14ac:dyDescent="0.35">
      <c r="A1705" s="6" t="s">
        <v>1891</v>
      </c>
      <c r="B1705" s="6" t="s">
        <v>1888</v>
      </c>
      <c r="C1705" s="6" t="s">
        <v>1889</v>
      </c>
      <c r="D1705" s="6">
        <f t="shared" si="203"/>
        <v>0.5</v>
      </c>
      <c r="E1705" s="6" t="s">
        <v>19</v>
      </c>
      <c r="F1705" s="6" t="str">
        <f>MID(A1705,19,1)</f>
        <v>N</v>
      </c>
      <c r="G1705" s="6">
        <v>-23.017513062158926</v>
      </c>
      <c r="H1705" s="6">
        <v>-47.081142947652012</v>
      </c>
      <c r="I1705" s="9">
        <v>2323.04</v>
      </c>
      <c r="K1705" s="6">
        <v>5.89</v>
      </c>
      <c r="L1705" s="6">
        <v>30</v>
      </c>
      <c r="N1705" s="1">
        <f t="shared" si="201"/>
        <v>0</v>
      </c>
      <c r="O1705" s="8" t="s">
        <v>20</v>
      </c>
      <c r="P1705" s="8"/>
      <c r="Q1705" s="8" t="s">
        <v>21</v>
      </c>
      <c r="R1705" s="8" t="s">
        <v>21</v>
      </c>
      <c r="S1705" s="8" t="s">
        <v>21</v>
      </c>
      <c r="T1705" s="8" t="s">
        <v>21</v>
      </c>
      <c r="U1705" s="6">
        <f t="shared" si="202"/>
        <v>696.91199999999992</v>
      </c>
      <c r="V1705" s="6">
        <f t="shared" si="199"/>
        <v>696.91199999999992</v>
      </c>
    </row>
    <row r="1706" spans="1:22" x14ac:dyDescent="0.35">
      <c r="A1706" s="6" t="s">
        <v>1892</v>
      </c>
      <c r="B1706" s="6" t="s">
        <v>1888</v>
      </c>
      <c r="C1706" s="6" t="s">
        <v>1889</v>
      </c>
      <c r="D1706" s="6">
        <f t="shared" si="203"/>
        <v>0.5</v>
      </c>
      <c r="E1706" s="6" t="s">
        <v>19</v>
      </c>
      <c r="F1706" s="6" t="str">
        <f>MID(A1706,19,1)</f>
        <v>N</v>
      </c>
      <c r="G1706" s="6">
        <v>-23.021178066538319</v>
      </c>
      <c r="H1706" s="6">
        <v>-47.077906248327629</v>
      </c>
      <c r="I1706" s="9">
        <v>1957.15</v>
      </c>
      <c r="K1706" s="6">
        <v>3.6</v>
      </c>
      <c r="L1706" s="6">
        <v>70</v>
      </c>
      <c r="N1706" s="1">
        <f t="shared" si="201"/>
        <v>0</v>
      </c>
      <c r="O1706" s="8" t="s">
        <v>20</v>
      </c>
      <c r="P1706" s="8"/>
      <c r="Q1706" s="8" t="s">
        <v>21</v>
      </c>
      <c r="R1706" s="8" t="s">
        <v>21</v>
      </c>
      <c r="S1706" s="8" t="s">
        <v>21</v>
      </c>
      <c r="T1706" s="8" t="s">
        <v>21</v>
      </c>
      <c r="U1706" s="6">
        <f t="shared" si="202"/>
        <v>1370.0049999999999</v>
      </c>
      <c r="V1706" s="6">
        <f t="shared" ref="V1706:V1769" si="205">(I1706*(L1706/100))</f>
        <v>1370.0049999999999</v>
      </c>
    </row>
    <row r="1707" spans="1:22" x14ac:dyDescent="0.35">
      <c r="A1707" s="6" t="s">
        <v>1893</v>
      </c>
      <c r="B1707" s="6" t="s">
        <v>1888</v>
      </c>
      <c r="C1707" s="6" t="s">
        <v>1889</v>
      </c>
      <c r="D1707" s="6">
        <f t="shared" si="203"/>
        <v>0.5</v>
      </c>
      <c r="E1707" s="6" t="s">
        <v>19</v>
      </c>
      <c r="F1707" s="6" t="str">
        <f>MID(A1707,19,1)</f>
        <v>N</v>
      </c>
      <c r="G1707" s="6">
        <v>-23.003552365016876</v>
      </c>
      <c r="H1707" s="6">
        <v>-47.028857582565706</v>
      </c>
      <c r="I1707" s="9">
        <v>1891.07</v>
      </c>
      <c r="K1707" s="6">
        <v>5.16</v>
      </c>
      <c r="L1707" s="6">
        <v>50</v>
      </c>
      <c r="N1707" s="1">
        <f t="shared" si="201"/>
        <v>0</v>
      </c>
      <c r="O1707" s="8" t="s">
        <v>20</v>
      </c>
      <c r="P1707" s="8"/>
      <c r="Q1707" s="8" t="s">
        <v>21</v>
      </c>
      <c r="R1707" s="8" t="s">
        <v>21</v>
      </c>
      <c r="S1707" s="8" t="s">
        <v>21</v>
      </c>
      <c r="T1707" s="8" t="s">
        <v>21</v>
      </c>
      <c r="U1707" s="6">
        <f t="shared" si="202"/>
        <v>945.53499999999997</v>
      </c>
      <c r="V1707" s="6">
        <f t="shared" si="205"/>
        <v>945.53499999999997</v>
      </c>
    </row>
    <row r="1708" spans="1:22" hidden="1" x14ac:dyDescent="0.35">
      <c r="A1708" s="6" t="s">
        <v>1894</v>
      </c>
      <c r="B1708" s="6" t="s">
        <v>1888</v>
      </c>
      <c r="C1708" s="6" t="s">
        <v>1889</v>
      </c>
      <c r="D1708" s="6">
        <f t="shared" si="203"/>
        <v>0.5</v>
      </c>
      <c r="E1708" s="6" t="s">
        <v>19</v>
      </c>
      <c r="F1708" s="6" t="str">
        <f>MID(A1708,19,1)</f>
        <v>S</v>
      </c>
      <c r="G1708" s="6">
        <v>-23.003737569939744</v>
      </c>
      <c r="H1708" s="6">
        <v>-47.029142200850828</v>
      </c>
      <c r="I1708" s="9">
        <v>1950.31</v>
      </c>
      <c r="K1708" s="6">
        <v>5.59</v>
      </c>
      <c r="L1708" s="6">
        <v>40</v>
      </c>
      <c r="N1708" s="1">
        <f t="shared" si="201"/>
        <v>0</v>
      </c>
      <c r="O1708" s="8" t="s">
        <v>20</v>
      </c>
      <c r="P1708" s="8"/>
      <c r="Q1708" s="8" t="s">
        <v>21</v>
      </c>
      <c r="R1708" s="8" t="s">
        <v>21</v>
      </c>
      <c r="S1708" s="8" t="s">
        <v>21</v>
      </c>
      <c r="T1708" s="8" t="s">
        <v>21</v>
      </c>
      <c r="U1708" s="6">
        <f t="shared" si="202"/>
        <v>780.12400000000002</v>
      </c>
      <c r="V1708" s="6">
        <f t="shared" si="205"/>
        <v>780.12400000000002</v>
      </c>
    </row>
    <row r="1709" spans="1:22" x14ac:dyDescent="0.35">
      <c r="A1709" s="6" t="s">
        <v>1895</v>
      </c>
      <c r="B1709" s="6" t="s">
        <v>1888</v>
      </c>
      <c r="C1709" s="6" t="s">
        <v>1889</v>
      </c>
      <c r="D1709" s="6">
        <f t="shared" si="203"/>
        <v>0.5</v>
      </c>
      <c r="E1709" s="6" t="s">
        <v>19</v>
      </c>
      <c r="F1709" s="6" t="str">
        <f>MID(A1709,19,1)</f>
        <v>N</v>
      </c>
      <c r="G1709" s="6">
        <v>-23.007585969841696</v>
      </c>
      <c r="H1709" s="6">
        <v>-47.025959188489729</v>
      </c>
      <c r="I1709" s="9">
        <v>2445.88</v>
      </c>
      <c r="K1709" s="6">
        <v>6.49</v>
      </c>
      <c r="L1709" s="6">
        <v>60</v>
      </c>
      <c r="N1709" s="1">
        <f t="shared" si="201"/>
        <v>0</v>
      </c>
      <c r="O1709" s="8" t="s">
        <v>20</v>
      </c>
      <c r="P1709" s="8"/>
      <c r="Q1709" s="8" t="s">
        <v>21</v>
      </c>
      <c r="R1709" s="8" t="s">
        <v>21</v>
      </c>
      <c r="S1709" s="8" t="s">
        <v>21</v>
      </c>
      <c r="T1709" s="8" t="s">
        <v>21</v>
      </c>
      <c r="U1709" s="6">
        <f t="shared" si="202"/>
        <v>1467.528</v>
      </c>
      <c r="V1709" s="6">
        <f t="shared" si="205"/>
        <v>1467.528</v>
      </c>
    </row>
    <row r="1710" spans="1:22" hidden="1" x14ac:dyDescent="0.35">
      <c r="A1710" s="6" t="s">
        <v>1896</v>
      </c>
      <c r="B1710" s="6" t="s">
        <v>1888</v>
      </c>
      <c r="C1710" s="6" t="s">
        <v>1889</v>
      </c>
      <c r="D1710" s="6">
        <f t="shared" si="203"/>
        <v>0.5</v>
      </c>
      <c r="E1710" s="6" t="s">
        <v>23</v>
      </c>
      <c r="F1710" s="6" t="str">
        <f>MID(A1710,19,1)</f>
        <v>C</v>
      </c>
      <c r="G1710" s="6">
        <v>-23.021328900612986</v>
      </c>
      <c r="H1710" s="6">
        <v>-47.078175922883197</v>
      </c>
      <c r="I1710" s="9">
        <v>14349.69</v>
      </c>
      <c r="J1710" s="9">
        <f>I1710/500</f>
        <v>28.699380000000001</v>
      </c>
      <c r="K1710" s="6">
        <v>4.54</v>
      </c>
      <c r="L1710" s="6">
        <v>70</v>
      </c>
      <c r="N1710" s="1">
        <f t="shared" si="201"/>
        <v>0</v>
      </c>
      <c r="O1710" s="8" t="s">
        <v>185</v>
      </c>
      <c r="P1710" s="8"/>
      <c r="Q1710" s="8" t="s">
        <v>21</v>
      </c>
      <c r="R1710" s="8" t="s">
        <v>21</v>
      </c>
      <c r="S1710" s="8" t="s">
        <v>21</v>
      </c>
      <c r="T1710" s="8" t="s">
        <v>21</v>
      </c>
      <c r="U1710" s="6">
        <f t="shared" si="202"/>
        <v>10044.782999999999</v>
      </c>
      <c r="V1710" s="6">
        <f t="shared" si="205"/>
        <v>10044.782999999999</v>
      </c>
    </row>
    <row r="1711" spans="1:22" x14ac:dyDescent="0.35">
      <c r="A1711" s="6" t="s">
        <v>1897</v>
      </c>
      <c r="B1711" s="6" t="s">
        <v>1888</v>
      </c>
      <c r="C1711" s="6" t="s">
        <v>1889</v>
      </c>
      <c r="D1711" s="6">
        <f t="shared" si="203"/>
        <v>0.5</v>
      </c>
      <c r="E1711" s="6" t="s">
        <v>19</v>
      </c>
      <c r="F1711" s="6" t="str">
        <f>MID(A1711,19,1)</f>
        <v>N</v>
      </c>
      <c r="G1711" s="6">
        <v>-23.016164865287394</v>
      </c>
      <c r="H1711" s="6">
        <v>-47.082475085456416</v>
      </c>
      <c r="I1711" s="9">
        <v>647.4</v>
      </c>
      <c r="K1711" s="6">
        <v>5.6</v>
      </c>
      <c r="L1711" s="6">
        <v>30</v>
      </c>
      <c r="N1711" s="1">
        <f t="shared" si="201"/>
        <v>0</v>
      </c>
      <c r="O1711" s="8" t="s">
        <v>20</v>
      </c>
      <c r="P1711" s="8"/>
      <c r="Q1711" s="8" t="s">
        <v>21</v>
      </c>
      <c r="R1711" s="8" t="s">
        <v>21</v>
      </c>
      <c r="S1711" s="8" t="s">
        <v>21</v>
      </c>
      <c r="T1711" s="8" t="s">
        <v>21</v>
      </c>
      <c r="U1711" s="6">
        <f t="shared" si="202"/>
        <v>194.22</v>
      </c>
      <c r="V1711" s="6">
        <f t="shared" si="205"/>
        <v>194.22</v>
      </c>
    </row>
    <row r="1712" spans="1:22" hidden="1" x14ac:dyDescent="0.35">
      <c r="A1712" s="6" t="s">
        <v>1898</v>
      </c>
      <c r="B1712" s="6" t="s">
        <v>1888</v>
      </c>
      <c r="C1712" s="6" t="s">
        <v>1889</v>
      </c>
      <c r="D1712" s="6">
        <f t="shared" si="203"/>
        <v>0.5</v>
      </c>
      <c r="E1712" s="6" t="s">
        <v>19</v>
      </c>
      <c r="F1712" s="6" t="str">
        <f>MID(A1712,19,1)</f>
        <v>S</v>
      </c>
      <c r="G1712" s="6">
        <v>-23.018190343292506</v>
      </c>
      <c r="H1712" s="6">
        <v>-47.081484929092625</v>
      </c>
      <c r="I1712" s="9">
        <v>1964.63</v>
      </c>
      <c r="K1712" s="6">
        <v>4.33</v>
      </c>
      <c r="L1712" s="6">
        <v>40</v>
      </c>
      <c r="N1712" s="1">
        <f t="shared" si="201"/>
        <v>0</v>
      </c>
      <c r="O1712" s="8" t="s">
        <v>20</v>
      </c>
      <c r="P1712" s="8"/>
      <c r="Q1712" s="8" t="s">
        <v>21</v>
      </c>
      <c r="R1712" s="8" t="s">
        <v>21</v>
      </c>
      <c r="S1712" s="8" t="s">
        <v>21</v>
      </c>
      <c r="T1712" s="8" t="s">
        <v>21</v>
      </c>
      <c r="U1712" s="6">
        <f t="shared" si="202"/>
        <v>785.85200000000009</v>
      </c>
      <c r="V1712" s="6">
        <f t="shared" si="205"/>
        <v>785.85200000000009</v>
      </c>
    </row>
    <row r="1713" spans="1:22" hidden="1" x14ac:dyDescent="0.35">
      <c r="A1713" s="6" t="s">
        <v>1899</v>
      </c>
      <c r="B1713" s="6" t="s">
        <v>1888</v>
      </c>
      <c r="C1713" s="6" t="s">
        <v>1889</v>
      </c>
      <c r="D1713" s="6">
        <f t="shared" si="203"/>
        <v>0.5</v>
      </c>
      <c r="E1713" s="6" t="s">
        <v>19</v>
      </c>
      <c r="F1713" s="6" t="str">
        <f>MID(A1713,19,1)</f>
        <v>S</v>
      </c>
      <c r="G1713" s="6">
        <v>-23.023398254053756</v>
      </c>
      <c r="H1713" s="6">
        <v>-47.076893869455404</v>
      </c>
      <c r="I1713" s="9">
        <v>254.56</v>
      </c>
      <c r="K1713" s="6">
        <v>3.63</v>
      </c>
      <c r="L1713" s="6">
        <v>50</v>
      </c>
      <c r="N1713" s="1">
        <f t="shared" si="201"/>
        <v>0</v>
      </c>
      <c r="O1713" s="8" t="s">
        <v>20</v>
      </c>
      <c r="P1713" s="8"/>
      <c r="Q1713" s="8" t="s">
        <v>21</v>
      </c>
      <c r="R1713" s="8" t="s">
        <v>21</v>
      </c>
      <c r="S1713" s="8" t="s">
        <v>21</v>
      </c>
      <c r="T1713" s="8" t="s">
        <v>21</v>
      </c>
      <c r="U1713" s="6">
        <f t="shared" si="202"/>
        <v>127.28</v>
      </c>
      <c r="V1713" s="6">
        <f t="shared" si="205"/>
        <v>127.28</v>
      </c>
    </row>
    <row r="1714" spans="1:22" hidden="1" x14ac:dyDescent="0.35">
      <c r="A1714" s="6" t="s">
        <v>1900</v>
      </c>
      <c r="B1714" s="6" t="s">
        <v>1888</v>
      </c>
      <c r="C1714" s="6" t="s">
        <v>1889</v>
      </c>
      <c r="D1714" s="6">
        <f t="shared" si="203"/>
        <v>0.5</v>
      </c>
      <c r="E1714" s="6" t="s">
        <v>19</v>
      </c>
      <c r="F1714" s="6" t="str">
        <f>MID(A1714,19,1)</f>
        <v>S</v>
      </c>
      <c r="G1714" s="6">
        <v>-23.016320184878879</v>
      </c>
      <c r="H1714" s="6">
        <v>-47.083166630017921</v>
      </c>
      <c r="I1714" s="9">
        <v>429.14</v>
      </c>
      <c r="K1714" s="6">
        <v>4.53</v>
      </c>
      <c r="L1714" s="6">
        <v>40</v>
      </c>
      <c r="N1714" s="1">
        <f t="shared" si="201"/>
        <v>0</v>
      </c>
      <c r="O1714" s="8" t="s">
        <v>20</v>
      </c>
      <c r="P1714" s="8"/>
      <c r="Q1714" s="8" t="s">
        <v>21</v>
      </c>
      <c r="R1714" s="8" t="s">
        <v>21</v>
      </c>
      <c r="S1714" s="8" t="s">
        <v>21</v>
      </c>
      <c r="T1714" s="8" t="s">
        <v>21</v>
      </c>
      <c r="U1714" s="6">
        <f t="shared" si="202"/>
        <v>171.65600000000001</v>
      </c>
      <c r="V1714" s="6">
        <f t="shared" si="205"/>
        <v>171.65600000000001</v>
      </c>
    </row>
    <row r="1715" spans="1:22" hidden="1" x14ac:dyDescent="0.35">
      <c r="A1715" s="6" t="s">
        <v>1901</v>
      </c>
      <c r="B1715" s="6" t="s">
        <v>1888</v>
      </c>
      <c r="C1715" s="6" t="s">
        <v>1889</v>
      </c>
      <c r="D1715" s="6">
        <f t="shared" si="203"/>
        <v>0.5</v>
      </c>
      <c r="E1715" s="6" t="s">
        <v>23</v>
      </c>
      <c r="F1715" s="6" t="str">
        <f>MID(A1715,19,1)</f>
        <v>C</v>
      </c>
      <c r="G1715" s="6">
        <v>-23.008327906659773</v>
      </c>
      <c r="H1715" s="6">
        <v>-47.026686240333603</v>
      </c>
      <c r="I1715" s="9">
        <v>2798.41</v>
      </c>
      <c r="J1715" s="9">
        <f t="shared" ref="J1715:J1719" si="206">I1715/500</f>
        <v>5.5968200000000001</v>
      </c>
      <c r="K1715" s="6">
        <v>6.23</v>
      </c>
      <c r="L1715" s="6">
        <v>70</v>
      </c>
      <c r="N1715" s="1">
        <f t="shared" si="201"/>
        <v>0</v>
      </c>
      <c r="O1715" s="8" t="s">
        <v>20</v>
      </c>
      <c r="P1715" s="8"/>
      <c r="Q1715" s="8" t="s">
        <v>21</v>
      </c>
      <c r="R1715" s="8" t="s">
        <v>21</v>
      </c>
      <c r="S1715" s="8" t="s">
        <v>21</v>
      </c>
      <c r="T1715" s="8" t="s">
        <v>21</v>
      </c>
      <c r="U1715" s="6">
        <f t="shared" si="202"/>
        <v>1958.8869999999997</v>
      </c>
      <c r="V1715" s="6">
        <f t="shared" si="205"/>
        <v>1958.8869999999997</v>
      </c>
    </row>
    <row r="1716" spans="1:22" hidden="1" x14ac:dyDescent="0.35">
      <c r="A1716" s="6" t="s">
        <v>1902</v>
      </c>
      <c r="B1716" s="6" t="s">
        <v>1888</v>
      </c>
      <c r="C1716" s="6" t="s">
        <v>1889</v>
      </c>
      <c r="D1716" s="6">
        <f t="shared" si="203"/>
        <v>0.5</v>
      </c>
      <c r="E1716" s="6" t="s">
        <v>23</v>
      </c>
      <c r="F1716" s="6" t="str">
        <f>MID(A1716,19,1)</f>
        <v>C</v>
      </c>
      <c r="G1716" s="6">
        <v>-23.007811557154337</v>
      </c>
      <c r="H1716" s="6">
        <v>-47.026560073694434</v>
      </c>
      <c r="I1716" s="9">
        <v>5063.33</v>
      </c>
      <c r="J1716" s="9">
        <f t="shared" si="206"/>
        <v>10.126659999999999</v>
      </c>
      <c r="K1716" s="6">
        <v>6.43</v>
      </c>
      <c r="L1716" s="6">
        <v>70</v>
      </c>
      <c r="N1716" s="1">
        <f t="shared" si="201"/>
        <v>0</v>
      </c>
      <c r="O1716" s="8" t="s">
        <v>20</v>
      </c>
      <c r="P1716" s="8"/>
      <c r="Q1716" s="8" t="s">
        <v>21</v>
      </c>
      <c r="R1716" s="8" t="s">
        <v>21</v>
      </c>
      <c r="S1716" s="8" t="s">
        <v>21</v>
      </c>
      <c r="T1716" s="8" t="s">
        <v>21</v>
      </c>
      <c r="U1716" s="6">
        <f t="shared" si="202"/>
        <v>3544.3309999999997</v>
      </c>
      <c r="V1716" s="6">
        <f t="shared" si="205"/>
        <v>3544.3309999999997</v>
      </c>
    </row>
    <row r="1717" spans="1:22" hidden="1" x14ac:dyDescent="0.35">
      <c r="A1717" s="6" t="s">
        <v>1903</v>
      </c>
      <c r="B1717" s="6" t="s">
        <v>1888</v>
      </c>
      <c r="C1717" s="6" t="s">
        <v>1889</v>
      </c>
      <c r="D1717" s="6">
        <f t="shared" si="203"/>
        <v>0.5</v>
      </c>
      <c r="E1717" s="6" t="s">
        <v>23</v>
      </c>
      <c r="F1717" s="6" t="str">
        <f>MID(A1717,19,1)</f>
        <v>C</v>
      </c>
      <c r="G1717" s="6">
        <v>-23.023544808372506</v>
      </c>
      <c r="H1717" s="6">
        <v>-47.076433438195771</v>
      </c>
      <c r="I1717" s="9">
        <v>3756.44</v>
      </c>
      <c r="J1717" s="9">
        <f t="shared" si="206"/>
        <v>7.51288</v>
      </c>
      <c r="K1717" s="6">
        <v>2.82</v>
      </c>
      <c r="L1717" s="6">
        <v>70</v>
      </c>
      <c r="N1717" s="1">
        <f t="shared" si="201"/>
        <v>0</v>
      </c>
      <c r="O1717" s="8" t="s">
        <v>185</v>
      </c>
      <c r="P1717" s="8"/>
      <c r="Q1717" s="8" t="s">
        <v>21</v>
      </c>
      <c r="R1717" s="8" t="s">
        <v>21</v>
      </c>
      <c r="S1717" s="8" t="s">
        <v>21</v>
      </c>
      <c r="T1717" s="8" t="s">
        <v>21</v>
      </c>
      <c r="U1717" s="6">
        <f t="shared" si="202"/>
        <v>2629.5079999999998</v>
      </c>
      <c r="V1717" s="6">
        <f t="shared" si="205"/>
        <v>2629.5079999999998</v>
      </c>
    </row>
    <row r="1718" spans="1:22" hidden="1" x14ac:dyDescent="0.35">
      <c r="A1718" s="6" t="s">
        <v>1904</v>
      </c>
      <c r="B1718" s="6" t="s">
        <v>1888</v>
      </c>
      <c r="C1718" s="6" t="s">
        <v>1889</v>
      </c>
      <c r="D1718" s="6">
        <f t="shared" si="203"/>
        <v>0.5</v>
      </c>
      <c r="E1718" s="6" t="s">
        <v>23</v>
      </c>
      <c r="F1718" s="6" t="str">
        <f>MID(A1718,19,1)</f>
        <v>C</v>
      </c>
      <c r="G1718" s="6">
        <v>-23.017707864413286</v>
      </c>
      <c r="H1718" s="6">
        <v>-47.081451341483415</v>
      </c>
      <c r="I1718" s="9">
        <v>17009.240000000002</v>
      </c>
      <c r="J1718" s="9">
        <f t="shared" si="206"/>
        <v>34.018480000000004</v>
      </c>
      <c r="K1718" s="6">
        <v>4.45</v>
      </c>
      <c r="L1718" s="6">
        <v>70</v>
      </c>
      <c r="N1718" s="1">
        <f t="shared" si="201"/>
        <v>0</v>
      </c>
      <c r="O1718" s="8" t="s">
        <v>185</v>
      </c>
      <c r="P1718" s="8"/>
      <c r="Q1718" s="8" t="s">
        <v>21</v>
      </c>
      <c r="R1718" s="8" t="s">
        <v>21</v>
      </c>
      <c r="S1718" s="8" t="s">
        <v>21</v>
      </c>
      <c r="T1718" s="8" t="s">
        <v>21</v>
      </c>
      <c r="U1718" s="6">
        <f t="shared" si="202"/>
        <v>11906.468000000001</v>
      </c>
      <c r="V1718" s="6">
        <f t="shared" si="205"/>
        <v>11906.468000000001</v>
      </c>
    </row>
    <row r="1719" spans="1:22" hidden="1" x14ac:dyDescent="0.35">
      <c r="A1719" s="6" t="s">
        <v>1905</v>
      </c>
      <c r="B1719" s="6" t="s">
        <v>1906</v>
      </c>
      <c r="C1719" s="6" t="s">
        <v>1907</v>
      </c>
      <c r="D1719" s="6">
        <f t="shared" si="203"/>
        <v>0.5</v>
      </c>
      <c r="E1719" s="6" t="s">
        <v>23</v>
      </c>
      <c r="F1719" s="6" t="str">
        <f>MID(A1719,19,1)</f>
        <v>C</v>
      </c>
      <c r="G1719" s="6">
        <v>-23.011944061556466</v>
      </c>
      <c r="H1719" s="6">
        <v>-47.088361253640784</v>
      </c>
      <c r="I1719" s="9">
        <v>12113.07</v>
      </c>
      <c r="J1719" s="9">
        <f t="shared" si="206"/>
        <v>24.226140000000001</v>
      </c>
      <c r="K1719" s="6">
        <v>3.91</v>
      </c>
      <c r="L1719" s="6">
        <v>70</v>
      </c>
      <c r="N1719" s="1">
        <f t="shared" si="201"/>
        <v>0</v>
      </c>
      <c r="O1719" s="8" t="s">
        <v>185</v>
      </c>
      <c r="P1719" s="8"/>
      <c r="Q1719" s="8" t="s">
        <v>21</v>
      </c>
      <c r="R1719" s="8" t="s">
        <v>21</v>
      </c>
      <c r="S1719" s="8" t="s">
        <v>21</v>
      </c>
      <c r="T1719" s="8" t="s">
        <v>21</v>
      </c>
      <c r="U1719" s="6">
        <f t="shared" si="202"/>
        <v>8479.1489999999994</v>
      </c>
      <c r="V1719" s="6">
        <f t="shared" si="205"/>
        <v>8479.1489999999994</v>
      </c>
    </row>
    <row r="1720" spans="1:22" hidden="1" x14ac:dyDescent="0.35">
      <c r="A1720" s="6" t="s">
        <v>1908</v>
      </c>
      <c r="B1720" s="6" t="s">
        <v>1906</v>
      </c>
      <c r="C1720" s="6" t="s">
        <v>1907</v>
      </c>
      <c r="D1720" s="6">
        <f t="shared" si="203"/>
        <v>0.5</v>
      </c>
      <c r="E1720" s="6" t="s">
        <v>19</v>
      </c>
      <c r="F1720" s="6" t="str">
        <f>MID(A1720,19,1)</f>
        <v>S</v>
      </c>
      <c r="G1720" s="6">
        <v>-22.995470584839001</v>
      </c>
      <c r="H1720" s="6">
        <v>-47.034957611399157</v>
      </c>
      <c r="I1720" s="9">
        <v>1146.75</v>
      </c>
      <c r="K1720" s="6">
        <v>6.95</v>
      </c>
      <c r="L1720" s="6">
        <v>30</v>
      </c>
      <c r="N1720" s="1">
        <f t="shared" si="201"/>
        <v>0</v>
      </c>
      <c r="O1720" s="8" t="s">
        <v>20</v>
      </c>
      <c r="P1720" s="8"/>
      <c r="Q1720" s="8" t="s">
        <v>21</v>
      </c>
      <c r="R1720" s="8" t="s">
        <v>21</v>
      </c>
      <c r="S1720" s="8" t="s">
        <v>21</v>
      </c>
      <c r="T1720" s="8" t="s">
        <v>21</v>
      </c>
      <c r="U1720" s="6">
        <f t="shared" si="202"/>
        <v>344.02499999999998</v>
      </c>
      <c r="V1720" s="6">
        <f t="shared" si="205"/>
        <v>344.02499999999998</v>
      </c>
    </row>
    <row r="1721" spans="1:22" hidden="1" x14ac:dyDescent="0.35">
      <c r="A1721" s="6" t="s">
        <v>1909</v>
      </c>
      <c r="B1721" s="6" t="s">
        <v>1906</v>
      </c>
      <c r="C1721" s="6" t="s">
        <v>1907</v>
      </c>
      <c r="D1721" s="6">
        <f t="shared" si="203"/>
        <v>0.5</v>
      </c>
      <c r="E1721" s="6" t="s">
        <v>19</v>
      </c>
      <c r="F1721" s="6" t="str">
        <f>MID(A1721,19,1)</f>
        <v>S</v>
      </c>
      <c r="G1721" s="6">
        <v>-23.011360966248642</v>
      </c>
      <c r="H1721" s="6">
        <v>-47.089730146066756</v>
      </c>
      <c r="I1721" s="9">
        <v>581.83000000000004</v>
      </c>
      <c r="K1721" s="6">
        <v>2.29</v>
      </c>
      <c r="L1721" s="6">
        <v>40</v>
      </c>
      <c r="N1721" s="1">
        <f t="shared" si="201"/>
        <v>0</v>
      </c>
      <c r="O1721" s="8" t="s">
        <v>20</v>
      </c>
      <c r="P1721" s="8"/>
      <c r="Q1721" s="8" t="s">
        <v>21</v>
      </c>
      <c r="R1721" s="8" t="s">
        <v>21</v>
      </c>
      <c r="S1721" s="8" t="s">
        <v>21</v>
      </c>
      <c r="T1721" s="8" t="s">
        <v>21</v>
      </c>
      <c r="U1721" s="6">
        <f t="shared" si="202"/>
        <v>232.73200000000003</v>
      </c>
      <c r="V1721" s="6">
        <f t="shared" si="205"/>
        <v>232.73200000000003</v>
      </c>
    </row>
    <row r="1722" spans="1:22" hidden="1" x14ac:dyDescent="0.35">
      <c r="A1722" s="6" t="s">
        <v>1910</v>
      </c>
      <c r="B1722" s="6" t="s">
        <v>1906</v>
      </c>
      <c r="C1722" s="6" t="s">
        <v>1907</v>
      </c>
      <c r="D1722" s="6">
        <f t="shared" si="203"/>
        <v>0.5</v>
      </c>
      <c r="E1722" s="6" t="s">
        <v>19</v>
      </c>
      <c r="F1722" s="6" t="str">
        <f>MID(A1722,19,1)</f>
        <v>S</v>
      </c>
      <c r="G1722" s="6">
        <v>-23.013009935666435</v>
      </c>
      <c r="H1722" s="6">
        <v>-47.08736689569691</v>
      </c>
      <c r="I1722" s="9">
        <v>299.58</v>
      </c>
      <c r="K1722" s="6">
        <v>8.1300000000000008</v>
      </c>
      <c r="L1722" s="6">
        <v>40</v>
      </c>
      <c r="N1722" s="1">
        <f t="shared" si="201"/>
        <v>0</v>
      </c>
      <c r="O1722" s="8" t="s">
        <v>20</v>
      </c>
      <c r="P1722" s="8"/>
      <c r="Q1722" s="8" t="s">
        <v>21</v>
      </c>
      <c r="R1722" s="8" t="s">
        <v>21</v>
      </c>
      <c r="S1722" s="8" t="s">
        <v>21</v>
      </c>
      <c r="T1722" s="8" t="s">
        <v>21</v>
      </c>
      <c r="U1722" s="6">
        <f t="shared" si="202"/>
        <v>119.83199999999999</v>
      </c>
      <c r="V1722" s="6">
        <f t="shared" si="205"/>
        <v>119.83199999999999</v>
      </c>
    </row>
    <row r="1723" spans="1:22" hidden="1" x14ac:dyDescent="0.35">
      <c r="A1723" s="6" t="s">
        <v>1911</v>
      </c>
      <c r="B1723" s="6" t="s">
        <v>1906</v>
      </c>
      <c r="C1723" s="6" t="s">
        <v>1907</v>
      </c>
      <c r="D1723" s="6">
        <f t="shared" si="203"/>
        <v>0.5</v>
      </c>
      <c r="E1723" s="6" t="s">
        <v>19</v>
      </c>
      <c r="F1723" s="6" t="str">
        <f>MID(A1723,19,1)</f>
        <v>S</v>
      </c>
      <c r="G1723" s="6">
        <v>-23.016251630121072</v>
      </c>
      <c r="H1723" s="6">
        <v>-47.083477312795715</v>
      </c>
      <c r="I1723" s="9">
        <v>420.12</v>
      </c>
      <c r="K1723" s="6">
        <v>5.49</v>
      </c>
      <c r="L1723" s="6">
        <v>40</v>
      </c>
      <c r="N1723" s="1">
        <f t="shared" si="201"/>
        <v>0</v>
      </c>
      <c r="O1723" s="8" t="s">
        <v>20</v>
      </c>
      <c r="P1723" s="8"/>
      <c r="Q1723" s="8" t="s">
        <v>21</v>
      </c>
      <c r="R1723" s="8" t="s">
        <v>21</v>
      </c>
      <c r="S1723" s="8" t="s">
        <v>21</v>
      </c>
      <c r="T1723" s="8" t="s">
        <v>21</v>
      </c>
      <c r="U1723" s="6">
        <f t="shared" si="202"/>
        <v>168.048</v>
      </c>
      <c r="V1723" s="6">
        <f t="shared" si="205"/>
        <v>168.048</v>
      </c>
    </row>
    <row r="1724" spans="1:22" hidden="1" x14ac:dyDescent="0.35">
      <c r="A1724" s="6" t="s">
        <v>1912</v>
      </c>
      <c r="B1724" s="6" t="s">
        <v>1906</v>
      </c>
      <c r="C1724" s="6" t="s">
        <v>1907</v>
      </c>
      <c r="D1724" s="6">
        <f t="shared" si="203"/>
        <v>0.5</v>
      </c>
      <c r="E1724" s="6" t="s">
        <v>23</v>
      </c>
      <c r="F1724" s="6" t="str">
        <f>MID(A1724,19,1)</f>
        <v>C</v>
      </c>
      <c r="G1724" s="6">
        <v>-23.015269466074187</v>
      </c>
      <c r="H1724" s="6">
        <v>-47.083873116547764</v>
      </c>
      <c r="I1724" s="9">
        <v>5018.53</v>
      </c>
      <c r="J1724" s="9">
        <f>I1724/500</f>
        <v>10.03706</v>
      </c>
      <c r="K1724" s="6">
        <v>3.74</v>
      </c>
      <c r="L1724" s="6">
        <v>70</v>
      </c>
      <c r="N1724" s="1">
        <f t="shared" si="201"/>
        <v>0</v>
      </c>
      <c r="O1724" s="8" t="s">
        <v>185</v>
      </c>
      <c r="P1724" s="8"/>
      <c r="Q1724" s="8" t="s">
        <v>21</v>
      </c>
      <c r="R1724" s="8" t="s">
        <v>21</v>
      </c>
      <c r="S1724" s="8" t="s">
        <v>21</v>
      </c>
      <c r="T1724" s="8" t="s">
        <v>21</v>
      </c>
      <c r="U1724" s="6">
        <f t="shared" si="202"/>
        <v>3512.9709999999995</v>
      </c>
      <c r="V1724" s="6">
        <f t="shared" si="205"/>
        <v>3512.9709999999995</v>
      </c>
    </row>
    <row r="1725" spans="1:22" hidden="1" x14ac:dyDescent="0.35">
      <c r="A1725" s="6" t="s">
        <v>1913</v>
      </c>
      <c r="B1725" s="6" t="s">
        <v>1906</v>
      </c>
      <c r="C1725" s="6" t="s">
        <v>1907</v>
      </c>
      <c r="D1725" s="6">
        <f t="shared" si="203"/>
        <v>0.5</v>
      </c>
      <c r="E1725" s="6" t="s">
        <v>19</v>
      </c>
      <c r="F1725" s="6" t="str">
        <f>MID(A1725,19,1)</f>
        <v>S</v>
      </c>
      <c r="G1725" s="6">
        <v>-23.014004523915361</v>
      </c>
      <c r="H1725" s="6">
        <v>-47.085981820604808</v>
      </c>
      <c r="I1725" s="9">
        <v>1254.6199999999999</v>
      </c>
      <c r="K1725" s="6">
        <v>7.08</v>
      </c>
      <c r="L1725" s="6">
        <v>40</v>
      </c>
      <c r="N1725" s="1">
        <f t="shared" si="201"/>
        <v>0</v>
      </c>
      <c r="O1725" s="8" t="s">
        <v>20</v>
      </c>
      <c r="P1725" s="8"/>
      <c r="Q1725" s="8" t="s">
        <v>21</v>
      </c>
      <c r="R1725" s="8" t="s">
        <v>21</v>
      </c>
      <c r="S1725" s="8" t="s">
        <v>21</v>
      </c>
      <c r="T1725" s="8" t="s">
        <v>21</v>
      </c>
      <c r="U1725" s="6">
        <f t="shared" si="202"/>
        <v>501.84799999999996</v>
      </c>
      <c r="V1725" s="6">
        <f t="shared" si="205"/>
        <v>501.84799999999996</v>
      </c>
    </row>
    <row r="1726" spans="1:22" x14ac:dyDescent="0.35">
      <c r="A1726" s="6" t="s">
        <v>1914</v>
      </c>
      <c r="B1726" s="6" t="s">
        <v>1906</v>
      </c>
      <c r="C1726" s="6" t="s">
        <v>1907</v>
      </c>
      <c r="D1726" s="6">
        <f t="shared" si="203"/>
        <v>0.5</v>
      </c>
      <c r="E1726" s="6" t="s">
        <v>19</v>
      </c>
      <c r="F1726" s="6" t="str">
        <f>MID(A1726,19,1)</f>
        <v>N</v>
      </c>
      <c r="G1726" s="6">
        <v>-23.015419478930198</v>
      </c>
      <c r="H1726" s="6">
        <v>-47.082930262383861</v>
      </c>
      <c r="I1726" s="9">
        <v>59.73</v>
      </c>
      <c r="K1726" s="6">
        <v>4.07</v>
      </c>
      <c r="L1726" s="6">
        <v>30</v>
      </c>
      <c r="N1726" s="1">
        <f t="shared" si="201"/>
        <v>0</v>
      </c>
      <c r="O1726" s="8" t="s">
        <v>20</v>
      </c>
      <c r="P1726" s="8"/>
      <c r="Q1726" s="8" t="s">
        <v>21</v>
      </c>
      <c r="R1726" s="8" t="s">
        <v>21</v>
      </c>
      <c r="S1726" s="8" t="s">
        <v>21</v>
      </c>
      <c r="T1726" s="8" t="s">
        <v>21</v>
      </c>
      <c r="U1726" s="6">
        <f t="shared" si="202"/>
        <v>17.918999999999997</v>
      </c>
      <c r="V1726" s="6">
        <f t="shared" si="205"/>
        <v>17.918999999999997</v>
      </c>
    </row>
    <row r="1727" spans="1:22" x14ac:dyDescent="0.35">
      <c r="A1727" s="6" t="s">
        <v>1915</v>
      </c>
      <c r="B1727" s="6" t="s">
        <v>1906</v>
      </c>
      <c r="C1727" s="6" t="s">
        <v>1907</v>
      </c>
      <c r="D1727" s="6">
        <f t="shared" si="203"/>
        <v>0.5</v>
      </c>
      <c r="E1727" s="6" t="s">
        <v>19</v>
      </c>
      <c r="F1727" s="6" t="str">
        <f>MID(A1727,19,1)</f>
        <v>N</v>
      </c>
      <c r="G1727" s="6">
        <v>-23.012665216693971</v>
      </c>
      <c r="H1727" s="6">
        <v>-47.086835332504741</v>
      </c>
      <c r="I1727" s="9">
        <v>280.74</v>
      </c>
      <c r="K1727" s="6">
        <v>2.95</v>
      </c>
      <c r="L1727" s="6">
        <v>20</v>
      </c>
      <c r="N1727" s="1">
        <f t="shared" si="201"/>
        <v>0</v>
      </c>
      <c r="O1727" s="8" t="s">
        <v>20</v>
      </c>
      <c r="P1727" s="8"/>
      <c r="Q1727" s="8" t="s">
        <v>21</v>
      </c>
      <c r="R1727" s="8" t="s">
        <v>21</v>
      </c>
      <c r="S1727" s="8" t="s">
        <v>21</v>
      </c>
      <c r="T1727" s="8" t="s">
        <v>21</v>
      </c>
      <c r="U1727" s="6">
        <f t="shared" si="202"/>
        <v>56.148000000000003</v>
      </c>
      <c r="V1727" s="6">
        <f t="shared" si="205"/>
        <v>56.148000000000003</v>
      </c>
    </row>
    <row r="1728" spans="1:22" x14ac:dyDescent="0.35">
      <c r="A1728" s="6" t="s">
        <v>1916</v>
      </c>
      <c r="B1728" s="6" t="s">
        <v>1906</v>
      </c>
      <c r="C1728" s="6" t="s">
        <v>1907</v>
      </c>
      <c r="D1728" s="6">
        <f t="shared" si="203"/>
        <v>0.5</v>
      </c>
      <c r="E1728" s="6" t="s">
        <v>19</v>
      </c>
      <c r="F1728" s="6" t="str">
        <f>MID(A1728,19,1)</f>
        <v>N</v>
      </c>
      <c r="G1728" s="6">
        <v>-23.014538567246099</v>
      </c>
      <c r="H1728" s="6">
        <v>-47.08397923147465</v>
      </c>
      <c r="I1728" s="9">
        <v>423.18</v>
      </c>
      <c r="K1728" s="6">
        <v>2.83</v>
      </c>
      <c r="L1728" s="6">
        <v>30</v>
      </c>
      <c r="N1728" s="1">
        <f t="shared" si="201"/>
        <v>0</v>
      </c>
      <c r="O1728" s="8" t="s">
        <v>20</v>
      </c>
      <c r="P1728" s="8"/>
      <c r="Q1728" s="8" t="s">
        <v>21</v>
      </c>
      <c r="R1728" s="8" t="s">
        <v>21</v>
      </c>
      <c r="S1728" s="8" t="s">
        <v>21</v>
      </c>
      <c r="T1728" s="8" t="s">
        <v>21</v>
      </c>
      <c r="U1728" s="6">
        <f t="shared" si="202"/>
        <v>126.95399999999999</v>
      </c>
      <c r="V1728" s="6">
        <f t="shared" si="205"/>
        <v>126.95399999999999</v>
      </c>
    </row>
    <row r="1729" spans="1:22" hidden="1" x14ac:dyDescent="0.35">
      <c r="A1729" s="6" t="s">
        <v>1917</v>
      </c>
      <c r="B1729" s="6" t="s">
        <v>1906</v>
      </c>
      <c r="C1729" s="6" t="s">
        <v>1907</v>
      </c>
      <c r="D1729" s="6">
        <f t="shared" si="203"/>
        <v>0.5</v>
      </c>
      <c r="E1729" s="6" t="s">
        <v>19</v>
      </c>
      <c r="F1729" s="6" t="str">
        <f>MID(A1729,19,1)</f>
        <v>S</v>
      </c>
      <c r="G1729" s="6">
        <v>-22.99704383097427</v>
      </c>
      <c r="H1729" s="6">
        <v>-47.033907881001987</v>
      </c>
      <c r="I1729" s="9">
        <v>5220.51</v>
      </c>
      <c r="K1729" s="6">
        <v>5.14</v>
      </c>
      <c r="L1729" s="6">
        <v>30</v>
      </c>
      <c r="N1729" s="1">
        <f t="shared" si="201"/>
        <v>0</v>
      </c>
      <c r="O1729" s="8" t="s">
        <v>20</v>
      </c>
      <c r="P1729" s="8"/>
      <c r="Q1729" s="8" t="s">
        <v>21</v>
      </c>
      <c r="R1729" s="8" t="s">
        <v>21</v>
      </c>
      <c r="S1729" s="8" t="s">
        <v>21</v>
      </c>
      <c r="T1729" s="8" t="s">
        <v>21</v>
      </c>
      <c r="U1729" s="6">
        <f t="shared" si="202"/>
        <v>1566.153</v>
      </c>
      <c r="V1729" s="6">
        <f t="shared" si="205"/>
        <v>1566.153</v>
      </c>
    </row>
    <row r="1730" spans="1:22" x14ac:dyDescent="0.35">
      <c r="A1730" s="6" t="s">
        <v>1918</v>
      </c>
      <c r="B1730" s="6" t="s">
        <v>1906</v>
      </c>
      <c r="C1730" s="6" t="s">
        <v>1907</v>
      </c>
      <c r="D1730" s="6">
        <f t="shared" si="203"/>
        <v>0.5</v>
      </c>
      <c r="E1730" s="6" t="s">
        <v>19</v>
      </c>
      <c r="F1730" s="6" t="str">
        <f>MID(A1730,19,1)</f>
        <v>N</v>
      </c>
      <c r="G1730" s="6">
        <v>-23.013548518341942</v>
      </c>
      <c r="H1730" s="6">
        <v>-47.085584986277986</v>
      </c>
      <c r="I1730" s="9">
        <v>1053.8</v>
      </c>
      <c r="K1730" s="6">
        <v>2.4900000000000002</v>
      </c>
      <c r="L1730" s="6">
        <v>30</v>
      </c>
      <c r="N1730" s="1">
        <f t="shared" ref="N1730:N1793" si="207">IF(OR(R1730="Sim",S1730="Sim",T1730="Sim"),(L1730/100)*I1730,0)</f>
        <v>0</v>
      </c>
      <c r="O1730" s="8" t="s">
        <v>20</v>
      </c>
      <c r="P1730" s="8"/>
      <c r="Q1730" s="8" t="s">
        <v>21</v>
      </c>
      <c r="R1730" s="8" t="s">
        <v>21</v>
      </c>
      <c r="S1730" s="8" t="s">
        <v>21</v>
      </c>
      <c r="T1730" s="8" t="s">
        <v>21</v>
      </c>
      <c r="U1730" s="6">
        <f t="shared" si="202"/>
        <v>316.14</v>
      </c>
      <c r="V1730" s="6">
        <f t="shared" si="205"/>
        <v>316.14</v>
      </c>
    </row>
    <row r="1731" spans="1:22" x14ac:dyDescent="0.35">
      <c r="A1731" s="6" t="s">
        <v>1919</v>
      </c>
      <c r="B1731" s="6" t="s">
        <v>1906</v>
      </c>
      <c r="C1731" s="6" t="s">
        <v>1907</v>
      </c>
      <c r="D1731" s="6">
        <f t="shared" si="203"/>
        <v>0.5</v>
      </c>
      <c r="E1731" s="6" t="s">
        <v>19</v>
      </c>
      <c r="F1731" s="6" t="str">
        <f>MID(A1731,19,1)</f>
        <v>N</v>
      </c>
      <c r="G1731" s="6">
        <v>-23.015070240303441</v>
      </c>
      <c r="H1731" s="6">
        <v>-47.083349680832917</v>
      </c>
      <c r="I1731" s="9">
        <v>1928.05</v>
      </c>
      <c r="K1731" s="6">
        <v>4.33</v>
      </c>
      <c r="L1731" s="6">
        <v>30</v>
      </c>
      <c r="N1731" s="1">
        <f t="shared" si="207"/>
        <v>0</v>
      </c>
      <c r="O1731" s="8" t="s">
        <v>20</v>
      </c>
      <c r="P1731" s="8"/>
      <c r="Q1731" s="8" t="s">
        <v>21</v>
      </c>
      <c r="R1731" s="8" t="s">
        <v>21</v>
      </c>
      <c r="S1731" s="8" t="s">
        <v>21</v>
      </c>
      <c r="T1731" s="8" t="s">
        <v>21</v>
      </c>
      <c r="U1731" s="6">
        <f t="shared" ref="U1731:U1794" si="208">IF(N1731=0,(I1731*(L1731/100)),0)</f>
        <v>578.41499999999996</v>
      </c>
      <c r="V1731" s="6">
        <f t="shared" si="205"/>
        <v>578.41499999999996</v>
      </c>
    </row>
    <row r="1732" spans="1:22" hidden="1" x14ac:dyDescent="0.35">
      <c r="A1732" s="6" t="s">
        <v>1920</v>
      </c>
      <c r="B1732" s="6" t="s">
        <v>1906</v>
      </c>
      <c r="C1732" s="6" t="s">
        <v>1907</v>
      </c>
      <c r="D1732" s="6">
        <f t="shared" si="203"/>
        <v>0.5</v>
      </c>
      <c r="E1732" s="6" t="s">
        <v>19</v>
      </c>
      <c r="F1732" s="6" t="str">
        <f>MID(A1732,19,1)</f>
        <v>S</v>
      </c>
      <c r="G1732" s="6">
        <v>-23.015955724377598</v>
      </c>
      <c r="H1732" s="6">
        <v>-47.083806966285614</v>
      </c>
      <c r="I1732" s="9">
        <v>344.81</v>
      </c>
      <c r="K1732" s="6">
        <v>6.17</v>
      </c>
      <c r="L1732" s="6">
        <v>40</v>
      </c>
      <c r="N1732" s="1">
        <f t="shared" si="207"/>
        <v>0</v>
      </c>
      <c r="O1732" s="8" t="s">
        <v>20</v>
      </c>
      <c r="P1732" s="8"/>
      <c r="Q1732" s="8" t="s">
        <v>21</v>
      </c>
      <c r="R1732" s="8" t="s">
        <v>21</v>
      </c>
      <c r="S1732" s="8" t="s">
        <v>21</v>
      </c>
      <c r="T1732" s="8" t="s">
        <v>21</v>
      </c>
      <c r="U1732" s="6">
        <f t="shared" si="208"/>
        <v>137.92400000000001</v>
      </c>
      <c r="V1732" s="6">
        <f t="shared" si="205"/>
        <v>137.92400000000001</v>
      </c>
    </row>
    <row r="1733" spans="1:22" hidden="1" x14ac:dyDescent="0.35">
      <c r="A1733" s="6" t="s">
        <v>1921</v>
      </c>
      <c r="B1733" s="6" t="s">
        <v>1906</v>
      </c>
      <c r="C1733" s="6" t="s">
        <v>1907</v>
      </c>
      <c r="D1733" s="6">
        <f t="shared" si="203"/>
        <v>0.5</v>
      </c>
      <c r="E1733" s="6" t="s">
        <v>19</v>
      </c>
      <c r="F1733" s="6" t="str">
        <f>MID(A1733,19,1)</f>
        <v>S</v>
      </c>
      <c r="G1733" s="6">
        <v>-23.011698210228442</v>
      </c>
      <c r="H1733" s="6">
        <v>-47.089399019747162</v>
      </c>
      <c r="I1733" s="9">
        <v>291.02</v>
      </c>
      <c r="K1733" s="6">
        <v>3.02</v>
      </c>
      <c r="L1733" s="6">
        <v>40</v>
      </c>
      <c r="N1733" s="1">
        <f t="shared" si="207"/>
        <v>0</v>
      </c>
      <c r="O1733" s="8" t="s">
        <v>20</v>
      </c>
      <c r="P1733" s="8"/>
      <c r="Q1733" s="8" t="s">
        <v>21</v>
      </c>
      <c r="R1733" s="8" t="s">
        <v>21</v>
      </c>
      <c r="S1733" s="8" t="s">
        <v>21</v>
      </c>
      <c r="T1733" s="8" t="s">
        <v>21</v>
      </c>
      <c r="U1733" s="6">
        <f t="shared" si="208"/>
        <v>116.408</v>
      </c>
      <c r="V1733" s="6">
        <f t="shared" si="205"/>
        <v>116.408</v>
      </c>
    </row>
    <row r="1734" spans="1:22" hidden="1" x14ac:dyDescent="0.35">
      <c r="A1734" s="6" t="s">
        <v>1922</v>
      </c>
      <c r="B1734" s="6" t="s">
        <v>1906</v>
      </c>
      <c r="C1734" s="6" t="s">
        <v>1907</v>
      </c>
      <c r="D1734" s="6">
        <f t="shared" si="203"/>
        <v>0.5</v>
      </c>
      <c r="E1734" s="6" t="s">
        <v>19</v>
      </c>
      <c r="F1734" s="6" t="str">
        <f>MID(A1734,19,1)</f>
        <v>S</v>
      </c>
      <c r="G1734" s="6">
        <v>-23.012163659725832</v>
      </c>
      <c r="H1734" s="6">
        <v>-47.088636030181235</v>
      </c>
      <c r="I1734" s="9">
        <v>742.24</v>
      </c>
      <c r="K1734" s="6">
        <v>4.34</v>
      </c>
      <c r="L1734" s="6">
        <v>40</v>
      </c>
      <c r="N1734" s="1">
        <f t="shared" si="207"/>
        <v>0</v>
      </c>
      <c r="O1734" s="8" t="s">
        <v>20</v>
      </c>
      <c r="P1734" s="8"/>
      <c r="Q1734" s="8" t="s">
        <v>21</v>
      </c>
      <c r="R1734" s="8" t="s">
        <v>21</v>
      </c>
      <c r="S1734" s="8" t="s">
        <v>21</v>
      </c>
      <c r="T1734" s="8" t="s">
        <v>21</v>
      </c>
      <c r="U1734" s="6">
        <f t="shared" si="208"/>
        <v>296.89600000000002</v>
      </c>
      <c r="V1734" s="6">
        <f t="shared" si="205"/>
        <v>296.89600000000002</v>
      </c>
    </row>
    <row r="1735" spans="1:22" hidden="1" x14ac:dyDescent="0.35">
      <c r="A1735" s="6" t="s">
        <v>1923</v>
      </c>
      <c r="B1735" s="6" t="s">
        <v>1906</v>
      </c>
      <c r="C1735" s="6" t="s">
        <v>1907</v>
      </c>
      <c r="D1735" s="6">
        <f t="shared" si="203"/>
        <v>0.5</v>
      </c>
      <c r="E1735" s="6" t="s">
        <v>19</v>
      </c>
      <c r="F1735" s="6" t="str">
        <f>MID(A1735,19,1)</f>
        <v>S</v>
      </c>
      <c r="G1735" s="6">
        <v>-23.01493910290079</v>
      </c>
      <c r="H1735" s="6">
        <v>-47.084731219926624</v>
      </c>
      <c r="I1735" s="9">
        <v>36.64</v>
      </c>
      <c r="K1735" s="6">
        <v>6.31</v>
      </c>
      <c r="L1735" s="6">
        <v>40</v>
      </c>
      <c r="N1735" s="1">
        <f t="shared" si="207"/>
        <v>0</v>
      </c>
      <c r="O1735" s="8" t="s">
        <v>20</v>
      </c>
      <c r="P1735" s="8"/>
      <c r="Q1735" s="8" t="s">
        <v>21</v>
      </c>
      <c r="R1735" s="8" t="s">
        <v>21</v>
      </c>
      <c r="S1735" s="8" t="s">
        <v>21</v>
      </c>
      <c r="T1735" s="8" t="s">
        <v>21</v>
      </c>
      <c r="U1735" s="6">
        <f t="shared" si="208"/>
        <v>14.656000000000001</v>
      </c>
      <c r="V1735" s="6">
        <f t="shared" si="205"/>
        <v>14.656000000000001</v>
      </c>
    </row>
    <row r="1736" spans="1:22" hidden="1" x14ac:dyDescent="0.35">
      <c r="A1736" s="6" t="s">
        <v>1924</v>
      </c>
      <c r="B1736" s="6" t="s">
        <v>1906</v>
      </c>
      <c r="C1736" s="6" t="s">
        <v>1907</v>
      </c>
      <c r="D1736" s="6">
        <f t="shared" si="203"/>
        <v>0.5</v>
      </c>
      <c r="E1736" s="6" t="s">
        <v>19</v>
      </c>
      <c r="F1736" s="6" t="str">
        <f>MID(A1736,19,1)</f>
        <v>S</v>
      </c>
      <c r="G1736" s="6">
        <v>-23.014127868824069</v>
      </c>
      <c r="H1736" s="6">
        <v>-47.08605898546157</v>
      </c>
      <c r="I1736" s="9">
        <v>460.46</v>
      </c>
      <c r="K1736" s="6">
        <v>6.45</v>
      </c>
      <c r="L1736" s="6">
        <v>40</v>
      </c>
      <c r="N1736" s="1">
        <f t="shared" si="207"/>
        <v>0</v>
      </c>
      <c r="O1736" s="8" t="s">
        <v>20</v>
      </c>
      <c r="P1736" s="8"/>
      <c r="Q1736" s="8" t="s">
        <v>21</v>
      </c>
      <c r="R1736" s="8" t="s">
        <v>21</v>
      </c>
      <c r="S1736" s="8" t="s">
        <v>21</v>
      </c>
      <c r="T1736" s="8" t="s">
        <v>21</v>
      </c>
      <c r="U1736" s="6">
        <f t="shared" si="208"/>
        <v>184.184</v>
      </c>
      <c r="V1736" s="6">
        <f t="shared" si="205"/>
        <v>184.184</v>
      </c>
    </row>
    <row r="1737" spans="1:22" hidden="1" x14ac:dyDescent="0.35">
      <c r="A1737" s="6" t="s">
        <v>1925</v>
      </c>
      <c r="B1737" s="6" t="s">
        <v>1906</v>
      </c>
      <c r="C1737" s="6" t="s">
        <v>1907</v>
      </c>
      <c r="D1737" s="6">
        <f t="shared" si="203"/>
        <v>0.5</v>
      </c>
      <c r="E1737" s="6" t="s">
        <v>19</v>
      </c>
      <c r="F1737" s="6" t="str">
        <f>MID(A1737,19,1)</f>
        <v>S</v>
      </c>
      <c r="G1737" s="6">
        <v>-23.01477972677537</v>
      </c>
      <c r="H1737" s="6">
        <v>-47.08523042356817</v>
      </c>
      <c r="I1737" s="9">
        <v>391.46</v>
      </c>
      <c r="K1737" s="6">
        <v>6.36</v>
      </c>
      <c r="L1737" s="6">
        <v>40</v>
      </c>
      <c r="N1737" s="1">
        <f t="shared" si="207"/>
        <v>0</v>
      </c>
      <c r="O1737" s="8" t="s">
        <v>20</v>
      </c>
      <c r="P1737" s="8"/>
      <c r="Q1737" s="8" t="s">
        <v>21</v>
      </c>
      <c r="R1737" s="8" t="s">
        <v>21</v>
      </c>
      <c r="S1737" s="8" t="s">
        <v>21</v>
      </c>
      <c r="T1737" s="8" t="s">
        <v>21</v>
      </c>
      <c r="U1737" s="6">
        <f t="shared" si="208"/>
        <v>156.584</v>
      </c>
      <c r="V1737" s="6">
        <f t="shared" si="205"/>
        <v>156.584</v>
      </c>
    </row>
    <row r="1738" spans="1:22" hidden="1" x14ac:dyDescent="0.35">
      <c r="A1738" s="6" t="s">
        <v>1926</v>
      </c>
      <c r="B1738" s="6" t="s">
        <v>1906</v>
      </c>
      <c r="C1738" s="6" t="s">
        <v>1907</v>
      </c>
      <c r="D1738" s="6">
        <f t="shared" si="203"/>
        <v>0.5</v>
      </c>
      <c r="E1738" s="6" t="s">
        <v>23</v>
      </c>
      <c r="F1738" s="6" t="str">
        <f>MID(A1738,19,1)</f>
        <v>C</v>
      </c>
      <c r="G1738" s="6">
        <v>-23.013773025689357</v>
      </c>
      <c r="H1738" s="6">
        <v>-47.085793455031471</v>
      </c>
      <c r="I1738" s="9">
        <v>7693.93</v>
      </c>
      <c r="J1738" s="9">
        <f>I1738/500</f>
        <v>15.38786</v>
      </c>
      <c r="K1738" s="6">
        <v>4.6100000000000003</v>
      </c>
      <c r="L1738" s="6">
        <v>70</v>
      </c>
      <c r="N1738" s="1">
        <f t="shared" si="207"/>
        <v>0</v>
      </c>
      <c r="O1738" s="8" t="s">
        <v>185</v>
      </c>
      <c r="P1738" s="8"/>
      <c r="Q1738" s="8" t="s">
        <v>21</v>
      </c>
      <c r="R1738" s="8" t="s">
        <v>21</v>
      </c>
      <c r="S1738" s="8" t="s">
        <v>21</v>
      </c>
      <c r="T1738" s="8" t="s">
        <v>21</v>
      </c>
      <c r="U1738" s="6">
        <f t="shared" si="208"/>
        <v>5385.7510000000002</v>
      </c>
      <c r="V1738" s="6">
        <f t="shared" si="205"/>
        <v>5385.7510000000002</v>
      </c>
    </row>
    <row r="1739" spans="1:22" x14ac:dyDescent="0.35">
      <c r="A1739" s="6" t="s">
        <v>1927</v>
      </c>
      <c r="B1739" s="6" t="s">
        <v>1906</v>
      </c>
      <c r="C1739" s="6" t="s">
        <v>1907</v>
      </c>
      <c r="D1739" s="6">
        <f t="shared" si="203"/>
        <v>0.5</v>
      </c>
      <c r="E1739" s="6" t="s">
        <v>19</v>
      </c>
      <c r="F1739" s="6" t="str">
        <f>MID(A1739,19,1)</f>
        <v>N</v>
      </c>
      <c r="G1739" s="6">
        <v>-23.013164291271767</v>
      </c>
      <c r="H1739" s="6">
        <v>-47.085909207835272</v>
      </c>
      <c r="I1739" s="9">
        <v>442.44</v>
      </c>
      <c r="K1739" s="6">
        <v>2.2599999999999998</v>
      </c>
      <c r="L1739" s="6">
        <v>30</v>
      </c>
      <c r="N1739" s="1">
        <f t="shared" si="207"/>
        <v>0</v>
      </c>
      <c r="O1739" s="8" t="s">
        <v>20</v>
      </c>
      <c r="P1739" s="8"/>
      <c r="Q1739" s="8" t="s">
        <v>21</v>
      </c>
      <c r="R1739" s="8" t="s">
        <v>21</v>
      </c>
      <c r="S1739" s="8" t="s">
        <v>21</v>
      </c>
      <c r="T1739" s="8" t="s">
        <v>21</v>
      </c>
      <c r="U1739" s="6">
        <f t="shared" si="208"/>
        <v>132.732</v>
      </c>
      <c r="V1739" s="6">
        <f t="shared" si="205"/>
        <v>132.732</v>
      </c>
    </row>
    <row r="1740" spans="1:22" hidden="1" x14ac:dyDescent="0.35">
      <c r="A1740" s="6" t="s">
        <v>1928</v>
      </c>
      <c r="B1740" s="6" t="s">
        <v>1906</v>
      </c>
      <c r="C1740" s="6" t="s">
        <v>1907</v>
      </c>
      <c r="D1740" s="6">
        <f t="shared" si="203"/>
        <v>0.5</v>
      </c>
      <c r="E1740" s="6" t="s">
        <v>19</v>
      </c>
      <c r="F1740" s="6" t="str">
        <f>MID(A1740,19,1)</f>
        <v>S</v>
      </c>
      <c r="G1740" s="6">
        <v>-23.011154062751665</v>
      </c>
      <c r="H1740" s="6">
        <v>-47.090155480423398</v>
      </c>
      <c r="I1740" s="9">
        <v>0.59</v>
      </c>
      <c r="K1740" s="6">
        <v>3.66</v>
      </c>
      <c r="N1740" s="1">
        <f t="shared" si="207"/>
        <v>0</v>
      </c>
      <c r="O1740" s="8"/>
      <c r="P1740" s="8"/>
      <c r="Q1740" s="8" t="s">
        <v>21</v>
      </c>
      <c r="R1740" s="8" t="s">
        <v>21</v>
      </c>
      <c r="S1740" s="8" t="s">
        <v>21</v>
      </c>
      <c r="T1740" s="8" t="s">
        <v>21</v>
      </c>
      <c r="U1740" s="6">
        <f t="shared" si="208"/>
        <v>0</v>
      </c>
      <c r="V1740" s="6">
        <f t="shared" si="205"/>
        <v>0</v>
      </c>
    </row>
    <row r="1741" spans="1:22" hidden="1" x14ac:dyDescent="0.35">
      <c r="A1741" s="6" t="s">
        <v>1929</v>
      </c>
      <c r="B1741" s="6" t="s">
        <v>1906</v>
      </c>
      <c r="C1741" s="6" t="s">
        <v>1907</v>
      </c>
      <c r="D1741" s="6">
        <f t="shared" si="203"/>
        <v>0.5</v>
      </c>
      <c r="E1741" s="6" t="s">
        <v>23</v>
      </c>
      <c r="F1741" s="6" t="str">
        <f>MID(A1741,19,1)</f>
        <v>C</v>
      </c>
      <c r="G1741" s="6">
        <v>-23.014629540999856</v>
      </c>
      <c r="H1741" s="6">
        <v>-47.084630579326671</v>
      </c>
      <c r="I1741" s="9">
        <v>248.82</v>
      </c>
      <c r="J1741" s="9">
        <f>I1741/500</f>
        <v>0.49763999999999997</v>
      </c>
      <c r="K1741" s="6">
        <v>2.19</v>
      </c>
      <c r="L1741" s="6">
        <v>70</v>
      </c>
      <c r="N1741" s="1">
        <f t="shared" si="207"/>
        <v>0</v>
      </c>
      <c r="O1741" s="8" t="s">
        <v>20</v>
      </c>
      <c r="P1741" s="8"/>
      <c r="Q1741" s="8" t="s">
        <v>21</v>
      </c>
      <c r="R1741" s="8" t="s">
        <v>21</v>
      </c>
      <c r="S1741" s="8" t="s">
        <v>21</v>
      </c>
      <c r="T1741" s="8" t="s">
        <v>21</v>
      </c>
      <c r="U1741" s="6">
        <f t="shared" si="208"/>
        <v>174.17399999999998</v>
      </c>
      <c r="V1741" s="6">
        <f t="shared" si="205"/>
        <v>174.17399999999998</v>
      </c>
    </row>
    <row r="1742" spans="1:22" hidden="1" x14ac:dyDescent="0.35">
      <c r="A1742" s="6" t="s">
        <v>1930</v>
      </c>
      <c r="B1742" s="6" t="s">
        <v>1906</v>
      </c>
      <c r="C1742" s="6" t="s">
        <v>1907</v>
      </c>
      <c r="D1742" s="6">
        <f t="shared" ref="D1742:D1805" si="209">C1742-B1742</f>
        <v>0.5</v>
      </c>
      <c r="E1742" s="6" t="s">
        <v>19</v>
      </c>
      <c r="F1742" s="6" t="str">
        <f>MID(A1742,19,1)</f>
        <v>S</v>
      </c>
      <c r="G1742" s="6">
        <v>-23.015485113654403</v>
      </c>
      <c r="H1742" s="6">
        <v>-47.084082456894059</v>
      </c>
      <c r="I1742" s="9">
        <v>719.19</v>
      </c>
      <c r="K1742" s="6">
        <v>6.98</v>
      </c>
      <c r="L1742" s="6">
        <v>40</v>
      </c>
      <c r="N1742" s="1">
        <f t="shared" si="207"/>
        <v>0</v>
      </c>
      <c r="O1742" s="8" t="s">
        <v>20</v>
      </c>
      <c r="P1742" s="8"/>
      <c r="Q1742" s="8" t="s">
        <v>21</v>
      </c>
      <c r="R1742" s="8" t="s">
        <v>21</v>
      </c>
      <c r="S1742" s="8" t="s">
        <v>21</v>
      </c>
      <c r="T1742" s="8" t="s">
        <v>21</v>
      </c>
      <c r="U1742" s="6">
        <f t="shared" si="208"/>
        <v>287.67600000000004</v>
      </c>
      <c r="V1742" s="6">
        <f t="shared" si="205"/>
        <v>287.67600000000004</v>
      </c>
    </row>
    <row r="1743" spans="1:22" hidden="1" x14ac:dyDescent="0.35">
      <c r="A1743" s="6" t="s">
        <v>1931</v>
      </c>
      <c r="B1743" s="6" t="s">
        <v>1906</v>
      </c>
      <c r="C1743" s="6" t="s">
        <v>1907</v>
      </c>
      <c r="D1743" s="6">
        <f t="shared" si="209"/>
        <v>0.5</v>
      </c>
      <c r="E1743" s="6" t="s">
        <v>19</v>
      </c>
      <c r="F1743" s="6" t="str">
        <f>MID(A1743,19,1)</f>
        <v>S</v>
      </c>
      <c r="G1743" s="6">
        <v>-22.999917653768389</v>
      </c>
      <c r="H1743" s="6">
        <v>-47.031764765508541</v>
      </c>
      <c r="I1743" s="9">
        <v>2061.79</v>
      </c>
      <c r="K1743" s="6">
        <v>5.33</v>
      </c>
      <c r="L1743" s="6">
        <v>40</v>
      </c>
      <c r="N1743" s="1">
        <f t="shared" si="207"/>
        <v>0</v>
      </c>
      <c r="O1743" s="8" t="s">
        <v>20</v>
      </c>
      <c r="P1743" s="8"/>
      <c r="Q1743" s="8" t="s">
        <v>21</v>
      </c>
      <c r="R1743" s="8" t="s">
        <v>21</v>
      </c>
      <c r="S1743" s="8" t="s">
        <v>21</v>
      </c>
      <c r="T1743" s="8" t="s">
        <v>21</v>
      </c>
      <c r="U1743" s="6">
        <f t="shared" si="208"/>
        <v>824.71600000000001</v>
      </c>
      <c r="V1743" s="6">
        <f t="shared" si="205"/>
        <v>824.71600000000001</v>
      </c>
    </row>
    <row r="1744" spans="1:22" x14ac:dyDescent="0.35">
      <c r="A1744" s="6" t="s">
        <v>1932</v>
      </c>
      <c r="B1744" s="6" t="s">
        <v>1906</v>
      </c>
      <c r="C1744" s="6" t="s">
        <v>1907</v>
      </c>
      <c r="D1744" s="6">
        <f t="shared" si="209"/>
        <v>0.5</v>
      </c>
      <c r="E1744" s="6" t="s">
        <v>19</v>
      </c>
      <c r="F1744" s="6" t="str">
        <f>MID(A1744,19,1)</f>
        <v>N</v>
      </c>
      <c r="G1744" s="6">
        <v>-22.99978122390214</v>
      </c>
      <c r="H1744" s="6">
        <v>-47.031430640138879</v>
      </c>
      <c r="I1744" s="9">
        <v>2065.09</v>
      </c>
      <c r="K1744" s="6">
        <v>7.23</v>
      </c>
      <c r="L1744" s="6">
        <v>50</v>
      </c>
      <c r="N1744" s="1">
        <f t="shared" si="207"/>
        <v>0</v>
      </c>
      <c r="O1744" s="8" t="s">
        <v>20</v>
      </c>
      <c r="P1744" s="8"/>
      <c r="Q1744" s="8" t="s">
        <v>21</v>
      </c>
      <c r="R1744" s="8" t="s">
        <v>21</v>
      </c>
      <c r="S1744" s="8" t="s">
        <v>21</v>
      </c>
      <c r="T1744" s="8" t="s">
        <v>21</v>
      </c>
      <c r="U1744" s="6">
        <f t="shared" si="208"/>
        <v>1032.5450000000001</v>
      </c>
      <c r="V1744" s="6">
        <f t="shared" si="205"/>
        <v>1032.5450000000001</v>
      </c>
    </row>
    <row r="1745" spans="1:22" x14ac:dyDescent="0.35">
      <c r="A1745" s="6" t="s">
        <v>1933</v>
      </c>
      <c r="B1745" s="6" t="s">
        <v>1906</v>
      </c>
      <c r="C1745" s="6" t="s">
        <v>1907</v>
      </c>
      <c r="D1745" s="6">
        <f t="shared" si="209"/>
        <v>0.5</v>
      </c>
      <c r="E1745" s="6" t="s">
        <v>19</v>
      </c>
      <c r="F1745" s="6" t="str">
        <f>MID(A1745,19,1)</f>
        <v>N</v>
      </c>
      <c r="G1745" s="6">
        <v>-22.99605975122871</v>
      </c>
      <c r="H1745" s="6">
        <v>-47.034108919456337</v>
      </c>
      <c r="I1745" s="9">
        <v>1912.44</v>
      </c>
      <c r="K1745" s="6">
        <v>5.19</v>
      </c>
      <c r="L1745" s="6">
        <v>0</v>
      </c>
      <c r="N1745" s="1">
        <f t="shared" si="207"/>
        <v>0</v>
      </c>
      <c r="O1745" s="8"/>
      <c r="P1745" s="8"/>
      <c r="Q1745" s="8" t="s">
        <v>21</v>
      </c>
      <c r="R1745" s="8" t="s">
        <v>21</v>
      </c>
      <c r="S1745" s="8" t="s">
        <v>21</v>
      </c>
      <c r="T1745" s="8" t="s">
        <v>21</v>
      </c>
      <c r="U1745" s="6">
        <f t="shared" si="208"/>
        <v>0</v>
      </c>
      <c r="V1745" s="6">
        <f t="shared" si="205"/>
        <v>0</v>
      </c>
    </row>
    <row r="1746" spans="1:22" x14ac:dyDescent="0.35">
      <c r="A1746" s="6" t="s">
        <v>1934</v>
      </c>
      <c r="B1746" s="6" t="s">
        <v>1906</v>
      </c>
      <c r="C1746" s="6" t="s">
        <v>1907</v>
      </c>
      <c r="D1746" s="6">
        <f t="shared" si="209"/>
        <v>0.5</v>
      </c>
      <c r="E1746" s="6" t="s">
        <v>19</v>
      </c>
      <c r="F1746" s="6" t="str">
        <f>MID(A1746,19,1)</f>
        <v>N</v>
      </c>
      <c r="G1746" s="6">
        <v>-23.012790829816531</v>
      </c>
      <c r="H1746" s="6">
        <v>-47.086384861073952</v>
      </c>
      <c r="I1746" s="9">
        <v>2.5099999999999998</v>
      </c>
      <c r="K1746" s="6">
        <v>3.74</v>
      </c>
      <c r="N1746" s="1">
        <f t="shared" si="207"/>
        <v>0</v>
      </c>
      <c r="O1746" s="8"/>
      <c r="P1746" s="8"/>
      <c r="Q1746" s="8" t="s">
        <v>21</v>
      </c>
      <c r="R1746" s="8" t="s">
        <v>21</v>
      </c>
      <c r="S1746" s="8" t="s">
        <v>21</v>
      </c>
      <c r="T1746" s="8" t="s">
        <v>21</v>
      </c>
      <c r="U1746" s="6">
        <f t="shared" si="208"/>
        <v>0</v>
      </c>
      <c r="V1746" s="6">
        <f t="shared" si="205"/>
        <v>0</v>
      </c>
    </row>
    <row r="1747" spans="1:22" x14ac:dyDescent="0.35">
      <c r="A1747" s="6" t="s">
        <v>1935</v>
      </c>
      <c r="B1747" s="6" t="s">
        <v>1906</v>
      </c>
      <c r="C1747" s="6" t="s">
        <v>1907</v>
      </c>
      <c r="D1747" s="6">
        <f t="shared" si="209"/>
        <v>0.5</v>
      </c>
      <c r="E1747" s="6" t="s">
        <v>19</v>
      </c>
      <c r="F1747" s="6" t="str">
        <f>MID(A1747,19,1)</f>
        <v>N</v>
      </c>
      <c r="G1747" s="6">
        <v>-23.015028776314804</v>
      </c>
      <c r="H1747" s="6">
        <v>-47.083693693222735</v>
      </c>
      <c r="I1747" s="9">
        <v>869.22</v>
      </c>
      <c r="K1747" s="6">
        <v>2.98</v>
      </c>
      <c r="L1747" s="6">
        <v>30</v>
      </c>
      <c r="N1747" s="1">
        <f t="shared" si="207"/>
        <v>0</v>
      </c>
      <c r="O1747" s="8" t="s">
        <v>20</v>
      </c>
      <c r="P1747" s="8"/>
      <c r="Q1747" s="8" t="s">
        <v>21</v>
      </c>
      <c r="R1747" s="8" t="s">
        <v>21</v>
      </c>
      <c r="S1747" s="8" t="s">
        <v>21</v>
      </c>
      <c r="T1747" s="8" t="s">
        <v>21</v>
      </c>
      <c r="U1747" s="6">
        <f t="shared" si="208"/>
        <v>260.76600000000002</v>
      </c>
      <c r="V1747" s="6">
        <f t="shared" si="205"/>
        <v>260.76600000000002</v>
      </c>
    </row>
    <row r="1748" spans="1:22" hidden="1" x14ac:dyDescent="0.35">
      <c r="A1748" s="6" t="s">
        <v>1936</v>
      </c>
      <c r="B1748" s="6" t="s">
        <v>1906</v>
      </c>
      <c r="C1748" s="6" t="s">
        <v>1907</v>
      </c>
      <c r="D1748" s="6">
        <f t="shared" si="209"/>
        <v>0.5</v>
      </c>
      <c r="E1748" s="6" t="s">
        <v>19</v>
      </c>
      <c r="F1748" s="6" t="str">
        <f>MID(A1748,19,1)</f>
        <v>S</v>
      </c>
      <c r="G1748" s="6">
        <v>-23.015451075429617</v>
      </c>
      <c r="H1748" s="6">
        <v>-47.084400169702874</v>
      </c>
      <c r="I1748" s="9">
        <v>373.26</v>
      </c>
      <c r="K1748" s="6">
        <v>7.03</v>
      </c>
      <c r="L1748" s="6">
        <v>40</v>
      </c>
      <c r="N1748" s="1">
        <f t="shared" si="207"/>
        <v>0</v>
      </c>
      <c r="O1748" s="8" t="s">
        <v>20</v>
      </c>
      <c r="P1748" s="8"/>
      <c r="Q1748" s="8" t="s">
        <v>21</v>
      </c>
      <c r="R1748" s="8" t="s">
        <v>21</v>
      </c>
      <c r="S1748" s="8" t="s">
        <v>21</v>
      </c>
      <c r="T1748" s="8" t="s">
        <v>21</v>
      </c>
      <c r="U1748" s="6">
        <f t="shared" si="208"/>
        <v>149.304</v>
      </c>
      <c r="V1748" s="6">
        <f t="shared" si="205"/>
        <v>149.304</v>
      </c>
    </row>
    <row r="1749" spans="1:22" x14ac:dyDescent="0.35">
      <c r="A1749" s="6" t="s">
        <v>1937</v>
      </c>
      <c r="B1749" s="6" t="s">
        <v>1906</v>
      </c>
      <c r="C1749" s="6" t="s">
        <v>1907</v>
      </c>
      <c r="D1749" s="6">
        <f t="shared" si="209"/>
        <v>0.5</v>
      </c>
      <c r="E1749" s="6" t="s">
        <v>19</v>
      </c>
      <c r="F1749" s="6" t="str">
        <f>MID(A1749,19,1)</f>
        <v>N</v>
      </c>
      <c r="G1749" s="6">
        <v>-23.011654934940857</v>
      </c>
      <c r="H1749" s="6">
        <v>-47.088142268570223</v>
      </c>
      <c r="I1749" s="9">
        <v>1682.9</v>
      </c>
      <c r="K1749" s="6">
        <v>4.33</v>
      </c>
      <c r="L1749" s="6">
        <v>20</v>
      </c>
      <c r="N1749" s="1">
        <f t="shared" si="207"/>
        <v>0</v>
      </c>
      <c r="O1749" s="8" t="s">
        <v>20</v>
      </c>
      <c r="P1749" s="8"/>
      <c r="Q1749" s="8" t="s">
        <v>21</v>
      </c>
      <c r="R1749" s="8" t="s">
        <v>21</v>
      </c>
      <c r="S1749" s="8" t="s">
        <v>21</v>
      </c>
      <c r="T1749" s="8" t="s">
        <v>21</v>
      </c>
      <c r="U1749" s="6">
        <f t="shared" si="208"/>
        <v>336.58000000000004</v>
      </c>
      <c r="V1749" s="6">
        <f t="shared" si="205"/>
        <v>336.58000000000004</v>
      </c>
    </row>
    <row r="1750" spans="1:22" hidden="1" x14ac:dyDescent="0.35">
      <c r="A1750" s="6" t="s">
        <v>1938</v>
      </c>
      <c r="B1750" s="6" t="s">
        <v>1906</v>
      </c>
      <c r="C1750" s="6" t="s">
        <v>1907</v>
      </c>
      <c r="D1750" s="6">
        <f t="shared" si="209"/>
        <v>0.5</v>
      </c>
      <c r="E1750" s="6" t="s">
        <v>19</v>
      </c>
      <c r="F1750" s="6" t="str">
        <f>MID(A1750,19,1)</f>
        <v>S</v>
      </c>
      <c r="G1750" s="6">
        <v>-23.015161799428103</v>
      </c>
      <c r="H1750" s="6">
        <v>-47.084818893176497</v>
      </c>
      <c r="I1750" s="9">
        <v>140.35</v>
      </c>
      <c r="K1750" s="6">
        <v>5.45</v>
      </c>
      <c r="L1750" s="6">
        <v>40</v>
      </c>
      <c r="N1750" s="1">
        <f t="shared" si="207"/>
        <v>0</v>
      </c>
      <c r="O1750" s="8" t="s">
        <v>20</v>
      </c>
      <c r="P1750" s="8"/>
      <c r="Q1750" s="8" t="s">
        <v>21</v>
      </c>
      <c r="R1750" s="8" t="s">
        <v>21</v>
      </c>
      <c r="S1750" s="8" t="s">
        <v>21</v>
      </c>
      <c r="T1750" s="8" t="s">
        <v>21</v>
      </c>
      <c r="U1750" s="6">
        <f t="shared" si="208"/>
        <v>56.14</v>
      </c>
      <c r="V1750" s="6">
        <f t="shared" si="205"/>
        <v>56.14</v>
      </c>
    </row>
    <row r="1751" spans="1:22" x14ac:dyDescent="0.35">
      <c r="A1751" s="6" t="s">
        <v>1939</v>
      </c>
      <c r="B1751" s="6" t="s">
        <v>1906</v>
      </c>
      <c r="C1751" s="6" t="s">
        <v>1907</v>
      </c>
      <c r="D1751" s="6">
        <f t="shared" si="209"/>
        <v>0.5</v>
      </c>
      <c r="E1751" s="6" t="s">
        <v>19</v>
      </c>
      <c r="F1751" s="6" t="str">
        <f>MID(A1751,19,1)</f>
        <v>N</v>
      </c>
      <c r="G1751" s="6">
        <v>-23.014312529979296</v>
      </c>
      <c r="H1751" s="6">
        <v>-47.084545278008314</v>
      </c>
      <c r="I1751" s="9">
        <v>30.01</v>
      </c>
      <c r="K1751" s="6">
        <v>2.17</v>
      </c>
      <c r="L1751" s="6">
        <v>30</v>
      </c>
      <c r="N1751" s="1">
        <f t="shared" si="207"/>
        <v>0</v>
      </c>
      <c r="O1751" s="8" t="s">
        <v>20</v>
      </c>
      <c r="P1751" s="8"/>
      <c r="Q1751" s="8" t="s">
        <v>21</v>
      </c>
      <c r="R1751" s="8" t="s">
        <v>21</v>
      </c>
      <c r="S1751" s="8" t="s">
        <v>21</v>
      </c>
      <c r="T1751" s="8" t="s">
        <v>21</v>
      </c>
      <c r="U1751" s="6">
        <f t="shared" si="208"/>
        <v>9.0030000000000001</v>
      </c>
      <c r="V1751" s="6">
        <f t="shared" si="205"/>
        <v>9.0030000000000001</v>
      </c>
    </row>
    <row r="1752" spans="1:22" x14ac:dyDescent="0.35">
      <c r="A1752" s="6" t="s">
        <v>1940</v>
      </c>
      <c r="B1752" s="6" t="s">
        <v>1906</v>
      </c>
      <c r="C1752" s="6" t="s">
        <v>1907</v>
      </c>
      <c r="D1752" s="6">
        <f t="shared" si="209"/>
        <v>0.5</v>
      </c>
      <c r="E1752" s="6" t="s">
        <v>19</v>
      </c>
      <c r="F1752" s="6" t="str">
        <f>MID(A1752,19,1)</f>
        <v>N</v>
      </c>
      <c r="G1752" s="6">
        <v>-23.014110376109379</v>
      </c>
      <c r="H1752" s="6">
        <v>-47.084498815836085</v>
      </c>
      <c r="I1752" s="9">
        <v>81.23</v>
      </c>
      <c r="K1752" s="6">
        <v>2.36</v>
      </c>
      <c r="L1752" s="6">
        <v>30</v>
      </c>
      <c r="N1752" s="1">
        <f t="shared" si="207"/>
        <v>0</v>
      </c>
      <c r="O1752" s="8" t="s">
        <v>20</v>
      </c>
      <c r="P1752" s="8"/>
      <c r="Q1752" s="8" t="s">
        <v>21</v>
      </c>
      <c r="R1752" s="8" t="s">
        <v>21</v>
      </c>
      <c r="S1752" s="8" t="s">
        <v>21</v>
      </c>
      <c r="T1752" s="8" t="s">
        <v>21</v>
      </c>
      <c r="U1752" s="6">
        <f t="shared" si="208"/>
        <v>24.369</v>
      </c>
      <c r="V1752" s="6">
        <f t="shared" si="205"/>
        <v>24.369</v>
      </c>
    </row>
    <row r="1753" spans="1:22" x14ac:dyDescent="0.35">
      <c r="A1753" s="6" t="s">
        <v>1941</v>
      </c>
      <c r="B1753" s="6" t="s">
        <v>1906</v>
      </c>
      <c r="C1753" s="6" t="s">
        <v>1907</v>
      </c>
      <c r="D1753" s="6">
        <f t="shared" si="209"/>
        <v>0.5</v>
      </c>
      <c r="E1753" s="6" t="s">
        <v>19</v>
      </c>
      <c r="F1753" s="6" t="str">
        <f>MID(A1753,19,1)</f>
        <v>N</v>
      </c>
      <c r="G1753" s="6">
        <v>-23.013703950342968</v>
      </c>
      <c r="H1753" s="6">
        <v>-47.085083715134736</v>
      </c>
      <c r="I1753" s="9">
        <v>472.59</v>
      </c>
      <c r="K1753" s="6">
        <v>2.4700000000000002</v>
      </c>
      <c r="L1753" s="6">
        <v>30</v>
      </c>
      <c r="N1753" s="1">
        <f t="shared" si="207"/>
        <v>0</v>
      </c>
      <c r="O1753" s="8" t="s">
        <v>20</v>
      </c>
      <c r="P1753" s="8"/>
      <c r="Q1753" s="8" t="s">
        <v>21</v>
      </c>
      <c r="R1753" s="8" t="s">
        <v>21</v>
      </c>
      <c r="S1753" s="8" t="s">
        <v>21</v>
      </c>
      <c r="T1753" s="8" t="s">
        <v>21</v>
      </c>
      <c r="U1753" s="6">
        <f t="shared" si="208"/>
        <v>141.77699999999999</v>
      </c>
      <c r="V1753" s="6">
        <f t="shared" si="205"/>
        <v>141.77699999999999</v>
      </c>
    </row>
    <row r="1754" spans="1:22" hidden="1" x14ac:dyDescent="0.35">
      <c r="A1754" s="6" t="s">
        <v>1942</v>
      </c>
      <c r="B1754" s="6" t="s">
        <v>1906</v>
      </c>
      <c r="C1754" s="6" t="s">
        <v>1907</v>
      </c>
      <c r="D1754" s="6">
        <f t="shared" si="209"/>
        <v>0.5</v>
      </c>
      <c r="E1754" s="6" t="s">
        <v>19</v>
      </c>
      <c r="F1754" s="6" t="str">
        <f>MID(A1754,19,1)</f>
        <v>S</v>
      </c>
      <c r="G1754" s="6">
        <v>-22.997805979680219</v>
      </c>
      <c r="H1754" s="6">
        <v>-47.033476233251861</v>
      </c>
      <c r="I1754" s="9">
        <v>296.39999999999998</v>
      </c>
      <c r="K1754" s="6">
        <v>8.3800000000000008</v>
      </c>
      <c r="L1754" s="6">
        <v>30</v>
      </c>
      <c r="N1754" s="1">
        <f t="shared" si="207"/>
        <v>0</v>
      </c>
      <c r="O1754" s="8" t="s">
        <v>20</v>
      </c>
      <c r="P1754" s="8"/>
      <c r="Q1754" s="8" t="s">
        <v>21</v>
      </c>
      <c r="R1754" s="8" t="s">
        <v>21</v>
      </c>
      <c r="S1754" s="8" t="s">
        <v>21</v>
      </c>
      <c r="T1754" s="8" t="s">
        <v>21</v>
      </c>
      <c r="U1754" s="6">
        <f t="shared" si="208"/>
        <v>88.919999999999987</v>
      </c>
      <c r="V1754" s="6">
        <f t="shared" si="205"/>
        <v>88.919999999999987</v>
      </c>
    </row>
    <row r="1755" spans="1:22" x14ac:dyDescent="0.35">
      <c r="A1755" s="6" t="s">
        <v>1943</v>
      </c>
      <c r="B1755" s="6" t="s">
        <v>1944</v>
      </c>
      <c r="C1755" s="6" t="s">
        <v>1945</v>
      </c>
      <c r="D1755" s="6">
        <f t="shared" si="209"/>
        <v>0.5</v>
      </c>
      <c r="E1755" s="6" t="s">
        <v>19</v>
      </c>
      <c r="F1755" s="6" t="str">
        <f>MID(A1755,19,1)</f>
        <v>N</v>
      </c>
      <c r="G1755" s="6">
        <v>-23.008568331624367</v>
      </c>
      <c r="H1755" s="6">
        <v>-47.092591195489796</v>
      </c>
      <c r="I1755" s="9">
        <v>418.77</v>
      </c>
      <c r="K1755" s="6">
        <v>2.89</v>
      </c>
      <c r="L1755" s="6">
        <v>20</v>
      </c>
      <c r="N1755" s="1">
        <f t="shared" si="207"/>
        <v>0</v>
      </c>
      <c r="O1755" s="8" t="s">
        <v>20</v>
      </c>
      <c r="P1755" s="8"/>
      <c r="Q1755" s="8" t="s">
        <v>21</v>
      </c>
      <c r="R1755" s="8" t="s">
        <v>21</v>
      </c>
      <c r="S1755" s="8" t="s">
        <v>21</v>
      </c>
      <c r="T1755" s="8" t="s">
        <v>21</v>
      </c>
      <c r="U1755" s="6">
        <f t="shared" si="208"/>
        <v>83.754000000000005</v>
      </c>
      <c r="V1755" s="6">
        <f t="shared" si="205"/>
        <v>83.754000000000005</v>
      </c>
    </row>
    <row r="1756" spans="1:22" hidden="1" x14ac:dyDescent="0.35">
      <c r="A1756" s="6" t="s">
        <v>1946</v>
      </c>
      <c r="B1756" s="6" t="s">
        <v>1944</v>
      </c>
      <c r="C1756" s="6" t="s">
        <v>1945</v>
      </c>
      <c r="D1756" s="6">
        <f t="shared" si="209"/>
        <v>0.5</v>
      </c>
      <c r="E1756" s="6" t="s">
        <v>19</v>
      </c>
      <c r="F1756" s="6" t="str">
        <f>MID(A1756,19,1)</f>
        <v>S</v>
      </c>
      <c r="G1756" s="6">
        <v>-23.007283095092063</v>
      </c>
      <c r="H1756" s="6">
        <v>-47.095174450696859</v>
      </c>
      <c r="I1756" s="9">
        <v>1839.44</v>
      </c>
      <c r="K1756" s="6">
        <v>5.99</v>
      </c>
      <c r="L1756" s="6">
        <v>90</v>
      </c>
      <c r="N1756" s="1">
        <f t="shared" si="207"/>
        <v>0</v>
      </c>
      <c r="O1756" s="8" t="s">
        <v>20</v>
      </c>
      <c r="P1756" s="8"/>
      <c r="Q1756" s="8" t="s">
        <v>21</v>
      </c>
      <c r="R1756" s="8" t="s">
        <v>21</v>
      </c>
      <c r="S1756" s="8" t="s">
        <v>21</v>
      </c>
      <c r="T1756" s="8" t="s">
        <v>21</v>
      </c>
      <c r="U1756" s="6">
        <f t="shared" si="208"/>
        <v>1655.4960000000001</v>
      </c>
      <c r="V1756" s="6">
        <f t="shared" si="205"/>
        <v>1655.4960000000001</v>
      </c>
    </row>
    <row r="1757" spans="1:22" hidden="1" x14ac:dyDescent="0.35">
      <c r="A1757" s="6" t="s">
        <v>1947</v>
      </c>
      <c r="B1757" s="6" t="s">
        <v>1944</v>
      </c>
      <c r="C1757" s="6" t="s">
        <v>1945</v>
      </c>
      <c r="D1757" s="6">
        <f t="shared" si="209"/>
        <v>0.5</v>
      </c>
      <c r="E1757" s="6" t="s">
        <v>19</v>
      </c>
      <c r="F1757" s="6" t="str">
        <f>MID(A1757,19,1)</f>
        <v>S</v>
      </c>
      <c r="G1757" s="6">
        <v>-22.98850652710734</v>
      </c>
      <c r="H1757" s="6">
        <v>-47.039818327459557</v>
      </c>
      <c r="I1757" s="9">
        <v>2049.4299999999998</v>
      </c>
      <c r="K1757" s="6">
        <v>4.22</v>
      </c>
      <c r="L1757" s="6">
        <v>0</v>
      </c>
      <c r="N1757" s="1">
        <f t="shared" si="207"/>
        <v>0</v>
      </c>
      <c r="O1757" s="8"/>
      <c r="P1757" s="8"/>
      <c r="Q1757" s="8" t="s">
        <v>21</v>
      </c>
      <c r="R1757" s="8" t="s">
        <v>21</v>
      </c>
      <c r="S1757" s="8" t="s">
        <v>21</v>
      </c>
      <c r="T1757" s="8" t="s">
        <v>21</v>
      </c>
      <c r="U1757" s="6">
        <f t="shared" si="208"/>
        <v>0</v>
      </c>
      <c r="V1757" s="6">
        <f t="shared" si="205"/>
        <v>0</v>
      </c>
    </row>
    <row r="1758" spans="1:22" hidden="1" x14ac:dyDescent="0.35">
      <c r="A1758" s="6" t="s">
        <v>1948</v>
      </c>
      <c r="B1758" s="6" t="s">
        <v>1944</v>
      </c>
      <c r="C1758" s="6" t="s">
        <v>1945</v>
      </c>
      <c r="D1758" s="6">
        <f t="shared" si="209"/>
        <v>0.5</v>
      </c>
      <c r="E1758" s="6" t="s">
        <v>19</v>
      </c>
      <c r="F1758" s="6" t="str">
        <f>MID(A1758,19,1)</f>
        <v>S</v>
      </c>
      <c r="G1758" s="6">
        <v>-22.99400353462411</v>
      </c>
      <c r="H1758" s="6">
        <v>-47.036003544922842</v>
      </c>
      <c r="I1758" s="9">
        <v>439.44</v>
      </c>
      <c r="K1758" s="6">
        <v>5.49</v>
      </c>
      <c r="L1758" s="6">
        <v>30</v>
      </c>
      <c r="N1758" s="1">
        <f t="shared" si="207"/>
        <v>0</v>
      </c>
      <c r="O1758" s="8" t="s">
        <v>20</v>
      </c>
      <c r="P1758" s="8"/>
      <c r="Q1758" s="8" t="s">
        <v>21</v>
      </c>
      <c r="R1758" s="8" t="s">
        <v>21</v>
      </c>
      <c r="S1758" s="8" t="s">
        <v>21</v>
      </c>
      <c r="T1758" s="8" t="s">
        <v>21</v>
      </c>
      <c r="U1758" s="6">
        <f t="shared" si="208"/>
        <v>131.83199999999999</v>
      </c>
      <c r="V1758" s="6">
        <f t="shared" si="205"/>
        <v>131.83199999999999</v>
      </c>
    </row>
    <row r="1759" spans="1:22" hidden="1" x14ac:dyDescent="0.35">
      <c r="A1759" s="6" t="s">
        <v>1949</v>
      </c>
      <c r="B1759" s="6" t="s">
        <v>1944</v>
      </c>
      <c r="C1759" s="6" t="s">
        <v>1945</v>
      </c>
      <c r="D1759" s="6">
        <f t="shared" si="209"/>
        <v>0.5</v>
      </c>
      <c r="E1759" s="6" t="s">
        <v>19</v>
      </c>
      <c r="F1759" s="6" t="str">
        <f>MID(A1759,19,1)</f>
        <v>S</v>
      </c>
      <c r="G1759" s="6">
        <v>-22.99331658823807</v>
      </c>
      <c r="H1759" s="6">
        <v>-47.036473647623382</v>
      </c>
      <c r="I1759" s="9">
        <v>541.54</v>
      </c>
      <c r="K1759" s="6">
        <v>3.07</v>
      </c>
      <c r="L1759" s="6">
        <v>30</v>
      </c>
      <c r="N1759" s="1">
        <f t="shared" si="207"/>
        <v>0</v>
      </c>
      <c r="O1759" s="8" t="s">
        <v>20</v>
      </c>
      <c r="P1759" s="8"/>
      <c r="Q1759" s="8" t="s">
        <v>21</v>
      </c>
      <c r="R1759" s="8" t="s">
        <v>21</v>
      </c>
      <c r="S1759" s="8" t="s">
        <v>21</v>
      </c>
      <c r="T1759" s="8" t="s">
        <v>21</v>
      </c>
      <c r="U1759" s="6">
        <f t="shared" si="208"/>
        <v>162.46199999999999</v>
      </c>
      <c r="V1759" s="6">
        <f t="shared" si="205"/>
        <v>162.46199999999999</v>
      </c>
    </row>
    <row r="1760" spans="1:22" hidden="1" x14ac:dyDescent="0.35">
      <c r="A1760" s="6" t="s">
        <v>1950</v>
      </c>
      <c r="B1760" s="6" t="s">
        <v>1944</v>
      </c>
      <c r="C1760" s="6" t="s">
        <v>1945</v>
      </c>
      <c r="D1760" s="6">
        <f t="shared" si="209"/>
        <v>0.5</v>
      </c>
      <c r="E1760" s="6" t="s">
        <v>19</v>
      </c>
      <c r="F1760" s="6" t="str">
        <f>MID(A1760,19,1)</f>
        <v>S</v>
      </c>
      <c r="G1760" s="6">
        <v>-22.991491437772449</v>
      </c>
      <c r="H1760" s="6">
        <v>-47.03770807611069</v>
      </c>
      <c r="I1760" s="9">
        <v>1111.8499999999999</v>
      </c>
      <c r="K1760" s="6">
        <v>3.32</v>
      </c>
      <c r="L1760" s="6">
        <v>30</v>
      </c>
      <c r="N1760" s="1">
        <f t="shared" si="207"/>
        <v>0</v>
      </c>
      <c r="O1760" s="8" t="s">
        <v>20</v>
      </c>
      <c r="P1760" s="8"/>
      <c r="Q1760" s="8" t="s">
        <v>21</v>
      </c>
      <c r="R1760" s="8" t="s">
        <v>21</v>
      </c>
      <c r="S1760" s="8" t="s">
        <v>21</v>
      </c>
      <c r="T1760" s="8" t="s">
        <v>21</v>
      </c>
      <c r="U1760" s="6">
        <f t="shared" si="208"/>
        <v>333.55499999999995</v>
      </c>
      <c r="V1760" s="6">
        <f t="shared" si="205"/>
        <v>333.55499999999995</v>
      </c>
    </row>
    <row r="1761" spans="1:22" x14ac:dyDescent="0.35">
      <c r="A1761" s="6" t="s">
        <v>1951</v>
      </c>
      <c r="B1761" s="6" t="s">
        <v>1944</v>
      </c>
      <c r="C1761" s="6" t="s">
        <v>1945</v>
      </c>
      <c r="D1761" s="6">
        <f t="shared" si="209"/>
        <v>0.5</v>
      </c>
      <c r="E1761" s="6" t="s">
        <v>19</v>
      </c>
      <c r="F1761" s="6" t="str">
        <f>MID(A1761,19,1)</f>
        <v>N</v>
      </c>
      <c r="G1761" s="6">
        <v>-22.987258346938049</v>
      </c>
      <c r="H1761" s="6">
        <v>-47.04026442001684</v>
      </c>
      <c r="I1761" s="9">
        <v>893.1</v>
      </c>
      <c r="K1761" s="6">
        <v>4.1100000000000003</v>
      </c>
      <c r="L1761" s="6">
        <v>60</v>
      </c>
      <c r="N1761" s="1">
        <f t="shared" si="207"/>
        <v>0</v>
      </c>
      <c r="O1761" s="8" t="s">
        <v>20</v>
      </c>
      <c r="P1761" s="8"/>
      <c r="Q1761" s="8" t="s">
        <v>21</v>
      </c>
      <c r="R1761" s="8" t="s">
        <v>21</v>
      </c>
      <c r="S1761" s="8" t="s">
        <v>21</v>
      </c>
      <c r="T1761" s="8" t="s">
        <v>21</v>
      </c>
      <c r="U1761" s="6">
        <f t="shared" si="208"/>
        <v>535.86</v>
      </c>
      <c r="V1761" s="6">
        <f t="shared" si="205"/>
        <v>535.86</v>
      </c>
    </row>
    <row r="1762" spans="1:22" hidden="1" x14ac:dyDescent="0.35">
      <c r="A1762" s="6" t="s">
        <v>1952</v>
      </c>
      <c r="B1762" s="6" t="s">
        <v>1944</v>
      </c>
      <c r="C1762" s="6" t="s">
        <v>1945</v>
      </c>
      <c r="D1762" s="6">
        <f t="shared" si="209"/>
        <v>0.5</v>
      </c>
      <c r="E1762" s="6" t="s">
        <v>19</v>
      </c>
      <c r="F1762" s="6" t="str">
        <f>MID(A1762,19,1)</f>
        <v>S</v>
      </c>
      <c r="G1762" s="6">
        <v>-23.011013041649214</v>
      </c>
      <c r="H1762" s="6">
        <v>-47.090234202699634</v>
      </c>
      <c r="I1762" s="9">
        <v>191.07</v>
      </c>
      <c r="K1762" s="6">
        <v>4.09</v>
      </c>
      <c r="L1762" s="6">
        <v>40</v>
      </c>
      <c r="N1762" s="1">
        <f t="shared" si="207"/>
        <v>0</v>
      </c>
      <c r="O1762" s="8" t="s">
        <v>20</v>
      </c>
      <c r="P1762" s="8"/>
      <c r="Q1762" s="8" t="s">
        <v>21</v>
      </c>
      <c r="R1762" s="8" t="s">
        <v>21</v>
      </c>
      <c r="S1762" s="8" t="s">
        <v>21</v>
      </c>
      <c r="T1762" s="8" t="s">
        <v>21</v>
      </c>
      <c r="U1762" s="6">
        <f t="shared" si="208"/>
        <v>76.427999999999997</v>
      </c>
      <c r="V1762" s="6">
        <f t="shared" si="205"/>
        <v>76.427999999999997</v>
      </c>
    </row>
    <row r="1763" spans="1:22" hidden="1" x14ac:dyDescent="0.35">
      <c r="A1763" s="6" t="s">
        <v>1953</v>
      </c>
      <c r="B1763" s="6" t="s">
        <v>1944</v>
      </c>
      <c r="C1763" s="6" t="s">
        <v>1945</v>
      </c>
      <c r="D1763" s="6">
        <f t="shared" si="209"/>
        <v>0.5</v>
      </c>
      <c r="E1763" s="6" t="s">
        <v>19</v>
      </c>
      <c r="F1763" s="6" t="str">
        <f>MID(A1763,19,1)</f>
        <v>S</v>
      </c>
      <c r="G1763" s="6">
        <v>-23.008785178105548</v>
      </c>
      <c r="H1763" s="6">
        <v>-47.092828572678698</v>
      </c>
      <c r="I1763" s="9">
        <v>3377.54</v>
      </c>
      <c r="K1763" s="6">
        <v>3.87</v>
      </c>
      <c r="L1763" s="6">
        <v>70</v>
      </c>
      <c r="N1763" s="1">
        <f t="shared" si="207"/>
        <v>0</v>
      </c>
      <c r="O1763" s="8" t="s">
        <v>185</v>
      </c>
      <c r="P1763" s="8"/>
      <c r="Q1763" s="8" t="s">
        <v>21</v>
      </c>
      <c r="R1763" s="8" t="s">
        <v>21</v>
      </c>
      <c r="S1763" s="8" t="s">
        <v>21</v>
      </c>
      <c r="T1763" s="8" t="s">
        <v>21</v>
      </c>
      <c r="U1763" s="6">
        <f t="shared" si="208"/>
        <v>2364.2779999999998</v>
      </c>
      <c r="V1763" s="6">
        <f t="shared" si="205"/>
        <v>2364.2779999999998</v>
      </c>
    </row>
    <row r="1764" spans="1:22" x14ac:dyDescent="0.35">
      <c r="A1764" s="6" t="s">
        <v>1954</v>
      </c>
      <c r="B1764" s="6" t="s">
        <v>1944</v>
      </c>
      <c r="C1764" s="6" t="s">
        <v>1945</v>
      </c>
      <c r="D1764" s="6">
        <f t="shared" si="209"/>
        <v>0.5</v>
      </c>
      <c r="E1764" s="6" t="s">
        <v>19</v>
      </c>
      <c r="F1764" s="6" t="str">
        <f>MID(A1764,19,1)</f>
        <v>N</v>
      </c>
      <c r="G1764" s="6">
        <v>-23.0101221355647</v>
      </c>
      <c r="H1764" s="6">
        <v>-47.090391181810219</v>
      </c>
      <c r="I1764" s="9">
        <v>607.5</v>
      </c>
      <c r="K1764" s="6">
        <v>5.44</v>
      </c>
      <c r="L1764" s="6">
        <v>20</v>
      </c>
      <c r="N1764" s="1">
        <f t="shared" si="207"/>
        <v>0</v>
      </c>
      <c r="O1764" s="8" t="s">
        <v>20</v>
      </c>
      <c r="P1764" s="8"/>
      <c r="Q1764" s="8" t="s">
        <v>21</v>
      </c>
      <c r="R1764" s="8" t="s">
        <v>21</v>
      </c>
      <c r="S1764" s="8" t="s">
        <v>21</v>
      </c>
      <c r="T1764" s="8" t="s">
        <v>21</v>
      </c>
      <c r="U1764" s="6">
        <f t="shared" si="208"/>
        <v>121.5</v>
      </c>
      <c r="V1764" s="6">
        <f t="shared" si="205"/>
        <v>121.5</v>
      </c>
    </row>
    <row r="1765" spans="1:22" x14ac:dyDescent="0.35">
      <c r="A1765" s="6" t="s">
        <v>1955</v>
      </c>
      <c r="B1765" s="6" t="s">
        <v>1944</v>
      </c>
      <c r="C1765" s="6" t="s">
        <v>1945</v>
      </c>
      <c r="D1765" s="6">
        <f t="shared" si="209"/>
        <v>0.5</v>
      </c>
      <c r="E1765" s="6" t="s">
        <v>19</v>
      </c>
      <c r="F1765" s="6" t="str">
        <f>MID(A1765,19,1)</f>
        <v>N</v>
      </c>
      <c r="G1765" s="6">
        <v>-22.987977846446441</v>
      </c>
      <c r="H1765" s="6">
        <v>-47.039783270603998</v>
      </c>
      <c r="I1765" s="9">
        <v>33.29</v>
      </c>
      <c r="K1765" s="6">
        <v>5.6</v>
      </c>
      <c r="L1765" s="6">
        <v>0</v>
      </c>
      <c r="N1765" s="1">
        <f t="shared" si="207"/>
        <v>0</v>
      </c>
      <c r="O1765" s="8"/>
      <c r="P1765" s="8"/>
      <c r="Q1765" s="8" t="s">
        <v>21</v>
      </c>
      <c r="R1765" s="8" t="s">
        <v>21</v>
      </c>
      <c r="S1765" s="8" t="s">
        <v>21</v>
      </c>
      <c r="T1765" s="8" t="s">
        <v>21</v>
      </c>
      <c r="U1765" s="6">
        <f t="shared" si="208"/>
        <v>0</v>
      </c>
      <c r="V1765" s="6">
        <f t="shared" si="205"/>
        <v>0</v>
      </c>
    </row>
    <row r="1766" spans="1:22" hidden="1" x14ac:dyDescent="0.35">
      <c r="A1766" s="6" t="s">
        <v>1956</v>
      </c>
      <c r="B1766" s="6" t="s">
        <v>1944</v>
      </c>
      <c r="C1766" s="6" t="s">
        <v>1945</v>
      </c>
      <c r="D1766" s="6">
        <f t="shared" si="209"/>
        <v>0.5</v>
      </c>
      <c r="E1766" s="6" t="s">
        <v>19</v>
      </c>
      <c r="F1766" s="6" t="str">
        <f>MID(A1766,19,1)</f>
        <v>S</v>
      </c>
      <c r="G1766" s="6">
        <v>-23.010449118723102</v>
      </c>
      <c r="H1766" s="6">
        <v>-47.091013580084329</v>
      </c>
      <c r="I1766" s="9">
        <v>449.51</v>
      </c>
      <c r="K1766" s="6">
        <v>4.43</v>
      </c>
      <c r="L1766" s="6">
        <v>40</v>
      </c>
      <c r="N1766" s="1">
        <f t="shared" si="207"/>
        <v>0</v>
      </c>
      <c r="O1766" s="8" t="s">
        <v>20</v>
      </c>
      <c r="P1766" s="8"/>
      <c r="Q1766" s="8" t="s">
        <v>21</v>
      </c>
      <c r="R1766" s="8" t="s">
        <v>21</v>
      </c>
      <c r="S1766" s="8" t="s">
        <v>21</v>
      </c>
      <c r="T1766" s="8" t="s">
        <v>21</v>
      </c>
      <c r="U1766" s="6">
        <f t="shared" si="208"/>
        <v>179.804</v>
      </c>
      <c r="V1766" s="6">
        <f t="shared" si="205"/>
        <v>179.804</v>
      </c>
    </row>
    <row r="1767" spans="1:22" hidden="1" x14ac:dyDescent="0.35">
      <c r="A1767" s="6" t="s">
        <v>1957</v>
      </c>
      <c r="B1767" s="6" t="s">
        <v>1944</v>
      </c>
      <c r="C1767" s="6" t="s">
        <v>1945</v>
      </c>
      <c r="D1767" s="6">
        <f t="shared" si="209"/>
        <v>0.5</v>
      </c>
      <c r="E1767" s="6" t="s">
        <v>19</v>
      </c>
      <c r="F1767" s="6" t="str">
        <f>MID(A1767,19,1)</f>
        <v>S</v>
      </c>
      <c r="G1767" s="6">
        <v>-23.01081464662327</v>
      </c>
      <c r="H1767" s="6">
        <v>-47.090496415721105</v>
      </c>
      <c r="I1767" s="9">
        <v>213.79</v>
      </c>
      <c r="K1767" s="6">
        <v>4.67</v>
      </c>
      <c r="L1767" s="6">
        <v>40</v>
      </c>
      <c r="N1767" s="1">
        <f t="shared" si="207"/>
        <v>0</v>
      </c>
      <c r="O1767" s="8" t="s">
        <v>20</v>
      </c>
      <c r="P1767" s="8"/>
      <c r="Q1767" s="8" t="s">
        <v>21</v>
      </c>
      <c r="R1767" s="8" t="s">
        <v>21</v>
      </c>
      <c r="S1767" s="8" t="s">
        <v>21</v>
      </c>
      <c r="T1767" s="8" t="s">
        <v>21</v>
      </c>
      <c r="U1767" s="6">
        <f t="shared" si="208"/>
        <v>85.516000000000005</v>
      </c>
      <c r="V1767" s="6">
        <f t="shared" si="205"/>
        <v>85.516000000000005</v>
      </c>
    </row>
    <row r="1768" spans="1:22" hidden="1" x14ac:dyDescent="0.35">
      <c r="A1768" s="6" t="s">
        <v>1958</v>
      </c>
      <c r="B1768" s="6" t="s">
        <v>1944</v>
      </c>
      <c r="C1768" s="6" t="s">
        <v>1945</v>
      </c>
      <c r="D1768" s="6">
        <f t="shared" si="209"/>
        <v>0.5</v>
      </c>
      <c r="E1768" s="6" t="s">
        <v>19</v>
      </c>
      <c r="F1768" s="6" t="str">
        <f>MID(A1768,19,1)</f>
        <v>S</v>
      </c>
      <c r="G1768" s="6">
        <v>-23.008971783738417</v>
      </c>
      <c r="H1768" s="6">
        <v>-47.093072370855978</v>
      </c>
      <c r="I1768" s="9">
        <v>447.47</v>
      </c>
      <c r="K1768" s="6">
        <v>7.73</v>
      </c>
      <c r="L1768" s="6">
        <v>40</v>
      </c>
      <c r="N1768" s="1">
        <f t="shared" si="207"/>
        <v>0</v>
      </c>
      <c r="O1768" s="8" t="s">
        <v>20</v>
      </c>
      <c r="P1768" s="8"/>
      <c r="Q1768" s="8" t="s">
        <v>21</v>
      </c>
      <c r="R1768" s="8" t="s">
        <v>21</v>
      </c>
      <c r="S1768" s="8" t="s">
        <v>21</v>
      </c>
      <c r="T1768" s="8" t="s">
        <v>21</v>
      </c>
      <c r="U1768" s="6">
        <f t="shared" si="208"/>
        <v>178.98800000000003</v>
      </c>
      <c r="V1768" s="6">
        <f t="shared" si="205"/>
        <v>178.98800000000003</v>
      </c>
    </row>
    <row r="1769" spans="1:22" hidden="1" x14ac:dyDescent="0.35">
      <c r="A1769" s="6" t="s">
        <v>1959</v>
      </c>
      <c r="B1769" s="6" t="s">
        <v>1944</v>
      </c>
      <c r="C1769" s="6" t="s">
        <v>1945</v>
      </c>
      <c r="D1769" s="6">
        <f t="shared" si="209"/>
        <v>0.5</v>
      </c>
      <c r="E1769" s="6" t="s">
        <v>23</v>
      </c>
      <c r="F1769" s="6" t="str">
        <f>MID(A1769,19,1)</f>
        <v>C</v>
      </c>
      <c r="G1769" s="6">
        <v>-23.010339933165778</v>
      </c>
      <c r="H1769" s="6">
        <v>-47.090634812401916</v>
      </c>
      <c r="I1769" s="9">
        <v>5082.42</v>
      </c>
      <c r="J1769" s="9">
        <f>I1769/500</f>
        <v>10.16484</v>
      </c>
      <c r="K1769" s="6">
        <v>4.54</v>
      </c>
      <c r="L1769" s="6">
        <v>70</v>
      </c>
      <c r="N1769" s="1">
        <f t="shared" si="207"/>
        <v>0</v>
      </c>
      <c r="O1769" s="8" t="s">
        <v>185</v>
      </c>
      <c r="P1769" s="8"/>
      <c r="Q1769" s="8" t="s">
        <v>21</v>
      </c>
      <c r="R1769" s="8" t="s">
        <v>21</v>
      </c>
      <c r="S1769" s="8" t="s">
        <v>21</v>
      </c>
      <c r="T1769" s="8" t="s">
        <v>21</v>
      </c>
      <c r="U1769" s="6">
        <f t="shared" si="208"/>
        <v>3557.694</v>
      </c>
      <c r="V1769" s="6">
        <f t="shared" si="205"/>
        <v>3557.694</v>
      </c>
    </row>
    <row r="1770" spans="1:22" x14ac:dyDescent="0.35">
      <c r="A1770" s="6" t="s">
        <v>1960</v>
      </c>
      <c r="B1770" s="6" t="s">
        <v>1944</v>
      </c>
      <c r="C1770" s="6" t="s">
        <v>1945</v>
      </c>
      <c r="D1770" s="6">
        <f t="shared" si="209"/>
        <v>0.5</v>
      </c>
      <c r="E1770" s="6" t="s">
        <v>19</v>
      </c>
      <c r="F1770" s="6" t="str">
        <f>MID(A1770,19,1)</f>
        <v>N</v>
      </c>
      <c r="G1770" s="6">
        <v>-22.989031649083749</v>
      </c>
      <c r="H1770" s="6">
        <v>-47.039044804320845</v>
      </c>
      <c r="I1770" s="9">
        <v>1266.55</v>
      </c>
      <c r="K1770" s="6">
        <v>7.42</v>
      </c>
      <c r="L1770" s="6">
        <v>60</v>
      </c>
      <c r="N1770" s="1">
        <f t="shared" si="207"/>
        <v>0</v>
      </c>
      <c r="O1770" s="8" t="s">
        <v>20</v>
      </c>
      <c r="P1770" s="8"/>
      <c r="Q1770" s="8" t="s">
        <v>21</v>
      </c>
      <c r="R1770" s="8" t="s">
        <v>21</v>
      </c>
      <c r="S1770" s="8" t="s">
        <v>21</v>
      </c>
      <c r="T1770" s="8" t="s">
        <v>21</v>
      </c>
      <c r="U1770" s="6">
        <f t="shared" si="208"/>
        <v>759.93</v>
      </c>
      <c r="V1770" s="6">
        <f t="shared" ref="V1770:V1792" si="210">(I1770*(L1770/100))</f>
        <v>759.93</v>
      </c>
    </row>
    <row r="1771" spans="1:22" x14ac:dyDescent="0.35">
      <c r="A1771" s="6" t="s">
        <v>1961</v>
      </c>
      <c r="B1771" s="6" t="s">
        <v>1944</v>
      </c>
      <c r="C1771" s="6" t="s">
        <v>1945</v>
      </c>
      <c r="D1771" s="6">
        <f t="shared" si="209"/>
        <v>0.5</v>
      </c>
      <c r="E1771" s="6" t="s">
        <v>19</v>
      </c>
      <c r="F1771" s="6" t="str">
        <f>MID(A1771,19,1)</f>
        <v>N</v>
      </c>
      <c r="G1771" s="6">
        <v>-22.992240422391241</v>
      </c>
      <c r="H1771" s="6">
        <v>-47.03680189855173</v>
      </c>
      <c r="I1771" s="9">
        <v>2129.02</v>
      </c>
      <c r="K1771" s="6">
        <v>5.52</v>
      </c>
      <c r="L1771" s="6">
        <v>0</v>
      </c>
      <c r="N1771" s="1">
        <f t="shared" si="207"/>
        <v>0</v>
      </c>
      <c r="O1771" s="8"/>
      <c r="P1771" s="8"/>
      <c r="Q1771" s="8" t="s">
        <v>21</v>
      </c>
      <c r="R1771" s="8" t="s">
        <v>21</v>
      </c>
      <c r="S1771" s="8" t="s">
        <v>21</v>
      </c>
      <c r="T1771" s="8" t="s">
        <v>21</v>
      </c>
      <c r="U1771" s="6">
        <f t="shared" si="208"/>
        <v>0</v>
      </c>
      <c r="V1771" s="6">
        <f t="shared" si="210"/>
        <v>0</v>
      </c>
    </row>
    <row r="1772" spans="1:22" x14ac:dyDescent="0.35">
      <c r="A1772" s="6" t="s">
        <v>1962</v>
      </c>
      <c r="B1772" s="6" t="s">
        <v>1944</v>
      </c>
      <c r="C1772" s="6" t="s">
        <v>1945</v>
      </c>
      <c r="D1772" s="6">
        <f t="shared" si="209"/>
        <v>0.5</v>
      </c>
      <c r="E1772" s="6" t="s">
        <v>19</v>
      </c>
      <c r="F1772" s="6" t="str">
        <f>MID(A1772,19,1)</f>
        <v>N</v>
      </c>
      <c r="G1772" s="6">
        <v>-23.006864995626579</v>
      </c>
      <c r="H1772" s="6">
        <v>-47.094714420316166</v>
      </c>
      <c r="I1772" s="9">
        <v>1890.09</v>
      </c>
      <c r="K1772" s="6">
        <v>5.86</v>
      </c>
      <c r="L1772" s="6">
        <v>90</v>
      </c>
      <c r="N1772" s="1">
        <f t="shared" si="207"/>
        <v>0</v>
      </c>
      <c r="O1772" s="8" t="s">
        <v>20</v>
      </c>
      <c r="P1772" s="8"/>
      <c r="Q1772" s="8" t="s">
        <v>21</v>
      </c>
      <c r="R1772" s="8" t="s">
        <v>21</v>
      </c>
      <c r="S1772" s="8" t="s">
        <v>21</v>
      </c>
      <c r="T1772" s="8" t="s">
        <v>21</v>
      </c>
      <c r="U1772" s="6">
        <f t="shared" si="208"/>
        <v>1701.0809999999999</v>
      </c>
      <c r="V1772" s="6">
        <f t="shared" si="210"/>
        <v>1701.0809999999999</v>
      </c>
    </row>
    <row r="1773" spans="1:22" hidden="1" x14ac:dyDescent="0.35">
      <c r="A1773" s="6" t="s">
        <v>1963</v>
      </c>
      <c r="B1773" s="6" t="s">
        <v>1944</v>
      </c>
      <c r="C1773" s="6" t="s">
        <v>1945</v>
      </c>
      <c r="D1773" s="6">
        <f t="shared" si="209"/>
        <v>0.5</v>
      </c>
      <c r="E1773" s="6" t="s">
        <v>19</v>
      </c>
      <c r="F1773" s="6" t="str">
        <f>MID(A1773,19,1)</f>
        <v>S</v>
      </c>
      <c r="G1773" s="6">
        <v>-23.007092544800695</v>
      </c>
      <c r="H1773" s="6">
        <v>-47.094932157190676</v>
      </c>
      <c r="I1773" s="9">
        <v>13719.03</v>
      </c>
      <c r="K1773" s="6">
        <v>5.22</v>
      </c>
      <c r="L1773" s="6">
        <v>80</v>
      </c>
      <c r="N1773" s="1">
        <f t="shared" si="207"/>
        <v>0</v>
      </c>
      <c r="O1773" s="8" t="s">
        <v>20</v>
      </c>
      <c r="P1773" s="8"/>
      <c r="Q1773" s="8" t="s">
        <v>21</v>
      </c>
      <c r="R1773" s="8" t="s">
        <v>21</v>
      </c>
      <c r="S1773" s="8" t="s">
        <v>21</v>
      </c>
      <c r="T1773" s="8" t="s">
        <v>21</v>
      </c>
      <c r="U1773" s="6">
        <f t="shared" si="208"/>
        <v>10975.224000000002</v>
      </c>
      <c r="V1773" s="6">
        <f t="shared" si="210"/>
        <v>10975.224000000002</v>
      </c>
    </row>
    <row r="1774" spans="1:22" x14ac:dyDescent="0.35">
      <c r="A1774" s="6" t="s">
        <v>1964</v>
      </c>
      <c r="B1774" s="6" t="s">
        <v>1965</v>
      </c>
      <c r="C1774" s="6" t="s">
        <v>1966</v>
      </c>
      <c r="D1774" s="6">
        <f t="shared" si="209"/>
        <v>0.5</v>
      </c>
      <c r="E1774" s="6" t="s">
        <v>19</v>
      </c>
      <c r="F1774" s="6" t="str">
        <f>MID(A1774,19,1)</f>
        <v>N</v>
      </c>
      <c r="G1774" s="6">
        <v>-23.002203843273797</v>
      </c>
      <c r="H1774" s="6">
        <v>-47.098820486524964</v>
      </c>
      <c r="I1774" s="9">
        <v>1938.51</v>
      </c>
      <c r="K1774" s="6">
        <v>2.83</v>
      </c>
      <c r="L1774" s="6">
        <v>70</v>
      </c>
      <c r="N1774" s="1">
        <f t="shared" si="207"/>
        <v>0</v>
      </c>
      <c r="O1774" s="8" t="s">
        <v>20</v>
      </c>
      <c r="P1774" s="8"/>
      <c r="Q1774" s="8" t="s">
        <v>21</v>
      </c>
      <c r="R1774" s="8" t="s">
        <v>21</v>
      </c>
      <c r="S1774" s="8" t="s">
        <v>21</v>
      </c>
      <c r="T1774" s="8" t="s">
        <v>21</v>
      </c>
      <c r="U1774" s="6">
        <f t="shared" si="208"/>
        <v>1356.9569999999999</v>
      </c>
      <c r="V1774" s="6">
        <f t="shared" si="210"/>
        <v>1356.9569999999999</v>
      </c>
    </row>
    <row r="1775" spans="1:22" hidden="1" x14ac:dyDescent="0.35">
      <c r="A1775" s="6" t="s">
        <v>1967</v>
      </c>
      <c r="B1775" s="6" t="s">
        <v>1965</v>
      </c>
      <c r="C1775" s="6" t="s">
        <v>1966</v>
      </c>
      <c r="D1775" s="6">
        <f t="shared" si="209"/>
        <v>0.5</v>
      </c>
      <c r="E1775" s="6" t="s">
        <v>19</v>
      </c>
      <c r="F1775" s="6" t="str">
        <f>MID(A1775,19,1)</f>
        <v>S</v>
      </c>
      <c r="G1775" s="6">
        <v>-23.002608178315608</v>
      </c>
      <c r="H1775" s="6">
        <v>-47.099580636736569</v>
      </c>
      <c r="I1775" s="9">
        <v>603.62</v>
      </c>
      <c r="K1775" s="6">
        <v>4.25</v>
      </c>
      <c r="L1775" s="6">
        <v>70</v>
      </c>
      <c r="N1775" s="1">
        <f t="shared" si="207"/>
        <v>0</v>
      </c>
      <c r="O1775" s="8" t="s">
        <v>20</v>
      </c>
      <c r="P1775" s="8"/>
      <c r="Q1775" s="8" t="s">
        <v>21</v>
      </c>
      <c r="R1775" s="8" t="s">
        <v>21</v>
      </c>
      <c r="S1775" s="8" t="s">
        <v>21</v>
      </c>
      <c r="T1775" s="8" t="s">
        <v>21</v>
      </c>
      <c r="U1775" s="6">
        <f t="shared" si="208"/>
        <v>422.53399999999999</v>
      </c>
      <c r="V1775" s="6">
        <f t="shared" si="210"/>
        <v>422.53399999999999</v>
      </c>
    </row>
    <row r="1776" spans="1:22" hidden="1" x14ac:dyDescent="0.35">
      <c r="A1776" s="6" t="s">
        <v>1968</v>
      </c>
      <c r="B1776" s="6" t="s">
        <v>1965</v>
      </c>
      <c r="C1776" s="6" t="s">
        <v>1966</v>
      </c>
      <c r="D1776" s="6">
        <f t="shared" si="209"/>
        <v>0.5</v>
      </c>
      <c r="E1776" s="6" t="s">
        <v>19</v>
      </c>
      <c r="F1776" s="6" t="str">
        <f>MID(A1776,19,1)</f>
        <v>S</v>
      </c>
      <c r="G1776" s="6">
        <v>-22.982881474048359</v>
      </c>
      <c r="H1776" s="6">
        <v>-47.044125353470193</v>
      </c>
      <c r="I1776" s="9">
        <v>53.99</v>
      </c>
      <c r="K1776" s="6">
        <v>5.51</v>
      </c>
      <c r="L1776" s="6">
        <v>0</v>
      </c>
      <c r="N1776" s="1">
        <f t="shared" si="207"/>
        <v>0</v>
      </c>
      <c r="O1776" s="8"/>
      <c r="P1776" s="8"/>
      <c r="Q1776" s="8" t="s">
        <v>21</v>
      </c>
      <c r="R1776" s="8" t="s">
        <v>21</v>
      </c>
      <c r="S1776" s="8" t="s">
        <v>21</v>
      </c>
      <c r="T1776" s="8" t="s">
        <v>21</v>
      </c>
      <c r="U1776" s="6">
        <f t="shared" si="208"/>
        <v>0</v>
      </c>
      <c r="V1776" s="6">
        <f t="shared" si="210"/>
        <v>0</v>
      </c>
    </row>
    <row r="1777" spans="1:22" hidden="1" x14ac:dyDescent="0.35">
      <c r="A1777" s="6" t="s">
        <v>1969</v>
      </c>
      <c r="B1777" s="6" t="s">
        <v>1965</v>
      </c>
      <c r="C1777" s="6" t="s">
        <v>1966</v>
      </c>
      <c r="D1777" s="6">
        <f t="shared" si="209"/>
        <v>0.5</v>
      </c>
      <c r="E1777" s="6" t="s">
        <v>19</v>
      </c>
      <c r="F1777" s="6" t="str">
        <f>MID(A1777,19,1)</f>
        <v>S</v>
      </c>
      <c r="G1777" s="6">
        <v>-22.984714607542038</v>
      </c>
      <c r="H1777" s="6">
        <v>-47.042582755995561</v>
      </c>
      <c r="I1777" s="9">
        <v>2006.64</v>
      </c>
      <c r="K1777" s="6">
        <v>7.88</v>
      </c>
      <c r="L1777" s="6">
        <v>0</v>
      </c>
      <c r="N1777" s="1">
        <f t="shared" si="207"/>
        <v>0</v>
      </c>
      <c r="O1777" s="8"/>
      <c r="P1777" s="8"/>
      <c r="Q1777" s="8" t="s">
        <v>21</v>
      </c>
      <c r="R1777" s="8" t="s">
        <v>21</v>
      </c>
      <c r="S1777" s="8" t="s">
        <v>21</v>
      </c>
      <c r="T1777" s="8" t="s">
        <v>21</v>
      </c>
      <c r="U1777" s="6">
        <f t="shared" si="208"/>
        <v>0</v>
      </c>
      <c r="V1777" s="6">
        <f t="shared" si="210"/>
        <v>0</v>
      </c>
    </row>
    <row r="1778" spans="1:22" hidden="1" x14ac:dyDescent="0.35">
      <c r="A1778" s="6" t="s">
        <v>1970</v>
      </c>
      <c r="B1778" s="6" t="s">
        <v>1965</v>
      </c>
      <c r="C1778" s="6" t="s">
        <v>1966</v>
      </c>
      <c r="D1778" s="6">
        <f t="shared" si="209"/>
        <v>0.5</v>
      </c>
      <c r="E1778" s="6" t="s">
        <v>19</v>
      </c>
      <c r="F1778" s="6" t="str">
        <f>MID(A1778,19,1)</f>
        <v>S</v>
      </c>
      <c r="G1778" s="6">
        <v>-23.000412166854815</v>
      </c>
      <c r="H1778" s="6">
        <v>-47.101202912132422</v>
      </c>
      <c r="I1778" s="9">
        <v>1782.86</v>
      </c>
      <c r="K1778" s="6">
        <v>5.48</v>
      </c>
      <c r="L1778" s="6">
        <v>80</v>
      </c>
      <c r="N1778" s="1">
        <f t="shared" si="207"/>
        <v>0</v>
      </c>
      <c r="O1778" s="8" t="s">
        <v>20</v>
      </c>
      <c r="P1778" s="8"/>
      <c r="Q1778" s="8" t="s">
        <v>21</v>
      </c>
      <c r="R1778" s="8" t="s">
        <v>21</v>
      </c>
      <c r="S1778" s="8" t="s">
        <v>21</v>
      </c>
      <c r="T1778" s="8" t="s">
        <v>21</v>
      </c>
      <c r="U1778" s="6">
        <f t="shared" si="208"/>
        <v>1426.288</v>
      </c>
      <c r="V1778" s="6">
        <f t="shared" si="210"/>
        <v>1426.288</v>
      </c>
    </row>
    <row r="1779" spans="1:22" hidden="1" x14ac:dyDescent="0.35">
      <c r="A1779" s="6" t="s">
        <v>1971</v>
      </c>
      <c r="B1779" s="6" t="s">
        <v>1965</v>
      </c>
      <c r="C1779" s="6" t="s">
        <v>1966</v>
      </c>
      <c r="D1779" s="6">
        <f t="shared" si="209"/>
        <v>0.5</v>
      </c>
      <c r="E1779" s="6" t="s">
        <v>19</v>
      </c>
      <c r="F1779" s="6" t="str">
        <f>MID(A1779,19,1)</f>
        <v>S</v>
      </c>
      <c r="G1779" s="6">
        <v>-23.004776503476293</v>
      </c>
      <c r="H1779" s="6">
        <v>-47.09756390082228</v>
      </c>
      <c r="I1779" s="9">
        <v>1130.06</v>
      </c>
      <c r="K1779" s="6">
        <v>5.77</v>
      </c>
      <c r="L1779" s="6">
        <v>70</v>
      </c>
      <c r="N1779" s="1">
        <f t="shared" si="207"/>
        <v>0</v>
      </c>
      <c r="O1779" s="8" t="s">
        <v>20</v>
      </c>
      <c r="P1779" s="8"/>
      <c r="Q1779" s="8" t="s">
        <v>21</v>
      </c>
      <c r="R1779" s="8" t="s">
        <v>21</v>
      </c>
      <c r="S1779" s="8" t="s">
        <v>21</v>
      </c>
      <c r="T1779" s="8" t="s">
        <v>21</v>
      </c>
      <c r="U1779" s="6">
        <f t="shared" si="208"/>
        <v>791.04199999999992</v>
      </c>
      <c r="V1779" s="6">
        <f t="shared" si="210"/>
        <v>791.04199999999992</v>
      </c>
    </row>
    <row r="1780" spans="1:22" hidden="1" x14ac:dyDescent="0.35">
      <c r="A1780" s="6" t="s">
        <v>1972</v>
      </c>
      <c r="B1780" s="6" t="s">
        <v>1965</v>
      </c>
      <c r="C1780" s="6" t="s">
        <v>1966</v>
      </c>
      <c r="D1780" s="6">
        <f t="shared" si="209"/>
        <v>0.5</v>
      </c>
      <c r="E1780" s="6" t="s">
        <v>19</v>
      </c>
      <c r="F1780" s="6" t="str">
        <f>MID(A1780,19,1)</f>
        <v>S</v>
      </c>
      <c r="G1780" s="6">
        <v>-22.980586345755171</v>
      </c>
      <c r="H1780" s="6">
        <v>-47.045560597589137</v>
      </c>
      <c r="I1780" s="9">
        <v>1218.7</v>
      </c>
      <c r="K1780" s="6">
        <v>3.25</v>
      </c>
      <c r="L1780" s="6">
        <v>0</v>
      </c>
      <c r="N1780" s="1">
        <f t="shared" si="207"/>
        <v>0</v>
      </c>
      <c r="O1780" s="8"/>
      <c r="P1780" s="8"/>
      <c r="Q1780" s="8" t="s">
        <v>21</v>
      </c>
      <c r="R1780" s="8" t="s">
        <v>21</v>
      </c>
      <c r="S1780" s="8" t="s">
        <v>21</v>
      </c>
      <c r="T1780" s="8" t="s">
        <v>21</v>
      </c>
      <c r="U1780" s="6">
        <f t="shared" si="208"/>
        <v>0</v>
      </c>
      <c r="V1780" s="6">
        <f t="shared" si="210"/>
        <v>0</v>
      </c>
    </row>
    <row r="1781" spans="1:22" x14ac:dyDescent="0.35">
      <c r="A1781" s="6" t="s">
        <v>1973</v>
      </c>
      <c r="B1781" s="6" t="s">
        <v>1965</v>
      </c>
      <c r="C1781" s="6" t="s">
        <v>1966</v>
      </c>
      <c r="D1781" s="6">
        <f t="shared" si="209"/>
        <v>0.5</v>
      </c>
      <c r="E1781" s="6" t="s">
        <v>19</v>
      </c>
      <c r="F1781" s="6" t="str">
        <f>MID(A1781,19,1)</f>
        <v>N</v>
      </c>
      <c r="G1781" s="6">
        <v>-23.004359678127223</v>
      </c>
      <c r="H1781" s="6">
        <v>-47.097119842910388</v>
      </c>
      <c r="I1781" s="9">
        <v>1087.2</v>
      </c>
      <c r="K1781" s="6">
        <v>6.06</v>
      </c>
      <c r="L1781" s="6">
        <v>70</v>
      </c>
      <c r="N1781" s="1">
        <f t="shared" si="207"/>
        <v>0</v>
      </c>
      <c r="O1781" s="8" t="s">
        <v>20</v>
      </c>
      <c r="P1781" s="8"/>
      <c r="Q1781" s="8" t="s">
        <v>21</v>
      </c>
      <c r="R1781" s="8" t="s">
        <v>21</v>
      </c>
      <c r="S1781" s="8" t="s">
        <v>21</v>
      </c>
      <c r="T1781" s="8" t="s">
        <v>21</v>
      </c>
      <c r="U1781" s="6">
        <f t="shared" si="208"/>
        <v>761.04</v>
      </c>
      <c r="V1781" s="6">
        <f t="shared" si="210"/>
        <v>761.04</v>
      </c>
    </row>
    <row r="1782" spans="1:22" x14ac:dyDescent="0.35">
      <c r="A1782" s="6" t="s">
        <v>1974</v>
      </c>
      <c r="B1782" s="6" t="s">
        <v>1965</v>
      </c>
      <c r="C1782" s="6" t="s">
        <v>1966</v>
      </c>
      <c r="D1782" s="6">
        <f t="shared" si="209"/>
        <v>0.5</v>
      </c>
      <c r="E1782" s="6" t="s">
        <v>19</v>
      </c>
      <c r="F1782" s="6" t="str">
        <f>MID(A1782,19,1)</f>
        <v>N</v>
      </c>
      <c r="G1782" s="6">
        <v>-22.984530430187402</v>
      </c>
      <c r="H1782" s="6">
        <v>-47.042015213885165</v>
      </c>
      <c r="I1782" s="9">
        <v>1948.48</v>
      </c>
      <c r="K1782" s="6">
        <v>4.83</v>
      </c>
      <c r="L1782" s="6">
        <v>60</v>
      </c>
      <c r="N1782" s="1">
        <f t="shared" si="207"/>
        <v>0</v>
      </c>
      <c r="O1782" s="8" t="s">
        <v>20</v>
      </c>
      <c r="P1782" s="8"/>
      <c r="Q1782" s="8" t="s">
        <v>21</v>
      </c>
      <c r="R1782" s="8" t="s">
        <v>21</v>
      </c>
      <c r="S1782" s="8" t="s">
        <v>21</v>
      </c>
      <c r="T1782" s="8" t="s">
        <v>21</v>
      </c>
      <c r="U1782" s="6">
        <f t="shared" si="208"/>
        <v>1169.088</v>
      </c>
      <c r="V1782" s="6">
        <f t="shared" si="210"/>
        <v>1169.088</v>
      </c>
    </row>
    <row r="1783" spans="1:22" x14ac:dyDescent="0.35">
      <c r="A1783" s="6" t="s">
        <v>1975</v>
      </c>
      <c r="B1783" s="6" t="s">
        <v>1965</v>
      </c>
      <c r="C1783" s="6" t="s">
        <v>1966</v>
      </c>
      <c r="D1783" s="6">
        <f t="shared" si="209"/>
        <v>0.5</v>
      </c>
      <c r="E1783" s="6" t="s">
        <v>19</v>
      </c>
      <c r="F1783" s="6" t="str">
        <f>MID(A1783,19,1)</f>
        <v>N</v>
      </c>
      <c r="G1783" s="6">
        <v>-22.982906556774861</v>
      </c>
      <c r="H1783" s="6">
        <v>-47.043146094714047</v>
      </c>
      <c r="I1783" s="9">
        <v>613.04999999999995</v>
      </c>
      <c r="K1783" s="6">
        <v>4.5199999999999996</v>
      </c>
      <c r="L1783" s="6">
        <v>60</v>
      </c>
      <c r="N1783" s="1">
        <f t="shared" si="207"/>
        <v>0</v>
      </c>
      <c r="O1783" s="8" t="s">
        <v>20</v>
      </c>
      <c r="P1783" s="8"/>
      <c r="Q1783" s="8" t="s">
        <v>21</v>
      </c>
      <c r="R1783" s="8" t="s">
        <v>21</v>
      </c>
      <c r="S1783" s="8" t="s">
        <v>21</v>
      </c>
      <c r="T1783" s="8" t="s">
        <v>21</v>
      </c>
      <c r="U1783" s="6">
        <f t="shared" si="208"/>
        <v>367.83</v>
      </c>
      <c r="V1783" s="6">
        <f t="shared" si="210"/>
        <v>367.83</v>
      </c>
    </row>
    <row r="1784" spans="1:22" x14ac:dyDescent="0.35">
      <c r="A1784" s="6" t="s">
        <v>1976</v>
      </c>
      <c r="B1784" s="6" t="s">
        <v>1965</v>
      </c>
      <c r="C1784" s="6" t="s">
        <v>1966</v>
      </c>
      <c r="D1784" s="6">
        <f t="shared" si="209"/>
        <v>0.5</v>
      </c>
      <c r="E1784" s="6" t="s">
        <v>19</v>
      </c>
      <c r="F1784" s="6" t="str">
        <f>MID(A1784,19,1)</f>
        <v>N</v>
      </c>
      <c r="G1784" s="6">
        <v>-22.981811700457872</v>
      </c>
      <c r="H1784" s="6">
        <v>-47.044094944512402</v>
      </c>
      <c r="I1784" s="9">
        <v>2496.1</v>
      </c>
      <c r="K1784" s="6">
        <v>4.22</v>
      </c>
      <c r="L1784" s="6">
        <v>80</v>
      </c>
      <c r="N1784" s="1">
        <f t="shared" si="207"/>
        <v>0</v>
      </c>
      <c r="O1784" s="8" t="s">
        <v>20</v>
      </c>
      <c r="P1784" s="8"/>
      <c r="Q1784" s="8" t="s">
        <v>21</v>
      </c>
      <c r="R1784" s="8" t="s">
        <v>21</v>
      </c>
      <c r="S1784" s="8" t="s">
        <v>21</v>
      </c>
      <c r="T1784" s="8" t="s">
        <v>21</v>
      </c>
      <c r="U1784" s="6">
        <f t="shared" si="208"/>
        <v>1996.88</v>
      </c>
      <c r="V1784" s="6">
        <f t="shared" si="210"/>
        <v>1996.88</v>
      </c>
    </row>
    <row r="1785" spans="1:22" x14ac:dyDescent="0.35">
      <c r="A1785" s="6" t="s">
        <v>1977</v>
      </c>
      <c r="B1785" s="6" t="s">
        <v>1965</v>
      </c>
      <c r="C1785" s="6" t="s">
        <v>1966</v>
      </c>
      <c r="D1785" s="6">
        <f t="shared" si="209"/>
        <v>0.5</v>
      </c>
      <c r="E1785" s="6" t="s">
        <v>19</v>
      </c>
      <c r="F1785" s="6" t="str">
        <f>MID(A1785,19,1)</f>
        <v>N</v>
      </c>
      <c r="G1785" s="6">
        <v>-22.980138103035099</v>
      </c>
      <c r="H1785" s="6">
        <v>-47.044898494994996</v>
      </c>
      <c r="I1785" s="9">
        <v>1626.07</v>
      </c>
      <c r="K1785" s="6">
        <v>3.66</v>
      </c>
      <c r="L1785" s="6">
        <v>80</v>
      </c>
      <c r="N1785" s="1">
        <f t="shared" si="207"/>
        <v>0</v>
      </c>
      <c r="O1785" s="8" t="s">
        <v>20</v>
      </c>
      <c r="P1785" s="8"/>
      <c r="Q1785" s="8" t="s">
        <v>21</v>
      </c>
      <c r="R1785" s="8" t="s">
        <v>21</v>
      </c>
      <c r="S1785" s="8" t="s">
        <v>21</v>
      </c>
      <c r="T1785" s="8" t="s">
        <v>21</v>
      </c>
      <c r="U1785" s="6">
        <f t="shared" si="208"/>
        <v>1300.856</v>
      </c>
      <c r="V1785" s="6">
        <f t="shared" si="210"/>
        <v>1300.856</v>
      </c>
    </row>
    <row r="1786" spans="1:22" x14ac:dyDescent="0.35">
      <c r="A1786" s="6" t="s">
        <v>1978</v>
      </c>
      <c r="B1786" s="6" t="s">
        <v>1965</v>
      </c>
      <c r="C1786" s="6" t="s">
        <v>1966</v>
      </c>
      <c r="D1786" s="6">
        <f t="shared" si="209"/>
        <v>0.5</v>
      </c>
      <c r="E1786" s="6" t="s">
        <v>19</v>
      </c>
      <c r="F1786" s="6" t="str">
        <f>MID(A1786,19,1)</f>
        <v>N</v>
      </c>
      <c r="G1786" s="6">
        <v>-22.979302953126471</v>
      </c>
      <c r="H1786" s="6">
        <v>-47.045403388981924</v>
      </c>
      <c r="I1786" s="9">
        <v>1917.58</v>
      </c>
      <c r="K1786" s="6">
        <v>4.1100000000000003</v>
      </c>
      <c r="L1786" s="6">
        <v>80</v>
      </c>
      <c r="N1786" s="1">
        <f t="shared" si="207"/>
        <v>0</v>
      </c>
      <c r="O1786" s="8" t="s">
        <v>20</v>
      </c>
      <c r="P1786" s="8"/>
      <c r="Q1786" s="8" t="s">
        <v>21</v>
      </c>
      <c r="R1786" s="8" t="s">
        <v>21</v>
      </c>
      <c r="S1786" s="8" t="s">
        <v>21</v>
      </c>
      <c r="T1786" s="8" t="s">
        <v>21</v>
      </c>
      <c r="U1786" s="6">
        <f t="shared" si="208"/>
        <v>1534.0640000000001</v>
      </c>
      <c r="V1786" s="6">
        <f t="shared" si="210"/>
        <v>1534.0640000000001</v>
      </c>
    </row>
    <row r="1787" spans="1:22" x14ac:dyDescent="0.35">
      <c r="A1787" s="6" t="s">
        <v>1979</v>
      </c>
      <c r="B1787" s="6" t="s">
        <v>1965</v>
      </c>
      <c r="C1787" s="6" t="s">
        <v>1966</v>
      </c>
      <c r="D1787" s="6">
        <f t="shared" si="209"/>
        <v>0.5</v>
      </c>
      <c r="E1787" s="6" t="s">
        <v>19</v>
      </c>
      <c r="F1787" s="6" t="str">
        <f>MID(A1787,19,1)</f>
        <v>N</v>
      </c>
      <c r="G1787" s="6">
        <v>-22.978816311949291</v>
      </c>
      <c r="H1787" s="6">
        <v>-47.045745380569841</v>
      </c>
      <c r="I1787" s="9">
        <v>180.44</v>
      </c>
      <c r="K1787" s="6">
        <v>4.7699999999999996</v>
      </c>
      <c r="L1787" s="6">
        <v>80</v>
      </c>
      <c r="N1787" s="1">
        <f t="shared" si="207"/>
        <v>0</v>
      </c>
      <c r="O1787" s="8" t="s">
        <v>20</v>
      </c>
      <c r="P1787" s="8"/>
      <c r="Q1787" s="8" t="s">
        <v>21</v>
      </c>
      <c r="R1787" s="8" t="s">
        <v>21</v>
      </c>
      <c r="S1787" s="8" t="s">
        <v>21</v>
      </c>
      <c r="T1787" s="8" t="s">
        <v>21</v>
      </c>
      <c r="U1787" s="6">
        <f t="shared" si="208"/>
        <v>144.352</v>
      </c>
      <c r="V1787" s="6">
        <f t="shared" si="210"/>
        <v>144.352</v>
      </c>
    </row>
    <row r="1788" spans="1:22" hidden="1" x14ac:dyDescent="0.35">
      <c r="A1788" s="6" t="s">
        <v>1980</v>
      </c>
      <c r="B1788" s="6" t="s">
        <v>1965</v>
      </c>
      <c r="C1788" s="6" t="s">
        <v>1966</v>
      </c>
      <c r="D1788" s="6">
        <f t="shared" si="209"/>
        <v>0.5</v>
      </c>
      <c r="E1788" s="6" t="s">
        <v>19</v>
      </c>
      <c r="F1788" s="6" t="str">
        <f>MID(A1788,19,1)</f>
        <v>S</v>
      </c>
      <c r="G1788" s="6">
        <v>-22.97899438512821</v>
      </c>
      <c r="H1788" s="6">
        <v>-47.0464329269929</v>
      </c>
      <c r="I1788" s="9">
        <v>428.34</v>
      </c>
      <c r="K1788" s="6">
        <v>3.41</v>
      </c>
      <c r="L1788" s="6">
        <v>0</v>
      </c>
      <c r="N1788" s="1">
        <f t="shared" si="207"/>
        <v>0</v>
      </c>
      <c r="O1788" s="8"/>
      <c r="P1788" s="8"/>
      <c r="Q1788" s="8" t="s">
        <v>21</v>
      </c>
      <c r="R1788" s="8" t="s">
        <v>21</v>
      </c>
      <c r="S1788" s="8" t="s">
        <v>21</v>
      </c>
      <c r="T1788" s="8" t="s">
        <v>21</v>
      </c>
      <c r="U1788" s="6">
        <f t="shared" si="208"/>
        <v>0</v>
      </c>
      <c r="V1788" s="6">
        <f t="shared" si="210"/>
        <v>0</v>
      </c>
    </row>
    <row r="1789" spans="1:22" x14ac:dyDescent="0.35">
      <c r="A1789" s="6" t="s">
        <v>1981</v>
      </c>
      <c r="B1789" s="6" t="s">
        <v>1965</v>
      </c>
      <c r="C1789" s="6" t="s">
        <v>1966</v>
      </c>
      <c r="D1789" s="6">
        <f t="shared" si="209"/>
        <v>0.5</v>
      </c>
      <c r="E1789" s="6" t="s">
        <v>19</v>
      </c>
      <c r="F1789" s="6" t="str">
        <f>MID(A1789,19,1)</f>
        <v>N</v>
      </c>
      <c r="G1789" s="6">
        <v>-22.979777115789961</v>
      </c>
      <c r="H1789" s="6">
        <v>-47.04536702339756</v>
      </c>
      <c r="I1789" s="9">
        <v>2499.37</v>
      </c>
      <c r="K1789" s="6">
        <v>3.46</v>
      </c>
      <c r="L1789" s="6">
        <v>80</v>
      </c>
      <c r="N1789" s="1">
        <f t="shared" si="207"/>
        <v>0</v>
      </c>
      <c r="O1789" s="8" t="s">
        <v>20</v>
      </c>
      <c r="P1789" s="8"/>
      <c r="Q1789" s="8" t="s">
        <v>21</v>
      </c>
      <c r="R1789" s="8" t="s">
        <v>21</v>
      </c>
      <c r="S1789" s="8" t="s">
        <v>21</v>
      </c>
      <c r="T1789" s="8" t="s">
        <v>21</v>
      </c>
      <c r="U1789" s="6">
        <f t="shared" si="208"/>
        <v>1999.4960000000001</v>
      </c>
      <c r="V1789" s="6">
        <f t="shared" si="210"/>
        <v>1999.4960000000001</v>
      </c>
    </row>
    <row r="1790" spans="1:22" hidden="1" x14ac:dyDescent="0.35">
      <c r="A1790" s="6" t="s">
        <v>1982</v>
      </c>
      <c r="B1790" s="6" t="s">
        <v>1965</v>
      </c>
      <c r="C1790" s="6" t="s">
        <v>1966</v>
      </c>
      <c r="D1790" s="6">
        <f t="shared" si="209"/>
        <v>0.5</v>
      </c>
      <c r="E1790" s="6" t="s">
        <v>19</v>
      </c>
      <c r="F1790" s="6" t="str">
        <f>MID(A1790,19,1)</f>
        <v>S</v>
      </c>
      <c r="G1790" s="6">
        <v>-22.982910781583151</v>
      </c>
      <c r="H1790" s="6">
        <v>-47.043932637408993</v>
      </c>
      <c r="I1790" s="9">
        <v>39.619999999999997</v>
      </c>
      <c r="K1790" s="6">
        <v>7</v>
      </c>
      <c r="L1790" s="6">
        <v>0</v>
      </c>
      <c r="N1790" s="1">
        <f t="shared" si="207"/>
        <v>0</v>
      </c>
      <c r="O1790" s="8"/>
      <c r="P1790" s="8"/>
      <c r="Q1790" s="8" t="s">
        <v>21</v>
      </c>
      <c r="R1790" s="8" t="s">
        <v>21</v>
      </c>
      <c r="S1790" s="8" t="s">
        <v>21</v>
      </c>
      <c r="T1790" s="8" t="s">
        <v>21</v>
      </c>
      <c r="U1790" s="6">
        <f t="shared" si="208"/>
        <v>0</v>
      </c>
      <c r="V1790" s="6">
        <f t="shared" si="210"/>
        <v>0</v>
      </c>
    </row>
    <row r="1791" spans="1:22" hidden="1" x14ac:dyDescent="0.35">
      <c r="A1791" s="6" t="s">
        <v>1983</v>
      </c>
      <c r="B1791" s="6" t="s">
        <v>1965</v>
      </c>
      <c r="C1791" s="6" t="s">
        <v>1966</v>
      </c>
      <c r="D1791" s="6">
        <f t="shared" si="209"/>
        <v>0.5</v>
      </c>
      <c r="E1791" s="6" t="s">
        <v>19</v>
      </c>
      <c r="F1791" s="6" t="str">
        <f>MID(A1791,19,1)</f>
        <v>S</v>
      </c>
      <c r="G1791" s="6">
        <v>-22.97968108990667</v>
      </c>
      <c r="H1791" s="6">
        <v>-47.046079950505977</v>
      </c>
      <c r="I1791" s="9">
        <v>2223.2199999999998</v>
      </c>
      <c r="K1791" s="6">
        <v>4.0999999999999996</v>
      </c>
      <c r="L1791" s="6">
        <v>0</v>
      </c>
      <c r="N1791" s="1">
        <f t="shared" si="207"/>
        <v>0</v>
      </c>
      <c r="O1791" s="8"/>
      <c r="P1791" s="8"/>
      <c r="Q1791" s="8" t="s">
        <v>21</v>
      </c>
      <c r="R1791" s="8" t="s">
        <v>21</v>
      </c>
      <c r="S1791" s="8" t="s">
        <v>21</v>
      </c>
      <c r="T1791" s="8" t="s">
        <v>21</v>
      </c>
      <c r="U1791" s="6">
        <f t="shared" si="208"/>
        <v>0</v>
      </c>
      <c r="V1791" s="6">
        <f t="shared" si="210"/>
        <v>0</v>
      </c>
    </row>
    <row r="1792" spans="1:22" hidden="1" x14ac:dyDescent="0.35">
      <c r="A1792" s="6" t="s">
        <v>1984</v>
      </c>
      <c r="B1792" s="6" t="s">
        <v>1965</v>
      </c>
      <c r="C1792" s="6" t="s">
        <v>1966</v>
      </c>
      <c r="D1792" s="6">
        <f t="shared" si="209"/>
        <v>0.5</v>
      </c>
      <c r="E1792" s="6" t="s">
        <v>23</v>
      </c>
      <c r="F1792" s="6" t="str">
        <f>MID(A1792,19,1)</f>
        <v>C</v>
      </c>
      <c r="G1792" s="6">
        <v>-23.002369552154072</v>
      </c>
      <c r="H1792" s="6">
        <v>-47.099172310817835</v>
      </c>
      <c r="I1792" s="9">
        <v>4420.3900000000003</v>
      </c>
      <c r="J1792" s="9">
        <f>I1792/500</f>
        <v>8.8407800000000005</v>
      </c>
      <c r="K1792" s="6">
        <v>1.86</v>
      </c>
      <c r="L1792" s="6">
        <v>80</v>
      </c>
      <c r="N1792" s="1">
        <f t="shared" si="207"/>
        <v>0</v>
      </c>
      <c r="O1792" s="8" t="s">
        <v>20</v>
      </c>
      <c r="P1792" s="8"/>
      <c r="Q1792" s="8" t="s">
        <v>21</v>
      </c>
      <c r="R1792" s="8" t="s">
        <v>21</v>
      </c>
      <c r="S1792" s="8" t="s">
        <v>21</v>
      </c>
      <c r="T1792" s="8" t="s">
        <v>21</v>
      </c>
      <c r="U1792" s="6">
        <f t="shared" si="208"/>
        <v>3536.3120000000004</v>
      </c>
      <c r="V1792" s="6">
        <f t="shared" si="210"/>
        <v>3536.3120000000004</v>
      </c>
    </row>
    <row r="1793" spans="1:22" hidden="1" x14ac:dyDescent="0.35">
      <c r="A1793" s="6" t="s">
        <v>1985</v>
      </c>
      <c r="B1793" s="6" t="s">
        <v>1965</v>
      </c>
      <c r="C1793" s="6" t="s">
        <v>1966</v>
      </c>
      <c r="D1793" s="6">
        <f t="shared" si="209"/>
        <v>0.5</v>
      </c>
      <c r="E1793" s="6" t="s">
        <v>19</v>
      </c>
      <c r="F1793" s="6" t="str">
        <f>MID(A1793,19,1)</f>
        <v>S</v>
      </c>
      <c r="G1793" s="6">
        <v>-22.979907817833581</v>
      </c>
      <c r="H1793" s="6">
        <v>-47.045702907073313</v>
      </c>
      <c r="I1793" s="9">
        <v>1671.29</v>
      </c>
      <c r="K1793" s="6">
        <v>3.46</v>
      </c>
      <c r="L1793" s="6">
        <v>0</v>
      </c>
      <c r="N1793" s="1">
        <f t="shared" si="207"/>
        <v>0</v>
      </c>
      <c r="O1793" s="8"/>
      <c r="P1793" s="8"/>
      <c r="Q1793" s="8" t="s">
        <v>26</v>
      </c>
      <c r="R1793" s="8" t="s">
        <v>21</v>
      </c>
      <c r="S1793" s="8" t="s">
        <v>21</v>
      </c>
      <c r="T1793" s="8" t="s">
        <v>21</v>
      </c>
      <c r="U1793" s="6">
        <f t="shared" si="208"/>
        <v>0</v>
      </c>
    </row>
    <row r="1794" spans="1:22" x14ac:dyDescent="0.35">
      <c r="A1794" s="6" t="s">
        <v>1986</v>
      </c>
      <c r="B1794" s="6" t="s">
        <v>1965</v>
      </c>
      <c r="C1794" s="6" t="s">
        <v>1966</v>
      </c>
      <c r="D1794" s="6">
        <f t="shared" si="209"/>
        <v>0.5</v>
      </c>
      <c r="E1794" s="6" t="s">
        <v>19</v>
      </c>
      <c r="F1794" s="6" t="str">
        <f>MID(A1794,19,1)</f>
        <v>N</v>
      </c>
      <c r="G1794" s="6">
        <v>-23.002003727096771</v>
      </c>
      <c r="H1794" s="6">
        <v>-47.098772338264112</v>
      </c>
      <c r="I1794" s="9">
        <v>533.27</v>
      </c>
      <c r="K1794" s="6">
        <v>3.56</v>
      </c>
      <c r="L1794" s="6">
        <v>70</v>
      </c>
      <c r="N1794" s="1">
        <f t="shared" ref="N1794:N1857" si="211">IF(OR(R1794="Sim",S1794="Sim",T1794="Sim"),(L1794/100)*I1794,0)</f>
        <v>0</v>
      </c>
      <c r="O1794" s="8" t="s">
        <v>20</v>
      </c>
      <c r="P1794" s="8"/>
      <c r="Q1794" s="8" t="s">
        <v>21</v>
      </c>
      <c r="R1794" s="8" t="s">
        <v>21</v>
      </c>
      <c r="S1794" s="8" t="s">
        <v>21</v>
      </c>
      <c r="T1794" s="8" t="s">
        <v>21</v>
      </c>
      <c r="U1794" s="6">
        <f t="shared" si="208"/>
        <v>373.28899999999999</v>
      </c>
      <c r="V1794" s="6">
        <f t="shared" ref="V1794:V1796" si="212">(I1794*(L1794/100))</f>
        <v>373.28899999999999</v>
      </c>
    </row>
    <row r="1795" spans="1:22" hidden="1" x14ac:dyDescent="0.35">
      <c r="A1795" s="6" t="s">
        <v>1987</v>
      </c>
      <c r="B1795" s="6" t="s">
        <v>1965</v>
      </c>
      <c r="C1795" s="6" t="s">
        <v>1966</v>
      </c>
      <c r="D1795" s="6">
        <f t="shared" si="209"/>
        <v>0.5</v>
      </c>
      <c r="E1795" s="6" t="s">
        <v>23</v>
      </c>
      <c r="F1795" s="6" t="str">
        <f>MID(A1795,19,1)</f>
        <v>C</v>
      </c>
      <c r="G1795" s="6">
        <v>-23.004531707707471</v>
      </c>
      <c r="H1795" s="6">
        <v>-47.097369491846834</v>
      </c>
      <c r="I1795" s="9">
        <v>8617.9</v>
      </c>
      <c r="J1795" s="9">
        <f>I1795/500</f>
        <v>17.235799999999998</v>
      </c>
      <c r="K1795" s="6">
        <v>5.16</v>
      </c>
      <c r="L1795" s="6">
        <v>80</v>
      </c>
      <c r="N1795" s="1">
        <f t="shared" si="211"/>
        <v>0</v>
      </c>
      <c r="O1795" s="8" t="s">
        <v>20</v>
      </c>
      <c r="P1795" s="8"/>
      <c r="Q1795" s="8" t="s">
        <v>21</v>
      </c>
      <c r="R1795" s="8" t="s">
        <v>21</v>
      </c>
      <c r="S1795" s="8" t="s">
        <v>21</v>
      </c>
      <c r="T1795" s="8" t="s">
        <v>21</v>
      </c>
      <c r="U1795" s="6">
        <f t="shared" ref="U1795:U1858" si="213">IF(N1795=0,(I1795*(L1795/100)),0)</f>
        <v>6894.32</v>
      </c>
      <c r="V1795" s="6">
        <f t="shared" si="212"/>
        <v>6894.32</v>
      </c>
    </row>
    <row r="1796" spans="1:22" hidden="1" x14ac:dyDescent="0.35">
      <c r="A1796" s="6" t="s">
        <v>1988</v>
      </c>
      <c r="B1796" s="6" t="s">
        <v>1965</v>
      </c>
      <c r="C1796" s="6" t="s">
        <v>1966</v>
      </c>
      <c r="D1796" s="6">
        <f t="shared" si="209"/>
        <v>0.5</v>
      </c>
      <c r="E1796" s="6" t="s">
        <v>19</v>
      </c>
      <c r="F1796" s="6" t="str">
        <f>MID(A1796,19,1)</f>
        <v>S</v>
      </c>
      <c r="G1796" s="6">
        <v>-22.981532423173441</v>
      </c>
      <c r="H1796" s="6">
        <v>-47.044970809255723</v>
      </c>
      <c r="I1796" s="9">
        <v>1346.2</v>
      </c>
      <c r="K1796" s="6">
        <v>6.42</v>
      </c>
      <c r="L1796" s="6">
        <v>0</v>
      </c>
      <c r="N1796" s="1">
        <f t="shared" si="211"/>
        <v>0</v>
      </c>
      <c r="O1796" s="8"/>
      <c r="P1796" s="8"/>
      <c r="Q1796" s="8" t="s">
        <v>21</v>
      </c>
      <c r="R1796" s="8" t="s">
        <v>21</v>
      </c>
      <c r="S1796" s="8" t="s">
        <v>21</v>
      </c>
      <c r="T1796" s="8" t="s">
        <v>21</v>
      </c>
      <c r="U1796" s="6">
        <f t="shared" si="213"/>
        <v>0</v>
      </c>
      <c r="V1796" s="6">
        <f t="shared" si="212"/>
        <v>0</v>
      </c>
    </row>
    <row r="1797" spans="1:22" hidden="1" x14ac:dyDescent="0.35">
      <c r="A1797" s="6" t="s">
        <v>1989</v>
      </c>
      <c r="B1797" s="6" t="s">
        <v>1965</v>
      </c>
      <c r="C1797" s="6" t="s">
        <v>1966</v>
      </c>
      <c r="D1797" s="6">
        <f t="shared" si="209"/>
        <v>0.5</v>
      </c>
      <c r="E1797" s="6" t="s">
        <v>19</v>
      </c>
      <c r="F1797" s="6" t="str">
        <f>MID(A1797,19,1)</f>
        <v>S</v>
      </c>
      <c r="G1797" s="6">
        <v>-22.981987805703291</v>
      </c>
      <c r="H1797" s="6">
        <v>-47.044400511401832</v>
      </c>
      <c r="I1797" s="9">
        <v>1472.46</v>
      </c>
      <c r="K1797" s="6">
        <v>5.89</v>
      </c>
      <c r="L1797" s="6">
        <v>0</v>
      </c>
      <c r="N1797" s="1">
        <f t="shared" si="211"/>
        <v>0</v>
      </c>
      <c r="O1797" s="8"/>
      <c r="P1797" s="8"/>
      <c r="Q1797" s="8" t="s">
        <v>26</v>
      </c>
      <c r="R1797" s="8" t="s">
        <v>21</v>
      </c>
      <c r="S1797" s="8" t="s">
        <v>21</v>
      </c>
      <c r="T1797" s="8" t="s">
        <v>21</v>
      </c>
      <c r="U1797" s="6">
        <f t="shared" si="213"/>
        <v>0</v>
      </c>
    </row>
    <row r="1798" spans="1:22" x14ac:dyDescent="0.35">
      <c r="A1798" s="8" t="s">
        <v>1990</v>
      </c>
      <c r="B1798" s="8" t="s">
        <v>1965</v>
      </c>
      <c r="C1798" s="8" t="s">
        <v>1966</v>
      </c>
      <c r="D1798" s="6">
        <f t="shared" si="209"/>
        <v>0.5</v>
      </c>
      <c r="E1798" s="8" t="s">
        <v>19</v>
      </c>
      <c r="F1798" s="6" t="str">
        <f>MID(A1798,19,1)</f>
        <v>N</v>
      </c>
      <c r="G1798" s="8">
        <v>-23.000037787061</v>
      </c>
      <c r="H1798" s="8">
        <v>-47.100708285724018</v>
      </c>
      <c r="I1798" s="7">
        <v>1864.38</v>
      </c>
      <c r="J1798" s="7"/>
      <c r="K1798" s="8">
        <v>2.54</v>
      </c>
      <c r="L1798" s="8">
        <v>45</v>
      </c>
      <c r="M1798" s="8"/>
      <c r="N1798" s="11">
        <f t="shared" si="211"/>
        <v>838.97100000000012</v>
      </c>
      <c r="O1798" s="8" t="s">
        <v>25</v>
      </c>
      <c r="P1798" s="8"/>
      <c r="Q1798" s="8" t="s">
        <v>21</v>
      </c>
      <c r="R1798" s="8" t="s">
        <v>26</v>
      </c>
      <c r="S1798" s="8" t="s">
        <v>21</v>
      </c>
      <c r="T1798" s="8" t="s">
        <v>21</v>
      </c>
      <c r="U1798" s="6">
        <f t="shared" si="213"/>
        <v>0</v>
      </c>
    </row>
    <row r="1799" spans="1:22" x14ac:dyDescent="0.35">
      <c r="A1799" s="6" t="s">
        <v>1991</v>
      </c>
      <c r="B1799" s="6" t="s">
        <v>1965</v>
      </c>
      <c r="C1799" s="6" t="s">
        <v>1966</v>
      </c>
      <c r="D1799" s="6">
        <f t="shared" si="209"/>
        <v>0.5</v>
      </c>
      <c r="E1799" s="6" t="s">
        <v>19</v>
      </c>
      <c r="F1799" s="6" t="str">
        <f>MID(A1799,19,1)</f>
        <v>N</v>
      </c>
      <c r="G1799" s="6">
        <v>-22.98203237200245</v>
      </c>
      <c r="H1799" s="6">
        <v>-47.043692888028787</v>
      </c>
      <c r="I1799" s="9">
        <v>2632.33</v>
      </c>
      <c r="K1799" s="6">
        <v>5.44</v>
      </c>
      <c r="L1799" s="6">
        <v>80</v>
      </c>
      <c r="N1799" s="1">
        <f t="shared" si="211"/>
        <v>0</v>
      </c>
      <c r="O1799" s="8" t="s">
        <v>20</v>
      </c>
      <c r="P1799" s="8"/>
      <c r="Q1799" s="8" t="s">
        <v>21</v>
      </c>
      <c r="R1799" s="8" t="s">
        <v>21</v>
      </c>
      <c r="S1799" s="8" t="s">
        <v>21</v>
      </c>
      <c r="T1799" s="8" t="s">
        <v>21</v>
      </c>
      <c r="U1799" s="6">
        <f t="shared" si="213"/>
        <v>2105.864</v>
      </c>
      <c r="V1799" s="6">
        <f t="shared" ref="V1799:V1800" si="214">(I1799*(L1799/100))</f>
        <v>2105.864</v>
      </c>
    </row>
    <row r="1800" spans="1:22" x14ac:dyDescent="0.35">
      <c r="A1800" s="6" t="s">
        <v>1992</v>
      </c>
      <c r="B1800" s="6" t="s">
        <v>1965</v>
      </c>
      <c r="C1800" s="6" t="s">
        <v>1966</v>
      </c>
      <c r="D1800" s="6">
        <f t="shared" si="209"/>
        <v>0.5</v>
      </c>
      <c r="E1800" s="6" t="s">
        <v>19</v>
      </c>
      <c r="F1800" s="6" t="str">
        <f>MID(A1800,19,1)</f>
        <v>N</v>
      </c>
      <c r="G1800" s="6">
        <v>-22.981086021191931</v>
      </c>
      <c r="H1800" s="6">
        <v>-47.04430780914096</v>
      </c>
      <c r="I1800" s="9">
        <v>1400.91</v>
      </c>
      <c r="K1800" s="6">
        <v>5.84</v>
      </c>
      <c r="L1800" s="6">
        <v>60</v>
      </c>
      <c r="N1800" s="1">
        <f t="shared" si="211"/>
        <v>0</v>
      </c>
      <c r="O1800" s="8" t="s">
        <v>20</v>
      </c>
      <c r="P1800" s="8"/>
      <c r="Q1800" s="8" t="s">
        <v>21</v>
      </c>
      <c r="R1800" s="8" t="s">
        <v>21</v>
      </c>
      <c r="S1800" s="8" t="s">
        <v>21</v>
      </c>
      <c r="T1800" s="8" t="s">
        <v>21</v>
      </c>
      <c r="U1800" s="6">
        <f t="shared" si="213"/>
        <v>840.54600000000005</v>
      </c>
      <c r="V1800" s="6">
        <f t="shared" si="214"/>
        <v>840.54600000000005</v>
      </c>
    </row>
    <row r="1801" spans="1:22" hidden="1" x14ac:dyDescent="0.35">
      <c r="A1801" s="6" t="s">
        <v>1993</v>
      </c>
      <c r="B1801" s="6" t="s">
        <v>1965</v>
      </c>
      <c r="C1801" s="6" t="s">
        <v>1966</v>
      </c>
      <c r="D1801" s="6">
        <f t="shared" si="209"/>
        <v>0.5</v>
      </c>
      <c r="E1801" s="6" t="s">
        <v>19</v>
      </c>
      <c r="F1801" s="6" t="str">
        <f>MID(A1801,19,1)</f>
        <v>S</v>
      </c>
      <c r="G1801" s="6">
        <v>-22.983693864370519</v>
      </c>
      <c r="H1801" s="6">
        <v>-47.043212582824331</v>
      </c>
      <c r="I1801" s="9">
        <v>1415.18</v>
      </c>
      <c r="K1801" s="6">
        <v>7.97</v>
      </c>
      <c r="L1801" s="6">
        <v>0</v>
      </c>
      <c r="N1801" s="1">
        <f t="shared" si="211"/>
        <v>0</v>
      </c>
      <c r="O1801" s="8"/>
      <c r="P1801" s="8"/>
      <c r="Q1801" s="8" t="s">
        <v>26</v>
      </c>
      <c r="R1801" s="8" t="s">
        <v>21</v>
      </c>
      <c r="S1801" s="8" t="s">
        <v>21</v>
      </c>
      <c r="T1801" s="8" t="s">
        <v>21</v>
      </c>
      <c r="U1801" s="6">
        <f t="shared" si="213"/>
        <v>0</v>
      </c>
    </row>
    <row r="1802" spans="1:22" x14ac:dyDescent="0.35">
      <c r="A1802" s="6" t="s">
        <v>1994</v>
      </c>
      <c r="B1802" s="6" t="s">
        <v>1965</v>
      </c>
      <c r="C1802" s="6" t="s">
        <v>1966</v>
      </c>
      <c r="D1802" s="6">
        <f t="shared" si="209"/>
        <v>0.5</v>
      </c>
      <c r="E1802" s="6" t="s">
        <v>19</v>
      </c>
      <c r="F1802" s="6" t="str">
        <f>MID(A1802,19,1)</f>
        <v>N</v>
      </c>
      <c r="G1802" s="6">
        <v>-22.982561732975149</v>
      </c>
      <c r="H1802" s="6">
        <v>-47.043225141188188</v>
      </c>
      <c r="I1802" s="9">
        <v>9.4499999999999993</v>
      </c>
      <c r="K1802" s="6">
        <v>4.26</v>
      </c>
      <c r="N1802" s="1">
        <f t="shared" si="211"/>
        <v>0</v>
      </c>
      <c r="O1802" s="8"/>
      <c r="P1802" s="8"/>
      <c r="Q1802" s="8" t="s">
        <v>21</v>
      </c>
      <c r="R1802" s="8" t="s">
        <v>21</v>
      </c>
      <c r="S1802" s="8" t="s">
        <v>21</v>
      </c>
      <c r="T1802" s="8" t="s">
        <v>21</v>
      </c>
      <c r="U1802" s="6">
        <f t="shared" si="213"/>
        <v>0</v>
      </c>
      <c r="V1802" s="6">
        <f t="shared" ref="V1802:V1816" si="215">(I1802*(L1802/100))</f>
        <v>0</v>
      </c>
    </row>
    <row r="1803" spans="1:22" hidden="1" x14ac:dyDescent="0.35">
      <c r="A1803" s="6" t="s">
        <v>1995</v>
      </c>
      <c r="B1803" s="6" t="s">
        <v>1965</v>
      </c>
      <c r="C1803" s="6" t="s">
        <v>1966</v>
      </c>
      <c r="D1803" s="6">
        <f t="shared" si="209"/>
        <v>0.5</v>
      </c>
      <c r="E1803" s="6" t="s">
        <v>19</v>
      </c>
      <c r="F1803" s="6" t="str">
        <f>MID(A1803,19,1)</f>
        <v>S</v>
      </c>
      <c r="G1803" s="6">
        <v>-23.002826890405437</v>
      </c>
      <c r="H1803" s="6">
        <v>-47.099273284609147</v>
      </c>
      <c r="I1803" s="9">
        <v>1594.38</v>
      </c>
      <c r="K1803" s="6">
        <v>1.96</v>
      </c>
      <c r="L1803" s="6">
        <v>70</v>
      </c>
      <c r="N1803" s="1">
        <f t="shared" si="211"/>
        <v>0</v>
      </c>
      <c r="O1803" s="8" t="s">
        <v>20</v>
      </c>
      <c r="P1803" s="8"/>
      <c r="Q1803" s="8" t="s">
        <v>21</v>
      </c>
      <c r="R1803" s="8" t="s">
        <v>21</v>
      </c>
      <c r="S1803" s="8" t="s">
        <v>21</v>
      </c>
      <c r="T1803" s="8" t="s">
        <v>21</v>
      </c>
      <c r="U1803" s="6">
        <f t="shared" si="213"/>
        <v>1116.066</v>
      </c>
      <c r="V1803" s="6">
        <f t="shared" si="215"/>
        <v>1116.066</v>
      </c>
    </row>
    <row r="1804" spans="1:22" hidden="1" x14ac:dyDescent="0.35">
      <c r="A1804" s="6" t="s">
        <v>1996</v>
      </c>
      <c r="B1804" s="6" t="s">
        <v>1965</v>
      </c>
      <c r="C1804" s="6" t="s">
        <v>1966</v>
      </c>
      <c r="D1804" s="6">
        <f t="shared" si="209"/>
        <v>0.5</v>
      </c>
      <c r="E1804" s="6" t="s">
        <v>19</v>
      </c>
      <c r="F1804" s="6" t="str">
        <f>MID(A1804,19,1)</f>
        <v>S</v>
      </c>
      <c r="G1804" s="6">
        <v>-22.982383073631681</v>
      </c>
      <c r="H1804" s="6">
        <v>-47.044374856039148</v>
      </c>
      <c r="I1804" s="9">
        <v>2247.02</v>
      </c>
      <c r="K1804" s="6">
        <v>5.26</v>
      </c>
      <c r="L1804" s="6">
        <v>0</v>
      </c>
      <c r="N1804" s="1">
        <f t="shared" si="211"/>
        <v>0</v>
      </c>
      <c r="O1804" s="8"/>
      <c r="P1804" s="8"/>
      <c r="Q1804" s="8" t="s">
        <v>21</v>
      </c>
      <c r="R1804" s="8" t="s">
        <v>21</v>
      </c>
      <c r="S1804" s="8" t="s">
        <v>21</v>
      </c>
      <c r="T1804" s="8" t="s">
        <v>21</v>
      </c>
      <c r="U1804" s="6">
        <f t="shared" si="213"/>
        <v>0</v>
      </c>
      <c r="V1804" s="6">
        <f t="shared" si="215"/>
        <v>0</v>
      </c>
    </row>
    <row r="1805" spans="1:22" x14ac:dyDescent="0.35">
      <c r="A1805" s="6" t="s">
        <v>1997</v>
      </c>
      <c r="B1805" s="6" t="s">
        <v>1965</v>
      </c>
      <c r="C1805" s="6" t="s">
        <v>1966</v>
      </c>
      <c r="D1805" s="6">
        <f t="shared" si="209"/>
        <v>0.5</v>
      </c>
      <c r="E1805" s="6" t="s">
        <v>19</v>
      </c>
      <c r="F1805" s="6" t="str">
        <f>MID(A1805,19,1)</f>
        <v>N</v>
      </c>
      <c r="G1805" s="6">
        <v>-22.98406806619467</v>
      </c>
      <c r="H1805" s="6">
        <v>-47.042538562813469</v>
      </c>
      <c r="I1805" s="9">
        <v>4090.55</v>
      </c>
      <c r="K1805" s="6">
        <v>5.91</v>
      </c>
      <c r="L1805" s="6">
        <v>60</v>
      </c>
      <c r="N1805" s="1">
        <f t="shared" si="211"/>
        <v>0</v>
      </c>
      <c r="O1805" s="8" t="s">
        <v>20</v>
      </c>
      <c r="P1805" s="8"/>
      <c r="Q1805" s="8" t="s">
        <v>21</v>
      </c>
      <c r="R1805" s="8" t="s">
        <v>21</v>
      </c>
      <c r="S1805" s="8" t="s">
        <v>21</v>
      </c>
      <c r="T1805" s="8" t="s">
        <v>21</v>
      </c>
      <c r="U1805" s="6">
        <f t="shared" si="213"/>
        <v>2454.33</v>
      </c>
      <c r="V1805" s="6">
        <f t="shared" si="215"/>
        <v>2454.33</v>
      </c>
    </row>
    <row r="1806" spans="1:22" hidden="1" x14ac:dyDescent="0.35">
      <c r="A1806" s="6" t="s">
        <v>1998</v>
      </c>
      <c r="B1806" s="6" t="s">
        <v>1965</v>
      </c>
      <c r="C1806" s="6" t="s">
        <v>1966</v>
      </c>
      <c r="D1806" s="6">
        <f t="shared" ref="D1806:D1869" si="216">C1806-B1806</f>
        <v>0.5</v>
      </c>
      <c r="E1806" s="6" t="s">
        <v>23</v>
      </c>
      <c r="F1806" s="6" t="str">
        <f>MID(A1806,19,1)</f>
        <v>C</v>
      </c>
      <c r="G1806" s="6">
        <v>-23.000231433253383</v>
      </c>
      <c r="H1806" s="6">
        <v>-47.100953099479391</v>
      </c>
      <c r="I1806" s="9">
        <v>13742.6</v>
      </c>
      <c r="J1806" s="9">
        <f t="shared" ref="J1806:J1807" si="217">I1806/500</f>
        <v>27.485199999999999</v>
      </c>
      <c r="K1806" s="6">
        <v>3</v>
      </c>
      <c r="L1806" s="6">
        <v>80</v>
      </c>
      <c r="N1806" s="1">
        <f t="shared" si="211"/>
        <v>0</v>
      </c>
      <c r="O1806" s="8" t="s">
        <v>20</v>
      </c>
      <c r="P1806" s="8"/>
      <c r="Q1806" s="8" t="s">
        <v>21</v>
      </c>
      <c r="R1806" s="8" t="s">
        <v>21</v>
      </c>
      <c r="S1806" s="8" t="s">
        <v>21</v>
      </c>
      <c r="T1806" s="8" t="s">
        <v>21</v>
      </c>
      <c r="U1806" s="6">
        <f t="shared" si="213"/>
        <v>10994.080000000002</v>
      </c>
      <c r="V1806" s="6">
        <f t="shared" si="215"/>
        <v>10994.080000000002</v>
      </c>
    </row>
    <row r="1807" spans="1:22" hidden="1" x14ac:dyDescent="0.35">
      <c r="A1807" s="6" t="s">
        <v>1999</v>
      </c>
      <c r="B1807" s="6" t="s">
        <v>2000</v>
      </c>
      <c r="C1807" s="6" t="s">
        <v>2001</v>
      </c>
      <c r="D1807" s="6">
        <f t="shared" si="216"/>
        <v>0.5</v>
      </c>
      <c r="E1807" s="6" t="s">
        <v>23</v>
      </c>
      <c r="F1807" s="6" t="str">
        <f>MID(A1807,19,1)</f>
        <v>C</v>
      </c>
      <c r="G1807" s="6">
        <v>-22.992929744870029</v>
      </c>
      <c r="H1807" s="6">
        <v>-47.109599797219339</v>
      </c>
      <c r="I1807" s="9">
        <v>6989.84</v>
      </c>
      <c r="J1807" s="9">
        <f t="shared" si="217"/>
        <v>13.97968</v>
      </c>
      <c r="K1807" s="6">
        <v>2.72</v>
      </c>
      <c r="L1807" s="6">
        <v>80</v>
      </c>
      <c r="N1807" s="1">
        <f t="shared" si="211"/>
        <v>0</v>
      </c>
      <c r="O1807" s="8" t="s">
        <v>20</v>
      </c>
      <c r="P1807" s="8"/>
      <c r="Q1807" s="8" t="s">
        <v>21</v>
      </c>
      <c r="R1807" s="8" t="s">
        <v>21</v>
      </c>
      <c r="S1807" s="8" t="s">
        <v>21</v>
      </c>
      <c r="T1807" s="8" t="s">
        <v>21</v>
      </c>
      <c r="U1807" s="6">
        <f t="shared" si="213"/>
        <v>5591.8720000000003</v>
      </c>
      <c r="V1807" s="6">
        <f t="shared" si="215"/>
        <v>5591.8720000000003</v>
      </c>
    </row>
    <row r="1808" spans="1:22" hidden="1" x14ac:dyDescent="0.35">
      <c r="A1808" s="6" t="s">
        <v>2002</v>
      </c>
      <c r="B1808" s="6" t="s">
        <v>2000</v>
      </c>
      <c r="C1808" s="6" t="s">
        <v>2001</v>
      </c>
      <c r="D1808" s="6">
        <f t="shared" si="216"/>
        <v>0.5</v>
      </c>
      <c r="E1808" s="6" t="s">
        <v>19</v>
      </c>
      <c r="F1808" s="6" t="str">
        <f>MID(A1808,19,1)</f>
        <v>S</v>
      </c>
      <c r="G1808" s="6">
        <v>-22.997392320560131</v>
      </c>
      <c r="H1808" s="6">
        <v>-47.104321741659319</v>
      </c>
      <c r="I1808" s="9">
        <v>1943.79</v>
      </c>
      <c r="K1808" s="6">
        <v>4.91</v>
      </c>
      <c r="L1808" s="6">
        <v>85</v>
      </c>
      <c r="N1808" s="1">
        <f t="shared" si="211"/>
        <v>0</v>
      </c>
      <c r="O1808" s="8" t="s">
        <v>20</v>
      </c>
      <c r="P1808" s="8"/>
      <c r="Q1808" s="8" t="s">
        <v>21</v>
      </c>
      <c r="R1808" s="8" t="s">
        <v>21</v>
      </c>
      <c r="S1808" s="8" t="s">
        <v>21</v>
      </c>
      <c r="T1808" s="8" t="s">
        <v>21</v>
      </c>
      <c r="U1808" s="6">
        <f t="shared" si="213"/>
        <v>1652.2214999999999</v>
      </c>
      <c r="V1808" s="6">
        <f t="shared" si="215"/>
        <v>1652.2214999999999</v>
      </c>
    </row>
    <row r="1809" spans="1:22" hidden="1" x14ac:dyDescent="0.35">
      <c r="A1809" s="6" t="s">
        <v>2003</v>
      </c>
      <c r="B1809" s="6" t="s">
        <v>2000</v>
      </c>
      <c r="C1809" s="6" t="s">
        <v>2001</v>
      </c>
      <c r="D1809" s="6">
        <f t="shared" si="216"/>
        <v>0.5</v>
      </c>
      <c r="E1809" s="6" t="s">
        <v>19</v>
      </c>
      <c r="F1809" s="6" t="str">
        <f>MID(A1809,19,1)</f>
        <v>S</v>
      </c>
      <c r="G1809" s="6">
        <v>-22.995574224881</v>
      </c>
      <c r="H1809" s="6">
        <v>-47.109737485166399</v>
      </c>
      <c r="I1809" s="9">
        <v>9057.89</v>
      </c>
      <c r="K1809" s="6">
        <v>4.01</v>
      </c>
      <c r="L1809" s="6">
        <v>50</v>
      </c>
      <c r="N1809" s="1">
        <f t="shared" si="211"/>
        <v>0</v>
      </c>
      <c r="O1809" s="8" t="s">
        <v>20</v>
      </c>
      <c r="P1809" s="8"/>
      <c r="Q1809" s="8" t="s">
        <v>21</v>
      </c>
      <c r="R1809" s="8" t="s">
        <v>21</v>
      </c>
      <c r="S1809" s="8" t="s">
        <v>21</v>
      </c>
      <c r="T1809" s="8" t="s">
        <v>21</v>
      </c>
      <c r="U1809" s="6">
        <f t="shared" si="213"/>
        <v>4528.9449999999997</v>
      </c>
      <c r="V1809" s="6">
        <f t="shared" si="215"/>
        <v>4528.9449999999997</v>
      </c>
    </row>
    <row r="1810" spans="1:22" hidden="1" x14ac:dyDescent="0.35">
      <c r="A1810" s="6" t="s">
        <v>2004</v>
      </c>
      <c r="B1810" s="6" t="s">
        <v>2000</v>
      </c>
      <c r="C1810" s="6" t="s">
        <v>2001</v>
      </c>
      <c r="D1810" s="6">
        <f t="shared" si="216"/>
        <v>0.5</v>
      </c>
      <c r="E1810" s="6" t="s">
        <v>19</v>
      </c>
      <c r="F1810" s="6" t="str">
        <f>MID(A1810,19,1)</f>
        <v>S</v>
      </c>
      <c r="G1810" s="6">
        <v>-22.99294594402847</v>
      </c>
      <c r="H1810" s="6">
        <v>-47.110762607762659</v>
      </c>
      <c r="I1810" s="9">
        <v>7190.48</v>
      </c>
      <c r="K1810" s="6">
        <v>4.53</v>
      </c>
      <c r="L1810" s="6">
        <v>50</v>
      </c>
      <c r="N1810" s="1">
        <f t="shared" si="211"/>
        <v>0</v>
      </c>
      <c r="O1810" s="8" t="s">
        <v>20</v>
      </c>
      <c r="P1810" s="8"/>
      <c r="Q1810" s="8" t="s">
        <v>21</v>
      </c>
      <c r="R1810" s="8" t="s">
        <v>21</v>
      </c>
      <c r="S1810" s="8" t="s">
        <v>21</v>
      </c>
      <c r="T1810" s="8" t="s">
        <v>21</v>
      </c>
      <c r="U1810" s="6">
        <f t="shared" si="213"/>
        <v>3595.24</v>
      </c>
      <c r="V1810" s="6">
        <f t="shared" si="215"/>
        <v>3595.24</v>
      </c>
    </row>
    <row r="1811" spans="1:22" hidden="1" x14ac:dyDescent="0.35">
      <c r="A1811" s="6" t="s">
        <v>2005</v>
      </c>
      <c r="B1811" s="6" t="s">
        <v>2000</v>
      </c>
      <c r="C1811" s="6" t="s">
        <v>2001</v>
      </c>
      <c r="D1811" s="6">
        <f t="shared" si="216"/>
        <v>0.5</v>
      </c>
      <c r="E1811" s="6" t="s">
        <v>23</v>
      </c>
      <c r="F1811" s="6" t="str">
        <f>MID(A1811,19,1)</f>
        <v>C</v>
      </c>
      <c r="G1811" s="6">
        <v>-22.994029116996291</v>
      </c>
      <c r="H1811" s="6">
        <v>-47.109769090128189</v>
      </c>
      <c r="I1811" s="9">
        <v>21310.27</v>
      </c>
      <c r="J1811" s="9">
        <f>I1811/500</f>
        <v>42.620539999999998</v>
      </c>
      <c r="K1811" s="6">
        <v>4.5599999999999996</v>
      </c>
      <c r="L1811" s="6">
        <v>50</v>
      </c>
      <c r="N1811" s="1">
        <f t="shared" si="211"/>
        <v>0</v>
      </c>
      <c r="O1811" s="8" t="s">
        <v>20</v>
      </c>
      <c r="P1811" s="8"/>
      <c r="Q1811" s="8" t="s">
        <v>21</v>
      </c>
      <c r="R1811" s="8" t="s">
        <v>21</v>
      </c>
      <c r="S1811" s="8" t="s">
        <v>21</v>
      </c>
      <c r="T1811" s="8" t="s">
        <v>21</v>
      </c>
      <c r="U1811" s="6">
        <f t="shared" si="213"/>
        <v>10655.135</v>
      </c>
      <c r="V1811" s="6">
        <f t="shared" si="215"/>
        <v>10655.135</v>
      </c>
    </row>
    <row r="1812" spans="1:22" hidden="1" x14ac:dyDescent="0.35">
      <c r="A1812" s="6" t="s">
        <v>2006</v>
      </c>
      <c r="B1812" s="6" t="s">
        <v>2000</v>
      </c>
      <c r="C1812" s="6" t="s">
        <v>2001</v>
      </c>
      <c r="D1812" s="6">
        <f t="shared" si="216"/>
        <v>0.5</v>
      </c>
      <c r="E1812" s="6" t="s">
        <v>19</v>
      </c>
      <c r="F1812" s="6" t="str">
        <f>MID(A1812,19,1)</f>
        <v>S</v>
      </c>
      <c r="G1812" s="6">
        <v>-22.99351695363049</v>
      </c>
      <c r="H1812" s="6">
        <v>-47.109580046982522</v>
      </c>
      <c r="I1812" s="9">
        <v>1725.99</v>
      </c>
      <c r="K1812" s="6">
        <v>3.19</v>
      </c>
      <c r="L1812" s="6">
        <v>50</v>
      </c>
      <c r="N1812" s="1">
        <f t="shared" si="211"/>
        <v>0</v>
      </c>
      <c r="O1812" s="8" t="s">
        <v>20</v>
      </c>
      <c r="P1812" s="8"/>
      <c r="Q1812" s="8" t="s">
        <v>21</v>
      </c>
      <c r="R1812" s="8" t="s">
        <v>21</v>
      </c>
      <c r="S1812" s="8" t="s">
        <v>21</v>
      </c>
      <c r="T1812" s="8" t="s">
        <v>21</v>
      </c>
      <c r="U1812" s="6">
        <f t="shared" si="213"/>
        <v>862.995</v>
      </c>
      <c r="V1812" s="6">
        <f t="shared" si="215"/>
        <v>862.995</v>
      </c>
    </row>
    <row r="1813" spans="1:22" hidden="1" x14ac:dyDescent="0.35">
      <c r="A1813" s="6" t="s">
        <v>2007</v>
      </c>
      <c r="B1813" s="6" t="s">
        <v>2000</v>
      </c>
      <c r="C1813" s="6" t="s">
        <v>2001</v>
      </c>
      <c r="D1813" s="6">
        <f t="shared" si="216"/>
        <v>0.5</v>
      </c>
      <c r="E1813" s="6" t="s">
        <v>19</v>
      </c>
      <c r="F1813" s="6" t="str">
        <f>MID(A1813,19,1)</f>
        <v>S</v>
      </c>
      <c r="G1813" s="6">
        <v>-22.994212588437499</v>
      </c>
      <c r="H1813" s="6">
        <v>-47.110654089782052</v>
      </c>
      <c r="I1813" s="9">
        <v>2041.86</v>
      </c>
      <c r="K1813" s="6">
        <v>4.1900000000000004</v>
      </c>
      <c r="L1813" s="6">
        <v>50</v>
      </c>
      <c r="N1813" s="1">
        <f t="shared" si="211"/>
        <v>0</v>
      </c>
      <c r="O1813" s="8" t="s">
        <v>20</v>
      </c>
      <c r="P1813" s="8"/>
      <c r="Q1813" s="8" t="s">
        <v>21</v>
      </c>
      <c r="R1813" s="8" t="s">
        <v>21</v>
      </c>
      <c r="S1813" s="8" t="s">
        <v>21</v>
      </c>
      <c r="T1813" s="8" t="s">
        <v>21</v>
      </c>
      <c r="U1813" s="6">
        <f t="shared" si="213"/>
        <v>1020.93</v>
      </c>
      <c r="V1813" s="6">
        <f t="shared" si="215"/>
        <v>1020.93</v>
      </c>
    </row>
    <row r="1814" spans="1:22" x14ac:dyDescent="0.35">
      <c r="A1814" s="6" t="s">
        <v>2008</v>
      </c>
      <c r="B1814" s="6" t="s">
        <v>2000</v>
      </c>
      <c r="C1814" s="6" t="s">
        <v>2001</v>
      </c>
      <c r="D1814" s="6">
        <f t="shared" si="216"/>
        <v>0.5</v>
      </c>
      <c r="E1814" s="6" t="s">
        <v>19</v>
      </c>
      <c r="F1814" s="6" t="str">
        <f>MID(A1814,19,1)</f>
        <v>N</v>
      </c>
      <c r="G1814" s="6">
        <v>-22.995570178413789</v>
      </c>
      <c r="H1814" s="6">
        <v>-47.105384777257143</v>
      </c>
      <c r="I1814" s="9">
        <v>2448.63</v>
      </c>
      <c r="K1814" s="6">
        <v>2.82</v>
      </c>
      <c r="L1814" s="6">
        <v>50</v>
      </c>
      <c r="N1814" s="1">
        <f t="shared" si="211"/>
        <v>0</v>
      </c>
      <c r="O1814" s="8" t="s">
        <v>20</v>
      </c>
      <c r="P1814" s="8"/>
      <c r="Q1814" s="8" t="s">
        <v>21</v>
      </c>
      <c r="R1814" s="8" t="s">
        <v>21</v>
      </c>
      <c r="S1814" s="8" t="s">
        <v>21</v>
      </c>
      <c r="T1814" s="8" t="s">
        <v>21</v>
      </c>
      <c r="U1814" s="6">
        <f t="shared" si="213"/>
        <v>1224.3150000000001</v>
      </c>
      <c r="V1814" s="6">
        <f t="shared" si="215"/>
        <v>1224.3150000000001</v>
      </c>
    </row>
    <row r="1815" spans="1:22" x14ac:dyDescent="0.35">
      <c r="A1815" s="6" t="s">
        <v>2009</v>
      </c>
      <c r="B1815" s="6" t="s">
        <v>2000</v>
      </c>
      <c r="C1815" s="6" t="s">
        <v>2001</v>
      </c>
      <c r="D1815" s="6">
        <f t="shared" si="216"/>
        <v>0.5</v>
      </c>
      <c r="E1815" s="6" t="s">
        <v>19</v>
      </c>
      <c r="F1815" s="6" t="str">
        <f>MID(A1815,19,1)</f>
        <v>N</v>
      </c>
      <c r="G1815" s="6">
        <v>-22.99015608927704</v>
      </c>
      <c r="H1815" s="6">
        <v>-47.10775983417507</v>
      </c>
      <c r="I1815" s="9">
        <v>12670.94</v>
      </c>
      <c r="K1815" s="6">
        <v>4.4400000000000004</v>
      </c>
      <c r="L1815" s="6">
        <v>50</v>
      </c>
      <c r="N1815" s="1">
        <f t="shared" si="211"/>
        <v>0</v>
      </c>
      <c r="O1815" s="8" t="s">
        <v>20</v>
      </c>
      <c r="P1815" s="8"/>
      <c r="Q1815" s="8" t="s">
        <v>21</v>
      </c>
      <c r="R1815" s="8" t="s">
        <v>21</v>
      </c>
      <c r="S1815" s="8" t="s">
        <v>21</v>
      </c>
      <c r="T1815" s="8" t="s">
        <v>21</v>
      </c>
      <c r="U1815" s="6">
        <f t="shared" si="213"/>
        <v>6335.47</v>
      </c>
      <c r="V1815" s="6">
        <f t="shared" si="215"/>
        <v>6335.47</v>
      </c>
    </row>
    <row r="1816" spans="1:22" hidden="1" x14ac:dyDescent="0.35">
      <c r="A1816" s="6" t="s">
        <v>2010</v>
      </c>
      <c r="B1816" s="6" t="s">
        <v>2000</v>
      </c>
      <c r="C1816" s="6" t="s">
        <v>2001</v>
      </c>
      <c r="D1816" s="6">
        <f t="shared" si="216"/>
        <v>0.5</v>
      </c>
      <c r="E1816" s="6" t="s">
        <v>19</v>
      </c>
      <c r="F1816" s="6" t="str">
        <f>MID(A1816,19,1)</f>
        <v>S</v>
      </c>
      <c r="G1816" s="6">
        <v>-22.97482806588944</v>
      </c>
      <c r="H1816" s="6">
        <v>-47.048896234405206</v>
      </c>
      <c r="I1816" s="9">
        <v>98.29</v>
      </c>
      <c r="K1816" s="6">
        <v>7.15</v>
      </c>
      <c r="L1816" s="6">
        <v>0</v>
      </c>
      <c r="N1816" s="1">
        <f t="shared" si="211"/>
        <v>0</v>
      </c>
      <c r="O1816" s="8"/>
      <c r="P1816" s="8"/>
      <c r="Q1816" s="8" t="s">
        <v>21</v>
      </c>
      <c r="R1816" s="8" t="s">
        <v>21</v>
      </c>
      <c r="S1816" s="8" t="s">
        <v>21</v>
      </c>
      <c r="T1816" s="8" t="s">
        <v>21</v>
      </c>
      <c r="U1816" s="6">
        <f t="shared" si="213"/>
        <v>0</v>
      </c>
      <c r="V1816" s="6">
        <f t="shared" si="215"/>
        <v>0</v>
      </c>
    </row>
    <row r="1817" spans="1:22" hidden="1" x14ac:dyDescent="0.35">
      <c r="A1817" s="6" t="s">
        <v>2011</v>
      </c>
      <c r="B1817" s="6" t="s">
        <v>2000</v>
      </c>
      <c r="C1817" s="6" t="s">
        <v>2001</v>
      </c>
      <c r="D1817" s="6">
        <f t="shared" si="216"/>
        <v>0.5</v>
      </c>
      <c r="E1817" s="6" t="s">
        <v>19</v>
      </c>
      <c r="F1817" s="6" t="str">
        <f>MID(A1817,19,1)</f>
        <v>S</v>
      </c>
      <c r="G1817" s="6">
        <v>-22.976859526474811</v>
      </c>
      <c r="H1817" s="6">
        <v>-47.047450291673833</v>
      </c>
      <c r="I1817" s="9">
        <v>4482.95</v>
      </c>
      <c r="K1817" s="6">
        <v>4.17</v>
      </c>
      <c r="L1817" s="6">
        <v>0</v>
      </c>
      <c r="N1817" s="1">
        <f t="shared" si="211"/>
        <v>0</v>
      </c>
      <c r="O1817" s="8"/>
      <c r="P1817" s="8"/>
      <c r="Q1817" s="8" t="s">
        <v>26</v>
      </c>
      <c r="R1817" s="8" t="s">
        <v>21</v>
      </c>
      <c r="S1817" s="8" t="s">
        <v>21</v>
      </c>
      <c r="T1817" s="8" t="s">
        <v>21</v>
      </c>
      <c r="U1817" s="6">
        <f t="shared" si="213"/>
        <v>0</v>
      </c>
    </row>
    <row r="1818" spans="1:22" hidden="1" x14ac:dyDescent="0.35">
      <c r="A1818" s="6" t="s">
        <v>2012</v>
      </c>
      <c r="B1818" s="6" t="s">
        <v>2000</v>
      </c>
      <c r="C1818" s="6" t="s">
        <v>2001</v>
      </c>
      <c r="D1818" s="6">
        <f t="shared" si="216"/>
        <v>0.5</v>
      </c>
      <c r="E1818" s="6" t="s">
        <v>19</v>
      </c>
      <c r="F1818" s="6" t="str">
        <f>MID(A1818,19,1)</f>
        <v>S</v>
      </c>
      <c r="G1818" s="6">
        <v>-22.996192114789292</v>
      </c>
      <c r="H1818" s="6">
        <v>-47.105758491162632</v>
      </c>
      <c r="I1818" s="9">
        <v>3364.89</v>
      </c>
      <c r="K1818" s="6">
        <v>2.65</v>
      </c>
      <c r="L1818" s="6">
        <v>30</v>
      </c>
      <c r="N1818" s="1">
        <f t="shared" si="211"/>
        <v>0</v>
      </c>
      <c r="O1818" s="8" t="s">
        <v>20</v>
      </c>
      <c r="P1818" s="8"/>
      <c r="Q1818" s="8" t="s">
        <v>21</v>
      </c>
      <c r="R1818" s="8" t="s">
        <v>21</v>
      </c>
      <c r="S1818" s="8" t="s">
        <v>21</v>
      </c>
      <c r="T1818" s="8" t="s">
        <v>21</v>
      </c>
      <c r="U1818" s="6">
        <f t="shared" si="213"/>
        <v>1009.4669999999999</v>
      </c>
      <c r="V1818" s="6">
        <f>(I1818*(L1818/100))</f>
        <v>1009.4669999999999</v>
      </c>
    </row>
    <row r="1819" spans="1:22" x14ac:dyDescent="0.35">
      <c r="A1819" s="8" t="s">
        <v>2013</v>
      </c>
      <c r="B1819" s="8" t="s">
        <v>2000</v>
      </c>
      <c r="C1819" s="8" t="s">
        <v>2001</v>
      </c>
      <c r="D1819" s="6">
        <f t="shared" si="216"/>
        <v>0.5</v>
      </c>
      <c r="E1819" s="8" t="s">
        <v>19</v>
      </c>
      <c r="F1819" s="6" t="str">
        <f>MID(A1819,19,1)</f>
        <v>N</v>
      </c>
      <c r="G1819" s="8">
        <v>-22.99655142422321</v>
      </c>
      <c r="H1819" s="8">
        <v>-47.104013643417687</v>
      </c>
      <c r="I1819" s="7">
        <v>2253.1999999999998</v>
      </c>
      <c r="J1819" s="7"/>
      <c r="K1819" s="8">
        <v>3.23</v>
      </c>
      <c r="L1819" s="8">
        <v>45</v>
      </c>
      <c r="M1819" s="8"/>
      <c r="N1819" s="11">
        <f t="shared" si="211"/>
        <v>1013.9399999999999</v>
      </c>
      <c r="O1819" s="8" t="s">
        <v>25</v>
      </c>
      <c r="P1819" s="8"/>
      <c r="Q1819" s="8" t="s">
        <v>21</v>
      </c>
      <c r="R1819" s="8" t="s">
        <v>26</v>
      </c>
      <c r="S1819" s="8" t="s">
        <v>21</v>
      </c>
      <c r="T1819" s="8" t="s">
        <v>21</v>
      </c>
      <c r="U1819" s="6">
        <f t="shared" si="213"/>
        <v>0</v>
      </c>
    </row>
    <row r="1820" spans="1:22" hidden="1" x14ac:dyDescent="0.35">
      <c r="A1820" s="6" t="s">
        <v>2014</v>
      </c>
      <c r="B1820" s="6" t="s">
        <v>2000</v>
      </c>
      <c r="C1820" s="6" t="s">
        <v>2001</v>
      </c>
      <c r="D1820" s="6">
        <f t="shared" si="216"/>
        <v>0.5</v>
      </c>
      <c r="E1820" s="6" t="s">
        <v>19</v>
      </c>
      <c r="F1820" s="6" t="str">
        <f>MID(A1820,19,1)</f>
        <v>S</v>
      </c>
      <c r="G1820" s="6">
        <v>-22.97076623285815</v>
      </c>
      <c r="H1820" s="6">
        <v>-47.050902570258692</v>
      </c>
      <c r="I1820" s="9">
        <v>120.95</v>
      </c>
      <c r="K1820" s="6">
        <v>7</v>
      </c>
      <c r="L1820" s="6">
        <v>0</v>
      </c>
      <c r="N1820" s="1">
        <f t="shared" si="211"/>
        <v>0</v>
      </c>
      <c r="O1820" s="8"/>
      <c r="P1820" s="8"/>
      <c r="Q1820" s="8" t="s">
        <v>26</v>
      </c>
      <c r="R1820" s="8" t="s">
        <v>21</v>
      </c>
      <c r="S1820" s="8" t="s">
        <v>21</v>
      </c>
      <c r="T1820" s="8" t="s">
        <v>21</v>
      </c>
      <c r="U1820" s="6">
        <f t="shared" si="213"/>
        <v>0</v>
      </c>
    </row>
    <row r="1821" spans="1:22" hidden="1" x14ac:dyDescent="0.35">
      <c r="A1821" s="6" t="s">
        <v>2015</v>
      </c>
      <c r="B1821" s="6" t="s">
        <v>2000</v>
      </c>
      <c r="C1821" s="6" t="s">
        <v>2001</v>
      </c>
      <c r="D1821" s="6">
        <f t="shared" si="216"/>
        <v>0.5</v>
      </c>
      <c r="E1821" s="6" t="s">
        <v>19</v>
      </c>
      <c r="F1821" s="6" t="str">
        <f>MID(A1821,19,1)</f>
        <v>S</v>
      </c>
      <c r="G1821" s="6">
        <v>-22.972821325312911</v>
      </c>
      <c r="H1821" s="6">
        <v>-47.04974112220448</v>
      </c>
      <c r="I1821" s="9">
        <v>3085.18</v>
      </c>
      <c r="K1821" s="6">
        <v>4.6399999999999997</v>
      </c>
      <c r="L1821" s="6">
        <v>0</v>
      </c>
      <c r="N1821" s="1">
        <f t="shared" si="211"/>
        <v>0</v>
      </c>
      <c r="O1821" s="8"/>
      <c r="P1821" s="8"/>
      <c r="Q1821" s="8" t="s">
        <v>26</v>
      </c>
      <c r="R1821" s="8" t="s">
        <v>21</v>
      </c>
      <c r="S1821" s="8" t="s">
        <v>21</v>
      </c>
      <c r="T1821" s="8" t="s">
        <v>21</v>
      </c>
      <c r="U1821" s="6">
        <f t="shared" si="213"/>
        <v>0</v>
      </c>
    </row>
    <row r="1822" spans="1:22" x14ac:dyDescent="0.35">
      <c r="A1822" s="6" t="s">
        <v>2016</v>
      </c>
      <c r="B1822" s="6" t="s">
        <v>2000</v>
      </c>
      <c r="C1822" s="6" t="s">
        <v>2001</v>
      </c>
      <c r="D1822" s="6">
        <f t="shared" si="216"/>
        <v>0.5</v>
      </c>
      <c r="E1822" s="6" t="s">
        <v>19</v>
      </c>
      <c r="F1822" s="6" t="str">
        <f>MID(A1822,19,1)</f>
        <v>N</v>
      </c>
      <c r="G1822" s="6">
        <v>-22.99142135094289</v>
      </c>
      <c r="H1822" s="6">
        <v>-47.107787338988253</v>
      </c>
      <c r="I1822" s="9">
        <v>1665.77</v>
      </c>
      <c r="K1822" s="6">
        <v>6.46</v>
      </c>
      <c r="L1822" s="6">
        <v>50</v>
      </c>
      <c r="N1822" s="1">
        <f t="shared" si="211"/>
        <v>0</v>
      </c>
      <c r="O1822" s="8" t="s">
        <v>20</v>
      </c>
      <c r="P1822" s="8"/>
      <c r="Q1822" s="8" t="s">
        <v>21</v>
      </c>
      <c r="R1822" s="8" t="s">
        <v>21</v>
      </c>
      <c r="S1822" s="8" t="s">
        <v>21</v>
      </c>
      <c r="T1822" s="8" t="s">
        <v>21</v>
      </c>
      <c r="U1822" s="6">
        <f t="shared" si="213"/>
        <v>832.88499999999999</v>
      </c>
      <c r="V1822" s="6">
        <f t="shared" ref="V1822:V1845" si="218">(I1822*(L1822/100))</f>
        <v>832.88499999999999</v>
      </c>
    </row>
    <row r="1823" spans="1:22" x14ac:dyDescent="0.35">
      <c r="A1823" s="6" t="s">
        <v>2017</v>
      </c>
      <c r="B1823" s="6" t="s">
        <v>2000</v>
      </c>
      <c r="C1823" s="6" t="s">
        <v>2001</v>
      </c>
      <c r="D1823" s="6">
        <f t="shared" si="216"/>
        <v>0.5</v>
      </c>
      <c r="E1823" s="6" t="s">
        <v>19</v>
      </c>
      <c r="F1823" s="6" t="str">
        <f>MID(A1823,19,1)</f>
        <v>N</v>
      </c>
      <c r="G1823" s="6">
        <v>-22.98958088176267</v>
      </c>
      <c r="H1823" s="6">
        <v>-47.107134226640433</v>
      </c>
      <c r="I1823" s="9">
        <v>1899.71</v>
      </c>
      <c r="K1823" s="6">
        <v>4.3899999999999997</v>
      </c>
      <c r="L1823" s="6">
        <v>50</v>
      </c>
      <c r="N1823" s="1">
        <f t="shared" si="211"/>
        <v>0</v>
      </c>
      <c r="O1823" s="8" t="s">
        <v>20</v>
      </c>
      <c r="P1823" s="8"/>
      <c r="Q1823" s="8" t="s">
        <v>21</v>
      </c>
      <c r="R1823" s="8" t="s">
        <v>21</v>
      </c>
      <c r="S1823" s="8" t="s">
        <v>21</v>
      </c>
      <c r="T1823" s="8" t="s">
        <v>21</v>
      </c>
      <c r="U1823" s="6">
        <f t="shared" si="213"/>
        <v>949.85500000000002</v>
      </c>
      <c r="V1823" s="6">
        <f t="shared" si="218"/>
        <v>949.85500000000002</v>
      </c>
    </row>
    <row r="1824" spans="1:22" x14ac:dyDescent="0.35">
      <c r="A1824" s="6" t="s">
        <v>2018</v>
      </c>
      <c r="B1824" s="6" t="s">
        <v>2000</v>
      </c>
      <c r="C1824" s="6" t="s">
        <v>2001</v>
      </c>
      <c r="D1824" s="6">
        <f t="shared" si="216"/>
        <v>0.5</v>
      </c>
      <c r="E1824" s="6" t="s">
        <v>19</v>
      </c>
      <c r="F1824" s="6" t="str">
        <f>MID(A1824,19,1)</f>
        <v>N</v>
      </c>
      <c r="G1824" s="6">
        <v>-22.993531237601061</v>
      </c>
      <c r="H1824" s="6">
        <v>-47.107202815432863</v>
      </c>
      <c r="I1824" s="9">
        <v>1545.99</v>
      </c>
      <c r="K1824" s="6">
        <v>7.12</v>
      </c>
      <c r="L1824" s="6">
        <v>50</v>
      </c>
      <c r="N1824" s="1">
        <f t="shared" si="211"/>
        <v>0</v>
      </c>
      <c r="O1824" s="8" t="s">
        <v>20</v>
      </c>
      <c r="P1824" s="8"/>
      <c r="Q1824" s="8" t="s">
        <v>21</v>
      </c>
      <c r="R1824" s="8" t="s">
        <v>21</v>
      </c>
      <c r="S1824" s="8" t="s">
        <v>21</v>
      </c>
      <c r="T1824" s="8" t="s">
        <v>21</v>
      </c>
      <c r="U1824" s="6">
        <f t="shared" si="213"/>
        <v>772.995</v>
      </c>
      <c r="V1824" s="6">
        <f t="shared" si="218"/>
        <v>772.995</v>
      </c>
    </row>
    <row r="1825" spans="1:22" hidden="1" x14ac:dyDescent="0.35">
      <c r="A1825" s="6" t="s">
        <v>2019</v>
      </c>
      <c r="B1825" s="6" t="s">
        <v>2000</v>
      </c>
      <c r="C1825" s="6" t="s">
        <v>2001</v>
      </c>
      <c r="D1825" s="6">
        <f t="shared" si="216"/>
        <v>0.5</v>
      </c>
      <c r="E1825" s="6" t="s">
        <v>19</v>
      </c>
      <c r="F1825" s="6" t="str">
        <f>MID(A1825,19,1)</f>
        <v>S</v>
      </c>
      <c r="G1825" s="6">
        <v>-22.976967336580561</v>
      </c>
      <c r="H1825" s="6">
        <v>-47.047605254627634</v>
      </c>
      <c r="I1825" s="9">
        <v>2064.81</v>
      </c>
      <c r="K1825" s="6">
        <v>3.89</v>
      </c>
      <c r="L1825" s="6">
        <v>0</v>
      </c>
      <c r="N1825" s="1">
        <f t="shared" si="211"/>
        <v>0</v>
      </c>
      <c r="O1825" s="8"/>
      <c r="P1825" s="8"/>
      <c r="Q1825" s="8" t="s">
        <v>21</v>
      </c>
      <c r="R1825" s="8" t="s">
        <v>21</v>
      </c>
      <c r="S1825" s="8" t="s">
        <v>21</v>
      </c>
      <c r="T1825" s="8" t="s">
        <v>21</v>
      </c>
      <c r="U1825" s="6">
        <f t="shared" si="213"/>
        <v>0</v>
      </c>
      <c r="V1825" s="6">
        <f t="shared" si="218"/>
        <v>0</v>
      </c>
    </row>
    <row r="1826" spans="1:22" hidden="1" x14ac:dyDescent="0.35">
      <c r="A1826" s="6" t="s">
        <v>2020</v>
      </c>
      <c r="B1826" s="6" t="s">
        <v>2000</v>
      </c>
      <c r="C1826" s="6" t="s">
        <v>2001</v>
      </c>
      <c r="D1826" s="6">
        <f t="shared" si="216"/>
        <v>0.5</v>
      </c>
      <c r="E1826" s="6" t="s">
        <v>19</v>
      </c>
      <c r="F1826" s="6" t="str">
        <f>MID(A1826,19,1)</f>
        <v>S</v>
      </c>
      <c r="G1826" s="6">
        <v>-22.972828627838862</v>
      </c>
      <c r="H1826" s="6">
        <v>-47.049949564212149</v>
      </c>
      <c r="I1826" s="9">
        <v>1878.69</v>
      </c>
      <c r="K1826" s="6">
        <v>6.38</v>
      </c>
      <c r="L1826" s="6">
        <v>0</v>
      </c>
      <c r="N1826" s="1">
        <f t="shared" si="211"/>
        <v>0</v>
      </c>
      <c r="O1826" s="8"/>
      <c r="P1826" s="8"/>
      <c r="Q1826" s="8" t="s">
        <v>21</v>
      </c>
      <c r="R1826" s="8" t="s">
        <v>21</v>
      </c>
      <c r="S1826" s="8" t="s">
        <v>21</v>
      </c>
      <c r="T1826" s="8" t="s">
        <v>21</v>
      </c>
      <c r="U1826" s="6">
        <f t="shared" si="213"/>
        <v>0</v>
      </c>
      <c r="V1826" s="6">
        <f t="shared" si="218"/>
        <v>0</v>
      </c>
    </row>
    <row r="1827" spans="1:22" hidden="1" x14ac:dyDescent="0.35">
      <c r="A1827" s="6" t="s">
        <v>2021</v>
      </c>
      <c r="B1827" s="6" t="s">
        <v>2000</v>
      </c>
      <c r="C1827" s="6" t="s">
        <v>2001</v>
      </c>
      <c r="D1827" s="6">
        <f t="shared" si="216"/>
        <v>0.5</v>
      </c>
      <c r="E1827" s="6" t="s">
        <v>19</v>
      </c>
      <c r="F1827" s="6" t="str">
        <f>MID(A1827,19,1)</f>
        <v>S</v>
      </c>
      <c r="G1827" s="6">
        <v>-22.99610596196062</v>
      </c>
      <c r="H1827" s="6">
        <v>-47.108732460351568</v>
      </c>
      <c r="I1827" s="9">
        <v>11427.64</v>
      </c>
      <c r="K1827" s="6">
        <v>3.14</v>
      </c>
      <c r="L1827" s="6">
        <v>50</v>
      </c>
      <c r="N1827" s="1">
        <f t="shared" si="211"/>
        <v>0</v>
      </c>
      <c r="O1827" s="8" t="s">
        <v>20</v>
      </c>
      <c r="P1827" s="8"/>
      <c r="Q1827" s="8" t="s">
        <v>21</v>
      </c>
      <c r="R1827" s="8" t="s">
        <v>21</v>
      </c>
      <c r="S1827" s="8" t="s">
        <v>21</v>
      </c>
      <c r="T1827" s="8" t="s">
        <v>21</v>
      </c>
      <c r="U1827" s="6">
        <f t="shared" si="213"/>
        <v>5713.82</v>
      </c>
      <c r="V1827" s="6">
        <f t="shared" si="218"/>
        <v>5713.82</v>
      </c>
    </row>
    <row r="1828" spans="1:22" hidden="1" x14ac:dyDescent="0.35">
      <c r="A1828" s="6" t="s">
        <v>2022</v>
      </c>
      <c r="B1828" s="6" t="s">
        <v>2000</v>
      </c>
      <c r="C1828" s="6" t="s">
        <v>2001</v>
      </c>
      <c r="D1828" s="6">
        <f t="shared" si="216"/>
        <v>0.5</v>
      </c>
      <c r="E1828" s="6" t="s">
        <v>23</v>
      </c>
      <c r="F1828" s="6" t="str">
        <f>MID(A1828,19,1)</f>
        <v>C</v>
      </c>
      <c r="G1828" s="6">
        <v>-22.995241955142401</v>
      </c>
      <c r="H1828" s="6">
        <v>-47.107826544131832</v>
      </c>
      <c r="I1828" s="9">
        <v>31740.16</v>
      </c>
      <c r="J1828" s="9">
        <f>I1828/500</f>
        <v>63.480319999999999</v>
      </c>
      <c r="K1828" s="6">
        <v>4.18</v>
      </c>
      <c r="L1828" s="6">
        <v>50</v>
      </c>
      <c r="N1828" s="1">
        <f t="shared" si="211"/>
        <v>0</v>
      </c>
      <c r="O1828" s="8" t="s">
        <v>20</v>
      </c>
      <c r="P1828" s="8"/>
      <c r="Q1828" s="8" t="s">
        <v>21</v>
      </c>
      <c r="R1828" s="8" t="s">
        <v>21</v>
      </c>
      <c r="S1828" s="8" t="s">
        <v>21</v>
      </c>
      <c r="T1828" s="8" t="s">
        <v>21</v>
      </c>
      <c r="U1828" s="6">
        <f t="shared" si="213"/>
        <v>15870.08</v>
      </c>
      <c r="V1828" s="6">
        <f t="shared" si="218"/>
        <v>15870.08</v>
      </c>
    </row>
    <row r="1829" spans="1:22" x14ac:dyDescent="0.35">
      <c r="A1829" s="6" t="s">
        <v>2023</v>
      </c>
      <c r="B1829" s="6" t="s">
        <v>2000</v>
      </c>
      <c r="C1829" s="6" t="s">
        <v>2001</v>
      </c>
      <c r="D1829" s="6">
        <f t="shared" si="216"/>
        <v>0.5</v>
      </c>
      <c r="E1829" s="6" t="s">
        <v>19</v>
      </c>
      <c r="F1829" s="6" t="str">
        <f>MID(A1829,19,1)</f>
        <v>N</v>
      </c>
      <c r="G1829" s="6">
        <v>-22.976640685528011</v>
      </c>
      <c r="H1829" s="6">
        <v>-47.047160281351424</v>
      </c>
      <c r="I1829" s="9">
        <v>6757.99</v>
      </c>
      <c r="K1829" s="6">
        <v>4.7</v>
      </c>
      <c r="L1829" s="6">
        <v>80</v>
      </c>
      <c r="N1829" s="1">
        <f t="shared" si="211"/>
        <v>0</v>
      </c>
      <c r="O1829" s="8" t="s">
        <v>20</v>
      </c>
      <c r="P1829" s="8"/>
      <c r="Q1829" s="8" t="s">
        <v>21</v>
      </c>
      <c r="R1829" s="8" t="s">
        <v>21</v>
      </c>
      <c r="S1829" s="8" t="s">
        <v>21</v>
      </c>
      <c r="T1829" s="8" t="s">
        <v>21</v>
      </c>
      <c r="U1829" s="6">
        <f t="shared" si="213"/>
        <v>5406.3919999999998</v>
      </c>
      <c r="V1829" s="6">
        <f t="shared" si="218"/>
        <v>5406.3919999999998</v>
      </c>
    </row>
    <row r="1830" spans="1:22" hidden="1" x14ac:dyDescent="0.35">
      <c r="A1830" s="6" t="s">
        <v>2024</v>
      </c>
      <c r="B1830" s="6" t="s">
        <v>2000</v>
      </c>
      <c r="C1830" s="6" t="s">
        <v>2001</v>
      </c>
      <c r="D1830" s="6">
        <f t="shared" si="216"/>
        <v>0.5</v>
      </c>
      <c r="E1830" s="6" t="s">
        <v>19</v>
      </c>
      <c r="F1830" s="6" t="str">
        <f>MID(A1830,19,1)</f>
        <v>S</v>
      </c>
      <c r="G1830" s="6">
        <v>-22.996321271538829</v>
      </c>
      <c r="H1830" s="6">
        <v>-47.107671202811197</v>
      </c>
      <c r="I1830" s="9">
        <v>1133.01</v>
      </c>
      <c r="K1830" s="6">
        <v>3.64</v>
      </c>
      <c r="L1830" s="6">
        <v>50</v>
      </c>
      <c r="N1830" s="1">
        <f t="shared" si="211"/>
        <v>0</v>
      </c>
      <c r="O1830" s="8" t="s">
        <v>20</v>
      </c>
      <c r="P1830" s="8"/>
      <c r="Q1830" s="8" t="s">
        <v>21</v>
      </c>
      <c r="R1830" s="8" t="s">
        <v>21</v>
      </c>
      <c r="S1830" s="8" t="s">
        <v>21</v>
      </c>
      <c r="T1830" s="8" t="s">
        <v>21</v>
      </c>
      <c r="U1830" s="6">
        <f t="shared" si="213"/>
        <v>566.505</v>
      </c>
      <c r="V1830" s="6">
        <f t="shared" si="218"/>
        <v>566.505</v>
      </c>
    </row>
    <row r="1831" spans="1:22" x14ac:dyDescent="0.35">
      <c r="A1831" s="6" t="s">
        <v>2025</v>
      </c>
      <c r="B1831" s="6" t="s">
        <v>2000</v>
      </c>
      <c r="C1831" s="6" t="s">
        <v>2001</v>
      </c>
      <c r="D1831" s="6">
        <f t="shared" si="216"/>
        <v>0.5</v>
      </c>
      <c r="E1831" s="6" t="s">
        <v>19</v>
      </c>
      <c r="F1831" s="6" t="str">
        <f>MID(A1831,19,1)</f>
        <v>N</v>
      </c>
      <c r="G1831" s="6">
        <v>-22.97653027446696</v>
      </c>
      <c r="H1831" s="6">
        <v>-47.047033167915657</v>
      </c>
      <c r="I1831" s="9">
        <v>2355.59</v>
      </c>
      <c r="K1831" s="6">
        <v>5.36</v>
      </c>
      <c r="L1831" s="6">
        <v>80</v>
      </c>
      <c r="N1831" s="1">
        <f t="shared" si="211"/>
        <v>0</v>
      </c>
      <c r="O1831" s="8" t="s">
        <v>20</v>
      </c>
      <c r="P1831" s="8"/>
      <c r="Q1831" s="8" t="s">
        <v>21</v>
      </c>
      <c r="R1831" s="8" t="s">
        <v>21</v>
      </c>
      <c r="S1831" s="8" t="s">
        <v>21</v>
      </c>
      <c r="T1831" s="8" t="s">
        <v>21</v>
      </c>
      <c r="U1831" s="6">
        <f t="shared" si="213"/>
        <v>1884.4720000000002</v>
      </c>
      <c r="V1831" s="6">
        <f t="shared" si="218"/>
        <v>1884.4720000000002</v>
      </c>
    </row>
    <row r="1832" spans="1:22" x14ac:dyDescent="0.35">
      <c r="A1832" s="6" t="s">
        <v>2026</v>
      </c>
      <c r="B1832" s="6" t="s">
        <v>2000</v>
      </c>
      <c r="C1832" s="6" t="s">
        <v>2001</v>
      </c>
      <c r="D1832" s="6">
        <f t="shared" si="216"/>
        <v>0.5</v>
      </c>
      <c r="E1832" s="6" t="s">
        <v>19</v>
      </c>
      <c r="F1832" s="6" t="str">
        <f>MID(A1832,19,1)</f>
        <v>N</v>
      </c>
      <c r="G1832" s="6">
        <v>-22.972667569602422</v>
      </c>
      <c r="H1832" s="6">
        <v>-47.049432970685992</v>
      </c>
      <c r="I1832" s="9">
        <v>4700.16</v>
      </c>
      <c r="K1832" s="6">
        <v>4.18</v>
      </c>
      <c r="L1832" s="6">
        <v>60</v>
      </c>
      <c r="N1832" s="1">
        <f t="shared" si="211"/>
        <v>0</v>
      </c>
      <c r="O1832" s="8" t="s">
        <v>20</v>
      </c>
      <c r="P1832" s="8"/>
      <c r="Q1832" s="8" t="s">
        <v>21</v>
      </c>
      <c r="R1832" s="8" t="s">
        <v>21</v>
      </c>
      <c r="S1832" s="8" t="s">
        <v>21</v>
      </c>
      <c r="T1832" s="8" t="s">
        <v>21</v>
      </c>
      <c r="U1832" s="6">
        <f t="shared" si="213"/>
        <v>2820.096</v>
      </c>
      <c r="V1832" s="6">
        <f t="shared" si="218"/>
        <v>2820.096</v>
      </c>
    </row>
    <row r="1833" spans="1:22" x14ac:dyDescent="0.35">
      <c r="A1833" s="6" t="s">
        <v>2027</v>
      </c>
      <c r="B1833" s="6" t="s">
        <v>2000</v>
      </c>
      <c r="C1833" s="6" t="s">
        <v>2001</v>
      </c>
      <c r="D1833" s="6">
        <f t="shared" si="216"/>
        <v>0.5</v>
      </c>
      <c r="E1833" s="6" t="s">
        <v>19</v>
      </c>
      <c r="F1833" s="6" t="str">
        <f>MID(A1833,19,1)</f>
        <v>N</v>
      </c>
      <c r="G1833" s="6">
        <v>-22.972440818375279</v>
      </c>
      <c r="H1833" s="6">
        <v>-47.049379700431828</v>
      </c>
      <c r="I1833" s="9">
        <v>1748.02</v>
      </c>
      <c r="K1833" s="6">
        <v>4.83</v>
      </c>
      <c r="L1833" s="6">
        <v>60</v>
      </c>
      <c r="N1833" s="1">
        <f t="shared" si="211"/>
        <v>0</v>
      </c>
      <c r="O1833" s="8" t="s">
        <v>20</v>
      </c>
      <c r="P1833" s="8"/>
      <c r="Q1833" s="8" t="s">
        <v>21</v>
      </c>
      <c r="R1833" s="8" t="s">
        <v>21</v>
      </c>
      <c r="S1833" s="8" t="s">
        <v>21</v>
      </c>
      <c r="T1833" s="8" t="s">
        <v>21</v>
      </c>
      <c r="U1833" s="6">
        <f t="shared" si="213"/>
        <v>1048.8119999999999</v>
      </c>
      <c r="V1833" s="6">
        <f t="shared" si="218"/>
        <v>1048.8119999999999</v>
      </c>
    </row>
    <row r="1834" spans="1:22" hidden="1" x14ac:dyDescent="0.35">
      <c r="A1834" s="6" t="s">
        <v>2028</v>
      </c>
      <c r="B1834" s="6" t="s">
        <v>2000</v>
      </c>
      <c r="C1834" s="6" t="s">
        <v>2001</v>
      </c>
      <c r="D1834" s="6">
        <f t="shared" si="216"/>
        <v>0.5</v>
      </c>
      <c r="E1834" s="6" t="s">
        <v>23</v>
      </c>
      <c r="F1834" s="6" t="str">
        <f>MID(A1834,19,1)</f>
        <v>C</v>
      </c>
      <c r="G1834" s="6">
        <v>-22.996953993152712</v>
      </c>
      <c r="H1834" s="6">
        <v>-47.10417015547911</v>
      </c>
      <c r="I1834" s="9">
        <v>16052.9</v>
      </c>
      <c r="J1834" s="9">
        <f t="shared" ref="J1834:J1835" si="219">I1834/500</f>
        <v>32.105800000000002</v>
      </c>
      <c r="K1834" s="6">
        <v>2.7</v>
      </c>
      <c r="L1834" s="6">
        <v>80</v>
      </c>
      <c r="N1834" s="1">
        <f t="shared" si="211"/>
        <v>0</v>
      </c>
      <c r="O1834" s="8" t="s">
        <v>185</v>
      </c>
      <c r="P1834" s="8"/>
      <c r="Q1834" s="8" t="s">
        <v>21</v>
      </c>
      <c r="R1834" s="8" t="s">
        <v>21</v>
      </c>
      <c r="S1834" s="8" t="s">
        <v>21</v>
      </c>
      <c r="T1834" s="8" t="s">
        <v>21</v>
      </c>
      <c r="U1834" s="6">
        <f t="shared" si="213"/>
        <v>12842.32</v>
      </c>
      <c r="V1834" s="6">
        <f t="shared" si="218"/>
        <v>12842.32</v>
      </c>
    </row>
    <row r="1835" spans="1:22" hidden="1" x14ac:dyDescent="0.35">
      <c r="A1835" s="6" t="s">
        <v>2029</v>
      </c>
      <c r="B1835" s="6" t="s">
        <v>2000</v>
      </c>
      <c r="C1835" s="6" t="s">
        <v>2001</v>
      </c>
      <c r="D1835" s="6">
        <f t="shared" si="216"/>
        <v>0.5</v>
      </c>
      <c r="E1835" s="6" t="s">
        <v>23</v>
      </c>
      <c r="F1835" s="6" t="str">
        <f>MID(A1835,19,1)</f>
        <v>C</v>
      </c>
      <c r="G1835" s="6">
        <v>-22.992457317277282</v>
      </c>
      <c r="H1835" s="6">
        <v>-47.109041006477469</v>
      </c>
      <c r="I1835" s="9">
        <v>15869.52</v>
      </c>
      <c r="J1835" s="9">
        <f t="shared" si="219"/>
        <v>31.739039999999999</v>
      </c>
      <c r="K1835" s="6">
        <v>3.73</v>
      </c>
      <c r="L1835" s="6">
        <v>50</v>
      </c>
      <c r="N1835" s="1">
        <f t="shared" si="211"/>
        <v>0</v>
      </c>
      <c r="O1835" s="8" t="s">
        <v>20</v>
      </c>
      <c r="P1835" s="8"/>
      <c r="Q1835" s="8" t="s">
        <v>21</v>
      </c>
      <c r="R1835" s="8" t="s">
        <v>21</v>
      </c>
      <c r="S1835" s="8" t="s">
        <v>21</v>
      </c>
      <c r="T1835" s="8" t="s">
        <v>21</v>
      </c>
      <c r="U1835" s="6">
        <f t="shared" si="213"/>
        <v>7934.76</v>
      </c>
      <c r="V1835" s="6">
        <f t="shared" si="218"/>
        <v>7934.76</v>
      </c>
    </row>
    <row r="1836" spans="1:22" x14ac:dyDescent="0.35">
      <c r="A1836" s="6" t="s">
        <v>2030</v>
      </c>
      <c r="B1836" s="6" t="s">
        <v>2000</v>
      </c>
      <c r="C1836" s="6" t="s">
        <v>2001</v>
      </c>
      <c r="D1836" s="6">
        <f t="shared" si="216"/>
        <v>0.5</v>
      </c>
      <c r="E1836" s="6" t="s">
        <v>19</v>
      </c>
      <c r="F1836" s="6" t="str">
        <f>MID(A1836,19,1)</f>
        <v>N</v>
      </c>
      <c r="G1836" s="6">
        <v>-22.9935383204906</v>
      </c>
      <c r="H1836" s="6">
        <v>-47.107683279703849</v>
      </c>
      <c r="I1836" s="9">
        <v>16628.82</v>
      </c>
      <c r="K1836" s="6">
        <v>6.52</v>
      </c>
      <c r="L1836" s="6">
        <v>50</v>
      </c>
      <c r="N1836" s="1">
        <f t="shared" si="211"/>
        <v>0</v>
      </c>
      <c r="O1836" s="8" t="s">
        <v>20</v>
      </c>
      <c r="P1836" s="8"/>
      <c r="Q1836" s="8" t="s">
        <v>21</v>
      </c>
      <c r="R1836" s="8" t="s">
        <v>21</v>
      </c>
      <c r="S1836" s="8" t="s">
        <v>21</v>
      </c>
      <c r="T1836" s="8" t="s">
        <v>21</v>
      </c>
      <c r="U1836" s="6">
        <f t="shared" si="213"/>
        <v>8314.41</v>
      </c>
      <c r="V1836" s="6">
        <f t="shared" si="218"/>
        <v>8314.41</v>
      </c>
    </row>
    <row r="1837" spans="1:22" hidden="1" x14ac:dyDescent="0.35">
      <c r="A1837" s="6" t="s">
        <v>2031</v>
      </c>
      <c r="B1837" s="6" t="s">
        <v>2000</v>
      </c>
      <c r="C1837" s="6" t="s">
        <v>2001</v>
      </c>
      <c r="D1837" s="6">
        <f t="shared" si="216"/>
        <v>0.5</v>
      </c>
      <c r="E1837" s="6" t="s">
        <v>23</v>
      </c>
      <c r="F1837" s="6" t="str">
        <f>MID(A1837,19,1)</f>
        <v>C</v>
      </c>
      <c r="G1837" s="6">
        <v>-22.994587049829359</v>
      </c>
      <c r="H1837" s="6">
        <v>-47.107393348087832</v>
      </c>
      <c r="I1837" s="9">
        <v>9602.91</v>
      </c>
      <c r="J1837" s="9">
        <f>I1837/500</f>
        <v>19.205819999999999</v>
      </c>
      <c r="K1837" s="6">
        <v>5.12</v>
      </c>
      <c r="L1837" s="6">
        <v>80</v>
      </c>
      <c r="N1837" s="1">
        <f t="shared" si="211"/>
        <v>0</v>
      </c>
      <c r="O1837" s="8" t="s">
        <v>20</v>
      </c>
      <c r="P1837" s="8"/>
      <c r="Q1837" s="8" t="s">
        <v>21</v>
      </c>
      <c r="R1837" s="8" t="s">
        <v>21</v>
      </c>
      <c r="S1837" s="8" t="s">
        <v>21</v>
      </c>
      <c r="T1837" s="8" t="s">
        <v>21</v>
      </c>
      <c r="U1837" s="6">
        <f t="shared" si="213"/>
        <v>7682.3280000000004</v>
      </c>
      <c r="V1837" s="6">
        <f t="shared" si="218"/>
        <v>7682.3280000000004</v>
      </c>
    </row>
    <row r="1838" spans="1:22" hidden="1" x14ac:dyDescent="0.35">
      <c r="A1838" s="6" t="s">
        <v>2032</v>
      </c>
      <c r="B1838" s="6" t="s">
        <v>2033</v>
      </c>
      <c r="C1838" s="6" t="s">
        <v>2034</v>
      </c>
      <c r="D1838" s="6">
        <f t="shared" si="216"/>
        <v>0.5</v>
      </c>
      <c r="E1838" s="6" t="s">
        <v>19</v>
      </c>
      <c r="F1838" s="6" t="str">
        <f>MID(A1838,19,1)</f>
        <v>S</v>
      </c>
      <c r="G1838" s="6">
        <v>-22.99203369276696</v>
      </c>
      <c r="H1838" s="6">
        <v>-47.110511462177307</v>
      </c>
      <c r="I1838" s="9">
        <v>121.63</v>
      </c>
      <c r="K1838" s="6">
        <v>4.5199999999999996</v>
      </c>
      <c r="L1838" s="6">
        <v>50</v>
      </c>
      <c r="N1838" s="1">
        <f t="shared" si="211"/>
        <v>0</v>
      </c>
      <c r="O1838" s="8" t="s">
        <v>20</v>
      </c>
      <c r="P1838" s="8"/>
      <c r="Q1838" s="8" t="s">
        <v>21</v>
      </c>
      <c r="R1838" s="8" t="s">
        <v>21</v>
      </c>
      <c r="S1838" s="8" t="s">
        <v>21</v>
      </c>
      <c r="T1838" s="8" t="s">
        <v>21</v>
      </c>
      <c r="U1838" s="6">
        <f t="shared" si="213"/>
        <v>60.814999999999998</v>
      </c>
      <c r="V1838" s="6">
        <f t="shared" si="218"/>
        <v>60.814999999999998</v>
      </c>
    </row>
    <row r="1839" spans="1:22" hidden="1" x14ac:dyDescent="0.35">
      <c r="A1839" s="6" t="s">
        <v>2035</v>
      </c>
      <c r="B1839" s="6" t="s">
        <v>2033</v>
      </c>
      <c r="C1839" s="6" t="s">
        <v>2034</v>
      </c>
      <c r="D1839" s="6">
        <f t="shared" si="216"/>
        <v>0.5</v>
      </c>
      <c r="E1839" s="6" t="s">
        <v>23</v>
      </c>
      <c r="F1839" s="6" t="str">
        <f>MID(A1839,19,1)</f>
        <v>C</v>
      </c>
      <c r="G1839" s="6">
        <v>-22.991376200917902</v>
      </c>
      <c r="H1839" s="6">
        <v>-47.109050857514177</v>
      </c>
      <c r="I1839" s="9">
        <v>23053.05</v>
      </c>
      <c r="J1839" s="9">
        <f t="shared" ref="J1839:J1840" si="220">I1839/500</f>
        <v>46.106099999999998</v>
      </c>
      <c r="K1839" s="6">
        <v>3.19</v>
      </c>
      <c r="L1839" s="6">
        <v>50</v>
      </c>
      <c r="N1839" s="1">
        <f t="shared" si="211"/>
        <v>0</v>
      </c>
      <c r="O1839" s="8" t="s">
        <v>20</v>
      </c>
      <c r="P1839" s="8"/>
      <c r="Q1839" s="8" t="s">
        <v>21</v>
      </c>
      <c r="R1839" s="8" t="s">
        <v>21</v>
      </c>
      <c r="S1839" s="8" t="s">
        <v>21</v>
      </c>
      <c r="T1839" s="8" t="s">
        <v>21</v>
      </c>
      <c r="U1839" s="6">
        <f t="shared" si="213"/>
        <v>11526.525</v>
      </c>
      <c r="V1839" s="6">
        <f t="shared" si="218"/>
        <v>11526.525</v>
      </c>
    </row>
    <row r="1840" spans="1:22" hidden="1" x14ac:dyDescent="0.35">
      <c r="A1840" s="6" t="s">
        <v>2036</v>
      </c>
      <c r="B1840" s="6" t="s">
        <v>2033</v>
      </c>
      <c r="C1840" s="6" t="s">
        <v>2034</v>
      </c>
      <c r="D1840" s="6">
        <f t="shared" si="216"/>
        <v>0.5</v>
      </c>
      <c r="E1840" s="6" t="s">
        <v>23</v>
      </c>
      <c r="F1840" s="6" t="str">
        <f>MID(A1840,19,1)</f>
        <v>C</v>
      </c>
      <c r="G1840" s="6">
        <v>-22.989817242447788</v>
      </c>
      <c r="H1840" s="6">
        <v>-47.111175072608752</v>
      </c>
      <c r="I1840" s="9">
        <v>12983.48</v>
      </c>
      <c r="J1840" s="9">
        <f t="shared" si="220"/>
        <v>25.96696</v>
      </c>
      <c r="K1840" s="6">
        <v>5.31</v>
      </c>
      <c r="L1840" s="6">
        <v>80</v>
      </c>
      <c r="N1840" s="1">
        <f t="shared" si="211"/>
        <v>0</v>
      </c>
      <c r="O1840" s="8" t="s">
        <v>20</v>
      </c>
      <c r="P1840" s="8"/>
      <c r="Q1840" s="8" t="s">
        <v>21</v>
      </c>
      <c r="R1840" s="8" t="s">
        <v>21</v>
      </c>
      <c r="S1840" s="8" t="s">
        <v>21</v>
      </c>
      <c r="T1840" s="8" t="s">
        <v>21</v>
      </c>
      <c r="U1840" s="6">
        <f t="shared" si="213"/>
        <v>10386.784</v>
      </c>
      <c r="V1840" s="6">
        <f t="shared" si="218"/>
        <v>10386.784</v>
      </c>
    </row>
    <row r="1841" spans="1:22" x14ac:dyDescent="0.35">
      <c r="A1841" s="6" t="s">
        <v>2037</v>
      </c>
      <c r="B1841" s="6" t="s">
        <v>2033</v>
      </c>
      <c r="C1841" s="6" t="s">
        <v>2034</v>
      </c>
      <c r="D1841" s="6">
        <f t="shared" si="216"/>
        <v>0.5</v>
      </c>
      <c r="E1841" s="6" t="s">
        <v>19</v>
      </c>
      <c r="F1841" s="6" t="str">
        <f>MID(A1841,19,1)</f>
        <v>N</v>
      </c>
      <c r="G1841" s="6">
        <v>-22.988512904629822</v>
      </c>
      <c r="H1841" s="6">
        <v>-47.108654563877089</v>
      </c>
      <c r="I1841" s="9">
        <v>2612.98</v>
      </c>
      <c r="K1841" s="6">
        <v>6.85</v>
      </c>
      <c r="L1841" s="6">
        <v>50</v>
      </c>
      <c r="N1841" s="1">
        <f t="shared" si="211"/>
        <v>0</v>
      </c>
      <c r="O1841" s="8" t="s">
        <v>20</v>
      </c>
      <c r="P1841" s="8"/>
      <c r="Q1841" s="8" t="s">
        <v>21</v>
      </c>
      <c r="R1841" s="8" t="s">
        <v>21</v>
      </c>
      <c r="S1841" s="8" t="s">
        <v>21</v>
      </c>
      <c r="T1841" s="8" t="s">
        <v>21</v>
      </c>
      <c r="U1841" s="6">
        <f t="shared" si="213"/>
        <v>1306.49</v>
      </c>
      <c r="V1841" s="6">
        <f t="shared" si="218"/>
        <v>1306.49</v>
      </c>
    </row>
    <row r="1842" spans="1:22" x14ac:dyDescent="0.35">
      <c r="A1842" s="6" t="s">
        <v>2038</v>
      </c>
      <c r="B1842" s="6" t="s">
        <v>2033</v>
      </c>
      <c r="C1842" s="6" t="s">
        <v>2034</v>
      </c>
      <c r="D1842" s="6">
        <f t="shared" si="216"/>
        <v>0.5</v>
      </c>
      <c r="E1842" s="6" t="s">
        <v>19</v>
      </c>
      <c r="F1842" s="6" t="str">
        <f>MID(A1842,19,1)</f>
        <v>N</v>
      </c>
      <c r="G1842" s="6">
        <v>-22.96760994573561</v>
      </c>
      <c r="H1842" s="6">
        <v>-47.052273107914651</v>
      </c>
      <c r="I1842" s="9">
        <v>2863.53</v>
      </c>
      <c r="K1842" s="6">
        <v>3.38</v>
      </c>
      <c r="L1842" s="6">
        <v>60</v>
      </c>
      <c r="N1842" s="1">
        <f t="shared" si="211"/>
        <v>0</v>
      </c>
      <c r="O1842" s="8" t="s">
        <v>20</v>
      </c>
      <c r="P1842" s="8"/>
      <c r="Q1842" s="8" t="s">
        <v>21</v>
      </c>
      <c r="R1842" s="8" t="s">
        <v>21</v>
      </c>
      <c r="S1842" s="8" t="s">
        <v>21</v>
      </c>
      <c r="T1842" s="8" t="s">
        <v>21</v>
      </c>
      <c r="U1842" s="6">
        <f t="shared" si="213"/>
        <v>1718.1180000000002</v>
      </c>
      <c r="V1842" s="6">
        <f t="shared" si="218"/>
        <v>1718.1180000000002</v>
      </c>
    </row>
    <row r="1843" spans="1:22" hidden="1" x14ac:dyDescent="0.35">
      <c r="A1843" s="6" t="s">
        <v>2039</v>
      </c>
      <c r="B1843" s="6" t="s">
        <v>2033</v>
      </c>
      <c r="C1843" s="6" t="s">
        <v>2034</v>
      </c>
      <c r="D1843" s="6">
        <f t="shared" si="216"/>
        <v>0.5</v>
      </c>
      <c r="E1843" s="6" t="s">
        <v>23</v>
      </c>
      <c r="F1843" s="6" t="str">
        <f>MID(A1843,19,1)</f>
        <v>C</v>
      </c>
      <c r="G1843" s="6">
        <v>-22.987581218419699</v>
      </c>
      <c r="H1843" s="6">
        <v>-47.111423892854191</v>
      </c>
      <c r="I1843" s="9">
        <v>374.45</v>
      </c>
      <c r="J1843" s="9">
        <f>I1843/500</f>
        <v>0.74890000000000001</v>
      </c>
      <c r="K1843" s="6">
        <v>5.26</v>
      </c>
      <c r="L1843" s="6">
        <v>50</v>
      </c>
      <c r="N1843" s="1">
        <f t="shared" si="211"/>
        <v>0</v>
      </c>
      <c r="O1843" s="8" t="s">
        <v>20</v>
      </c>
      <c r="P1843" s="8"/>
      <c r="Q1843" s="8" t="s">
        <v>21</v>
      </c>
      <c r="R1843" s="8" t="s">
        <v>21</v>
      </c>
      <c r="S1843" s="8" t="s">
        <v>21</v>
      </c>
      <c r="T1843" s="8" t="s">
        <v>21</v>
      </c>
      <c r="U1843" s="6">
        <f t="shared" si="213"/>
        <v>187.22499999999999</v>
      </c>
      <c r="V1843" s="6">
        <f t="shared" si="218"/>
        <v>187.22499999999999</v>
      </c>
    </row>
    <row r="1844" spans="1:22" hidden="1" x14ac:dyDescent="0.35">
      <c r="A1844" s="6" t="s">
        <v>2040</v>
      </c>
      <c r="B1844" s="6" t="s">
        <v>2033</v>
      </c>
      <c r="C1844" s="6" t="s">
        <v>2034</v>
      </c>
      <c r="D1844" s="6">
        <f t="shared" si="216"/>
        <v>0.5</v>
      </c>
      <c r="E1844" s="6" t="s">
        <v>19</v>
      </c>
      <c r="F1844" s="6" t="str">
        <f>MID(A1844,19,1)</f>
        <v>S</v>
      </c>
      <c r="G1844" s="6">
        <v>-22.989823932917801</v>
      </c>
      <c r="H1844" s="6">
        <v>-47.111645756015683</v>
      </c>
      <c r="I1844" s="9">
        <v>1949.12</v>
      </c>
      <c r="K1844" s="6">
        <v>9.5299999999999994</v>
      </c>
      <c r="L1844" s="6">
        <v>50</v>
      </c>
      <c r="N1844" s="1">
        <f t="shared" si="211"/>
        <v>0</v>
      </c>
      <c r="O1844" s="8" t="s">
        <v>20</v>
      </c>
      <c r="P1844" s="8"/>
      <c r="Q1844" s="8" t="s">
        <v>21</v>
      </c>
      <c r="R1844" s="8" t="s">
        <v>21</v>
      </c>
      <c r="S1844" s="8" t="s">
        <v>21</v>
      </c>
      <c r="T1844" s="8" t="s">
        <v>21</v>
      </c>
      <c r="U1844" s="6">
        <f t="shared" si="213"/>
        <v>974.56</v>
      </c>
      <c r="V1844" s="6">
        <f t="shared" si="218"/>
        <v>974.56</v>
      </c>
    </row>
    <row r="1845" spans="1:22" hidden="1" x14ac:dyDescent="0.35">
      <c r="A1845" s="6" t="s">
        <v>2041</v>
      </c>
      <c r="B1845" s="6" t="s">
        <v>2033</v>
      </c>
      <c r="C1845" s="6" t="s">
        <v>2034</v>
      </c>
      <c r="D1845" s="6">
        <f t="shared" si="216"/>
        <v>0.5</v>
      </c>
      <c r="E1845" s="6" t="s">
        <v>19</v>
      </c>
      <c r="F1845" s="6" t="str">
        <f>MID(A1845,19,1)</f>
        <v>S</v>
      </c>
      <c r="G1845" s="6">
        <v>-22.968874061450361</v>
      </c>
      <c r="H1845" s="6">
        <v>-47.052171567314424</v>
      </c>
      <c r="I1845" s="9">
        <v>2071.69</v>
      </c>
      <c r="K1845" s="6">
        <v>5.28</v>
      </c>
      <c r="L1845" s="6">
        <v>0</v>
      </c>
      <c r="N1845" s="1">
        <f t="shared" si="211"/>
        <v>0</v>
      </c>
      <c r="O1845" s="8"/>
      <c r="P1845" s="8"/>
      <c r="Q1845" s="8" t="s">
        <v>21</v>
      </c>
      <c r="R1845" s="8" t="s">
        <v>21</v>
      </c>
      <c r="S1845" s="8" t="s">
        <v>21</v>
      </c>
      <c r="T1845" s="8" t="s">
        <v>21</v>
      </c>
      <c r="U1845" s="6">
        <f t="shared" si="213"/>
        <v>0</v>
      </c>
      <c r="V1845" s="6">
        <f t="shared" si="218"/>
        <v>0</v>
      </c>
    </row>
    <row r="1846" spans="1:22" hidden="1" x14ac:dyDescent="0.35">
      <c r="A1846" s="6" t="s">
        <v>2042</v>
      </c>
      <c r="B1846" s="6" t="s">
        <v>2033</v>
      </c>
      <c r="C1846" s="6" t="s">
        <v>2034</v>
      </c>
      <c r="D1846" s="6">
        <f t="shared" si="216"/>
        <v>0.5</v>
      </c>
      <c r="E1846" s="6" t="s">
        <v>19</v>
      </c>
      <c r="F1846" s="6" t="str">
        <f>MID(A1846,19,1)</f>
        <v>S</v>
      </c>
      <c r="G1846" s="6">
        <v>-22.968839987326589</v>
      </c>
      <c r="H1846" s="6">
        <v>-47.052033501340098</v>
      </c>
      <c r="I1846" s="9">
        <v>3234.86</v>
      </c>
      <c r="K1846" s="6">
        <v>5.21</v>
      </c>
      <c r="L1846" s="6">
        <v>0</v>
      </c>
      <c r="N1846" s="1">
        <f t="shared" si="211"/>
        <v>0</v>
      </c>
      <c r="O1846" s="8"/>
      <c r="P1846" s="8"/>
      <c r="Q1846" s="8" t="s">
        <v>26</v>
      </c>
      <c r="R1846" s="8" t="s">
        <v>21</v>
      </c>
      <c r="S1846" s="8" t="s">
        <v>21</v>
      </c>
      <c r="T1846" s="8" t="s">
        <v>21</v>
      </c>
      <c r="U1846" s="6">
        <f t="shared" si="213"/>
        <v>0</v>
      </c>
    </row>
    <row r="1847" spans="1:22" x14ac:dyDescent="0.35">
      <c r="A1847" s="6" t="s">
        <v>2043</v>
      </c>
      <c r="B1847" s="6" t="s">
        <v>2033</v>
      </c>
      <c r="C1847" s="6" t="s">
        <v>2034</v>
      </c>
      <c r="D1847" s="6">
        <f t="shared" si="216"/>
        <v>0.5</v>
      </c>
      <c r="E1847" s="6" t="s">
        <v>19</v>
      </c>
      <c r="F1847" s="6" t="str">
        <f>MID(A1847,19,1)</f>
        <v>N</v>
      </c>
      <c r="G1847" s="6">
        <v>-22.9849054248069</v>
      </c>
      <c r="H1847" s="6">
        <v>-47.111179978868712</v>
      </c>
      <c r="I1847" s="9">
        <v>2045.09</v>
      </c>
      <c r="K1847" s="6">
        <v>3.55</v>
      </c>
      <c r="L1847" s="6">
        <v>50</v>
      </c>
      <c r="N1847" s="1">
        <f t="shared" si="211"/>
        <v>0</v>
      </c>
      <c r="O1847" s="8" t="s">
        <v>20</v>
      </c>
      <c r="P1847" s="8"/>
      <c r="Q1847" s="8" t="s">
        <v>21</v>
      </c>
      <c r="R1847" s="8" t="s">
        <v>21</v>
      </c>
      <c r="S1847" s="8" t="s">
        <v>21</v>
      </c>
      <c r="T1847" s="8" t="s">
        <v>21</v>
      </c>
      <c r="U1847" s="6">
        <f t="shared" si="213"/>
        <v>1022.545</v>
      </c>
      <c r="V1847" s="6">
        <f t="shared" ref="V1847:V1863" si="221">(I1847*(L1847/100))</f>
        <v>1022.545</v>
      </c>
    </row>
    <row r="1848" spans="1:22" x14ac:dyDescent="0.35">
      <c r="A1848" s="6" t="s">
        <v>2044</v>
      </c>
      <c r="B1848" s="6" t="s">
        <v>2033</v>
      </c>
      <c r="C1848" s="6" t="s">
        <v>2034</v>
      </c>
      <c r="D1848" s="6">
        <f t="shared" si="216"/>
        <v>0.5</v>
      </c>
      <c r="E1848" s="6" t="s">
        <v>19</v>
      </c>
      <c r="F1848" s="6" t="str">
        <f>MID(A1848,19,1)</f>
        <v>N</v>
      </c>
      <c r="G1848" s="6">
        <v>-22.987373147004028</v>
      </c>
      <c r="H1848" s="6">
        <v>-47.11090168783609</v>
      </c>
      <c r="I1848" s="9">
        <v>244.98</v>
      </c>
      <c r="K1848" s="6">
        <v>8.1999999999999993</v>
      </c>
      <c r="L1848" s="6">
        <v>50</v>
      </c>
      <c r="N1848" s="1">
        <f t="shared" si="211"/>
        <v>0</v>
      </c>
      <c r="O1848" s="8" t="s">
        <v>20</v>
      </c>
      <c r="P1848" s="8"/>
      <c r="Q1848" s="8" t="s">
        <v>21</v>
      </c>
      <c r="R1848" s="8" t="s">
        <v>21</v>
      </c>
      <c r="S1848" s="8" t="s">
        <v>21</v>
      </c>
      <c r="T1848" s="8" t="s">
        <v>21</v>
      </c>
      <c r="U1848" s="6">
        <f t="shared" si="213"/>
        <v>122.49</v>
      </c>
      <c r="V1848" s="6">
        <f t="shared" si="221"/>
        <v>122.49</v>
      </c>
    </row>
    <row r="1849" spans="1:22" x14ac:dyDescent="0.35">
      <c r="A1849" s="6" t="s">
        <v>2045</v>
      </c>
      <c r="B1849" s="6" t="s">
        <v>2033</v>
      </c>
      <c r="C1849" s="6" t="s">
        <v>2034</v>
      </c>
      <c r="D1849" s="6">
        <f t="shared" si="216"/>
        <v>0.5</v>
      </c>
      <c r="E1849" s="6" t="s">
        <v>19</v>
      </c>
      <c r="F1849" s="6" t="str">
        <f>MID(A1849,19,1)</f>
        <v>N</v>
      </c>
      <c r="G1849" s="6">
        <v>-22.987495731283051</v>
      </c>
      <c r="H1849" s="6">
        <v>-47.111114747095748</v>
      </c>
      <c r="I1849" s="9">
        <v>365.99</v>
      </c>
      <c r="K1849" s="6">
        <v>4.82</v>
      </c>
      <c r="L1849" s="6">
        <v>50</v>
      </c>
      <c r="N1849" s="1">
        <f t="shared" si="211"/>
        <v>0</v>
      </c>
      <c r="O1849" s="8" t="s">
        <v>20</v>
      </c>
      <c r="P1849" s="8"/>
      <c r="Q1849" s="8" t="s">
        <v>21</v>
      </c>
      <c r="R1849" s="8" t="s">
        <v>21</v>
      </c>
      <c r="S1849" s="8" t="s">
        <v>21</v>
      </c>
      <c r="T1849" s="8" t="s">
        <v>21</v>
      </c>
      <c r="U1849" s="6">
        <f t="shared" si="213"/>
        <v>182.995</v>
      </c>
      <c r="V1849" s="6">
        <f t="shared" si="221"/>
        <v>182.995</v>
      </c>
    </row>
    <row r="1850" spans="1:22" hidden="1" x14ac:dyDescent="0.35">
      <c r="A1850" s="6" t="s">
        <v>2046</v>
      </c>
      <c r="B1850" s="6" t="s">
        <v>2033</v>
      </c>
      <c r="C1850" s="6" t="s">
        <v>2034</v>
      </c>
      <c r="D1850" s="6">
        <f t="shared" si="216"/>
        <v>0.5</v>
      </c>
      <c r="E1850" s="6" t="s">
        <v>23</v>
      </c>
      <c r="F1850" s="6" t="str">
        <f>MID(A1850,19,1)</f>
        <v>C</v>
      </c>
      <c r="G1850" s="6">
        <v>-22.990428819909461</v>
      </c>
      <c r="H1850" s="6">
        <v>-47.110061519821393</v>
      </c>
      <c r="I1850" s="9">
        <v>19629.330000000002</v>
      </c>
      <c r="J1850" s="9">
        <f t="shared" ref="J1850:J1851" si="222">I1850/500</f>
        <v>39.258660000000006</v>
      </c>
      <c r="K1850" s="6">
        <v>3.57</v>
      </c>
      <c r="L1850" s="6">
        <v>50</v>
      </c>
      <c r="N1850" s="1">
        <f t="shared" si="211"/>
        <v>0</v>
      </c>
      <c r="O1850" s="8" t="s">
        <v>20</v>
      </c>
      <c r="P1850" s="8"/>
      <c r="Q1850" s="8" t="s">
        <v>21</v>
      </c>
      <c r="R1850" s="8" t="s">
        <v>21</v>
      </c>
      <c r="S1850" s="8" t="s">
        <v>21</v>
      </c>
      <c r="T1850" s="8" t="s">
        <v>21</v>
      </c>
      <c r="U1850" s="6">
        <f t="shared" si="213"/>
        <v>9814.6650000000009</v>
      </c>
      <c r="V1850" s="6">
        <f t="shared" si="221"/>
        <v>9814.6650000000009</v>
      </c>
    </row>
    <row r="1851" spans="1:22" hidden="1" x14ac:dyDescent="0.35">
      <c r="A1851" s="6" t="s">
        <v>2047</v>
      </c>
      <c r="B1851" s="6" t="s">
        <v>2033</v>
      </c>
      <c r="C1851" s="6" t="s">
        <v>2034</v>
      </c>
      <c r="D1851" s="6">
        <f t="shared" si="216"/>
        <v>0.5</v>
      </c>
      <c r="E1851" s="6" t="s">
        <v>23</v>
      </c>
      <c r="F1851" s="6" t="str">
        <f>MID(A1851,19,1)</f>
        <v>C</v>
      </c>
      <c r="G1851" s="6">
        <v>-22.98933531450346</v>
      </c>
      <c r="H1851" s="6">
        <v>-47.110290561269487</v>
      </c>
      <c r="I1851" s="9">
        <v>22411.52</v>
      </c>
      <c r="J1851" s="9">
        <f t="shared" si="222"/>
        <v>44.823039999999999</v>
      </c>
      <c r="K1851" s="6">
        <v>3.07</v>
      </c>
      <c r="L1851" s="6">
        <v>50</v>
      </c>
      <c r="N1851" s="1">
        <f t="shared" si="211"/>
        <v>0</v>
      </c>
      <c r="O1851" s="8" t="s">
        <v>20</v>
      </c>
      <c r="P1851" s="8"/>
      <c r="Q1851" s="8" t="s">
        <v>21</v>
      </c>
      <c r="R1851" s="8" t="s">
        <v>21</v>
      </c>
      <c r="S1851" s="8" t="s">
        <v>21</v>
      </c>
      <c r="T1851" s="8" t="s">
        <v>21</v>
      </c>
      <c r="U1851" s="6">
        <f t="shared" si="213"/>
        <v>11205.76</v>
      </c>
      <c r="V1851" s="6">
        <f t="shared" si="221"/>
        <v>11205.76</v>
      </c>
    </row>
    <row r="1852" spans="1:22" x14ac:dyDescent="0.35">
      <c r="A1852" s="6" t="s">
        <v>2048</v>
      </c>
      <c r="B1852" s="6" t="s">
        <v>2033</v>
      </c>
      <c r="C1852" s="6" t="s">
        <v>2034</v>
      </c>
      <c r="D1852" s="6">
        <f t="shared" si="216"/>
        <v>0.5</v>
      </c>
      <c r="E1852" s="6" t="s">
        <v>19</v>
      </c>
      <c r="F1852" s="6" t="str">
        <f>MID(A1852,19,1)</f>
        <v>N</v>
      </c>
      <c r="G1852" s="6">
        <v>-22.989470529448081</v>
      </c>
      <c r="H1852" s="6">
        <v>-47.108430111046971</v>
      </c>
      <c r="I1852" s="9">
        <v>13786.32</v>
      </c>
      <c r="K1852" s="6">
        <v>5.18</v>
      </c>
      <c r="L1852" s="6">
        <v>50</v>
      </c>
      <c r="N1852" s="1">
        <f t="shared" si="211"/>
        <v>0</v>
      </c>
      <c r="O1852" s="8" t="s">
        <v>20</v>
      </c>
      <c r="P1852" s="8"/>
      <c r="Q1852" s="8" t="s">
        <v>21</v>
      </c>
      <c r="R1852" s="8" t="s">
        <v>21</v>
      </c>
      <c r="S1852" s="8" t="s">
        <v>21</v>
      </c>
      <c r="T1852" s="8" t="s">
        <v>21</v>
      </c>
      <c r="U1852" s="6">
        <f t="shared" si="213"/>
        <v>6893.16</v>
      </c>
      <c r="V1852" s="6">
        <f t="shared" si="221"/>
        <v>6893.16</v>
      </c>
    </row>
    <row r="1853" spans="1:22" x14ac:dyDescent="0.35">
      <c r="A1853" s="6" t="s">
        <v>2049</v>
      </c>
      <c r="B1853" s="6" t="s">
        <v>2033</v>
      </c>
      <c r="C1853" s="6" t="s">
        <v>2034</v>
      </c>
      <c r="D1853" s="6">
        <f t="shared" si="216"/>
        <v>0.5</v>
      </c>
      <c r="E1853" s="6" t="s">
        <v>19</v>
      </c>
      <c r="F1853" s="6" t="str">
        <f>MID(A1853,19,1)</f>
        <v>N</v>
      </c>
      <c r="G1853" s="6">
        <v>-22.962741982465719</v>
      </c>
      <c r="H1853" s="6">
        <v>-47.055101970129819</v>
      </c>
      <c r="I1853" s="9">
        <v>22.54</v>
      </c>
      <c r="K1853" s="6">
        <v>2</v>
      </c>
      <c r="L1853" s="6">
        <v>0</v>
      </c>
      <c r="N1853" s="1">
        <f t="shared" si="211"/>
        <v>0</v>
      </c>
      <c r="O1853" s="8"/>
      <c r="P1853" s="8"/>
      <c r="Q1853" s="8" t="s">
        <v>21</v>
      </c>
      <c r="R1853" s="8" t="s">
        <v>21</v>
      </c>
      <c r="S1853" s="8" t="s">
        <v>21</v>
      </c>
      <c r="T1853" s="8" t="s">
        <v>21</v>
      </c>
      <c r="U1853" s="6">
        <f t="shared" si="213"/>
        <v>0</v>
      </c>
      <c r="V1853" s="6">
        <f t="shared" si="221"/>
        <v>0</v>
      </c>
    </row>
    <row r="1854" spans="1:22" x14ac:dyDescent="0.35">
      <c r="A1854" s="6" t="s">
        <v>2050</v>
      </c>
      <c r="B1854" s="6" t="s">
        <v>2033</v>
      </c>
      <c r="C1854" s="6" t="s">
        <v>2034</v>
      </c>
      <c r="D1854" s="6">
        <f t="shared" si="216"/>
        <v>0.5</v>
      </c>
      <c r="E1854" s="6" t="s">
        <v>19</v>
      </c>
      <c r="F1854" s="6" t="str">
        <f>MID(A1854,19,1)</f>
        <v>N</v>
      </c>
      <c r="G1854" s="6">
        <v>-22.9652926124425</v>
      </c>
      <c r="H1854" s="6">
        <v>-47.053606917791889</v>
      </c>
      <c r="I1854" s="9">
        <v>2833.15</v>
      </c>
      <c r="K1854" s="6">
        <v>4.16</v>
      </c>
      <c r="L1854" s="6">
        <v>0</v>
      </c>
      <c r="N1854" s="1">
        <f t="shared" si="211"/>
        <v>0</v>
      </c>
      <c r="O1854" s="8"/>
      <c r="P1854" s="8"/>
      <c r="Q1854" s="8" t="s">
        <v>21</v>
      </c>
      <c r="R1854" s="8" t="s">
        <v>21</v>
      </c>
      <c r="S1854" s="8" t="s">
        <v>21</v>
      </c>
      <c r="T1854" s="8" t="s">
        <v>21</v>
      </c>
      <c r="U1854" s="6">
        <f t="shared" si="213"/>
        <v>0</v>
      </c>
      <c r="V1854" s="6">
        <f t="shared" si="221"/>
        <v>0</v>
      </c>
    </row>
    <row r="1855" spans="1:22" x14ac:dyDescent="0.35">
      <c r="A1855" s="6" t="s">
        <v>2051</v>
      </c>
      <c r="B1855" s="6" t="s">
        <v>2033</v>
      </c>
      <c r="C1855" s="6" t="s">
        <v>2034</v>
      </c>
      <c r="D1855" s="6">
        <f t="shared" si="216"/>
        <v>0.5</v>
      </c>
      <c r="E1855" s="6" t="s">
        <v>19</v>
      </c>
      <c r="F1855" s="6" t="str">
        <f>MID(A1855,19,1)</f>
        <v>N</v>
      </c>
      <c r="G1855" s="6">
        <v>-22.96456932593734</v>
      </c>
      <c r="H1855" s="6">
        <v>-47.053847704354929</v>
      </c>
      <c r="I1855" s="9">
        <v>1989.03</v>
      </c>
      <c r="K1855" s="6">
        <v>4.09</v>
      </c>
      <c r="L1855" s="6">
        <v>0</v>
      </c>
      <c r="N1855" s="1">
        <f t="shared" si="211"/>
        <v>0</v>
      </c>
      <c r="O1855" s="8"/>
      <c r="P1855" s="8"/>
      <c r="Q1855" s="8" t="s">
        <v>21</v>
      </c>
      <c r="R1855" s="8" t="s">
        <v>21</v>
      </c>
      <c r="S1855" s="8" t="s">
        <v>21</v>
      </c>
      <c r="T1855" s="8" t="s">
        <v>21</v>
      </c>
      <c r="U1855" s="6">
        <f t="shared" si="213"/>
        <v>0</v>
      </c>
      <c r="V1855" s="6">
        <f t="shared" si="221"/>
        <v>0</v>
      </c>
    </row>
    <row r="1856" spans="1:22" x14ac:dyDescent="0.35">
      <c r="A1856" s="6" t="s">
        <v>2052</v>
      </c>
      <c r="B1856" s="6" t="s">
        <v>2033</v>
      </c>
      <c r="C1856" s="6" t="s">
        <v>2034</v>
      </c>
      <c r="D1856" s="6">
        <f t="shared" si="216"/>
        <v>0.5</v>
      </c>
      <c r="E1856" s="6" t="s">
        <v>19</v>
      </c>
      <c r="F1856" s="6" t="str">
        <f>MID(A1856,19,1)</f>
        <v>N</v>
      </c>
      <c r="G1856" s="6">
        <v>-22.969964821172919</v>
      </c>
      <c r="H1856" s="6">
        <v>-47.051005710123363</v>
      </c>
      <c r="I1856" s="9">
        <v>1270.8599999999999</v>
      </c>
      <c r="K1856" s="6">
        <v>4.6500000000000004</v>
      </c>
      <c r="L1856" s="6">
        <v>60</v>
      </c>
      <c r="N1856" s="1">
        <f t="shared" si="211"/>
        <v>0</v>
      </c>
      <c r="O1856" s="8" t="s">
        <v>20</v>
      </c>
      <c r="P1856" s="8"/>
      <c r="Q1856" s="8" t="s">
        <v>21</v>
      </c>
      <c r="R1856" s="8" t="s">
        <v>21</v>
      </c>
      <c r="S1856" s="8" t="s">
        <v>21</v>
      </c>
      <c r="T1856" s="8" t="s">
        <v>21</v>
      </c>
      <c r="U1856" s="6">
        <f t="shared" si="213"/>
        <v>762.51599999999996</v>
      </c>
      <c r="V1856" s="6">
        <f t="shared" si="221"/>
        <v>762.51599999999996</v>
      </c>
    </row>
    <row r="1857" spans="1:22" x14ac:dyDescent="0.35">
      <c r="A1857" s="6" t="s">
        <v>2053</v>
      </c>
      <c r="B1857" s="6" t="s">
        <v>2033</v>
      </c>
      <c r="C1857" s="6" t="s">
        <v>2034</v>
      </c>
      <c r="D1857" s="6">
        <f t="shared" si="216"/>
        <v>0.5</v>
      </c>
      <c r="E1857" s="6" t="s">
        <v>19</v>
      </c>
      <c r="F1857" s="6" t="str">
        <f>MID(A1857,19,1)</f>
        <v>N</v>
      </c>
      <c r="G1857" s="6">
        <v>-22.96882160777438</v>
      </c>
      <c r="H1857" s="6">
        <v>-47.051409669806588</v>
      </c>
      <c r="I1857" s="9">
        <v>1866.43</v>
      </c>
      <c r="K1857" s="6">
        <v>4.18</v>
      </c>
      <c r="L1857" s="6">
        <v>60</v>
      </c>
      <c r="N1857" s="1">
        <f t="shared" si="211"/>
        <v>0</v>
      </c>
      <c r="O1857" s="8" t="s">
        <v>20</v>
      </c>
      <c r="P1857" s="8"/>
      <c r="Q1857" s="8" t="s">
        <v>21</v>
      </c>
      <c r="R1857" s="8" t="s">
        <v>21</v>
      </c>
      <c r="S1857" s="8" t="s">
        <v>21</v>
      </c>
      <c r="T1857" s="8" t="s">
        <v>21</v>
      </c>
      <c r="U1857" s="6">
        <f t="shared" si="213"/>
        <v>1119.8579999999999</v>
      </c>
      <c r="V1857" s="6">
        <f t="shared" si="221"/>
        <v>1119.8579999999999</v>
      </c>
    </row>
    <row r="1858" spans="1:22" x14ac:dyDescent="0.35">
      <c r="A1858" s="6" t="s">
        <v>2054</v>
      </c>
      <c r="B1858" s="6" t="s">
        <v>2033</v>
      </c>
      <c r="C1858" s="6" t="s">
        <v>2034</v>
      </c>
      <c r="D1858" s="6">
        <f t="shared" si="216"/>
        <v>0.5</v>
      </c>
      <c r="E1858" s="6" t="s">
        <v>19</v>
      </c>
      <c r="F1858" s="6" t="str">
        <f>MID(A1858,19,1)</f>
        <v>N</v>
      </c>
      <c r="G1858" s="6">
        <v>-22.966634554928781</v>
      </c>
      <c r="H1858" s="6">
        <v>-47.052584632429927</v>
      </c>
      <c r="I1858" s="9">
        <v>116.27</v>
      </c>
      <c r="K1858" s="6">
        <v>4.6399999999999997</v>
      </c>
      <c r="L1858" s="6">
        <v>60</v>
      </c>
      <c r="N1858" s="1">
        <f t="shared" ref="N1858:N1921" si="223">IF(OR(R1858="Sim",S1858="Sim",T1858="Sim"),(L1858/100)*I1858,0)</f>
        <v>0</v>
      </c>
      <c r="O1858" s="8" t="s">
        <v>20</v>
      </c>
      <c r="P1858" s="8"/>
      <c r="Q1858" s="8" t="s">
        <v>21</v>
      </c>
      <c r="R1858" s="8" t="s">
        <v>21</v>
      </c>
      <c r="S1858" s="8" t="s">
        <v>21</v>
      </c>
      <c r="T1858" s="8" t="s">
        <v>21</v>
      </c>
      <c r="U1858" s="6">
        <f t="shared" si="213"/>
        <v>69.762</v>
      </c>
      <c r="V1858" s="6">
        <f t="shared" si="221"/>
        <v>69.762</v>
      </c>
    </row>
    <row r="1859" spans="1:22" hidden="1" x14ac:dyDescent="0.35">
      <c r="A1859" s="6" t="s">
        <v>2055</v>
      </c>
      <c r="B1859" s="6" t="s">
        <v>2033</v>
      </c>
      <c r="C1859" s="6" t="s">
        <v>2034</v>
      </c>
      <c r="D1859" s="6">
        <f t="shared" si="216"/>
        <v>0.5</v>
      </c>
      <c r="E1859" s="6" t="s">
        <v>23</v>
      </c>
      <c r="F1859" s="6" t="str">
        <f>MID(A1859,19,1)</f>
        <v>C</v>
      </c>
      <c r="G1859" s="6">
        <v>-22.984989556462509</v>
      </c>
      <c r="H1859" s="6">
        <v>-47.111559408701638</v>
      </c>
      <c r="I1859" s="9">
        <v>13827.75</v>
      </c>
      <c r="J1859" s="9">
        <f>I1859/500</f>
        <v>27.6555</v>
      </c>
      <c r="K1859" s="6">
        <v>4.24</v>
      </c>
      <c r="L1859" s="6">
        <v>80</v>
      </c>
      <c r="N1859" s="1">
        <f t="shared" si="223"/>
        <v>0</v>
      </c>
      <c r="O1859" s="8" t="s">
        <v>20</v>
      </c>
      <c r="P1859" s="8"/>
      <c r="Q1859" s="8" t="s">
        <v>21</v>
      </c>
      <c r="R1859" s="8" t="s">
        <v>21</v>
      </c>
      <c r="S1859" s="8" t="s">
        <v>21</v>
      </c>
      <c r="T1859" s="8" t="s">
        <v>21</v>
      </c>
      <c r="U1859" s="6">
        <f t="shared" ref="U1859:U1922" si="224">IF(N1859=0,(I1859*(L1859/100)),0)</f>
        <v>11062.2</v>
      </c>
      <c r="V1859" s="6">
        <f t="shared" si="221"/>
        <v>11062.2</v>
      </c>
    </row>
    <row r="1860" spans="1:22" x14ac:dyDescent="0.35">
      <c r="A1860" s="6" t="s">
        <v>2056</v>
      </c>
      <c r="B1860" s="6" t="s">
        <v>2033</v>
      </c>
      <c r="C1860" s="6" t="s">
        <v>2034</v>
      </c>
      <c r="D1860" s="6">
        <f t="shared" si="216"/>
        <v>0.5</v>
      </c>
      <c r="E1860" s="6" t="s">
        <v>19</v>
      </c>
      <c r="F1860" s="6" t="str">
        <f>MID(A1860,19,1)</f>
        <v>N</v>
      </c>
      <c r="G1860" s="6">
        <v>-22.986854663519011</v>
      </c>
      <c r="H1860" s="6">
        <v>-47.111174024544553</v>
      </c>
      <c r="I1860" s="9">
        <v>571.87</v>
      </c>
      <c r="K1860" s="6">
        <v>3.94</v>
      </c>
      <c r="L1860" s="6">
        <v>50</v>
      </c>
      <c r="N1860" s="1">
        <f t="shared" si="223"/>
        <v>0</v>
      </c>
      <c r="O1860" s="8" t="s">
        <v>20</v>
      </c>
      <c r="P1860" s="8"/>
      <c r="Q1860" s="8" t="s">
        <v>21</v>
      </c>
      <c r="R1860" s="8" t="s">
        <v>21</v>
      </c>
      <c r="S1860" s="8" t="s">
        <v>21</v>
      </c>
      <c r="T1860" s="8" t="s">
        <v>21</v>
      </c>
      <c r="U1860" s="6">
        <f t="shared" si="224"/>
        <v>285.935</v>
      </c>
      <c r="V1860" s="6">
        <f t="shared" si="221"/>
        <v>285.935</v>
      </c>
    </row>
    <row r="1861" spans="1:22" hidden="1" x14ac:dyDescent="0.35">
      <c r="A1861" s="6" t="s">
        <v>2057</v>
      </c>
      <c r="B1861" s="6" t="s">
        <v>2033</v>
      </c>
      <c r="C1861" s="6" t="s">
        <v>2034</v>
      </c>
      <c r="D1861" s="6">
        <f t="shared" si="216"/>
        <v>0.5</v>
      </c>
      <c r="E1861" s="6" t="s">
        <v>19</v>
      </c>
      <c r="F1861" s="6" t="str">
        <f>MID(A1861,19,1)</f>
        <v>S</v>
      </c>
      <c r="G1861" s="6">
        <v>-22.991469914353829</v>
      </c>
      <c r="H1861" s="6">
        <v>-47.111198343710008</v>
      </c>
      <c r="I1861" s="9">
        <v>3036.98</v>
      </c>
      <c r="K1861" s="6">
        <v>8.5500000000000007</v>
      </c>
      <c r="L1861" s="6">
        <v>50</v>
      </c>
      <c r="N1861" s="1">
        <f t="shared" si="223"/>
        <v>0</v>
      </c>
      <c r="O1861" s="8" t="s">
        <v>20</v>
      </c>
      <c r="P1861" s="8"/>
      <c r="Q1861" s="8" t="s">
        <v>21</v>
      </c>
      <c r="R1861" s="8" t="s">
        <v>21</v>
      </c>
      <c r="S1861" s="8" t="s">
        <v>21</v>
      </c>
      <c r="T1861" s="8" t="s">
        <v>21</v>
      </c>
      <c r="U1861" s="6">
        <f t="shared" si="224"/>
        <v>1518.49</v>
      </c>
      <c r="V1861" s="6">
        <f t="shared" si="221"/>
        <v>1518.49</v>
      </c>
    </row>
    <row r="1862" spans="1:22" hidden="1" x14ac:dyDescent="0.35">
      <c r="A1862" s="6" t="s">
        <v>2058</v>
      </c>
      <c r="B1862" s="6" t="s">
        <v>2033</v>
      </c>
      <c r="C1862" s="6" t="s">
        <v>2034</v>
      </c>
      <c r="D1862" s="6">
        <f t="shared" si="216"/>
        <v>0.5</v>
      </c>
      <c r="E1862" s="6" t="s">
        <v>19</v>
      </c>
      <c r="F1862" s="6" t="str">
        <f>MID(A1862,19,1)</f>
        <v>S</v>
      </c>
      <c r="G1862" s="6">
        <v>-22.985135928872388</v>
      </c>
      <c r="H1862" s="6">
        <v>-47.111895514508333</v>
      </c>
      <c r="I1862" s="9">
        <v>2259.34</v>
      </c>
      <c r="K1862" s="6">
        <v>6.32</v>
      </c>
      <c r="L1862" s="6">
        <v>50</v>
      </c>
      <c r="N1862" s="1">
        <f t="shared" si="223"/>
        <v>0</v>
      </c>
      <c r="O1862" s="8" t="s">
        <v>20</v>
      </c>
      <c r="P1862" s="8"/>
      <c r="Q1862" s="8" t="s">
        <v>21</v>
      </c>
      <c r="R1862" s="8" t="s">
        <v>21</v>
      </c>
      <c r="S1862" s="8" t="s">
        <v>21</v>
      </c>
      <c r="T1862" s="8" t="s">
        <v>21</v>
      </c>
      <c r="U1862" s="6">
        <f t="shared" si="224"/>
        <v>1129.67</v>
      </c>
      <c r="V1862" s="6">
        <f t="shared" si="221"/>
        <v>1129.67</v>
      </c>
    </row>
    <row r="1863" spans="1:22" hidden="1" x14ac:dyDescent="0.35">
      <c r="A1863" s="6" t="s">
        <v>2059</v>
      </c>
      <c r="B1863" s="6" t="s">
        <v>2033</v>
      </c>
      <c r="C1863" s="6" t="s">
        <v>2034</v>
      </c>
      <c r="D1863" s="6">
        <f t="shared" si="216"/>
        <v>0.5</v>
      </c>
      <c r="E1863" s="6" t="s">
        <v>19</v>
      </c>
      <c r="F1863" s="6" t="str">
        <f>MID(A1863,19,1)</f>
        <v>S</v>
      </c>
      <c r="G1863" s="6">
        <v>-22.964459794026421</v>
      </c>
      <c r="H1863" s="6">
        <v>-47.05466508827471</v>
      </c>
      <c r="I1863" s="9">
        <v>3091.95</v>
      </c>
      <c r="K1863" s="6">
        <v>5.93</v>
      </c>
      <c r="L1863" s="6">
        <v>0</v>
      </c>
      <c r="N1863" s="1">
        <f t="shared" si="223"/>
        <v>0</v>
      </c>
      <c r="O1863" s="8"/>
      <c r="P1863" s="8"/>
      <c r="Q1863" s="8" t="s">
        <v>21</v>
      </c>
      <c r="R1863" s="8" t="s">
        <v>21</v>
      </c>
      <c r="S1863" s="8" t="s">
        <v>21</v>
      </c>
      <c r="T1863" s="8" t="s">
        <v>21</v>
      </c>
      <c r="U1863" s="6">
        <f t="shared" si="224"/>
        <v>0</v>
      </c>
      <c r="V1863" s="6">
        <f t="shared" si="221"/>
        <v>0</v>
      </c>
    </row>
    <row r="1864" spans="1:22" hidden="1" x14ac:dyDescent="0.35">
      <c r="A1864" s="6" t="s">
        <v>2060</v>
      </c>
      <c r="B1864" s="6" t="s">
        <v>2033</v>
      </c>
      <c r="C1864" s="6" t="s">
        <v>2034</v>
      </c>
      <c r="D1864" s="6">
        <f t="shared" si="216"/>
        <v>0.5</v>
      </c>
      <c r="E1864" s="6" t="s">
        <v>19</v>
      </c>
      <c r="F1864" s="6" t="str">
        <f>MID(A1864,19,1)</f>
        <v>S</v>
      </c>
      <c r="G1864" s="6">
        <v>-22.964629737491649</v>
      </c>
      <c r="H1864" s="6">
        <v>-47.054383082399347</v>
      </c>
      <c r="I1864" s="9">
        <v>2267.7600000000002</v>
      </c>
      <c r="K1864" s="6">
        <v>5.55</v>
      </c>
      <c r="L1864" s="6">
        <v>0</v>
      </c>
      <c r="N1864" s="1">
        <f t="shared" si="223"/>
        <v>0</v>
      </c>
      <c r="O1864" s="8"/>
      <c r="P1864" s="8"/>
      <c r="Q1864" s="8" t="s">
        <v>26</v>
      </c>
      <c r="R1864" s="8" t="s">
        <v>21</v>
      </c>
      <c r="S1864" s="8" t="s">
        <v>21</v>
      </c>
      <c r="T1864" s="8" t="s">
        <v>21</v>
      </c>
      <c r="U1864" s="6">
        <f t="shared" si="224"/>
        <v>0</v>
      </c>
    </row>
    <row r="1865" spans="1:22" hidden="1" x14ac:dyDescent="0.35">
      <c r="A1865" s="6" t="s">
        <v>2061</v>
      </c>
      <c r="B1865" s="6" t="s">
        <v>2033</v>
      </c>
      <c r="C1865" s="6" t="s">
        <v>2034</v>
      </c>
      <c r="D1865" s="6">
        <f t="shared" si="216"/>
        <v>0.5</v>
      </c>
      <c r="E1865" s="6" t="s">
        <v>19</v>
      </c>
      <c r="F1865" s="6" t="str">
        <f>MID(A1865,19,1)</f>
        <v>S</v>
      </c>
      <c r="G1865" s="6">
        <v>-22.99197822834957</v>
      </c>
      <c r="H1865" s="6">
        <v>-47.110294108757493</v>
      </c>
      <c r="I1865" s="9">
        <v>0.69</v>
      </c>
      <c r="K1865" s="6">
        <v>2.2000000000000002</v>
      </c>
      <c r="N1865" s="1">
        <f t="shared" si="223"/>
        <v>0</v>
      </c>
      <c r="O1865" s="8"/>
      <c r="P1865" s="8"/>
      <c r="Q1865" s="8" t="s">
        <v>21</v>
      </c>
      <c r="R1865" s="8" t="s">
        <v>21</v>
      </c>
      <c r="S1865" s="8" t="s">
        <v>21</v>
      </c>
      <c r="T1865" s="8" t="s">
        <v>21</v>
      </c>
      <c r="U1865" s="6">
        <f t="shared" si="224"/>
        <v>0</v>
      </c>
      <c r="V1865" s="6">
        <f>(I1865*(L1865/100))</f>
        <v>0</v>
      </c>
    </row>
    <row r="1866" spans="1:22" hidden="1" x14ac:dyDescent="0.35">
      <c r="A1866" s="6" t="s">
        <v>2062</v>
      </c>
      <c r="B1866" s="6" t="s">
        <v>2063</v>
      </c>
      <c r="C1866" s="6" t="s">
        <v>2064</v>
      </c>
      <c r="D1866" s="6">
        <f t="shared" si="216"/>
        <v>0.5</v>
      </c>
      <c r="E1866" s="6" t="s">
        <v>19</v>
      </c>
      <c r="F1866" s="6" t="str">
        <f>MID(A1866,19,1)</f>
        <v>S</v>
      </c>
      <c r="G1866" s="6">
        <v>-22.961094653236199</v>
      </c>
      <c r="H1866" s="6">
        <v>-47.05640019305779</v>
      </c>
      <c r="I1866" s="9">
        <v>2556.88</v>
      </c>
      <c r="K1866" s="6">
        <v>6.12</v>
      </c>
      <c r="L1866" s="6">
        <v>0</v>
      </c>
      <c r="N1866" s="1">
        <f t="shared" si="223"/>
        <v>0</v>
      </c>
      <c r="O1866" s="8"/>
      <c r="P1866" s="8"/>
      <c r="Q1866" s="8" t="s">
        <v>26</v>
      </c>
      <c r="R1866" s="8" t="s">
        <v>21</v>
      </c>
      <c r="S1866" s="8" t="s">
        <v>21</v>
      </c>
      <c r="T1866" s="8" t="s">
        <v>21</v>
      </c>
      <c r="U1866" s="6">
        <f t="shared" si="224"/>
        <v>0</v>
      </c>
    </row>
    <row r="1867" spans="1:22" hidden="1" x14ac:dyDescent="0.35">
      <c r="A1867" s="6" t="s">
        <v>2065</v>
      </c>
      <c r="B1867" s="6" t="s">
        <v>2063</v>
      </c>
      <c r="C1867" s="6" t="s">
        <v>2064</v>
      </c>
      <c r="D1867" s="6">
        <f t="shared" si="216"/>
        <v>0.5</v>
      </c>
      <c r="E1867" s="6" t="s">
        <v>23</v>
      </c>
      <c r="F1867" s="6" t="str">
        <f>MID(A1867,19,1)</f>
        <v>C</v>
      </c>
      <c r="G1867" s="6">
        <v>-22.978195109508249</v>
      </c>
      <c r="H1867" s="6">
        <v>-47.112219683511903</v>
      </c>
      <c r="I1867" s="9">
        <v>1097.54</v>
      </c>
      <c r="J1867" s="9">
        <f>I1867/500</f>
        <v>2.1950799999999999</v>
      </c>
      <c r="K1867" s="6">
        <v>6.68</v>
      </c>
      <c r="L1867" s="6">
        <v>80</v>
      </c>
      <c r="N1867" s="1">
        <f t="shared" si="223"/>
        <v>0</v>
      </c>
      <c r="O1867" s="8" t="s">
        <v>185</v>
      </c>
      <c r="P1867" s="8"/>
      <c r="Q1867" s="8" t="s">
        <v>21</v>
      </c>
      <c r="R1867" s="8" t="s">
        <v>21</v>
      </c>
      <c r="S1867" s="8" t="s">
        <v>21</v>
      </c>
      <c r="T1867" s="8" t="s">
        <v>21</v>
      </c>
      <c r="U1867" s="6">
        <f t="shared" si="224"/>
        <v>878.03200000000004</v>
      </c>
      <c r="V1867" s="6">
        <f t="shared" ref="V1867:V1930" si="225">(I1867*(L1867/100))</f>
        <v>878.03200000000004</v>
      </c>
    </row>
    <row r="1868" spans="1:22" x14ac:dyDescent="0.35">
      <c r="A1868" s="6" t="s">
        <v>2066</v>
      </c>
      <c r="B1868" s="6" t="s">
        <v>2063</v>
      </c>
      <c r="C1868" s="6" t="s">
        <v>2064</v>
      </c>
      <c r="D1868" s="6">
        <f t="shared" si="216"/>
        <v>0.5</v>
      </c>
      <c r="E1868" s="6" t="s">
        <v>19</v>
      </c>
      <c r="F1868" s="6" t="str">
        <f>MID(A1868,19,1)</f>
        <v>N</v>
      </c>
      <c r="G1868" s="6">
        <v>-22.977481493854722</v>
      </c>
      <c r="H1868" s="6">
        <v>-47.11190986926016</v>
      </c>
      <c r="I1868" s="9">
        <v>195.9</v>
      </c>
      <c r="K1868" s="6">
        <v>4.3600000000000003</v>
      </c>
      <c r="N1868" s="1">
        <f t="shared" si="223"/>
        <v>0</v>
      </c>
      <c r="O1868" s="8"/>
      <c r="P1868" s="8"/>
      <c r="Q1868" s="8" t="s">
        <v>21</v>
      </c>
      <c r="R1868" s="8" t="s">
        <v>21</v>
      </c>
      <c r="S1868" s="8" t="s">
        <v>21</v>
      </c>
      <c r="T1868" s="8" t="s">
        <v>21</v>
      </c>
      <c r="U1868" s="6">
        <f t="shared" si="224"/>
        <v>0</v>
      </c>
      <c r="V1868" s="6">
        <f t="shared" si="225"/>
        <v>0</v>
      </c>
    </row>
    <row r="1869" spans="1:22" x14ac:dyDescent="0.35">
      <c r="A1869" s="6" t="s">
        <v>2067</v>
      </c>
      <c r="B1869" s="6" t="s">
        <v>2063</v>
      </c>
      <c r="C1869" s="6" t="s">
        <v>2064</v>
      </c>
      <c r="D1869" s="6">
        <f t="shared" si="216"/>
        <v>0.5</v>
      </c>
      <c r="E1869" s="6" t="s">
        <v>19</v>
      </c>
      <c r="F1869" s="6" t="str">
        <f>MID(A1869,19,1)</f>
        <v>N</v>
      </c>
      <c r="G1869" s="6">
        <v>-22.978104308490568</v>
      </c>
      <c r="H1869" s="6">
        <v>-47.111934289114608</v>
      </c>
      <c r="I1869" s="9">
        <v>165.82</v>
      </c>
      <c r="K1869" s="6">
        <v>3.33</v>
      </c>
      <c r="L1869" s="6">
        <v>80</v>
      </c>
      <c r="N1869" s="1">
        <f t="shared" si="223"/>
        <v>0</v>
      </c>
      <c r="O1869" s="8" t="s">
        <v>20</v>
      </c>
      <c r="P1869" s="8"/>
      <c r="Q1869" s="8" t="s">
        <v>21</v>
      </c>
      <c r="R1869" s="8" t="s">
        <v>21</v>
      </c>
      <c r="S1869" s="8" t="s">
        <v>21</v>
      </c>
      <c r="T1869" s="8" t="s">
        <v>21</v>
      </c>
      <c r="U1869" s="6">
        <f t="shared" si="224"/>
        <v>132.65600000000001</v>
      </c>
      <c r="V1869" s="6">
        <f t="shared" si="225"/>
        <v>132.65600000000001</v>
      </c>
    </row>
    <row r="1870" spans="1:22" x14ac:dyDescent="0.35">
      <c r="A1870" s="6" t="s">
        <v>2068</v>
      </c>
      <c r="B1870" s="6" t="s">
        <v>2063</v>
      </c>
      <c r="C1870" s="6" t="s">
        <v>2064</v>
      </c>
      <c r="D1870" s="6">
        <f t="shared" ref="D1870:D1933" si="226">C1870-B1870</f>
        <v>0.5</v>
      </c>
      <c r="E1870" s="6" t="s">
        <v>19</v>
      </c>
      <c r="F1870" s="6" t="str">
        <f>MID(A1870,19,1)</f>
        <v>N</v>
      </c>
      <c r="G1870" s="6">
        <v>-22.955236432007599</v>
      </c>
      <c r="H1870" s="6">
        <v>-47.059173435500107</v>
      </c>
      <c r="I1870" s="9">
        <v>1145.8900000000001</v>
      </c>
      <c r="K1870" s="6">
        <v>3.89</v>
      </c>
      <c r="L1870" s="6">
        <v>20</v>
      </c>
      <c r="N1870" s="1">
        <f t="shared" si="223"/>
        <v>0</v>
      </c>
      <c r="O1870" s="8" t="s">
        <v>20</v>
      </c>
      <c r="P1870" s="8"/>
      <c r="Q1870" s="8" t="s">
        <v>21</v>
      </c>
      <c r="R1870" s="8" t="s">
        <v>21</v>
      </c>
      <c r="S1870" s="8" t="s">
        <v>21</v>
      </c>
      <c r="T1870" s="8" t="s">
        <v>21</v>
      </c>
      <c r="U1870" s="6">
        <f t="shared" si="224"/>
        <v>229.17800000000003</v>
      </c>
      <c r="V1870" s="6">
        <f t="shared" si="225"/>
        <v>229.17800000000003</v>
      </c>
    </row>
    <row r="1871" spans="1:22" hidden="1" x14ac:dyDescent="0.35">
      <c r="A1871" s="6" t="s">
        <v>2069</v>
      </c>
      <c r="B1871" s="6" t="s">
        <v>2063</v>
      </c>
      <c r="C1871" s="6" t="s">
        <v>2064</v>
      </c>
      <c r="D1871" s="6">
        <f t="shared" si="226"/>
        <v>0.5</v>
      </c>
      <c r="E1871" s="6" t="s">
        <v>19</v>
      </c>
      <c r="F1871" s="6" t="str">
        <f>MID(A1871,19,1)</f>
        <v>S</v>
      </c>
      <c r="G1871" s="6">
        <v>-22.957500293709082</v>
      </c>
      <c r="H1871" s="6">
        <v>-47.058698689905455</v>
      </c>
      <c r="I1871" s="9">
        <v>1665.63</v>
      </c>
      <c r="K1871" s="6">
        <v>7.69</v>
      </c>
      <c r="L1871" s="6">
        <v>40</v>
      </c>
      <c r="N1871" s="1">
        <f t="shared" si="223"/>
        <v>0</v>
      </c>
      <c r="O1871" s="8" t="s">
        <v>185</v>
      </c>
      <c r="P1871" s="8"/>
      <c r="Q1871" s="8" t="s">
        <v>21</v>
      </c>
      <c r="R1871" s="8" t="s">
        <v>21</v>
      </c>
      <c r="S1871" s="8" t="s">
        <v>21</v>
      </c>
      <c r="T1871" s="8" t="s">
        <v>21</v>
      </c>
      <c r="U1871" s="6">
        <f t="shared" si="224"/>
        <v>666.25200000000007</v>
      </c>
      <c r="V1871" s="6">
        <f t="shared" si="225"/>
        <v>666.25200000000007</v>
      </c>
    </row>
    <row r="1872" spans="1:22" x14ac:dyDescent="0.35">
      <c r="A1872" s="6" t="s">
        <v>2070</v>
      </c>
      <c r="B1872" s="6" t="s">
        <v>2063</v>
      </c>
      <c r="C1872" s="6" t="s">
        <v>2064</v>
      </c>
      <c r="D1872" s="6">
        <f t="shared" si="226"/>
        <v>0.5</v>
      </c>
      <c r="E1872" s="6" t="s">
        <v>19</v>
      </c>
      <c r="F1872" s="6" t="str">
        <f>MID(A1872,19,1)</f>
        <v>N</v>
      </c>
      <c r="G1872" s="6">
        <v>-22.975939416134601</v>
      </c>
      <c r="H1872" s="6">
        <v>-47.113047981012791</v>
      </c>
      <c r="I1872" s="9">
        <v>2175.25</v>
      </c>
      <c r="K1872" s="6">
        <v>7.75</v>
      </c>
      <c r="L1872" s="6">
        <v>80</v>
      </c>
      <c r="N1872" s="1">
        <f t="shared" si="223"/>
        <v>0</v>
      </c>
      <c r="O1872" s="8" t="s">
        <v>20</v>
      </c>
      <c r="P1872" s="8"/>
      <c r="Q1872" s="8" t="s">
        <v>21</v>
      </c>
      <c r="R1872" s="8" t="s">
        <v>21</v>
      </c>
      <c r="S1872" s="8" t="s">
        <v>21</v>
      </c>
      <c r="T1872" s="8" t="s">
        <v>21</v>
      </c>
      <c r="U1872" s="6">
        <f t="shared" si="224"/>
        <v>1740.2</v>
      </c>
      <c r="V1872" s="6">
        <f t="shared" si="225"/>
        <v>1740.2</v>
      </c>
    </row>
    <row r="1873" spans="1:22" hidden="1" x14ac:dyDescent="0.35">
      <c r="A1873" s="6" t="s">
        <v>2071</v>
      </c>
      <c r="B1873" s="6" t="s">
        <v>2063</v>
      </c>
      <c r="C1873" s="6" t="s">
        <v>2064</v>
      </c>
      <c r="D1873" s="6">
        <f t="shared" si="226"/>
        <v>0.5</v>
      </c>
      <c r="E1873" s="6" t="s">
        <v>19</v>
      </c>
      <c r="F1873" s="6" t="str">
        <f>MID(A1873,19,1)</f>
        <v>S</v>
      </c>
      <c r="G1873" s="6">
        <v>-22.96274710134643</v>
      </c>
      <c r="H1873" s="6">
        <v>-47.055663283410823</v>
      </c>
      <c r="I1873" s="9">
        <v>702.6</v>
      </c>
      <c r="K1873" s="6">
        <v>7.28</v>
      </c>
      <c r="L1873" s="6">
        <v>0</v>
      </c>
      <c r="N1873" s="1">
        <f t="shared" si="223"/>
        <v>0</v>
      </c>
      <c r="O1873" s="8"/>
      <c r="P1873" s="8"/>
      <c r="Q1873" s="8" t="s">
        <v>21</v>
      </c>
      <c r="R1873" s="8" t="s">
        <v>21</v>
      </c>
      <c r="S1873" s="8" t="s">
        <v>21</v>
      </c>
      <c r="T1873" s="8" t="s">
        <v>21</v>
      </c>
      <c r="U1873" s="6">
        <f t="shared" si="224"/>
        <v>0</v>
      </c>
      <c r="V1873" s="6">
        <f t="shared" si="225"/>
        <v>0</v>
      </c>
    </row>
    <row r="1874" spans="1:22" hidden="1" x14ac:dyDescent="0.35">
      <c r="A1874" s="6" t="s">
        <v>2072</v>
      </c>
      <c r="B1874" s="6" t="s">
        <v>2063</v>
      </c>
      <c r="C1874" s="6" t="s">
        <v>2064</v>
      </c>
      <c r="D1874" s="6">
        <f t="shared" si="226"/>
        <v>0.5</v>
      </c>
      <c r="E1874" s="6" t="s">
        <v>19</v>
      </c>
      <c r="F1874" s="6" t="str">
        <f>MID(A1874,19,1)</f>
        <v>S</v>
      </c>
      <c r="G1874" s="6">
        <v>-22.96075884818611</v>
      </c>
      <c r="H1874" s="6">
        <v>-47.056765550341311</v>
      </c>
      <c r="I1874" s="9">
        <v>1631.06</v>
      </c>
      <c r="K1874" s="6">
        <v>6.07</v>
      </c>
      <c r="L1874" s="6">
        <v>0</v>
      </c>
      <c r="N1874" s="1">
        <f t="shared" si="223"/>
        <v>0</v>
      </c>
      <c r="O1874" s="8"/>
      <c r="P1874" s="8"/>
      <c r="Q1874" s="8" t="s">
        <v>21</v>
      </c>
      <c r="R1874" s="8" t="s">
        <v>21</v>
      </c>
      <c r="S1874" s="8" t="s">
        <v>21</v>
      </c>
      <c r="T1874" s="8" t="s">
        <v>21</v>
      </c>
      <c r="U1874" s="6">
        <f t="shared" si="224"/>
        <v>0</v>
      </c>
      <c r="V1874" s="6">
        <f t="shared" si="225"/>
        <v>0</v>
      </c>
    </row>
    <row r="1875" spans="1:22" x14ac:dyDescent="0.35">
      <c r="A1875" s="6" t="s">
        <v>2073</v>
      </c>
      <c r="B1875" s="6" t="s">
        <v>2063</v>
      </c>
      <c r="C1875" s="6" t="s">
        <v>2064</v>
      </c>
      <c r="D1875" s="6">
        <f t="shared" si="226"/>
        <v>0.5</v>
      </c>
      <c r="E1875" s="6" t="s">
        <v>19</v>
      </c>
      <c r="F1875" s="6" t="str">
        <f>MID(A1875,19,1)</f>
        <v>N</v>
      </c>
      <c r="G1875" s="6">
        <v>-22.960606796110071</v>
      </c>
      <c r="H1875" s="6">
        <v>-47.0562877074751</v>
      </c>
      <c r="I1875" s="9">
        <v>4003.57</v>
      </c>
      <c r="K1875" s="6">
        <v>5.72</v>
      </c>
      <c r="L1875" s="6">
        <v>0</v>
      </c>
      <c r="N1875" s="1">
        <f t="shared" si="223"/>
        <v>0</v>
      </c>
      <c r="O1875" s="8"/>
      <c r="P1875" s="8"/>
      <c r="Q1875" s="8" t="s">
        <v>21</v>
      </c>
      <c r="R1875" s="8" t="s">
        <v>21</v>
      </c>
      <c r="S1875" s="8" t="s">
        <v>21</v>
      </c>
      <c r="T1875" s="8" t="s">
        <v>21</v>
      </c>
      <c r="U1875" s="6">
        <f t="shared" si="224"/>
        <v>0</v>
      </c>
      <c r="V1875" s="6">
        <f t="shared" si="225"/>
        <v>0</v>
      </c>
    </row>
    <row r="1876" spans="1:22" hidden="1" x14ac:dyDescent="0.35">
      <c r="A1876" s="6" t="s">
        <v>2074</v>
      </c>
      <c r="B1876" s="6" t="s">
        <v>2063</v>
      </c>
      <c r="C1876" s="6" t="s">
        <v>2064</v>
      </c>
      <c r="D1876" s="6">
        <f t="shared" si="226"/>
        <v>0.5</v>
      </c>
      <c r="E1876" s="6" t="s">
        <v>19</v>
      </c>
      <c r="F1876" s="6" t="str">
        <f>MID(A1876,19,1)</f>
        <v>S</v>
      </c>
      <c r="G1876" s="6">
        <v>-22.956433616176739</v>
      </c>
      <c r="H1876" s="6">
        <v>-47.059061197803068</v>
      </c>
      <c r="I1876" s="9">
        <v>2336.9</v>
      </c>
      <c r="K1876" s="6">
        <v>6.97</v>
      </c>
      <c r="L1876" s="6">
        <v>40</v>
      </c>
      <c r="N1876" s="1">
        <f t="shared" si="223"/>
        <v>0</v>
      </c>
      <c r="O1876" s="8" t="s">
        <v>185</v>
      </c>
      <c r="P1876" s="8"/>
      <c r="Q1876" s="8" t="s">
        <v>21</v>
      </c>
      <c r="R1876" s="8" t="s">
        <v>21</v>
      </c>
      <c r="S1876" s="8" t="s">
        <v>21</v>
      </c>
      <c r="T1876" s="8" t="s">
        <v>21</v>
      </c>
      <c r="U1876" s="6">
        <f t="shared" si="224"/>
        <v>934.7600000000001</v>
      </c>
      <c r="V1876" s="6">
        <f t="shared" si="225"/>
        <v>934.7600000000001</v>
      </c>
    </row>
    <row r="1877" spans="1:22" hidden="1" x14ac:dyDescent="0.35">
      <c r="A1877" s="6" t="s">
        <v>2075</v>
      </c>
      <c r="B1877" s="6" t="s">
        <v>2063</v>
      </c>
      <c r="C1877" s="6" t="s">
        <v>2064</v>
      </c>
      <c r="D1877" s="6">
        <f t="shared" si="226"/>
        <v>0.5</v>
      </c>
      <c r="E1877" s="6" t="s">
        <v>19</v>
      </c>
      <c r="F1877" s="6" t="str">
        <f>MID(A1877,19,1)</f>
        <v>S</v>
      </c>
      <c r="G1877" s="6">
        <v>-22.97619571380773</v>
      </c>
      <c r="H1877" s="6">
        <v>-47.113616372876983</v>
      </c>
      <c r="I1877" s="9">
        <v>1902.11</v>
      </c>
      <c r="K1877" s="6">
        <v>2.91</v>
      </c>
      <c r="L1877" s="6">
        <v>80</v>
      </c>
      <c r="N1877" s="1">
        <f t="shared" si="223"/>
        <v>0</v>
      </c>
      <c r="O1877" s="8" t="s">
        <v>20</v>
      </c>
      <c r="P1877" s="8"/>
      <c r="Q1877" s="8" t="s">
        <v>21</v>
      </c>
      <c r="R1877" s="8" t="s">
        <v>21</v>
      </c>
      <c r="S1877" s="8" t="s">
        <v>21</v>
      </c>
      <c r="T1877" s="8" t="s">
        <v>21</v>
      </c>
      <c r="U1877" s="6">
        <f t="shared" si="224"/>
        <v>1521.6880000000001</v>
      </c>
      <c r="V1877" s="6">
        <f t="shared" si="225"/>
        <v>1521.6880000000001</v>
      </c>
    </row>
    <row r="1878" spans="1:22" hidden="1" x14ac:dyDescent="0.35">
      <c r="A1878" s="6" t="s">
        <v>2076</v>
      </c>
      <c r="B1878" s="6" t="s">
        <v>2063</v>
      </c>
      <c r="C1878" s="6" t="s">
        <v>2064</v>
      </c>
      <c r="D1878" s="6">
        <f t="shared" si="226"/>
        <v>0.5</v>
      </c>
      <c r="E1878" s="6" t="s">
        <v>19</v>
      </c>
      <c r="F1878" s="6" t="str">
        <f>MID(A1878,19,1)</f>
        <v>S</v>
      </c>
      <c r="G1878" s="6">
        <v>-22.980519424891</v>
      </c>
      <c r="H1878" s="6">
        <v>-47.11213862607265</v>
      </c>
      <c r="I1878" s="9">
        <v>1839.78</v>
      </c>
      <c r="K1878" s="6">
        <v>6.14</v>
      </c>
      <c r="L1878" s="6">
        <v>50</v>
      </c>
      <c r="N1878" s="1">
        <f t="shared" si="223"/>
        <v>0</v>
      </c>
      <c r="O1878" s="8" t="s">
        <v>20</v>
      </c>
      <c r="P1878" s="8"/>
      <c r="Q1878" s="8" t="s">
        <v>21</v>
      </c>
      <c r="R1878" s="8" t="s">
        <v>21</v>
      </c>
      <c r="S1878" s="8" t="s">
        <v>21</v>
      </c>
      <c r="T1878" s="8" t="s">
        <v>21</v>
      </c>
      <c r="U1878" s="6">
        <f t="shared" si="224"/>
        <v>919.89</v>
      </c>
      <c r="V1878" s="6">
        <f t="shared" si="225"/>
        <v>919.89</v>
      </c>
    </row>
    <row r="1879" spans="1:22" x14ac:dyDescent="0.35">
      <c r="A1879" s="6" t="s">
        <v>2077</v>
      </c>
      <c r="B1879" s="6" t="s">
        <v>2063</v>
      </c>
      <c r="C1879" s="6" t="s">
        <v>2064</v>
      </c>
      <c r="D1879" s="6">
        <f t="shared" si="226"/>
        <v>0.5</v>
      </c>
      <c r="E1879" s="6" t="s">
        <v>19</v>
      </c>
      <c r="F1879" s="6" t="str">
        <f>MID(A1879,19,1)</f>
        <v>N</v>
      </c>
      <c r="G1879" s="6">
        <v>-22.980431209828861</v>
      </c>
      <c r="H1879" s="6">
        <v>-47.111500578997557</v>
      </c>
      <c r="I1879" s="9">
        <v>1935.32</v>
      </c>
      <c r="K1879" s="6">
        <v>4.08</v>
      </c>
      <c r="L1879" s="6">
        <v>50</v>
      </c>
      <c r="N1879" s="1">
        <f t="shared" si="223"/>
        <v>0</v>
      </c>
      <c r="O1879" s="8" t="s">
        <v>20</v>
      </c>
      <c r="P1879" s="8"/>
      <c r="Q1879" s="8" t="s">
        <v>21</v>
      </c>
      <c r="R1879" s="8" t="s">
        <v>21</v>
      </c>
      <c r="S1879" s="8" t="s">
        <v>21</v>
      </c>
      <c r="T1879" s="8" t="s">
        <v>21</v>
      </c>
      <c r="U1879" s="6">
        <f t="shared" si="224"/>
        <v>967.66</v>
      </c>
      <c r="V1879" s="6">
        <f t="shared" si="225"/>
        <v>967.66</v>
      </c>
    </row>
    <row r="1880" spans="1:22" x14ac:dyDescent="0.35">
      <c r="A1880" s="6" t="s">
        <v>2078</v>
      </c>
      <c r="B1880" s="6" t="s">
        <v>2063</v>
      </c>
      <c r="C1880" s="6" t="s">
        <v>2064</v>
      </c>
      <c r="D1880" s="6">
        <f t="shared" si="226"/>
        <v>0.5</v>
      </c>
      <c r="E1880" s="6" t="s">
        <v>19</v>
      </c>
      <c r="F1880" s="6" t="str">
        <f>MID(A1880,19,1)</f>
        <v>N</v>
      </c>
      <c r="G1880" s="6">
        <v>-22.95688877287953</v>
      </c>
      <c r="H1880" s="6">
        <v>-47.058138085718717</v>
      </c>
      <c r="I1880" s="9">
        <v>1973.33</v>
      </c>
      <c r="K1880" s="6">
        <v>3.42</v>
      </c>
      <c r="L1880" s="6">
        <v>20</v>
      </c>
      <c r="N1880" s="1">
        <f t="shared" si="223"/>
        <v>0</v>
      </c>
      <c r="O1880" s="8" t="s">
        <v>20</v>
      </c>
      <c r="P1880" s="8"/>
      <c r="Q1880" s="8" t="s">
        <v>21</v>
      </c>
      <c r="R1880" s="8" t="s">
        <v>21</v>
      </c>
      <c r="S1880" s="8" t="s">
        <v>21</v>
      </c>
      <c r="T1880" s="8" t="s">
        <v>21</v>
      </c>
      <c r="U1880" s="6">
        <f t="shared" si="224"/>
        <v>394.666</v>
      </c>
      <c r="V1880" s="6">
        <f t="shared" si="225"/>
        <v>394.666</v>
      </c>
    </row>
    <row r="1881" spans="1:22" hidden="1" x14ac:dyDescent="0.35">
      <c r="A1881" s="6" t="s">
        <v>2079</v>
      </c>
      <c r="B1881" s="6" t="s">
        <v>2063</v>
      </c>
      <c r="C1881" s="6" t="s">
        <v>2064</v>
      </c>
      <c r="D1881" s="6">
        <f t="shared" si="226"/>
        <v>0.5</v>
      </c>
      <c r="E1881" s="6" t="s">
        <v>19</v>
      </c>
      <c r="F1881" s="6" t="str">
        <f>MID(A1881,19,1)</f>
        <v>S</v>
      </c>
      <c r="G1881" s="6">
        <v>-22.955822277474919</v>
      </c>
      <c r="H1881" s="6">
        <v>-47.059626296099644</v>
      </c>
      <c r="I1881" s="9">
        <v>3269.37</v>
      </c>
      <c r="K1881" s="6">
        <v>6.1</v>
      </c>
      <c r="L1881" s="6">
        <v>40</v>
      </c>
      <c r="N1881" s="1">
        <f t="shared" si="223"/>
        <v>0</v>
      </c>
      <c r="O1881" s="8" t="s">
        <v>185</v>
      </c>
      <c r="P1881" s="8"/>
      <c r="Q1881" s="8" t="s">
        <v>21</v>
      </c>
      <c r="R1881" s="8" t="s">
        <v>21</v>
      </c>
      <c r="S1881" s="8" t="s">
        <v>21</v>
      </c>
      <c r="T1881" s="8" t="s">
        <v>21</v>
      </c>
      <c r="U1881" s="6">
        <f t="shared" si="224"/>
        <v>1307.748</v>
      </c>
      <c r="V1881" s="6">
        <f t="shared" si="225"/>
        <v>1307.748</v>
      </c>
    </row>
    <row r="1882" spans="1:22" hidden="1" x14ac:dyDescent="0.35">
      <c r="A1882" s="6" t="s">
        <v>2080</v>
      </c>
      <c r="B1882" s="6" t="s">
        <v>2063</v>
      </c>
      <c r="C1882" s="6" t="s">
        <v>2064</v>
      </c>
      <c r="D1882" s="6">
        <f t="shared" si="226"/>
        <v>0.5</v>
      </c>
      <c r="E1882" s="6" t="s">
        <v>19</v>
      </c>
      <c r="F1882" s="6" t="str">
        <f>MID(A1882,19,1)</f>
        <v>S</v>
      </c>
      <c r="G1882" s="6">
        <v>-22.95900386749042</v>
      </c>
      <c r="H1882" s="6">
        <v>-47.057606708700426</v>
      </c>
      <c r="I1882" s="9">
        <v>42.26</v>
      </c>
      <c r="K1882" s="6">
        <v>8.1</v>
      </c>
      <c r="L1882" s="6">
        <v>0</v>
      </c>
      <c r="N1882" s="1">
        <f t="shared" si="223"/>
        <v>0</v>
      </c>
      <c r="O1882" s="8"/>
      <c r="P1882" s="8"/>
      <c r="Q1882" s="8" t="s">
        <v>21</v>
      </c>
      <c r="R1882" s="8" t="s">
        <v>21</v>
      </c>
      <c r="S1882" s="8" t="s">
        <v>21</v>
      </c>
      <c r="T1882" s="8" t="s">
        <v>21</v>
      </c>
      <c r="U1882" s="6">
        <f t="shared" si="224"/>
        <v>0</v>
      </c>
      <c r="V1882" s="6">
        <f t="shared" si="225"/>
        <v>0</v>
      </c>
    </row>
    <row r="1883" spans="1:22" x14ac:dyDescent="0.35">
      <c r="A1883" s="6" t="s">
        <v>2081</v>
      </c>
      <c r="B1883" s="6" t="s">
        <v>2063</v>
      </c>
      <c r="C1883" s="6" t="s">
        <v>2064</v>
      </c>
      <c r="D1883" s="6">
        <f t="shared" si="226"/>
        <v>0.5</v>
      </c>
      <c r="E1883" s="6" t="s">
        <v>19</v>
      </c>
      <c r="F1883" s="6" t="str">
        <f>MID(A1883,19,1)</f>
        <v>N</v>
      </c>
      <c r="G1883" s="6">
        <v>-22.957192293418341</v>
      </c>
      <c r="H1883" s="6">
        <v>-47.058219327802313</v>
      </c>
      <c r="I1883" s="9">
        <v>5708.41</v>
      </c>
      <c r="K1883" s="6">
        <v>4.47</v>
      </c>
      <c r="L1883" s="6">
        <v>20</v>
      </c>
      <c r="N1883" s="1">
        <f t="shared" si="223"/>
        <v>0</v>
      </c>
      <c r="O1883" s="8" t="s">
        <v>20</v>
      </c>
      <c r="P1883" s="8"/>
      <c r="Q1883" s="8" t="s">
        <v>21</v>
      </c>
      <c r="R1883" s="8" t="s">
        <v>21</v>
      </c>
      <c r="S1883" s="8" t="s">
        <v>21</v>
      </c>
      <c r="T1883" s="8" t="s">
        <v>21</v>
      </c>
      <c r="U1883" s="6">
        <f t="shared" si="224"/>
        <v>1141.682</v>
      </c>
      <c r="V1883" s="6">
        <f t="shared" si="225"/>
        <v>1141.682</v>
      </c>
    </row>
    <row r="1884" spans="1:22" hidden="1" x14ac:dyDescent="0.35">
      <c r="A1884" s="6" t="s">
        <v>2082</v>
      </c>
      <c r="B1884" s="6" t="s">
        <v>2063</v>
      </c>
      <c r="C1884" s="6" t="s">
        <v>2064</v>
      </c>
      <c r="D1884" s="6">
        <f t="shared" si="226"/>
        <v>0.5</v>
      </c>
      <c r="E1884" s="6" t="s">
        <v>23</v>
      </c>
      <c r="F1884" s="6" t="str">
        <f>MID(A1884,19,1)</f>
        <v>C</v>
      </c>
      <c r="G1884" s="6">
        <v>-22.980480600669878</v>
      </c>
      <c r="H1884" s="6">
        <v>-47.11181327859034</v>
      </c>
      <c r="I1884" s="9">
        <v>12230.87</v>
      </c>
      <c r="J1884" s="9">
        <f>I1884/500</f>
        <v>24.461740000000002</v>
      </c>
      <c r="K1884" s="6">
        <v>5.74</v>
      </c>
      <c r="L1884" s="6">
        <v>80</v>
      </c>
      <c r="N1884" s="1">
        <f t="shared" si="223"/>
        <v>0</v>
      </c>
      <c r="O1884" s="8" t="s">
        <v>20</v>
      </c>
      <c r="P1884" s="8"/>
      <c r="Q1884" s="8" t="s">
        <v>21</v>
      </c>
      <c r="R1884" s="8" t="s">
        <v>21</v>
      </c>
      <c r="S1884" s="8" t="s">
        <v>21</v>
      </c>
      <c r="T1884" s="8" t="s">
        <v>21</v>
      </c>
      <c r="U1884" s="6">
        <f t="shared" si="224"/>
        <v>9784.6960000000017</v>
      </c>
      <c r="V1884" s="6">
        <f t="shared" si="225"/>
        <v>9784.6960000000017</v>
      </c>
    </row>
    <row r="1885" spans="1:22" hidden="1" x14ac:dyDescent="0.35">
      <c r="A1885" s="6" t="s">
        <v>2083</v>
      </c>
      <c r="B1885" s="6" t="s">
        <v>2063</v>
      </c>
      <c r="C1885" s="6" t="s">
        <v>2064</v>
      </c>
      <c r="D1885" s="6">
        <f t="shared" si="226"/>
        <v>0.5</v>
      </c>
      <c r="E1885" s="6" t="s">
        <v>19</v>
      </c>
      <c r="F1885" s="6" t="str">
        <f>MID(A1885,19,1)</f>
        <v>S</v>
      </c>
      <c r="G1885" s="6">
        <v>-22.978297355297389</v>
      </c>
      <c r="H1885" s="6">
        <v>-47.112534529789613</v>
      </c>
      <c r="I1885" s="9">
        <v>165.88</v>
      </c>
      <c r="K1885" s="6">
        <v>9.24</v>
      </c>
      <c r="L1885" s="6">
        <v>80</v>
      </c>
      <c r="N1885" s="1">
        <f t="shared" si="223"/>
        <v>0</v>
      </c>
      <c r="O1885" s="8" t="s">
        <v>20</v>
      </c>
      <c r="P1885" s="8"/>
      <c r="Q1885" s="8" t="s">
        <v>21</v>
      </c>
      <c r="R1885" s="8" t="s">
        <v>21</v>
      </c>
      <c r="S1885" s="8" t="s">
        <v>21</v>
      </c>
      <c r="T1885" s="8" t="s">
        <v>21</v>
      </c>
      <c r="U1885" s="6">
        <f t="shared" si="224"/>
        <v>132.70400000000001</v>
      </c>
      <c r="V1885" s="6">
        <f t="shared" si="225"/>
        <v>132.70400000000001</v>
      </c>
    </row>
    <row r="1886" spans="1:22" x14ac:dyDescent="0.35">
      <c r="A1886" s="6" t="s">
        <v>2084</v>
      </c>
      <c r="B1886" s="6" t="s">
        <v>2063</v>
      </c>
      <c r="C1886" s="6" t="s">
        <v>2064</v>
      </c>
      <c r="D1886" s="6">
        <f t="shared" si="226"/>
        <v>0.5</v>
      </c>
      <c r="E1886" s="6" t="s">
        <v>19</v>
      </c>
      <c r="F1886" s="6" t="str">
        <f>MID(A1886,19,1)</f>
        <v>N</v>
      </c>
      <c r="G1886" s="6">
        <v>-22.960737803824831</v>
      </c>
      <c r="H1886" s="6">
        <v>-47.056045322732302</v>
      </c>
      <c r="I1886" s="9">
        <v>1849.34</v>
      </c>
      <c r="K1886" s="6">
        <v>5.45</v>
      </c>
      <c r="L1886" s="6">
        <v>0</v>
      </c>
      <c r="N1886" s="1">
        <f t="shared" si="223"/>
        <v>0</v>
      </c>
      <c r="O1886" s="8"/>
      <c r="P1886" s="8"/>
      <c r="Q1886" s="8" t="s">
        <v>21</v>
      </c>
      <c r="R1886" s="8" t="s">
        <v>21</v>
      </c>
      <c r="S1886" s="8" t="s">
        <v>21</v>
      </c>
      <c r="T1886" s="8" t="s">
        <v>21</v>
      </c>
      <c r="U1886" s="6">
        <f t="shared" si="224"/>
        <v>0</v>
      </c>
      <c r="V1886" s="6">
        <f t="shared" si="225"/>
        <v>0</v>
      </c>
    </row>
    <row r="1887" spans="1:22" hidden="1" x14ac:dyDescent="0.35">
      <c r="A1887" s="6" t="s">
        <v>2085</v>
      </c>
      <c r="B1887" s="6" t="s">
        <v>2063</v>
      </c>
      <c r="C1887" s="6" t="s">
        <v>2064</v>
      </c>
      <c r="D1887" s="6">
        <f t="shared" si="226"/>
        <v>0.5</v>
      </c>
      <c r="E1887" s="6" t="s">
        <v>23</v>
      </c>
      <c r="F1887" s="6" t="str">
        <f>MID(A1887,19,1)</f>
        <v>C</v>
      </c>
      <c r="G1887" s="6">
        <v>-22.97600844632046</v>
      </c>
      <c r="H1887" s="6">
        <v>-47.113372266367413</v>
      </c>
      <c r="I1887" s="9">
        <v>14181.28</v>
      </c>
      <c r="J1887" s="9">
        <f t="shared" ref="J1887:J1888" si="227">I1887/500</f>
        <v>28.362560000000002</v>
      </c>
      <c r="K1887" s="6">
        <v>4.91</v>
      </c>
      <c r="L1887" s="6">
        <v>80</v>
      </c>
      <c r="N1887" s="1">
        <f t="shared" si="223"/>
        <v>0</v>
      </c>
      <c r="O1887" s="8" t="s">
        <v>20</v>
      </c>
      <c r="P1887" s="8"/>
      <c r="Q1887" s="8" t="s">
        <v>21</v>
      </c>
      <c r="R1887" s="8" t="s">
        <v>21</v>
      </c>
      <c r="S1887" s="8" t="s">
        <v>21</v>
      </c>
      <c r="T1887" s="8" t="s">
        <v>21</v>
      </c>
      <c r="U1887" s="6">
        <f t="shared" si="224"/>
        <v>11345.024000000001</v>
      </c>
      <c r="V1887" s="6">
        <f t="shared" si="225"/>
        <v>11345.024000000001</v>
      </c>
    </row>
    <row r="1888" spans="1:22" hidden="1" x14ac:dyDescent="0.35">
      <c r="A1888" s="6" t="s">
        <v>2086</v>
      </c>
      <c r="B1888" s="6" t="s">
        <v>2087</v>
      </c>
      <c r="C1888" s="6" t="s">
        <v>2088</v>
      </c>
      <c r="D1888" s="6">
        <f t="shared" si="226"/>
        <v>0.5</v>
      </c>
      <c r="E1888" s="6" t="s">
        <v>23</v>
      </c>
      <c r="F1888" s="6" t="str">
        <f>MID(A1888,19,1)</f>
        <v>C</v>
      </c>
      <c r="G1888" s="6">
        <v>-22.968398871912239</v>
      </c>
      <c r="H1888" s="6">
        <v>-47.11806717352205</v>
      </c>
      <c r="I1888" s="9">
        <v>14641.72</v>
      </c>
      <c r="J1888" s="9">
        <f t="shared" si="227"/>
        <v>29.283439999999999</v>
      </c>
      <c r="K1888" s="6">
        <v>5.19</v>
      </c>
      <c r="L1888" s="6">
        <v>80</v>
      </c>
      <c r="N1888" s="1">
        <f t="shared" si="223"/>
        <v>0</v>
      </c>
      <c r="O1888" s="8" t="s">
        <v>20</v>
      </c>
      <c r="P1888" s="8"/>
      <c r="Q1888" s="8" t="s">
        <v>21</v>
      </c>
      <c r="R1888" s="8" t="s">
        <v>21</v>
      </c>
      <c r="S1888" s="8" t="s">
        <v>21</v>
      </c>
      <c r="T1888" s="8" t="s">
        <v>21</v>
      </c>
      <c r="U1888" s="6">
        <f t="shared" si="224"/>
        <v>11713.376</v>
      </c>
      <c r="V1888" s="6">
        <f t="shared" si="225"/>
        <v>11713.376</v>
      </c>
    </row>
    <row r="1889" spans="1:22" hidden="1" x14ac:dyDescent="0.35">
      <c r="A1889" s="6" t="s">
        <v>2089</v>
      </c>
      <c r="B1889" s="6" t="s">
        <v>2087</v>
      </c>
      <c r="C1889" s="6" t="s">
        <v>2088</v>
      </c>
      <c r="D1889" s="6">
        <f t="shared" si="226"/>
        <v>0.5</v>
      </c>
      <c r="E1889" s="6" t="s">
        <v>19</v>
      </c>
      <c r="F1889" s="6" t="str">
        <f>MID(A1889,19,1)</f>
        <v>S</v>
      </c>
      <c r="G1889" s="6">
        <v>-22.951263161496659</v>
      </c>
      <c r="H1889" s="6">
        <v>-47.062001616219931</v>
      </c>
      <c r="I1889" s="9">
        <v>394.29</v>
      </c>
      <c r="K1889" s="6">
        <v>4.2699999999999996</v>
      </c>
      <c r="L1889" s="6">
        <v>40</v>
      </c>
      <c r="N1889" s="1">
        <f t="shared" si="223"/>
        <v>0</v>
      </c>
      <c r="O1889" s="8" t="s">
        <v>185</v>
      </c>
      <c r="P1889" s="8"/>
      <c r="Q1889" s="8" t="s">
        <v>21</v>
      </c>
      <c r="R1889" s="8" t="s">
        <v>21</v>
      </c>
      <c r="S1889" s="8" t="s">
        <v>21</v>
      </c>
      <c r="T1889" s="8" t="s">
        <v>21</v>
      </c>
      <c r="U1889" s="6">
        <f t="shared" si="224"/>
        <v>157.71600000000001</v>
      </c>
      <c r="V1889" s="6">
        <f t="shared" si="225"/>
        <v>157.71600000000001</v>
      </c>
    </row>
    <row r="1890" spans="1:22" hidden="1" x14ac:dyDescent="0.35">
      <c r="A1890" s="6" t="s">
        <v>2090</v>
      </c>
      <c r="B1890" s="6" t="s">
        <v>2087</v>
      </c>
      <c r="C1890" s="6" t="s">
        <v>2088</v>
      </c>
      <c r="D1890" s="6">
        <f t="shared" si="226"/>
        <v>0.5</v>
      </c>
      <c r="E1890" s="6" t="s">
        <v>19</v>
      </c>
      <c r="F1890" s="6" t="str">
        <f>MID(A1890,19,1)</f>
        <v>S</v>
      </c>
      <c r="G1890" s="6">
        <v>-22.949586462915029</v>
      </c>
      <c r="H1890" s="6">
        <v>-47.062954039458546</v>
      </c>
      <c r="I1890" s="9">
        <v>1660.71</v>
      </c>
      <c r="K1890" s="6">
        <v>4.1500000000000004</v>
      </c>
      <c r="L1890" s="6">
        <v>40</v>
      </c>
      <c r="N1890" s="1">
        <f t="shared" si="223"/>
        <v>0</v>
      </c>
      <c r="O1890" s="8" t="s">
        <v>185</v>
      </c>
      <c r="P1890" s="8"/>
      <c r="Q1890" s="8" t="s">
        <v>21</v>
      </c>
      <c r="R1890" s="8" t="s">
        <v>21</v>
      </c>
      <c r="S1890" s="8" t="s">
        <v>21</v>
      </c>
      <c r="T1890" s="8" t="s">
        <v>21</v>
      </c>
      <c r="U1890" s="6">
        <f t="shared" si="224"/>
        <v>664.28400000000011</v>
      </c>
      <c r="V1890" s="6">
        <f t="shared" si="225"/>
        <v>664.28400000000011</v>
      </c>
    </row>
    <row r="1891" spans="1:22" x14ac:dyDescent="0.35">
      <c r="A1891" s="6" t="s">
        <v>2091</v>
      </c>
      <c r="B1891" s="6" t="s">
        <v>2087</v>
      </c>
      <c r="C1891" s="6" t="s">
        <v>2088</v>
      </c>
      <c r="D1891" s="6">
        <f t="shared" si="226"/>
        <v>0.5</v>
      </c>
      <c r="E1891" s="6" t="s">
        <v>19</v>
      </c>
      <c r="F1891" s="6" t="str">
        <f>MID(A1891,19,1)</f>
        <v>N</v>
      </c>
      <c r="G1891" s="6">
        <v>-22.953961720929559</v>
      </c>
      <c r="H1891" s="6">
        <v>-47.059867423250658</v>
      </c>
      <c r="I1891" s="9">
        <v>1531.83</v>
      </c>
      <c r="K1891" s="6">
        <v>6.08</v>
      </c>
      <c r="L1891" s="6">
        <v>20</v>
      </c>
      <c r="N1891" s="1">
        <f t="shared" si="223"/>
        <v>0</v>
      </c>
      <c r="O1891" s="8" t="s">
        <v>20</v>
      </c>
      <c r="P1891" s="8"/>
      <c r="Q1891" s="8" t="s">
        <v>21</v>
      </c>
      <c r="R1891" s="8" t="s">
        <v>21</v>
      </c>
      <c r="S1891" s="8" t="s">
        <v>21</v>
      </c>
      <c r="T1891" s="8" t="s">
        <v>21</v>
      </c>
      <c r="U1891" s="6">
        <f t="shared" si="224"/>
        <v>306.36599999999999</v>
      </c>
      <c r="V1891" s="6">
        <f t="shared" si="225"/>
        <v>306.36599999999999</v>
      </c>
    </row>
    <row r="1892" spans="1:22" x14ac:dyDescent="0.35">
      <c r="A1892" s="6" t="s">
        <v>2092</v>
      </c>
      <c r="B1892" s="6" t="s">
        <v>2087</v>
      </c>
      <c r="C1892" s="6" t="s">
        <v>2088</v>
      </c>
      <c r="D1892" s="6">
        <f t="shared" si="226"/>
        <v>0.5</v>
      </c>
      <c r="E1892" s="6" t="s">
        <v>19</v>
      </c>
      <c r="F1892" s="6" t="str">
        <f>MID(A1892,19,1)</f>
        <v>N</v>
      </c>
      <c r="G1892" s="6">
        <v>-22.952262146125491</v>
      </c>
      <c r="H1892" s="6">
        <v>-47.060816960501185</v>
      </c>
      <c r="I1892" s="9">
        <v>1560.05</v>
      </c>
      <c r="K1892" s="6">
        <v>7.01</v>
      </c>
      <c r="L1892" s="6">
        <v>20</v>
      </c>
      <c r="N1892" s="1">
        <f t="shared" si="223"/>
        <v>0</v>
      </c>
      <c r="O1892" s="8" t="s">
        <v>20</v>
      </c>
      <c r="P1892" s="8"/>
      <c r="Q1892" s="8" t="s">
        <v>21</v>
      </c>
      <c r="R1892" s="8" t="s">
        <v>21</v>
      </c>
      <c r="S1892" s="8" t="s">
        <v>21</v>
      </c>
      <c r="T1892" s="8" t="s">
        <v>21</v>
      </c>
      <c r="U1892" s="6">
        <f t="shared" si="224"/>
        <v>312.01</v>
      </c>
      <c r="V1892" s="6">
        <f t="shared" si="225"/>
        <v>312.01</v>
      </c>
    </row>
    <row r="1893" spans="1:22" hidden="1" x14ac:dyDescent="0.35">
      <c r="A1893" s="6" t="s">
        <v>2093</v>
      </c>
      <c r="B1893" s="6" t="s">
        <v>2087</v>
      </c>
      <c r="C1893" s="6" t="s">
        <v>2088</v>
      </c>
      <c r="D1893" s="6">
        <f t="shared" si="226"/>
        <v>0.5</v>
      </c>
      <c r="E1893" s="6" t="s">
        <v>19</v>
      </c>
      <c r="F1893" s="6" t="str">
        <f>MID(A1893,19,1)</f>
        <v>S</v>
      </c>
      <c r="G1893" s="6">
        <v>-22.947639612196721</v>
      </c>
      <c r="H1893" s="6">
        <v>-47.064321403733892</v>
      </c>
      <c r="I1893" s="9">
        <v>712.31</v>
      </c>
      <c r="K1893" s="6">
        <v>5.67</v>
      </c>
      <c r="L1893" s="6">
        <v>40</v>
      </c>
      <c r="N1893" s="1">
        <f t="shared" si="223"/>
        <v>0</v>
      </c>
      <c r="O1893" s="8" t="s">
        <v>185</v>
      </c>
      <c r="P1893" s="8"/>
      <c r="Q1893" s="8" t="s">
        <v>21</v>
      </c>
      <c r="R1893" s="8" t="s">
        <v>21</v>
      </c>
      <c r="S1893" s="8" t="s">
        <v>21</v>
      </c>
      <c r="T1893" s="8" t="s">
        <v>21</v>
      </c>
      <c r="U1893" s="6">
        <f t="shared" si="224"/>
        <v>284.92399999999998</v>
      </c>
      <c r="V1893" s="6">
        <f t="shared" si="225"/>
        <v>284.92399999999998</v>
      </c>
    </row>
    <row r="1894" spans="1:22" hidden="1" x14ac:dyDescent="0.35">
      <c r="A1894" s="6" t="s">
        <v>2094</v>
      </c>
      <c r="B1894" s="6" t="s">
        <v>2087</v>
      </c>
      <c r="C1894" s="6" t="s">
        <v>2088</v>
      </c>
      <c r="D1894" s="6">
        <f t="shared" si="226"/>
        <v>0.5</v>
      </c>
      <c r="E1894" s="6" t="s">
        <v>23</v>
      </c>
      <c r="F1894" s="6" t="str">
        <f>MID(A1894,19,1)</f>
        <v>C</v>
      </c>
      <c r="G1894" s="6">
        <v>-22.972180149914351</v>
      </c>
      <c r="H1894" s="6">
        <v>-47.115633772789259</v>
      </c>
      <c r="I1894" s="9">
        <v>14585.57</v>
      </c>
      <c r="J1894" s="9">
        <f>I1894/500</f>
        <v>29.171140000000001</v>
      </c>
      <c r="K1894" s="6">
        <v>3.66</v>
      </c>
      <c r="L1894" s="6">
        <v>80</v>
      </c>
      <c r="N1894" s="1">
        <f t="shared" si="223"/>
        <v>0</v>
      </c>
      <c r="O1894" s="8" t="s">
        <v>20</v>
      </c>
      <c r="P1894" s="8"/>
      <c r="Q1894" s="8" t="s">
        <v>21</v>
      </c>
      <c r="R1894" s="8" t="s">
        <v>21</v>
      </c>
      <c r="S1894" s="8" t="s">
        <v>21</v>
      </c>
      <c r="T1894" s="8" t="s">
        <v>21</v>
      </c>
      <c r="U1894" s="6">
        <f t="shared" si="224"/>
        <v>11668.456</v>
      </c>
      <c r="V1894" s="6">
        <f t="shared" si="225"/>
        <v>11668.456</v>
      </c>
    </row>
    <row r="1895" spans="1:22" x14ac:dyDescent="0.35">
      <c r="A1895" s="6" t="s">
        <v>2095</v>
      </c>
      <c r="B1895" s="6" t="s">
        <v>2087</v>
      </c>
      <c r="C1895" s="6" t="s">
        <v>2088</v>
      </c>
      <c r="D1895" s="6">
        <f t="shared" si="226"/>
        <v>0.5</v>
      </c>
      <c r="E1895" s="6" t="s">
        <v>19</v>
      </c>
      <c r="F1895" s="6" t="str">
        <f>MID(A1895,19,1)</f>
        <v>N</v>
      </c>
      <c r="G1895" s="6">
        <v>-22.971990124414361</v>
      </c>
      <c r="H1895" s="6">
        <v>-47.115389573400883</v>
      </c>
      <c r="I1895" s="9">
        <v>1957.14</v>
      </c>
      <c r="K1895" s="6">
        <v>4.3899999999999997</v>
      </c>
      <c r="L1895" s="6">
        <v>80</v>
      </c>
      <c r="N1895" s="1">
        <f t="shared" si="223"/>
        <v>0</v>
      </c>
      <c r="O1895" s="8" t="s">
        <v>20</v>
      </c>
      <c r="P1895" s="8"/>
      <c r="Q1895" s="8" t="s">
        <v>21</v>
      </c>
      <c r="R1895" s="8" t="s">
        <v>21</v>
      </c>
      <c r="S1895" s="8" t="s">
        <v>21</v>
      </c>
      <c r="T1895" s="8" t="s">
        <v>21</v>
      </c>
      <c r="U1895" s="6">
        <f t="shared" si="224"/>
        <v>1565.7120000000002</v>
      </c>
      <c r="V1895" s="6">
        <f t="shared" si="225"/>
        <v>1565.7120000000002</v>
      </c>
    </row>
    <row r="1896" spans="1:22" hidden="1" x14ac:dyDescent="0.35">
      <c r="A1896" s="6" t="s">
        <v>2096</v>
      </c>
      <c r="B1896" s="6" t="s">
        <v>2087</v>
      </c>
      <c r="C1896" s="6" t="s">
        <v>2088</v>
      </c>
      <c r="D1896" s="6">
        <f t="shared" si="226"/>
        <v>0.5</v>
      </c>
      <c r="E1896" s="6" t="s">
        <v>19</v>
      </c>
      <c r="F1896" s="6" t="str">
        <f>MID(A1896,19,1)</f>
        <v>S</v>
      </c>
      <c r="G1896" s="6">
        <v>-22.947408396746599</v>
      </c>
      <c r="H1896" s="6">
        <v>-47.064244661038799</v>
      </c>
      <c r="I1896" s="9">
        <v>1036.6500000000001</v>
      </c>
      <c r="K1896" s="6">
        <v>4.59</v>
      </c>
      <c r="L1896" s="6">
        <v>40</v>
      </c>
      <c r="N1896" s="1">
        <f t="shared" si="223"/>
        <v>0</v>
      </c>
      <c r="O1896" s="8" t="s">
        <v>185</v>
      </c>
      <c r="P1896" s="8"/>
      <c r="Q1896" s="8" t="s">
        <v>21</v>
      </c>
      <c r="R1896" s="8" t="s">
        <v>21</v>
      </c>
      <c r="S1896" s="8" t="s">
        <v>21</v>
      </c>
      <c r="T1896" s="8" t="s">
        <v>21</v>
      </c>
      <c r="U1896" s="6">
        <f t="shared" si="224"/>
        <v>414.66000000000008</v>
      </c>
      <c r="V1896" s="6">
        <f t="shared" si="225"/>
        <v>414.66000000000008</v>
      </c>
    </row>
    <row r="1897" spans="1:22" x14ac:dyDescent="0.35">
      <c r="A1897" s="6" t="s">
        <v>2097</v>
      </c>
      <c r="B1897" s="6" t="s">
        <v>2087</v>
      </c>
      <c r="C1897" s="6" t="s">
        <v>2088</v>
      </c>
      <c r="D1897" s="6">
        <f t="shared" si="226"/>
        <v>0.5</v>
      </c>
      <c r="E1897" s="6" t="s">
        <v>19</v>
      </c>
      <c r="F1897" s="6" t="str">
        <f>MID(A1897,19,1)</f>
        <v>N</v>
      </c>
      <c r="G1897" s="6">
        <v>-22.95353360735653</v>
      </c>
      <c r="H1897" s="6">
        <v>-47.060330175788991</v>
      </c>
      <c r="I1897" s="9">
        <v>1644.34</v>
      </c>
      <c r="K1897" s="6">
        <v>5.84</v>
      </c>
      <c r="L1897" s="6">
        <v>20</v>
      </c>
      <c r="N1897" s="1">
        <f t="shared" si="223"/>
        <v>0</v>
      </c>
      <c r="O1897" s="8" t="s">
        <v>20</v>
      </c>
      <c r="P1897" s="8"/>
      <c r="Q1897" s="8" t="s">
        <v>21</v>
      </c>
      <c r="R1897" s="8" t="s">
        <v>21</v>
      </c>
      <c r="S1897" s="8" t="s">
        <v>21</v>
      </c>
      <c r="T1897" s="8" t="s">
        <v>21</v>
      </c>
      <c r="U1897" s="6">
        <f t="shared" si="224"/>
        <v>328.86799999999999</v>
      </c>
      <c r="V1897" s="6">
        <f t="shared" si="225"/>
        <v>328.86799999999999</v>
      </c>
    </row>
    <row r="1898" spans="1:22" hidden="1" x14ac:dyDescent="0.35">
      <c r="A1898" s="6" t="s">
        <v>2098</v>
      </c>
      <c r="B1898" s="6" t="s">
        <v>2087</v>
      </c>
      <c r="C1898" s="6" t="s">
        <v>2088</v>
      </c>
      <c r="D1898" s="6">
        <f t="shared" si="226"/>
        <v>0.5</v>
      </c>
      <c r="E1898" s="6" t="s">
        <v>19</v>
      </c>
      <c r="F1898" s="6" t="str">
        <f>MID(A1898,19,1)</f>
        <v>S</v>
      </c>
      <c r="G1898" s="6">
        <v>-22.954604967708011</v>
      </c>
      <c r="H1898" s="6">
        <v>-47.060349283433027</v>
      </c>
      <c r="I1898" s="9">
        <v>1450.47</v>
      </c>
      <c r="K1898" s="6">
        <v>2.96</v>
      </c>
      <c r="L1898" s="6">
        <v>40</v>
      </c>
      <c r="N1898" s="1">
        <f t="shared" si="223"/>
        <v>0</v>
      </c>
      <c r="O1898" s="8" t="s">
        <v>185</v>
      </c>
      <c r="P1898" s="8"/>
      <c r="Q1898" s="8" t="s">
        <v>21</v>
      </c>
      <c r="R1898" s="8" t="s">
        <v>21</v>
      </c>
      <c r="S1898" s="8" t="s">
        <v>21</v>
      </c>
      <c r="T1898" s="8" t="s">
        <v>21</v>
      </c>
      <c r="U1898" s="6">
        <f t="shared" si="224"/>
        <v>580.18799999999999</v>
      </c>
      <c r="V1898" s="6">
        <f t="shared" si="225"/>
        <v>580.18799999999999</v>
      </c>
    </row>
    <row r="1899" spans="1:22" hidden="1" x14ac:dyDescent="0.35">
      <c r="A1899" s="6" t="s">
        <v>2099</v>
      </c>
      <c r="B1899" s="6" t="s">
        <v>2087</v>
      </c>
      <c r="C1899" s="6" t="s">
        <v>2088</v>
      </c>
      <c r="D1899" s="6">
        <f t="shared" si="226"/>
        <v>0.5</v>
      </c>
      <c r="E1899" s="6" t="s">
        <v>19</v>
      </c>
      <c r="F1899" s="6" t="str">
        <f>MID(A1899,19,1)</f>
        <v>S</v>
      </c>
      <c r="G1899" s="6">
        <v>-22.953636851029341</v>
      </c>
      <c r="H1899" s="6">
        <v>-47.060650480081556</v>
      </c>
      <c r="I1899" s="9">
        <v>2063.12</v>
      </c>
      <c r="K1899" s="6">
        <v>5.08</v>
      </c>
      <c r="L1899" s="6">
        <v>40</v>
      </c>
      <c r="N1899" s="1">
        <f t="shared" si="223"/>
        <v>0</v>
      </c>
      <c r="O1899" s="8" t="s">
        <v>185</v>
      </c>
      <c r="P1899" s="8"/>
      <c r="Q1899" s="8" t="s">
        <v>21</v>
      </c>
      <c r="R1899" s="8" t="s">
        <v>21</v>
      </c>
      <c r="S1899" s="8" t="s">
        <v>21</v>
      </c>
      <c r="T1899" s="8" t="s">
        <v>21</v>
      </c>
      <c r="U1899" s="6">
        <f t="shared" si="224"/>
        <v>825.24800000000005</v>
      </c>
      <c r="V1899" s="6">
        <f t="shared" si="225"/>
        <v>825.24800000000005</v>
      </c>
    </row>
    <row r="1900" spans="1:22" x14ac:dyDescent="0.35">
      <c r="A1900" s="6" t="s">
        <v>2100</v>
      </c>
      <c r="B1900" s="6" t="s">
        <v>2087</v>
      </c>
      <c r="C1900" s="6" t="s">
        <v>2088</v>
      </c>
      <c r="D1900" s="6">
        <f t="shared" si="226"/>
        <v>0.5</v>
      </c>
      <c r="E1900" s="6" t="s">
        <v>19</v>
      </c>
      <c r="F1900" s="6" t="str">
        <f>MID(A1900,19,1)</f>
        <v>N</v>
      </c>
      <c r="G1900" s="6">
        <v>-22.95461826709538</v>
      </c>
      <c r="H1900" s="6">
        <v>-47.059463939594373</v>
      </c>
      <c r="I1900" s="9">
        <v>618.23</v>
      </c>
      <c r="K1900" s="6">
        <v>1.3</v>
      </c>
      <c r="L1900" s="6">
        <v>20</v>
      </c>
      <c r="N1900" s="1">
        <f t="shared" si="223"/>
        <v>0</v>
      </c>
      <c r="O1900" s="8" t="s">
        <v>20</v>
      </c>
      <c r="P1900" s="8"/>
      <c r="Q1900" s="8" t="s">
        <v>21</v>
      </c>
      <c r="R1900" s="8" t="s">
        <v>21</v>
      </c>
      <c r="S1900" s="8" t="s">
        <v>21</v>
      </c>
      <c r="T1900" s="8" t="s">
        <v>21</v>
      </c>
      <c r="U1900" s="6">
        <f t="shared" si="224"/>
        <v>123.64600000000002</v>
      </c>
      <c r="V1900" s="6">
        <f t="shared" si="225"/>
        <v>123.64600000000002</v>
      </c>
    </row>
    <row r="1901" spans="1:22" x14ac:dyDescent="0.35">
      <c r="A1901" s="6" t="s">
        <v>2101</v>
      </c>
      <c r="B1901" s="6" t="s">
        <v>2087</v>
      </c>
      <c r="C1901" s="6" t="s">
        <v>2088</v>
      </c>
      <c r="D1901" s="6">
        <f t="shared" si="226"/>
        <v>0.5</v>
      </c>
      <c r="E1901" s="6" t="s">
        <v>19</v>
      </c>
      <c r="F1901" s="6" t="str">
        <f>MID(A1901,19,1)</f>
        <v>N</v>
      </c>
      <c r="G1901" s="6">
        <v>-22.954729568740529</v>
      </c>
      <c r="H1901" s="6">
        <v>-47.059638877547577</v>
      </c>
      <c r="I1901" s="9">
        <v>192.25</v>
      </c>
      <c r="K1901" s="6">
        <v>1.92</v>
      </c>
      <c r="L1901" s="6">
        <v>20</v>
      </c>
      <c r="N1901" s="1">
        <f t="shared" si="223"/>
        <v>0</v>
      </c>
      <c r="O1901" s="8" t="s">
        <v>20</v>
      </c>
      <c r="P1901" s="8"/>
      <c r="Q1901" s="8" t="s">
        <v>21</v>
      </c>
      <c r="R1901" s="8" t="s">
        <v>21</v>
      </c>
      <c r="S1901" s="8" t="s">
        <v>21</v>
      </c>
      <c r="T1901" s="8" t="s">
        <v>21</v>
      </c>
      <c r="U1901" s="6">
        <f t="shared" si="224"/>
        <v>38.450000000000003</v>
      </c>
      <c r="V1901" s="6">
        <f t="shared" si="225"/>
        <v>38.450000000000003</v>
      </c>
    </row>
    <row r="1902" spans="1:22" hidden="1" x14ac:dyDescent="0.35">
      <c r="A1902" s="6" t="s">
        <v>2102</v>
      </c>
      <c r="B1902" s="6" t="s">
        <v>2087</v>
      </c>
      <c r="C1902" s="6" t="s">
        <v>2088</v>
      </c>
      <c r="D1902" s="6">
        <f t="shared" si="226"/>
        <v>0.5</v>
      </c>
      <c r="E1902" s="6" t="s">
        <v>19</v>
      </c>
      <c r="F1902" s="6" t="str">
        <f>MID(A1902,19,1)</f>
        <v>S</v>
      </c>
      <c r="G1902" s="6">
        <v>-22.954923542811891</v>
      </c>
      <c r="H1902" s="6">
        <v>-47.059925067663343</v>
      </c>
      <c r="I1902" s="9">
        <v>39.44</v>
      </c>
      <c r="K1902" s="6">
        <v>2.39</v>
      </c>
      <c r="L1902" s="6">
        <v>0</v>
      </c>
      <c r="N1902" s="1">
        <f t="shared" si="223"/>
        <v>0</v>
      </c>
      <c r="O1902" s="8"/>
      <c r="P1902" s="8"/>
      <c r="Q1902" s="8" t="s">
        <v>21</v>
      </c>
      <c r="R1902" s="8" t="s">
        <v>21</v>
      </c>
      <c r="S1902" s="8" t="s">
        <v>21</v>
      </c>
      <c r="T1902" s="8" t="s">
        <v>21</v>
      </c>
      <c r="U1902" s="6">
        <f t="shared" si="224"/>
        <v>0</v>
      </c>
      <c r="V1902" s="6">
        <f t="shared" si="225"/>
        <v>0</v>
      </c>
    </row>
    <row r="1903" spans="1:22" hidden="1" x14ac:dyDescent="0.35">
      <c r="A1903" s="6" t="s">
        <v>2103</v>
      </c>
      <c r="B1903" s="6" t="s">
        <v>2087</v>
      </c>
      <c r="C1903" s="6" t="s">
        <v>2088</v>
      </c>
      <c r="D1903" s="6">
        <f t="shared" si="226"/>
        <v>0.5</v>
      </c>
      <c r="E1903" s="6" t="s">
        <v>19</v>
      </c>
      <c r="F1903" s="6" t="str">
        <f>MID(A1903,19,1)</f>
        <v>S</v>
      </c>
      <c r="G1903" s="6">
        <v>-22.94867459001015</v>
      </c>
      <c r="H1903" s="6">
        <v>-47.06383893904902</v>
      </c>
      <c r="I1903" s="9">
        <v>70.97</v>
      </c>
      <c r="K1903" s="6">
        <v>6.45</v>
      </c>
      <c r="L1903" s="6">
        <v>40</v>
      </c>
      <c r="N1903" s="1">
        <f t="shared" si="223"/>
        <v>0</v>
      </c>
      <c r="O1903" s="8" t="s">
        <v>185</v>
      </c>
      <c r="P1903" s="8"/>
      <c r="Q1903" s="8" t="s">
        <v>21</v>
      </c>
      <c r="R1903" s="8" t="s">
        <v>21</v>
      </c>
      <c r="S1903" s="8" t="s">
        <v>21</v>
      </c>
      <c r="T1903" s="8" t="s">
        <v>21</v>
      </c>
      <c r="U1903" s="6">
        <f t="shared" si="224"/>
        <v>28.388000000000002</v>
      </c>
      <c r="V1903" s="6">
        <f t="shared" si="225"/>
        <v>28.388000000000002</v>
      </c>
    </row>
    <row r="1904" spans="1:22" hidden="1" x14ac:dyDescent="0.35">
      <c r="A1904" s="6" t="s">
        <v>2104</v>
      </c>
      <c r="B1904" s="6" t="s">
        <v>2087</v>
      </c>
      <c r="C1904" s="6" t="s">
        <v>2088</v>
      </c>
      <c r="D1904" s="6">
        <f t="shared" si="226"/>
        <v>0.5</v>
      </c>
      <c r="E1904" s="6" t="s">
        <v>19</v>
      </c>
      <c r="F1904" s="6" t="str">
        <f>MID(A1904,19,1)</f>
        <v>S</v>
      </c>
      <c r="G1904" s="6">
        <v>-22.968589593345062</v>
      </c>
      <c r="H1904" s="6">
        <v>-47.118302672059237</v>
      </c>
      <c r="I1904" s="9">
        <v>1949.04</v>
      </c>
      <c r="K1904" s="6">
        <v>5.56</v>
      </c>
      <c r="L1904" s="6">
        <v>80</v>
      </c>
      <c r="N1904" s="1">
        <f t="shared" si="223"/>
        <v>0</v>
      </c>
      <c r="O1904" s="8" t="s">
        <v>20</v>
      </c>
      <c r="P1904" s="8"/>
      <c r="Q1904" s="8" t="s">
        <v>21</v>
      </c>
      <c r="R1904" s="8" t="s">
        <v>21</v>
      </c>
      <c r="S1904" s="8" t="s">
        <v>21</v>
      </c>
      <c r="T1904" s="8" t="s">
        <v>21</v>
      </c>
      <c r="U1904" s="6">
        <f t="shared" si="224"/>
        <v>1559.232</v>
      </c>
      <c r="V1904" s="6">
        <f t="shared" si="225"/>
        <v>1559.232</v>
      </c>
    </row>
    <row r="1905" spans="1:22" hidden="1" x14ac:dyDescent="0.35">
      <c r="A1905" s="6" t="s">
        <v>2105</v>
      </c>
      <c r="B1905" s="6" t="s">
        <v>2087</v>
      </c>
      <c r="C1905" s="6" t="s">
        <v>2088</v>
      </c>
      <c r="D1905" s="6">
        <f t="shared" si="226"/>
        <v>0.5</v>
      </c>
      <c r="E1905" s="6" t="s">
        <v>19</v>
      </c>
      <c r="F1905" s="6" t="str">
        <f>MID(A1905,19,1)</f>
        <v>S</v>
      </c>
      <c r="G1905" s="6">
        <v>-22.9489004094387</v>
      </c>
      <c r="H1905" s="6">
        <v>-47.063565097273909</v>
      </c>
      <c r="I1905" s="9">
        <v>622.25</v>
      </c>
      <c r="K1905" s="6">
        <v>4.4400000000000004</v>
      </c>
      <c r="L1905" s="6">
        <v>40</v>
      </c>
      <c r="N1905" s="1">
        <f t="shared" si="223"/>
        <v>0</v>
      </c>
      <c r="O1905" s="8" t="s">
        <v>185</v>
      </c>
      <c r="P1905" s="8"/>
      <c r="Q1905" s="8" t="s">
        <v>21</v>
      </c>
      <c r="R1905" s="8" t="s">
        <v>21</v>
      </c>
      <c r="S1905" s="8" t="s">
        <v>21</v>
      </c>
      <c r="T1905" s="8" t="s">
        <v>21</v>
      </c>
      <c r="U1905" s="6">
        <f t="shared" si="224"/>
        <v>248.9</v>
      </c>
      <c r="V1905" s="6">
        <f t="shared" si="225"/>
        <v>248.9</v>
      </c>
    </row>
    <row r="1906" spans="1:22" x14ac:dyDescent="0.35">
      <c r="A1906" s="6" t="s">
        <v>2106</v>
      </c>
      <c r="B1906" s="6" t="s">
        <v>2087</v>
      </c>
      <c r="C1906" s="6" t="s">
        <v>2088</v>
      </c>
      <c r="D1906" s="6">
        <f t="shared" si="226"/>
        <v>0.5</v>
      </c>
      <c r="E1906" s="6" t="s">
        <v>19</v>
      </c>
      <c r="F1906" s="6" t="str">
        <f>MID(A1906,19,1)</f>
        <v>N</v>
      </c>
      <c r="G1906" s="6">
        <v>-22.968200137628369</v>
      </c>
      <c r="H1906" s="6">
        <v>-47.117824668863904</v>
      </c>
      <c r="I1906" s="9">
        <v>1954.81</v>
      </c>
      <c r="K1906" s="6">
        <v>3.96</v>
      </c>
      <c r="L1906" s="6">
        <v>80</v>
      </c>
      <c r="N1906" s="1">
        <f t="shared" si="223"/>
        <v>0</v>
      </c>
      <c r="O1906" s="8" t="s">
        <v>20</v>
      </c>
      <c r="P1906" s="8"/>
      <c r="Q1906" s="8" t="s">
        <v>21</v>
      </c>
      <c r="R1906" s="8" t="s">
        <v>21</v>
      </c>
      <c r="S1906" s="8" t="s">
        <v>21</v>
      </c>
      <c r="T1906" s="8" t="s">
        <v>21</v>
      </c>
      <c r="U1906" s="6">
        <f t="shared" si="224"/>
        <v>1563.848</v>
      </c>
      <c r="V1906" s="6">
        <f t="shared" si="225"/>
        <v>1563.848</v>
      </c>
    </row>
    <row r="1907" spans="1:22" hidden="1" x14ac:dyDescent="0.35">
      <c r="A1907" s="6" t="s">
        <v>2107</v>
      </c>
      <c r="B1907" s="6" t="s">
        <v>2087</v>
      </c>
      <c r="C1907" s="6" t="s">
        <v>2088</v>
      </c>
      <c r="D1907" s="6">
        <f t="shared" si="226"/>
        <v>0.5</v>
      </c>
      <c r="E1907" s="6" t="s">
        <v>19</v>
      </c>
      <c r="F1907" s="6" t="str">
        <f>MID(A1907,19,1)</f>
        <v>S</v>
      </c>
      <c r="G1907" s="6">
        <v>-22.950102324619891</v>
      </c>
      <c r="H1907" s="6">
        <v>-47.062969892067038</v>
      </c>
      <c r="I1907" s="9">
        <v>894.83</v>
      </c>
      <c r="K1907" s="6">
        <v>5.04</v>
      </c>
      <c r="L1907" s="6">
        <v>40</v>
      </c>
      <c r="N1907" s="1">
        <f t="shared" si="223"/>
        <v>0</v>
      </c>
      <c r="O1907" s="8" t="s">
        <v>185</v>
      </c>
      <c r="P1907" s="8"/>
      <c r="Q1907" s="8" t="s">
        <v>21</v>
      </c>
      <c r="R1907" s="8" t="s">
        <v>21</v>
      </c>
      <c r="S1907" s="8" t="s">
        <v>21</v>
      </c>
      <c r="T1907" s="8" t="s">
        <v>21</v>
      </c>
      <c r="U1907" s="6">
        <f t="shared" si="224"/>
        <v>357.93200000000002</v>
      </c>
      <c r="V1907" s="6">
        <f t="shared" si="225"/>
        <v>357.93200000000002</v>
      </c>
    </row>
    <row r="1908" spans="1:22" hidden="1" x14ac:dyDescent="0.35">
      <c r="A1908" s="6" t="s">
        <v>2108</v>
      </c>
      <c r="B1908" s="6" t="s">
        <v>2087</v>
      </c>
      <c r="C1908" s="6" t="s">
        <v>2088</v>
      </c>
      <c r="D1908" s="6">
        <f t="shared" si="226"/>
        <v>0.5</v>
      </c>
      <c r="E1908" s="6" t="s">
        <v>19</v>
      </c>
      <c r="F1908" s="6" t="str">
        <f>MID(A1908,19,1)</f>
        <v>S</v>
      </c>
      <c r="G1908" s="6">
        <v>-22.972347350672401</v>
      </c>
      <c r="H1908" s="6">
        <v>-47.115895635473727</v>
      </c>
      <c r="I1908" s="9">
        <v>2013.79</v>
      </c>
      <c r="K1908" s="6">
        <v>3.61</v>
      </c>
      <c r="L1908" s="6">
        <v>80</v>
      </c>
      <c r="N1908" s="1">
        <f t="shared" si="223"/>
        <v>0</v>
      </c>
      <c r="O1908" s="8" t="s">
        <v>20</v>
      </c>
      <c r="P1908" s="8"/>
      <c r="Q1908" s="8" t="s">
        <v>21</v>
      </c>
      <c r="R1908" s="8" t="s">
        <v>21</v>
      </c>
      <c r="S1908" s="8" t="s">
        <v>21</v>
      </c>
      <c r="T1908" s="8" t="s">
        <v>21</v>
      </c>
      <c r="U1908" s="6">
        <f t="shared" si="224"/>
        <v>1611.0320000000002</v>
      </c>
      <c r="V1908" s="6">
        <f t="shared" si="225"/>
        <v>1611.0320000000002</v>
      </c>
    </row>
    <row r="1909" spans="1:22" x14ac:dyDescent="0.35">
      <c r="A1909" s="6" t="s">
        <v>2109</v>
      </c>
      <c r="B1909" s="6" t="s">
        <v>2087</v>
      </c>
      <c r="C1909" s="6" t="s">
        <v>2088</v>
      </c>
      <c r="D1909" s="6">
        <f t="shared" si="226"/>
        <v>0.5</v>
      </c>
      <c r="E1909" s="6" t="s">
        <v>19</v>
      </c>
      <c r="F1909" s="6" t="str">
        <f>MID(A1909,19,1)</f>
        <v>N</v>
      </c>
      <c r="G1909" s="6">
        <v>-22.949140924896199</v>
      </c>
      <c r="H1909" s="6">
        <v>-47.062625439984771</v>
      </c>
      <c r="I1909" s="9">
        <v>1581.88</v>
      </c>
      <c r="K1909" s="6">
        <v>4.34</v>
      </c>
      <c r="L1909" s="6">
        <v>30</v>
      </c>
      <c r="N1909" s="1">
        <f t="shared" si="223"/>
        <v>0</v>
      </c>
      <c r="O1909" s="8" t="s">
        <v>185</v>
      </c>
      <c r="P1909" s="8"/>
      <c r="Q1909" s="8" t="s">
        <v>21</v>
      </c>
      <c r="R1909" s="8" t="s">
        <v>21</v>
      </c>
      <c r="S1909" s="8" t="s">
        <v>21</v>
      </c>
      <c r="T1909" s="8" t="s">
        <v>21</v>
      </c>
      <c r="U1909" s="6">
        <f t="shared" si="224"/>
        <v>474.56400000000002</v>
      </c>
      <c r="V1909" s="6">
        <f t="shared" si="225"/>
        <v>474.56400000000002</v>
      </c>
    </row>
    <row r="1910" spans="1:22" x14ac:dyDescent="0.35">
      <c r="A1910" s="6" t="s">
        <v>2110</v>
      </c>
      <c r="B1910" s="6" t="s">
        <v>2087</v>
      </c>
      <c r="C1910" s="6" t="s">
        <v>2088</v>
      </c>
      <c r="D1910" s="6">
        <f t="shared" si="226"/>
        <v>0.5</v>
      </c>
      <c r="E1910" s="6" t="s">
        <v>19</v>
      </c>
      <c r="F1910" s="6" t="str">
        <f>MID(A1910,19,1)</f>
        <v>N</v>
      </c>
      <c r="G1910" s="6">
        <v>-22.94873277714975</v>
      </c>
      <c r="H1910" s="6">
        <v>-47.063065494781945</v>
      </c>
      <c r="I1910" s="9">
        <v>4048.24</v>
      </c>
      <c r="K1910" s="6">
        <v>4.03</v>
      </c>
      <c r="L1910" s="6">
        <v>30</v>
      </c>
      <c r="N1910" s="1">
        <f t="shared" si="223"/>
        <v>0</v>
      </c>
      <c r="O1910" s="8" t="s">
        <v>185</v>
      </c>
      <c r="P1910" s="8"/>
      <c r="Q1910" s="8" t="s">
        <v>21</v>
      </c>
      <c r="R1910" s="8" t="s">
        <v>21</v>
      </c>
      <c r="S1910" s="8" t="s">
        <v>21</v>
      </c>
      <c r="T1910" s="8" t="s">
        <v>21</v>
      </c>
      <c r="U1910" s="6">
        <f t="shared" si="224"/>
        <v>1214.472</v>
      </c>
      <c r="V1910" s="6">
        <f t="shared" si="225"/>
        <v>1214.472</v>
      </c>
    </row>
    <row r="1911" spans="1:22" x14ac:dyDescent="0.35">
      <c r="A1911" s="6" t="s">
        <v>2111</v>
      </c>
      <c r="B1911" s="6" t="s">
        <v>2087</v>
      </c>
      <c r="C1911" s="6" t="s">
        <v>2088</v>
      </c>
      <c r="D1911" s="6">
        <f t="shared" si="226"/>
        <v>0.5</v>
      </c>
      <c r="E1911" s="6" t="s">
        <v>19</v>
      </c>
      <c r="F1911" s="6" t="str">
        <f>MID(A1911,19,1)</f>
        <v>N</v>
      </c>
      <c r="G1911" s="6">
        <v>-22.947338102594191</v>
      </c>
      <c r="H1911" s="6">
        <v>-47.063674796256656</v>
      </c>
      <c r="I1911" s="9">
        <v>939.19</v>
      </c>
      <c r="K1911" s="6">
        <v>3.82</v>
      </c>
      <c r="L1911" s="6">
        <v>30</v>
      </c>
      <c r="N1911" s="1">
        <f t="shared" si="223"/>
        <v>0</v>
      </c>
      <c r="O1911" s="8" t="s">
        <v>185</v>
      </c>
      <c r="P1911" s="8"/>
      <c r="Q1911" s="8" t="s">
        <v>21</v>
      </c>
      <c r="R1911" s="8" t="s">
        <v>21</v>
      </c>
      <c r="S1911" s="8" t="s">
        <v>21</v>
      </c>
      <c r="T1911" s="8" t="s">
        <v>21</v>
      </c>
      <c r="U1911" s="6">
        <f t="shared" si="224"/>
        <v>281.75700000000001</v>
      </c>
      <c r="V1911" s="6">
        <f t="shared" si="225"/>
        <v>281.75700000000001</v>
      </c>
    </row>
    <row r="1912" spans="1:22" hidden="1" x14ac:dyDescent="0.35">
      <c r="A1912" s="6" t="s">
        <v>2112</v>
      </c>
      <c r="B1912" s="6" t="s">
        <v>2087</v>
      </c>
      <c r="C1912" s="6" t="s">
        <v>2088</v>
      </c>
      <c r="D1912" s="6">
        <f t="shared" si="226"/>
        <v>0.5</v>
      </c>
      <c r="E1912" s="6" t="s">
        <v>19</v>
      </c>
      <c r="F1912" s="6" t="str">
        <f>MID(A1912,19,1)</f>
        <v>S</v>
      </c>
      <c r="G1912" s="6">
        <v>-22.952664405693589</v>
      </c>
      <c r="H1912" s="6">
        <v>-47.061421046874514</v>
      </c>
      <c r="I1912" s="9">
        <v>1697.97</v>
      </c>
      <c r="K1912" s="6">
        <v>5.0999999999999996</v>
      </c>
      <c r="L1912" s="6">
        <v>40</v>
      </c>
      <c r="N1912" s="1">
        <f t="shared" si="223"/>
        <v>0</v>
      </c>
      <c r="O1912" s="8" t="s">
        <v>185</v>
      </c>
      <c r="P1912" s="8"/>
      <c r="Q1912" s="8" t="s">
        <v>21</v>
      </c>
      <c r="R1912" s="8" t="s">
        <v>21</v>
      </c>
      <c r="S1912" s="8" t="s">
        <v>21</v>
      </c>
      <c r="T1912" s="8" t="s">
        <v>21</v>
      </c>
      <c r="U1912" s="6">
        <f t="shared" si="224"/>
        <v>679.1880000000001</v>
      </c>
      <c r="V1912" s="6">
        <f t="shared" si="225"/>
        <v>679.1880000000001</v>
      </c>
    </row>
    <row r="1913" spans="1:22" x14ac:dyDescent="0.35">
      <c r="A1913" s="6" t="s">
        <v>2113</v>
      </c>
      <c r="B1913" s="6" t="s">
        <v>2087</v>
      </c>
      <c r="C1913" s="6" t="s">
        <v>2088</v>
      </c>
      <c r="D1913" s="6">
        <f t="shared" si="226"/>
        <v>0.5</v>
      </c>
      <c r="E1913" s="6" t="s">
        <v>19</v>
      </c>
      <c r="F1913" s="6" t="str">
        <f>MID(A1913,19,1)</f>
        <v>N</v>
      </c>
      <c r="G1913" s="6">
        <v>-22.951184784705941</v>
      </c>
      <c r="H1913" s="6">
        <v>-47.061657246428432</v>
      </c>
      <c r="I1913" s="9">
        <v>569.6</v>
      </c>
      <c r="K1913" s="6">
        <v>6.75</v>
      </c>
      <c r="L1913" s="6">
        <v>20</v>
      </c>
      <c r="N1913" s="1">
        <f t="shared" si="223"/>
        <v>0</v>
      </c>
      <c r="O1913" s="8" t="s">
        <v>20</v>
      </c>
      <c r="P1913" s="8"/>
      <c r="Q1913" s="8" t="s">
        <v>21</v>
      </c>
      <c r="R1913" s="8" t="s">
        <v>21</v>
      </c>
      <c r="S1913" s="8" t="s">
        <v>21</v>
      </c>
      <c r="T1913" s="8" t="s">
        <v>21</v>
      </c>
      <c r="U1913" s="6">
        <f t="shared" si="224"/>
        <v>113.92000000000002</v>
      </c>
      <c r="V1913" s="6">
        <f t="shared" si="225"/>
        <v>113.92000000000002</v>
      </c>
    </row>
    <row r="1914" spans="1:22" hidden="1" x14ac:dyDescent="0.35">
      <c r="A1914" s="6" t="s">
        <v>2114</v>
      </c>
      <c r="B1914" s="6" t="s">
        <v>2115</v>
      </c>
      <c r="C1914" s="6" t="s">
        <v>2116</v>
      </c>
      <c r="D1914" s="6">
        <f t="shared" si="226"/>
        <v>0.5</v>
      </c>
      <c r="E1914" s="6" t="s">
        <v>19</v>
      </c>
      <c r="F1914" s="6" t="str">
        <f>MID(A1914,19,1)</f>
        <v>S</v>
      </c>
      <c r="G1914" s="6">
        <v>-22.93956453577298</v>
      </c>
      <c r="H1914" s="6">
        <v>-47.068904390640405</v>
      </c>
      <c r="I1914" s="9">
        <v>547.36</v>
      </c>
      <c r="K1914" s="6">
        <v>3.3</v>
      </c>
      <c r="L1914" s="6">
        <v>60</v>
      </c>
      <c r="N1914" s="1">
        <f t="shared" si="223"/>
        <v>0</v>
      </c>
      <c r="O1914" s="8" t="s">
        <v>20</v>
      </c>
      <c r="P1914" s="8"/>
      <c r="Q1914" s="8" t="s">
        <v>21</v>
      </c>
      <c r="R1914" s="8" t="s">
        <v>21</v>
      </c>
      <c r="S1914" s="8" t="s">
        <v>21</v>
      </c>
      <c r="T1914" s="8" t="s">
        <v>21</v>
      </c>
      <c r="U1914" s="6">
        <f t="shared" si="224"/>
        <v>328.416</v>
      </c>
      <c r="V1914" s="6">
        <f t="shared" si="225"/>
        <v>328.416</v>
      </c>
    </row>
    <row r="1915" spans="1:22" hidden="1" x14ac:dyDescent="0.35">
      <c r="A1915" s="6" t="s">
        <v>2117</v>
      </c>
      <c r="B1915" s="6" t="s">
        <v>2115</v>
      </c>
      <c r="C1915" s="6" t="s">
        <v>2116</v>
      </c>
      <c r="D1915" s="6">
        <f t="shared" si="226"/>
        <v>0.5</v>
      </c>
      <c r="E1915" s="6" t="s">
        <v>23</v>
      </c>
      <c r="F1915" s="6" t="str">
        <f>MID(A1915,19,1)</f>
        <v>C</v>
      </c>
      <c r="G1915" s="6">
        <v>-22.96134185845721</v>
      </c>
      <c r="H1915" s="6">
        <v>-47.123757598618518</v>
      </c>
      <c r="I1915" s="9">
        <v>14745.23</v>
      </c>
      <c r="J1915" s="9">
        <f>I1915/500</f>
        <v>29.490459999999999</v>
      </c>
      <c r="K1915" s="6">
        <v>3.12</v>
      </c>
      <c r="L1915" s="6">
        <v>80</v>
      </c>
      <c r="N1915" s="1">
        <f t="shared" si="223"/>
        <v>0</v>
      </c>
      <c r="O1915" s="8" t="s">
        <v>20</v>
      </c>
      <c r="P1915" s="8"/>
      <c r="Q1915" s="8" t="s">
        <v>21</v>
      </c>
      <c r="R1915" s="8" t="s">
        <v>21</v>
      </c>
      <c r="S1915" s="8" t="s">
        <v>21</v>
      </c>
      <c r="T1915" s="8" t="s">
        <v>21</v>
      </c>
      <c r="U1915" s="6">
        <f t="shared" si="224"/>
        <v>11796.184000000001</v>
      </c>
      <c r="V1915" s="6">
        <f t="shared" si="225"/>
        <v>11796.184000000001</v>
      </c>
    </row>
    <row r="1916" spans="1:22" x14ac:dyDescent="0.35">
      <c r="A1916" s="6" t="s">
        <v>2118</v>
      </c>
      <c r="B1916" s="6" t="s">
        <v>2115</v>
      </c>
      <c r="C1916" s="6" t="s">
        <v>2116</v>
      </c>
      <c r="D1916" s="6">
        <f t="shared" si="226"/>
        <v>0.5</v>
      </c>
      <c r="E1916" s="6" t="s">
        <v>19</v>
      </c>
      <c r="F1916" s="6" t="str">
        <f>MID(A1916,19,1)</f>
        <v>N</v>
      </c>
      <c r="G1916" s="6">
        <v>-22.961226155239292</v>
      </c>
      <c r="H1916" s="6">
        <v>-47.123463713926022</v>
      </c>
      <c r="I1916" s="9">
        <v>1863.82</v>
      </c>
      <c r="K1916" s="6">
        <v>4.25</v>
      </c>
      <c r="L1916" s="6">
        <v>80</v>
      </c>
      <c r="N1916" s="1">
        <f t="shared" si="223"/>
        <v>0</v>
      </c>
      <c r="O1916" s="8" t="s">
        <v>20</v>
      </c>
      <c r="P1916" s="8"/>
      <c r="Q1916" s="8" t="s">
        <v>21</v>
      </c>
      <c r="R1916" s="8" t="s">
        <v>21</v>
      </c>
      <c r="S1916" s="8" t="s">
        <v>21</v>
      </c>
      <c r="T1916" s="8" t="s">
        <v>21</v>
      </c>
      <c r="U1916" s="6">
        <f t="shared" si="224"/>
        <v>1491.056</v>
      </c>
      <c r="V1916" s="6">
        <f t="shared" si="225"/>
        <v>1491.056</v>
      </c>
    </row>
    <row r="1917" spans="1:22" hidden="1" x14ac:dyDescent="0.35">
      <c r="A1917" s="6" t="s">
        <v>2119</v>
      </c>
      <c r="B1917" s="6" t="s">
        <v>2115</v>
      </c>
      <c r="C1917" s="6" t="s">
        <v>2116</v>
      </c>
      <c r="D1917" s="6">
        <f t="shared" si="226"/>
        <v>0.5</v>
      </c>
      <c r="E1917" s="6" t="s">
        <v>19</v>
      </c>
      <c r="F1917" s="6" t="str">
        <f>MID(A1917,19,1)</f>
        <v>S</v>
      </c>
      <c r="G1917" s="6">
        <v>-22.961521607811591</v>
      </c>
      <c r="H1917" s="6">
        <v>-47.124009971768487</v>
      </c>
      <c r="I1917" s="9">
        <v>1876.42</v>
      </c>
      <c r="K1917" s="6">
        <v>2.1800000000000002</v>
      </c>
      <c r="L1917" s="6">
        <v>80</v>
      </c>
      <c r="N1917" s="1">
        <f t="shared" si="223"/>
        <v>0</v>
      </c>
      <c r="O1917" s="8" t="s">
        <v>20</v>
      </c>
      <c r="P1917" s="8"/>
      <c r="Q1917" s="8" t="s">
        <v>21</v>
      </c>
      <c r="R1917" s="8" t="s">
        <v>21</v>
      </c>
      <c r="S1917" s="8" t="s">
        <v>21</v>
      </c>
      <c r="T1917" s="8" t="s">
        <v>21</v>
      </c>
      <c r="U1917" s="6">
        <f t="shared" si="224"/>
        <v>1501.1360000000002</v>
      </c>
      <c r="V1917" s="6">
        <f t="shared" si="225"/>
        <v>1501.1360000000002</v>
      </c>
    </row>
    <row r="1918" spans="1:22" x14ac:dyDescent="0.35">
      <c r="A1918" s="6" t="s">
        <v>2120</v>
      </c>
      <c r="B1918" s="6" t="s">
        <v>2115</v>
      </c>
      <c r="C1918" s="6" t="s">
        <v>2116</v>
      </c>
      <c r="D1918" s="6">
        <f t="shared" si="226"/>
        <v>0.5</v>
      </c>
      <c r="E1918" s="6" t="s">
        <v>19</v>
      </c>
      <c r="F1918" s="6" t="str">
        <f>MID(A1918,19,1)</f>
        <v>N</v>
      </c>
      <c r="G1918" s="6">
        <v>-22.94467588979315</v>
      </c>
      <c r="H1918" s="6">
        <v>-47.065166840540975</v>
      </c>
      <c r="I1918" s="9">
        <v>1984.75</v>
      </c>
      <c r="K1918" s="6">
        <v>6.51</v>
      </c>
      <c r="L1918" s="6">
        <v>30</v>
      </c>
      <c r="N1918" s="1">
        <f t="shared" si="223"/>
        <v>0</v>
      </c>
      <c r="O1918" s="8" t="s">
        <v>185</v>
      </c>
      <c r="P1918" s="8"/>
      <c r="Q1918" s="8" t="s">
        <v>21</v>
      </c>
      <c r="R1918" s="8" t="s">
        <v>21</v>
      </c>
      <c r="S1918" s="8" t="s">
        <v>21</v>
      </c>
      <c r="T1918" s="8" t="s">
        <v>21</v>
      </c>
      <c r="U1918" s="6">
        <f t="shared" si="224"/>
        <v>595.42499999999995</v>
      </c>
      <c r="V1918" s="6">
        <f t="shared" si="225"/>
        <v>595.42499999999995</v>
      </c>
    </row>
    <row r="1919" spans="1:22" hidden="1" x14ac:dyDescent="0.35">
      <c r="A1919" s="6" t="s">
        <v>2121</v>
      </c>
      <c r="B1919" s="6" t="s">
        <v>2115</v>
      </c>
      <c r="C1919" s="6" t="s">
        <v>2116</v>
      </c>
      <c r="D1919" s="6">
        <f t="shared" si="226"/>
        <v>0.5</v>
      </c>
      <c r="E1919" s="6" t="s">
        <v>19</v>
      </c>
      <c r="F1919" s="6" t="str">
        <f>MID(A1919,19,1)</f>
        <v>S</v>
      </c>
      <c r="G1919" s="6">
        <v>-22.964094333226349</v>
      </c>
      <c r="H1919" s="6">
        <v>-47.121941563354831</v>
      </c>
      <c r="I1919" s="9">
        <v>968.33</v>
      </c>
      <c r="K1919" s="6">
        <v>3.96</v>
      </c>
      <c r="L1919" s="6">
        <v>80</v>
      </c>
      <c r="N1919" s="1">
        <f t="shared" si="223"/>
        <v>0</v>
      </c>
      <c r="O1919" s="8" t="s">
        <v>20</v>
      </c>
      <c r="P1919" s="8"/>
      <c r="Q1919" s="8" t="s">
        <v>21</v>
      </c>
      <c r="R1919" s="8" t="s">
        <v>21</v>
      </c>
      <c r="S1919" s="8" t="s">
        <v>21</v>
      </c>
      <c r="T1919" s="8" t="s">
        <v>21</v>
      </c>
      <c r="U1919" s="6">
        <f t="shared" si="224"/>
        <v>774.6640000000001</v>
      </c>
      <c r="V1919" s="6">
        <f t="shared" si="225"/>
        <v>774.6640000000001</v>
      </c>
    </row>
    <row r="1920" spans="1:22" hidden="1" x14ac:dyDescent="0.35">
      <c r="A1920" s="6" t="s">
        <v>2122</v>
      </c>
      <c r="B1920" s="6" t="s">
        <v>2115</v>
      </c>
      <c r="C1920" s="6" t="s">
        <v>2116</v>
      </c>
      <c r="D1920" s="6">
        <f t="shared" si="226"/>
        <v>0.5</v>
      </c>
      <c r="E1920" s="6" t="s">
        <v>23</v>
      </c>
      <c r="F1920" s="6" t="str">
        <f>MID(A1920,19,1)</f>
        <v>C</v>
      </c>
      <c r="G1920" s="6">
        <v>-22.96575077545328</v>
      </c>
      <c r="H1920" s="6">
        <v>-47.120177860931413</v>
      </c>
      <c r="I1920" s="9">
        <v>7213.45</v>
      </c>
      <c r="J1920" s="9">
        <f>I1920/500</f>
        <v>14.4269</v>
      </c>
      <c r="K1920" s="6">
        <v>5.14</v>
      </c>
      <c r="L1920" s="6">
        <v>80</v>
      </c>
      <c r="N1920" s="1">
        <f t="shared" si="223"/>
        <v>0</v>
      </c>
      <c r="O1920" s="8" t="s">
        <v>20</v>
      </c>
      <c r="P1920" s="8"/>
      <c r="Q1920" s="8" t="s">
        <v>21</v>
      </c>
      <c r="R1920" s="8" t="s">
        <v>21</v>
      </c>
      <c r="S1920" s="8" t="s">
        <v>21</v>
      </c>
      <c r="T1920" s="8" t="s">
        <v>21</v>
      </c>
      <c r="U1920" s="6">
        <f t="shared" si="224"/>
        <v>5770.76</v>
      </c>
      <c r="V1920" s="6">
        <f t="shared" si="225"/>
        <v>5770.76</v>
      </c>
    </row>
    <row r="1921" spans="1:22" x14ac:dyDescent="0.35">
      <c r="A1921" s="6" t="s">
        <v>2123</v>
      </c>
      <c r="B1921" s="6" t="s">
        <v>2115</v>
      </c>
      <c r="C1921" s="6" t="s">
        <v>2116</v>
      </c>
      <c r="D1921" s="6">
        <f t="shared" si="226"/>
        <v>0.5</v>
      </c>
      <c r="E1921" s="6" t="s">
        <v>19</v>
      </c>
      <c r="F1921" s="6" t="str">
        <f>MID(A1921,19,1)</f>
        <v>N</v>
      </c>
      <c r="G1921" s="6">
        <v>-22.96380017582176</v>
      </c>
      <c r="H1921" s="6">
        <v>-47.121400738105208</v>
      </c>
      <c r="I1921" s="9">
        <v>978.97</v>
      </c>
      <c r="K1921" s="6">
        <v>4.18</v>
      </c>
      <c r="L1921" s="6">
        <v>80</v>
      </c>
      <c r="N1921" s="1">
        <f t="shared" si="223"/>
        <v>0</v>
      </c>
      <c r="O1921" s="8" t="s">
        <v>20</v>
      </c>
      <c r="P1921" s="8"/>
      <c r="Q1921" s="8" t="s">
        <v>21</v>
      </c>
      <c r="R1921" s="8" t="s">
        <v>21</v>
      </c>
      <c r="S1921" s="8" t="s">
        <v>21</v>
      </c>
      <c r="T1921" s="8" t="s">
        <v>21</v>
      </c>
      <c r="U1921" s="6">
        <f t="shared" si="224"/>
        <v>783.17600000000004</v>
      </c>
      <c r="V1921" s="6">
        <f t="shared" si="225"/>
        <v>783.17600000000004</v>
      </c>
    </row>
    <row r="1922" spans="1:22" hidden="1" x14ac:dyDescent="0.35">
      <c r="A1922" s="6" t="s">
        <v>2124</v>
      </c>
      <c r="B1922" s="6" t="s">
        <v>2115</v>
      </c>
      <c r="C1922" s="6" t="s">
        <v>2116</v>
      </c>
      <c r="D1922" s="6">
        <f t="shared" si="226"/>
        <v>0.5</v>
      </c>
      <c r="E1922" s="6" t="s">
        <v>23</v>
      </c>
      <c r="F1922" s="6" t="str">
        <f>MID(A1922,19,1)</f>
        <v>C</v>
      </c>
      <c r="G1922" s="6">
        <v>-22.963962027325461</v>
      </c>
      <c r="H1922" s="6">
        <v>-47.121657425015243</v>
      </c>
      <c r="I1922" s="9">
        <v>7555.81</v>
      </c>
      <c r="J1922" s="9">
        <f>I1922/500</f>
        <v>15.11162</v>
      </c>
      <c r="K1922" s="6">
        <v>3.9</v>
      </c>
      <c r="L1922" s="6">
        <v>80</v>
      </c>
      <c r="N1922" s="1">
        <f t="shared" ref="N1922:N1985" si="228">IF(OR(R1922="Sim",S1922="Sim",T1922="Sim"),(L1922/100)*I1922,0)</f>
        <v>0</v>
      </c>
      <c r="O1922" s="8" t="s">
        <v>20</v>
      </c>
      <c r="P1922" s="8"/>
      <c r="Q1922" s="8" t="s">
        <v>21</v>
      </c>
      <c r="R1922" s="8" t="s">
        <v>21</v>
      </c>
      <c r="S1922" s="8" t="s">
        <v>21</v>
      </c>
      <c r="T1922" s="8" t="s">
        <v>21</v>
      </c>
      <c r="U1922" s="6">
        <f t="shared" si="224"/>
        <v>6044.648000000001</v>
      </c>
      <c r="V1922" s="6">
        <f t="shared" si="225"/>
        <v>6044.648000000001</v>
      </c>
    </row>
    <row r="1923" spans="1:22" x14ac:dyDescent="0.35">
      <c r="A1923" s="6" t="s">
        <v>2125</v>
      </c>
      <c r="B1923" s="6" t="s">
        <v>2115</v>
      </c>
      <c r="C1923" s="6" t="s">
        <v>2116</v>
      </c>
      <c r="D1923" s="6">
        <f t="shared" si="226"/>
        <v>0.5</v>
      </c>
      <c r="E1923" s="6" t="s">
        <v>19</v>
      </c>
      <c r="F1923" s="6" t="str">
        <f>MID(A1923,19,1)</f>
        <v>N</v>
      </c>
      <c r="G1923" s="6">
        <v>-22.942250583580311</v>
      </c>
      <c r="H1923" s="6">
        <v>-47.066517061892938</v>
      </c>
      <c r="I1923" s="9">
        <v>549.59</v>
      </c>
      <c r="K1923" s="6">
        <v>7.93</v>
      </c>
      <c r="L1923" s="6">
        <v>40</v>
      </c>
      <c r="N1923" s="1">
        <f t="shared" si="228"/>
        <v>0</v>
      </c>
      <c r="O1923" s="8" t="s">
        <v>185</v>
      </c>
      <c r="P1923" s="8"/>
      <c r="Q1923" s="8" t="s">
        <v>21</v>
      </c>
      <c r="R1923" s="8" t="s">
        <v>21</v>
      </c>
      <c r="S1923" s="8" t="s">
        <v>21</v>
      </c>
      <c r="T1923" s="8" t="s">
        <v>21</v>
      </c>
      <c r="U1923" s="6">
        <f t="shared" ref="U1923:U1986" si="229">IF(N1923=0,(I1923*(L1923/100)),0)</f>
        <v>219.83600000000001</v>
      </c>
      <c r="V1923" s="6">
        <f t="shared" si="225"/>
        <v>219.83600000000001</v>
      </c>
    </row>
    <row r="1924" spans="1:22" hidden="1" x14ac:dyDescent="0.35">
      <c r="A1924" s="6" t="s">
        <v>2126</v>
      </c>
      <c r="B1924" s="6" t="s">
        <v>2115</v>
      </c>
      <c r="C1924" s="6" t="s">
        <v>2116</v>
      </c>
      <c r="D1924" s="6">
        <f t="shared" si="226"/>
        <v>0.5</v>
      </c>
      <c r="E1924" s="6" t="s">
        <v>19</v>
      </c>
      <c r="F1924" s="6" t="str">
        <f>MID(A1924,19,1)</f>
        <v>S</v>
      </c>
      <c r="G1924" s="6">
        <v>-22.945590715777431</v>
      </c>
      <c r="H1924" s="6">
        <v>-47.065445951240648</v>
      </c>
      <c r="I1924" s="9">
        <v>1332.08</v>
      </c>
      <c r="K1924" s="6">
        <v>4.34</v>
      </c>
      <c r="L1924" s="6">
        <v>40</v>
      </c>
      <c r="N1924" s="1">
        <f t="shared" si="228"/>
        <v>0</v>
      </c>
      <c r="O1924" s="8" t="s">
        <v>185</v>
      </c>
      <c r="P1924" s="8"/>
      <c r="Q1924" s="8" t="s">
        <v>21</v>
      </c>
      <c r="R1924" s="8" t="s">
        <v>21</v>
      </c>
      <c r="S1924" s="8" t="s">
        <v>21</v>
      </c>
      <c r="T1924" s="8" t="s">
        <v>21</v>
      </c>
      <c r="U1924" s="6">
        <f t="shared" si="229"/>
        <v>532.83199999999999</v>
      </c>
      <c r="V1924" s="6">
        <f t="shared" si="225"/>
        <v>532.83199999999999</v>
      </c>
    </row>
    <row r="1925" spans="1:22" x14ac:dyDescent="0.35">
      <c r="A1925" s="6" t="s">
        <v>2127</v>
      </c>
      <c r="B1925" s="6" t="s">
        <v>2115</v>
      </c>
      <c r="C1925" s="6" t="s">
        <v>2116</v>
      </c>
      <c r="D1925" s="6">
        <f t="shared" si="226"/>
        <v>0.5</v>
      </c>
      <c r="E1925" s="6" t="s">
        <v>19</v>
      </c>
      <c r="F1925" s="6" t="str">
        <f>MID(A1925,19,1)</f>
        <v>N</v>
      </c>
      <c r="G1925" s="6">
        <v>-22.965582975502489</v>
      </c>
      <c r="H1925" s="6">
        <v>-47.119903759399783</v>
      </c>
      <c r="I1925" s="9">
        <v>925.72</v>
      </c>
      <c r="K1925" s="6">
        <v>5.18</v>
      </c>
      <c r="L1925" s="6">
        <v>80</v>
      </c>
      <c r="N1925" s="1">
        <f t="shared" si="228"/>
        <v>0</v>
      </c>
      <c r="O1925" s="8" t="s">
        <v>20</v>
      </c>
      <c r="P1925" s="8"/>
      <c r="Q1925" s="8" t="s">
        <v>21</v>
      </c>
      <c r="R1925" s="8" t="s">
        <v>21</v>
      </c>
      <c r="S1925" s="8" t="s">
        <v>21</v>
      </c>
      <c r="T1925" s="8" t="s">
        <v>21</v>
      </c>
      <c r="U1925" s="6">
        <f t="shared" si="229"/>
        <v>740.57600000000002</v>
      </c>
      <c r="V1925" s="6">
        <f t="shared" si="225"/>
        <v>740.57600000000002</v>
      </c>
    </row>
    <row r="1926" spans="1:22" x14ac:dyDescent="0.35">
      <c r="A1926" s="6" t="s">
        <v>2128</v>
      </c>
      <c r="B1926" s="6" t="s">
        <v>2115</v>
      </c>
      <c r="C1926" s="6" t="s">
        <v>2116</v>
      </c>
      <c r="D1926" s="6">
        <f t="shared" si="226"/>
        <v>0.5</v>
      </c>
      <c r="E1926" s="6" t="s">
        <v>19</v>
      </c>
      <c r="F1926" s="6" t="str">
        <f>MID(A1926,19,1)</f>
        <v>N</v>
      </c>
      <c r="G1926" s="6">
        <v>-22.94026267174409</v>
      </c>
      <c r="H1926" s="6">
        <v>-47.067650105077114</v>
      </c>
      <c r="I1926" s="9">
        <v>1754.6</v>
      </c>
      <c r="K1926" s="6">
        <v>4.33</v>
      </c>
      <c r="L1926" s="6">
        <v>40</v>
      </c>
      <c r="N1926" s="1">
        <f t="shared" si="228"/>
        <v>0</v>
      </c>
      <c r="O1926" s="8" t="s">
        <v>185</v>
      </c>
      <c r="P1926" s="8"/>
      <c r="Q1926" s="8" t="s">
        <v>21</v>
      </c>
      <c r="R1926" s="8" t="s">
        <v>21</v>
      </c>
      <c r="S1926" s="8" t="s">
        <v>21</v>
      </c>
      <c r="T1926" s="8" t="s">
        <v>21</v>
      </c>
      <c r="U1926" s="6">
        <f t="shared" si="229"/>
        <v>701.84</v>
      </c>
      <c r="V1926" s="6">
        <f t="shared" si="225"/>
        <v>701.84</v>
      </c>
    </row>
    <row r="1927" spans="1:22" x14ac:dyDescent="0.35">
      <c r="A1927" s="6" t="s">
        <v>2129</v>
      </c>
      <c r="B1927" s="6" t="s">
        <v>2115</v>
      </c>
      <c r="C1927" s="6" t="s">
        <v>2116</v>
      </c>
      <c r="D1927" s="6">
        <f t="shared" si="226"/>
        <v>0.5</v>
      </c>
      <c r="E1927" s="6" t="s">
        <v>19</v>
      </c>
      <c r="F1927" s="6" t="str">
        <f>MID(A1927,19,1)</f>
        <v>N</v>
      </c>
      <c r="G1927" s="6">
        <v>-22.940698132770311</v>
      </c>
      <c r="H1927" s="6">
        <v>-47.067613241194394</v>
      </c>
      <c r="I1927" s="9">
        <v>6658.41</v>
      </c>
      <c r="K1927" s="6">
        <v>4.3</v>
      </c>
      <c r="L1927" s="6">
        <v>40</v>
      </c>
      <c r="N1927" s="1">
        <f t="shared" si="228"/>
        <v>0</v>
      </c>
      <c r="O1927" s="8" t="s">
        <v>185</v>
      </c>
      <c r="P1927" s="8"/>
      <c r="Q1927" s="8" t="s">
        <v>21</v>
      </c>
      <c r="R1927" s="8" t="s">
        <v>21</v>
      </c>
      <c r="S1927" s="8" t="s">
        <v>21</v>
      </c>
      <c r="T1927" s="8" t="s">
        <v>21</v>
      </c>
      <c r="U1927" s="6">
        <f t="shared" si="229"/>
        <v>2663.364</v>
      </c>
      <c r="V1927" s="6">
        <f t="shared" si="225"/>
        <v>2663.364</v>
      </c>
    </row>
    <row r="1928" spans="1:22" x14ac:dyDescent="0.35">
      <c r="A1928" s="6" t="s">
        <v>2130</v>
      </c>
      <c r="B1928" s="6" t="s">
        <v>2115</v>
      </c>
      <c r="C1928" s="6" t="s">
        <v>2116</v>
      </c>
      <c r="D1928" s="6">
        <f t="shared" si="226"/>
        <v>0.5</v>
      </c>
      <c r="E1928" s="6" t="s">
        <v>19</v>
      </c>
      <c r="F1928" s="6" t="str">
        <f>MID(A1928,19,1)</f>
        <v>N</v>
      </c>
      <c r="G1928" s="6">
        <v>-22.945586369289401</v>
      </c>
      <c r="H1928" s="6">
        <v>-47.064831819493214</v>
      </c>
      <c r="I1928" s="9">
        <v>2324.48</v>
      </c>
      <c r="K1928" s="6">
        <v>4.6900000000000004</v>
      </c>
      <c r="L1928" s="6">
        <v>30</v>
      </c>
      <c r="N1928" s="1">
        <f t="shared" si="228"/>
        <v>0</v>
      </c>
      <c r="O1928" s="8" t="s">
        <v>185</v>
      </c>
      <c r="P1928" s="8"/>
      <c r="Q1928" s="8" t="s">
        <v>21</v>
      </c>
      <c r="R1928" s="8" t="s">
        <v>21</v>
      </c>
      <c r="S1928" s="8" t="s">
        <v>21</v>
      </c>
      <c r="T1928" s="8" t="s">
        <v>21</v>
      </c>
      <c r="U1928" s="6">
        <f t="shared" si="229"/>
        <v>697.34399999999994</v>
      </c>
      <c r="V1928" s="6">
        <f t="shared" si="225"/>
        <v>697.34399999999994</v>
      </c>
    </row>
    <row r="1929" spans="1:22" hidden="1" x14ac:dyDescent="0.35">
      <c r="A1929" s="6" t="s">
        <v>2131</v>
      </c>
      <c r="B1929" s="6" t="s">
        <v>2115</v>
      </c>
      <c r="C1929" s="6" t="s">
        <v>2116</v>
      </c>
      <c r="D1929" s="6">
        <f t="shared" si="226"/>
        <v>0.5</v>
      </c>
      <c r="E1929" s="6" t="s">
        <v>19</v>
      </c>
      <c r="F1929" s="6" t="str">
        <f>MID(A1929,19,1)</f>
        <v>S</v>
      </c>
      <c r="G1929" s="6">
        <v>-22.943624827213551</v>
      </c>
      <c r="H1929" s="6">
        <v>-47.06658655596523</v>
      </c>
      <c r="I1929" s="9">
        <v>669.5</v>
      </c>
      <c r="K1929" s="6">
        <v>7.25</v>
      </c>
      <c r="L1929" s="6">
        <v>40</v>
      </c>
      <c r="N1929" s="1">
        <f t="shared" si="228"/>
        <v>0</v>
      </c>
      <c r="O1929" s="8" t="s">
        <v>185</v>
      </c>
      <c r="P1929" s="8"/>
      <c r="Q1929" s="8" t="s">
        <v>21</v>
      </c>
      <c r="R1929" s="8" t="s">
        <v>21</v>
      </c>
      <c r="S1929" s="8" t="s">
        <v>21</v>
      </c>
      <c r="T1929" s="8" t="s">
        <v>21</v>
      </c>
      <c r="U1929" s="6">
        <f t="shared" si="229"/>
        <v>267.8</v>
      </c>
      <c r="V1929" s="6">
        <f t="shared" si="225"/>
        <v>267.8</v>
      </c>
    </row>
    <row r="1930" spans="1:22" hidden="1" x14ac:dyDescent="0.35">
      <c r="A1930" s="6" t="s">
        <v>2132</v>
      </c>
      <c r="B1930" s="6" t="s">
        <v>2115</v>
      </c>
      <c r="C1930" s="6" t="s">
        <v>2116</v>
      </c>
      <c r="D1930" s="6">
        <f t="shared" si="226"/>
        <v>0.5</v>
      </c>
      <c r="E1930" s="6" t="s">
        <v>19</v>
      </c>
      <c r="F1930" s="6" t="str">
        <f>MID(A1930,19,1)</f>
        <v>S</v>
      </c>
      <c r="G1930" s="6">
        <v>-22.965967428183269</v>
      </c>
      <c r="H1930" s="6">
        <v>-47.120393428122867</v>
      </c>
      <c r="I1930" s="9">
        <v>940.56</v>
      </c>
      <c r="K1930" s="6">
        <v>4.53</v>
      </c>
      <c r="L1930" s="6">
        <v>80</v>
      </c>
      <c r="N1930" s="1">
        <f t="shared" si="228"/>
        <v>0</v>
      </c>
      <c r="O1930" s="8" t="s">
        <v>20</v>
      </c>
      <c r="P1930" s="8"/>
      <c r="Q1930" s="8" t="s">
        <v>21</v>
      </c>
      <c r="R1930" s="8" t="s">
        <v>21</v>
      </c>
      <c r="S1930" s="8" t="s">
        <v>21</v>
      </c>
      <c r="T1930" s="8" t="s">
        <v>21</v>
      </c>
      <c r="U1930" s="6">
        <f t="shared" si="229"/>
        <v>752.44799999999998</v>
      </c>
      <c r="V1930" s="6">
        <f t="shared" si="225"/>
        <v>752.44799999999998</v>
      </c>
    </row>
    <row r="1931" spans="1:22" hidden="1" x14ac:dyDescent="0.35">
      <c r="A1931" s="6" t="s">
        <v>2133</v>
      </c>
      <c r="B1931" s="6" t="s">
        <v>2115</v>
      </c>
      <c r="C1931" s="6" t="s">
        <v>2116</v>
      </c>
      <c r="D1931" s="6">
        <f t="shared" si="226"/>
        <v>0.5</v>
      </c>
      <c r="E1931" s="6" t="s">
        <v>19</v>
      </c>
      <c r="F1931" s="6" t="str">
        <f>MID(A1931,19,1)</f>
        <v>S</v>
      </c>
      <c r="G1931" s="6">
        <v>-22.94081953070987</v>
      </c>
      <c r="H1931" s="6">
        <v>-47.067977737764913</v>
      </c>
      <c r="I1931" s="9">
        <v>5120.21</v>
      </c>
      <c r="K1931" s="6">
        <v>4.32</v>
      </c>
      <c r="L1931" s="6">
        <v>60</v>
      </c>
      <c r="N1931" s="1">
        <f t="shared" si="228"/>
        <v>0</v>
      </c>
      <c r="O1931" s="8" t="s">
        <v>20</v>
      </c>
      <c r="P1931" s="8"/>
      <c r="Q1931" s="8" t="s">
        <v>21</v>
      </c>
      <c r="R1931" s="8" t="s">
        <v>21</v>
      </c>
      <c r="S1931" s="8" t="s">
        <v>21</v>
      </c>
      <c r="T1931" s="8" t="s">
        <v>21</v>
      </c>
      <c r="U1931" s="6">
        <f t="shared" si="229"/>
        <v>3072.1259999999997</v>
      </c>
      <c r="V1931" s="6">
        <f t="shared" ref="V1931:V1950" si="230">(I1931*(L1931/100))</f>
        <v>3072.1259999999997</v>
      </c>
    </row>
    <row r="1932" spans="1:22" hidden="1" x14ac:dyDescent="0.35">
      <c r="A1932" s="6" t="s">
        <v>2134</v>
      </c>
      <c r="B1932" s="6" t="s">
        <v>2115</v>
      </c>
      <c r="C1932" s="6" t="s">
        <v>2116</v>
      </c>
      <c r="D1932" s="6">
        <f t="shared" si="226"/>
        <v>0.5</v>
      </c>
      <c r="E1932" s="6" t="s">
        <v>19</v>
      </c>
      <c r="F1932" s="6" t="str">
        <f>MID(A1932,19,1)</f>
        <v>S</v>
      </c>
      <c r="G1932" s="6">
        <v>-22.941587559930891</v>
      </c>
      <c r="H1932" s="6">
        <v>-47.06773944853078</v>
      </c>
      <c r="I1932" s="9">
        <v>1375.25</v>
      </c>
      <c r="K1932" s="6">
        <v>6.31</v>
      </c>
      <c r="L1932" s="6">
        <v>60</v>
      </c>
      <c r="N1932" s="1">
        <f t="shared" si="228"/>
        <v>0</v>
      </c>
      <c r="O1932" s="8" t="s">
        <v>20</v>
      </c>
      <c r="P1932" s="8"/>
      <c r="Q1932" s="8" t="s">
        <v>21</v>
      </c>
      <c r="R1932" s="8" t="s">
        <v>21</v>
      </c>
      <c r="S1932" s="8" t="s">
        <v>21</v>
      </c>
      <c r="T1932" s="8" t="s">
        <v>21</v>
      </c>
      <c r="U1932" s="6">
        <f t="shared" si="229"/>
        <v>825.15</v>
      </c>
      <c r="V1932" s="6">
        <f t="shared" si="230"/>
        <v>825.15</v>
      </c>
    </row>
    <row r="1933" spans="1:22" hidden="1" x14ac:dyDescent="0.35">
      <c r="A1933" s="6" t="s">
        <v>2135</v>
      </c>
      <c r="B1933" s="6" t="s">
        <v>2115</v>
      </c>
      <c r="C1933" s="6" t="s">
        <v>2116</v>
      </c>
      <c r="D1933" s="6">
        <f t="shared" si="226"/>
        <v>0.5</v>
      </c>
      <c r="E1933" s="6" t="s">
        <v>19</v>
      </c>
      <c r="F1933" s="6" t="str">
        <f>MID(A1933,19,1)</f>
        <v>S</v>
      </c>
      <c r="G1933" s="6">
        <v>-22.94486954925555</v>
      </c>
      <c r="H1933" s="6">
        <v>-47.065665731637687</v>
      </c>
      <c r="I1933" s="9">
        <v>5228.01</v>
      </c>
      <c r="K1933" s="6">
        <v>4.6900000000000004</v>
      </c>
      <c r="L1933" s="6">
        <v>40</v>
      </c>
      <c r="N1933" s="1">
        <f t="shared" si="228"/>
        <v>0</v>
      </c>
      <c r="O1933" s="8" t="s">
        <v>185</v>
      </c>
      <c r="P1933" s="8"/>
      <c r="Q1933" s="8" t="s">
        <v>21</v>
      </c>
      <c r="R1933" s="8" t="s">
        <v>21</v>
      </c>
      <c r="S1933" s="8" t="s">
        <v>21</v>
      </c>
      <c r="T1933" s="8" t="s">
        <v>21</v>
      </c>
      <c r="U1933" s="6">
        <f t="shared" si="229"/>
        <v>2091.2040000000002</v>
      </c>
      <c r="V1933" s="6">
        <f t="shared" si="230"/>
        <v>2091.2040000000002</v>
      </c>
    </row>
    <row r="1934" spans="1:22" x14ac:dyDescent="0.35">
      <c r="A1934" s="6" t="s">
        <v>2136</v>
      </c>
      <c r="B1934" s="6" t="s">
        <v>2115</v>
      </c>
      <c r="C1934" s="6" t="s">
        <v>2116</v>
      </c>
      <c r="D1934" s="6">
        <f t="shared" ref="D1934:D1997" si="231">C1934-B1934</f>
        <v>0.5</v>
      </c>
      <c r="E1934" s="6" t="s">
        <v>19</v>
      </c>
      <c r="F1934" s="6" t="str">
        <f>MID(A1934,19,1)</f>
        <v>N</v>
      </c>
      <c r="G1934" s="6">
        <v>-22.94339137926557</v>
      </c>
      <c r="H1934" s="6">
        <v>-47.066095143128074</v>
      </c>
      <c r="I1934" s="9">
        <v>1808.82</v>
      </c>
      <c r="K1934" s="6">
        <v>7.38</v>
      </c>
      <c r="L1934" s="6">
        <v>30</v>
      </c>
      <c r="N1934" s="1">
        <f t="shared" si="228"/>
        <v>0</v>
      </c>
      <c r="O1934" s="8" t="s">
        <v>185</v>
      </c>
      <c r="P1934" s="8"/>
      <c r="Q1934" s="8" t="s">
        <v>21</v>
      </c>
      <c r="R1934" s="8" t="s">
        <v>21</v>
      </c>
      <c r="S1934" s="8" t="s">
        <v>21</v>
      </c>
      <c r="T1934" s="8" t="s">
        <v>21</v>
      </c>
      <c r="U1934" s="6">
        <f t="shared" si="229"/>
        <v>542.64599999999996</v>
      </c>
      <c r="V1934" s="6">
        <f t="shared" si="230"/>
        <v>542.64599999999996</v>
      </c>
    </row>
    <row r="1935" spans="1:22" hidden="1" x14ac:dyDescent="0.35">
      <c r="A1935" s="6" t="s">
        <v>2137</v>
      </c>
      <c r="B1935" s="6" t="s">
        <v>2138</v>
      </c>
      <c r="C1935" s="6" t="s">
        <v>2139</v>
      </c>
      <c r="D1935" s="6">
        <f t="shared" si="231"/>
        <v>0.5</v>
      </c>
      <c r="E1935" s="6" t="s">
        <v>19</v>
      </c>
      <c r="F1935" s="6" t="str">
        <f>MID(A1935,19,1)</f>
        <v>S</v>
      </c>
      <c r="G1935" s="6">
        <v>-22.932811128522228</v>
      </c>
      <c r="H1935" s="6">
        <v>-47.07508976042989</v>
      </c>
      <c r="I1935" s="9">
        <v>7752.65</v>
      </c>
      <c r="K1935" s="6">
        <v>5.36</v>
      </c>
      <c r="L1935" s="6">
        <v>50</v>
      </c>
      <c r="N1935" s="1">
        <f t="shared" si="228"/>
        <v>0</v>
      </c>
      <c r="O1935" s="8" t="s">
        <v>20</v>
      </c>
      <c r="P1935" s="8"/>
      <c r="Q1935" s="8" t="s">
        <v>21</v>
      </c>
      <c r="R1935" s="8" t="s">
        <v>21</v>
      </c>
      <c r="S1935" s="8" t="s">
        <v>21</v>
      </c>
      <c r="T1935" s="8" t="s">
        <v>21</v>
      </c>
      <c r="U1935" s="6">
        <f t="shared" si="229"/>
        <v>3876.3249999999998</v>
      </c>
      <c r="V1935" s="6">
        <f t="shared" si="230"/>
        <v>3876.3249999999998</v>
      </c>
    </row>
    <row r="1936" spans="1:22" x14ac:dyDescent="0.35">
      <c r="A1936" s="6" t="s">
        <v>2140</v>
      </c>
      <c r="B1936" s="6" t="s">
        <v>2138</v>
      </c>
      <c r="C1936" s="6" t="s">
        <v>2139</v>
      </c>
      <c r="D1936" s="6">
        <f t="shared" si="231"/>
        <v>0.5</v>
      </c>
      <c r="E1936" s="6" t="s">
        <v>19</v>
      </c>
      <c r="F1936" s="6" t="str">
        <f>MID(A1936,19,1)</f>
        <v>N</v>
      </c>
      <c r="G1936" s="6">
        <v>-22.931903143390389</v>
      </c>
      <c r="H1936" s="6">
        <v>-47.074479923671028</v>
      </c>
      <c r="I1936" s="9">
        <v>3756.97</v>
      </c>
      <c r="K1936" s="6">
        <v>4.83</v>
      </c>
      <c r="L1936" s="6">
        <v>50</v>
      </c>
      <c r="N1936" s="1">
        <f t="shared" si="228"/>
        <v>0</v>
      </c>
      <c r="O1936" s="8" t="s">
        <v>20</v>
      </c>
      <c r="P1936" s="8"/>
      <c r="Q1936" s="8" t="s">
        <v>21</v>
      </c>
      <c r="R1936" s="8" t="s">
        <v>21</v>
      </c>
      <c r="S1936" s="8" t="s">
        <v>21</v>
      </c>
      <c r="T1936" s="8" t="s">
        <v>21</v>
      </c>
      <c r="U1936" s="6">
        <f t="shared" si="229"/>
        <v>1878.4849999999999</v>
      </c>
      <c r="V1936" s="6">
        <f t="shared" si="230"/>
        <v>1878.4849999999999</v>
      </c>
    </row>
    <row r="1937" spans="1:22" x14ac:dyDescent="0.35">
      <c r="A1937" s="6" t="s">
        <v>2141</v>
      </c>
      <c r="B1937" s="6" t="s">
        <v>2138</v>
      </c>
      <c r="C1937" s="6" t="s">
        <v>2139</v>
      </c>
      <c r="D1937" s="6">
        <f t="shared" si="231"/>
        <v>0.5</v>
      </c>
      <c r="E1937" s="6" t="s">
        <v>19</v>
      </c>
      <c r="F1937" s="6" t="str">
        <f>MID(A1937,19,1)</f>
        <v>N</v>
      </c>
      <c r="G1937" s="6">
        <v>-22.931425277184442</v>
      </c>
      <c r="H1937" s="6">
        <v>-47.072400660664805</v>
      </c>
      <c r="I1937" s="9">
        <v>876.46</v>
      </c>
      <c r="K1937" s="6">
        <v>8.5299999999999994</v>
      </c>
      <c r="L1937" s="6">
        <v>50</v>
      </c>
      <c r="N1937" s="1">
        <f t="shared" si="228"/>
        <v>0</v>
      </c>
      <c r="O1937" s="8" t="s">
        <v>20</v>
      </c>
      <c r="P1937" s="8"/>
      <c r="Q1937" s="8" t="s">
        <v>21</v>
      </c>
      <c r="R1937" s="8" t="s">
        <v>21</v>
      </c>
      <c r="S1937" s="8" t="s">
        <v>21</v>
      </c>
      <c r="T1937" s="8" t="s">
        <v>21</v>
      </c>
      <c r="U1937" s="6">
        <f t="shared" si="229"/>
        <v>438.23</v>
      </c>
      <c r="V1937" s="6">
        <f t="shared" si="230"/>
        <v>438.23</v>
      </c>
    </row>
    <row r="1938" spans="1:22" x14ac:dyDescent="0.35">
      <c r="A1938" s="6" t="s">
        <v>2142</v>
      </c>
      <c r="B1938" s="6" t="s">
        <v>2138</v>
      </c>
      <c r="C1938" s="6" t="s">
        <v>2139</v>
      </c>
      <c r="D1938" s="6">
        <f t="shared" si="231"/>
        <v>0.5</v>
      </c>
      <c r="E1938" s="6" t="s">
        <v>19</v>
      </c>
      <c r="F1938" s="6" t="str">
        <f>MID(A1938,19,1)</f>
        <v>N</v>
      </c>
      <c r="G1938" s="6">
        <v>-22.932498622901981</v>
      </c>
      <c r="H1938" s="6">
        <v>-47.072947138854971</v>
      </c>
      <c r="I1938" s="9">
        <v>971.02</v>
      </c>
      <c r="K1938" s="6">
        <v>3.6</v>
      </c>
      <c r="L1938" s="6">
        <v>50</v>
      </c>
      <c r="N1938" s="1">
        <f t="shared" si="228"/>
        <v>0</v>
      </c>
      <c r="O1938" s="8" t="s">
        <v>20</v>
      </c>
      <c r="P1938" s="8"/>
      <c r="Q1938" s="8" t="s">
        <v>21</v>
      </c>
      <c r="R1938" s="8" t="s">
        <v>21</v>
      </c>
      <c r="S1938" s="8" t="s">
        <v>21</v>
      </c>
      <c r="T1938" s="8" t="s">
        <v>21</v>
      </c>
      <c r="U1938" s="6">
        <f t="shared" si="229"/>
        <v>485.51</v>
      </c>
      <c r="V1938" s="6">
        <f t="shared" si="230"/>
        <v>485.51</v>
      </c>
    </row>
    <row r="1939" spans="1:22" x14ac:dyDescent="0.35">
      <c r="A1939" s="6" t="s">
        <v>2143</v>
      </c>
      <c r="B1939" s="6" t="s">
        <v>2138</v>
      </c>
      <c r="C1939" s="6" t="s">
        <v>2139</v>
      </c>
      <c r="D1939" s="6">
        <f t="shared" si="231"/>
        <v>0.5</v>
      </c>
      <c r="E1939" s="6" t="s">
        <v>19</v>
      </c>
      <c r="F1939" s="6" t="str">
        <f>MID(A1939,19,1)</f>
        <v>N</v>
      </c>
      <c r="G1939" s="6">
        <v>-22.932155045871049</v>
      </c>
      <c r="H1939" s="6">
        <v>-47.073481748438518</v>
      </c>
      <c r="I1939" s="9">
        <v>12860.84</v>
      </c>
      <c r="K1939" s="6">
        <v>5.34</v>
      </c>
      <c r="L1939" s="6">
        <v>50</v>
      </c>
      <c r="N1939" s="1">
        <f t="shared" si="228"/>
        <v>0</v>
      </c>
      <c r="O1939" s="8" t="s">
        <v>20</v>
      </c>
      <c r="P1939" s="8"/>
      <c r="Q1939" s="8" t="s">
        <v>21</v>
      </c>
      <c r="R1939" s="8" t="s">
        <v>21</v>
      </c>
      <c r="S1939" s="8" t="s">
        <v>21</v>
      </c>
      <c r="T1939" s="8" t="s">
        <v>21</v>
      </c>
      <c r="U1939" s="6">
        <f t="shared" si="229"/>
        <v>6430.42</v>
      </c>
      <c r="V1939" s="6">
        <f t="shared" si="230"/>
        <v>6430.42</v>
      </c>
    </row>
    <row r="1940" spans="1:22" x14ac:dyDescent="0.35">
      <c r="A1940" s="6" t="s">
        <v>2144</v>
      </c>
      <c r="B1940" s="6" t="s">
        <v>2138</v>
      </c>
      <c r="C1940" s="6" t="s">
        <v>2139</v>
      </c>
      <c r="D1940" s="6">
        <f t="shared" si="231"/>
        <v>0.5</v>
      </c>
      <c r="E1940" s="6" t="s">
        <v>19</v>
      </c>
      <c r="F1940" s="6" t="str">
        <f>MID(A1940,19,1)</f>
        <v>N</v>
      </c>
      <c r="G1940" s="6">
        <v>-22.932025308114181</v>
      </c>
      <c r="H1940" s="6">
        <v>-47.074154830809398</v>
      </c>
      <c r="I1940" s="9">
        <v>3240.85</v>
      </c>
      <c r="K1940" s="6">
        <v>5.84</v>
      </c>
      <c r="L1940" s="6">
        <v>50</v>
      </c>
      <c r="N1940" s="1">
        <f t="shared" si="228"/>
        <v>0</v>
      </c>
      <c r="O1940" s="8" t="s">
        <v>20</v>
      </c>
      <c r="P1940" s="8"/>
      <c r="Q1940" s="8" t="s">
        <v>21</v>
      </c>
      <c r="R1940" s="8" t="s">
        <v>21</v>
      </c>
      <c r="S1940" s="8" t="s">
        <v>21</v>
      </c>
      <c r="T1940" s="8" t="s">
        <v>21</v>
      </c>
      <c r="U1940" s="6">
        <f t="shared" si="229"/>
        <v>1620.425</v>
      </c>
      <c r="V1940" s="6">
        <f t="shared" si="230"/>
        <v>1620.425</v>
      </c>
    </row>
    <row r="1941" spans="1:22" hidden="1" x14ac:dyDescent="0.35">
      <c r="A1941" s="6" t="s">
        <v>2145</v>
      </c>
      <c r="B1941" s="6" t="s">
        <v>2138</v>
      </c>
      <c r="C1941" s="6" t="s">
        <v>2139</v>
      </c>
      <c r="D1941" s="6">
        <f t="shared" si="231"/>
        <v>0.5</v>
      </c>
      <c r="E1941" s="6" t="s">
        <v>19</v>
      </c>
      <c r="F1941" s="6" t="str">
        <f>MID(A1941,19,1)</f>
        <v>S</v>
      </c>
      <c r="G1941" s="6">
        <v>-22.934748209622761</v>
      </c>
      <c r="H1941" s="6">
        <v>-47.072668382441449</v>
      </c>
      <c r="I1941" s="9">
        <v>1197.47</v>
      </c>
      <c r="K1941" s="6">
        <v>7.21</v>
      </c>
      <c r="L1941" s="6">
        <v>50</v>
      </c>
      <c r="N1941" s="1">
        <f t="shared" si="228"/>
        <v>0</v>
      </c>
      <c r="O1941" s="8" t="s">
        <v>20</v>
      </c>
      <c r="P1941" s="8"/>
      <c r="Q1941" s="8" t="s">
        <v>21</v>
      </c>
      <c r="R1941" s="8" t="s">
        <v>21</v>
      </c>
      <c r="S1941" s="8" t="s">
        <v>21</v>
      </c>
      <c r="T1941" s="8" t="s">
        <v>21</v>
      </c>
      <c r="U1941" s="6">
        <f t="shared" si="229"/>
        <v>598.73500000000001</v>
      </c>
      <c r="V1941" s="6">
        <f t="shared" si="230"/>
        <v>598.73500000000001</v>
      </c>
    </row>
    <row r="1942" spans="1:22" x14ac:dyDescent="0.35">
      <c r="A1942" s="6" t="s">
        <v>2146</v>
      </c>
      <c r="B1942" s="6" t="s">
        <v>2138</v>
      </c>
      <c r="C1942" s="6" t="s">
        <v>2139</v>
      </c>
      <c r="D1942" s="6">
        <f t="shared" si="231"/>
        <v>0.5</v>
      </c>
      <c r="E1942" s="6" t="s">
        <v>19</v>
      </c>
      <c r="F1942" s="6" t="str">
        <f>MID(A1942,19,1)</f>
        <v>N</v>
      </c>
      <c r="G1942" s="6">
        <v>-22.937723439939859</v>
      </c>
      <c r="H1942" s="6">
        <v>-47.069075255609228</v>
      </c>
      <c r="I1942" s="9">
        <v>783.16</v>
      </c>
      <c r="K1942" s="6">
        <v>5.42</v>
      </c>
      <c r="L1942" s="6">
        <v>40</v>
      </c>
      <c r="N1942" s="1">
        <f t="shared" si="228"/>
        <v>0</v>
      </c>
      <c r="O1942" s="8" t="s">
        <v>185</v>
      </c>
      <c r="P1942" s="8"/>
      <c r="Q1942" s="8" t="s">
        <v>21</v>
      </c>
      <c r="R1942" s="8" t="s">
        <v>21</v>
      </c>
      <c r="S1942" s="8" t="s">
        <v>21</v>
      </c>
      <c r="T1942" s="8" t="s">
        <v>21</v>
      </c>
      <c r="U1942" s="6">
        <f t="shared" si="229"/>
        <v>313.26400000000001</v>
      </c>
      <c r="V1942" s="6">
        <f t="shared" si="230"/>
        <v>313.26400000000001</v>
      </c>
    </row>
    <row r="1943" spans="1:22" x14ac:dyDescent="0.35">
      <c r="A1943" s="6" t="s">
        <v>2147</v>
      </c>
      <c r="B1943" s="6" t="s">
        <v>2138</v>
      </c>
      <c r="C1943" s="6" t="s">
        <v>2139</v>
      </c>
      <c r="D1943" s="6">
        <f t="shared" si="231"/>
        <v>0.5</v>
      </c>
      <c r="E1943" s="6" t="s">
        <v>19</v>
      </c>
      <c r="F1943" s="6" t="str">
        <f>MID(A1943,19,1)</f>
        <v>N</v>
      </c>
      <c r="G1943" s="6">
        <v>-22.931754417318491</v>
      </c>
      <c r="H1943" s="6">
        <v>-47.072556609905355</v>
      </c>
      <c r="I1943" s="9">
        <v>4759.17</v>
      </c>
      <c r="K1943" s="6">
        <v>6.72</v>
      </c>
      <c r="L1943" s="6">
        <v>50</v>
      </c>
      <c r="N1943" s="1">
        <f t="shared" si="228"/>
        <v>0</v>
      </c>
      <c r="O1943" s="8" t="s">
        <v>20</v>
      </c>
      <c r="P1943" s="8"/>
      <c r="Q1943" s="8" t="s">
        <v>21</v>
      </c>
      <c r="R1943" s="8" t="s">
        <v>21</v>
      </c>
      <c r="S1943" s="8" t="s">
        <v>21</v>
      </c>
      <c r="T1943" s="8" t="s">
        <v>21</v>
      </c>
      <c r="U1943" s="6">
        <f t="shared" si="229"/>
        <v>2379.585</v>
      </c>
      <c r="V1943" s="6">
        <f t="shared" si="230"/>
        <v>2379.585</v>
      </c>
    </row>
    <row r="1944" spans="1:22" x14ac:dyDescent="0.35">
      <c r="A1944" s="6" t="s">
        <v>2148</v>
      </c>
      <c r="B1944" s="6" t="s">
        <v>2138</v>
      </c>
      <c r="C1944" s="6" t="s">
        <v>2139</v>
      </c>
      <c r="D1944" s="6">
        <f t="shared" si="231"/>
        <v>0.5</v>
      </c>
      <c r="E1944" s="6" t="s">
        <v>19</v>
      </c>
      <c r="F1944" s="6" t="str">
        <f>MID(A1944,19,1)</f>
        <v>N</v>
      </c>
      <c r="G1944" s="6">
        <v>-22.937861370840832</v>
      </c>
      <c r="H1944" s="6">
        <v>-47.069231380349194</v>
      </c>
      <c r="I1944" s="9">
        <v>2466.39</v>
      </c>
      <c r="K1944" s="6">
        <v>4.25</v>
      </c>
      <c r="L1944" s="6">
        <v>40</v>
      </c>
      <c r="N1944" s="1">
        <f t="shared" si="228"/>
        <v>0</v>
      </c>
      <c r="O1944" s="8" t="s">
        <v>185</v>
      </c>
      <c r="P1944" s="8"/>
      <c r="Q1944" s="8" t="s">
        <v>21</v>
      </c>
      <c r="R1944" s="8" t="s">
        <v>21</v>
      </c>
      <c r="S1944" s="8" t="s">
        <v>21</v>
      </c>
      <c r="T1944" s="8" t="s">
        <v>21</v>
      </c>
      <c r="U1944" s="6">
        <f t="shared" si="229"/>
        <v>986.55600000000004</v>
      </c>
      <c r="V1944" s="6">
        <f t="shared" si="230"/>
        <v>986.55600000000004</v>
      </c>
    </row>
    <row r="1945" spans="1:22" hidden="1" x14ac:dyDescent="0.35">
      <c r="A1945" s="6" t="s">
        <v>2149</v>
      </c>
      <c r="B1945" s="6" t="s">
        <v>2138</v>
      </c>
      <c r="C1945" s="6" t="s">
        <v>2139</v>
      </c>
      <c r="D1945" s="6">
        <f t="shared" si="231"/>
        <v>0.5</v>
      </c>
      <c r="E1945" s="6" t="s">
        <v>23</v>
      </c>
      <c r="F1945" s="6" t="str">
        <f>MID(A1945,19,1)</f>
        <v>C</v>
      </c>
      <c r="G1945" s="6">
        <v>-22.934279032608821</v>
      </c>
      <c r="H1945" s="6">
        <v>-47.071678974063438</v>
      </c>
      <c r="I1945" s="9">
        <v>4187.0200000000004</v>
      </c>
      <c r="J1945" s="9">
        <f t="shared" ref="J1945:J1949" si="232">I1945/500</f>
        <v>8.3740400000000008</v>
      </c>
      <c r="K1945" s="6">
        <v>5.08</v>
      </c>
      <c r="L1945" s="6">
        <v>50</v>
      </c>
      <c r="N1945" s="1">
        <f t="shared" si="228"/>
        <v>0</v>
      </c>
      <c r="O1945" s="8" t="s">
        <v>20</v>
      </c>
      <c r="P1945" s="8"/>
      <c r="Q1945" s="8" t="s">
        <v>21</v>
      </c>
      <c r="R1945" s="8" t="s">
        <v>21</v>
      </c>
      <c r="S1945" s="8" t="s">
        <v>21</v>
      </c>
      <c r="T1945" s="8" t="s">
        <v>21</v>
      </c>
      <c r="U1945" s="6">
        <f t="shared" si="229"/>
        <v>2093.5100000000002</v>
      </c>
      <c r="V1945" s="6">
        <f t="shared" si="230"/>
        <v>2093.5100000000002</v>
      </c>
    </row>
    <row r="1946" spans="1:22" hidden="1" x14ac:dyDescent="0.35">
      <c r="A1946" s="6" t="s">
        <v>2150</v>
      </c>
      <c r="B1946" s="6" t="s">
        <v>2138</v>
      </c>
      <c r="C1946" s="6" t="s">
        <v>2139</v>
      </c>
      <c r="D1946" s="6">
        <f t="shared" si="231"/>
        <v>0.5</v>
      </c>
      <c r="E1946" s="6" t="s">
        <v>23</v>
      </c>
      <c r="F1946" s="6" t="str">
        <f>MID(A1946,19,1)</f>
        <v>C</v>
      </c>
      <c r="G1946" s="6">
        <v>-22.93300419540299</v>
      </c>
      <c r="H1946" s="6">
        <v>-47.072592478399223</v>
      </c>
      <c r="I1946" s="9">
        <v>12876.04</v>
      </c>
      <c r="J1946" s="9">
        <f t="shared" si="232"/>
        <v>25.752080000000003</v>
      </c>
      <c r="K1946" s="6">
        <v>4.38</v>
      </c>
      <c r="L1946" s="6">
        <v>50</v>
      </c>
      <c r="N1946" s="1">
        <f t="shared" si="228"/>
        <v>0</v>
      </c>
      <c r="O1946" s="8" t="s">
        <v>20</v>
      </c>
      <c r="P1946" s="8"/>
      <c r="Q1946" s="8" t="s">
        <v>21</v>
      </c>
      <c r="R1946" s="8" t="s">
        <v>21</v>
      </c>
      <c r="S1946" s="8" t="s">
        <v>21</v>
      </c>
      <c r="T1946" s="8" t="s">
        <v>21</v>
      </c>
      <c r="U1946" s="6">
        <f t="shared" si="229"/>
        <v>6438.02</v>
      </c>
      <c r="V1946" s="6">
        <f t="shared" si="230"/>
        <v>6438.02</v>
      </c>
    </row>
    <row r="1947" spans="1:22" hidden="1" x14ac:dyDescent="0.35">
      <c r="A1947" s="6" t="s">
        <v>2151</v>
      </c>
      <c r="B1947" s="6" t="s">
        <v>2138</v>
      </c>
      <c r="C1947" s="6" t="s">
        <v>2139</v>
      </c>
      <c r="D1947" s="6">
        <f t="shared" si="231"/>
        <v>0.5</v>
      </c>
      <c r="E1947" s="6" t="s">
        <v>23</v>
      </c>
      <c r="F1947" s="6" t="str">
        <f>MID(A1947,19,1)</f>
        <v>C</v>
      </c>
      <c r="G1947" s="6">
        <v>-22.93336780853333</v>
      </c>
      <c r="H1947" s="6">
        <v>-47.073796716979984</v>
      </c>
      <c r="I1947" s="9">
        <v>3748.42</v>
      </c>
      <c r="J1947" s="9">
        <f t="shared" si="232"/>
        <v>7.4968399999999997</v>
      </c>
      <c r="K1947" s="6">
        <v>4.0599999999999996</v>
      </c>
      <c r="L1947" s="6">
        <v>50</v>
      </c>
      <c r="N1947" s="1">
        <f t="shared" si="228"/>
        <v>0</v>
      </c>
      <c r="O1947" s="8" t="s">
        <v>20</v>
      </c>
      <c r="P1947" s="8"/>
      <c r="Q1947" s="8" t="s">
        <v>21</v>
      </c>
      <c r="R1947" s="8" t="s">
        <v>21</v>
      </c>
      <c r="S1947" s="8" t="s">
        <v>21</v>
      </c>
      <c r="T1947" s="8" t="s">
        <v>21</v>
      </c>
      <c r="U1947" s="6">
        <f t="shared" si="229"/>
        <v>1874.21</v>
      </c>
      <c r="V1947" s="6">
        <f t="shared" si="230"/>
        <v>1874.21</v>
      </c>
    </row>
    <row r="1948" spans="1:22" hidden="1" x14ac:dyDescent="0.35">
      <c r="A1948" s="6" t="s">
        <v>2152</v>
      </c>
      <c r="B1948" s="6" t="s">
        <v>2138</v>
      </c>
      <c r="C1948" s="6" t="s">
        <v>2139</v>
      </c>
      <c r="D1948" s="6">
        <f t="shared" si="231"/>
        <v>0.5</v>
      </c>
      <c r="E1948" s="6" t="s">
        <v>23</v>
      </c>
      <c r="F1948" s="6" t="str">
        <f>MID(A1948,19,1)</f>
        <v>C</v>
      </c>
      <c r="G1948" s="6">
        <v>-22.9331501848852</v>
      </c>
      <c r="H1948" s="6">
        <v>-47.074457376956552</v>
      </c>
      <c r="I1948" s="9">
        <v>388.22</v>
      </c>
      <c r="J1948" s="9">
        <f t="shared" si="232"/>
        <v>0.77644000000000002</v>
      </c>
      <c r="K1948" s="6">
        <v>3.43</v>
      </c>
      <c r="L1948" s="6">
        <v>50</v>
      </c>
      <c r="N1948" s="1">
        <f t="shared" si="228"/>
        <v>0</v>
      </c>
      <c r="O1948" s="8" t="s">
        <v>20</v>
      </c>
      <c r="P1948" s="8"/>
      <c r="Q1948" s="8" t="s">
        <v>21</v>
      </c>
      <c r="R1948" s="8" t="s">
        <v>21</v>
      </c>
      <c r="S1948" s="8" t="s">
        <v>21</v>
      </c>
      <c r="T1948" s="8" t="s">
        <v>21</v>
      </c>
      <c r="U1948" s="6">
        <f t="shared" si="229"/>
        <v>194.11</v>
      </c>
      <c r="V1948" s="6">
        <f t="shared" si="230"/>
        <v>194.11</v>
      </c>
    </row>
    <row r="1949" spans="1:22" hidden="1" x14ac:dyDescent="0.35">
      <c r="A1949" s="6" t="s">
        <v>2153</v>
      </c>
      <c r="B1949" s="6" t="s">
        <v>2138</v>
      </c>
      <c r="C1949" s="6" t="s">
        <v>2139</v>
      </c>
      <c r="D1949" s="6">
        <f t="shared" si="231"/>
        <v>0.5</v>
      </c>
      <c r="E1949" s="6" t="s">
        <v>23</v>
      </c>
      <c r="F1949" s="6" t="str">
        <f>MID(A1949,19,1)</f>
        <v>C</v>
      </c>
      <c r="G1949" s="6">
        <v>-22.9327747326675</v>
      </c>
      <c r="H1949" s="6">
        <v>-47.071990998714803</v>
      </c>
      <c r="I1949" s="9">
        <v>6321.18</v>
      </c>
      <c r="J1949" s="9">
        <f t="shared" si="232"/>
        <v>12.64236</v>
      </c>
      <c r="K1949" s="6">
        <v>4.28</v>
      </c>
      <c r="L1949" s="6">
        <v>50</v>
      </c>
      <c r="N1949" s="1">
        <f t="shared" si="228"/>
        <v>0</v>
      </c>
      <c r="O1949" s="8" t="s">
        <v>20</v>
      </c>
      <c r="P1949" s="8"/>
      <c r="Q1949" s="8" t="s">
        <v>21</v>
      </c>
      <c r="R1949" s="8" t="s">
        <v>21</v>
      </c>
      <c r="S1949" s="8" t="s">
        <v>21</v>
      </c>
      <c r="T1949" s="8" t="s">
        <v>21</v>
      </c>
      <c r="U1949" s="6">
        <f t="shared" si="229"/>
        <v>3160.59</v>
      </c>
      <c r="V1949" s="6">
        <f t="shared" si="230"/>
        <v>3160.59</v>
      </c>
    </row>
    <row r="1950" spans="1:22" x14ac:dyDescent="0.35">
      <c r="A1950" s="6" t="s">
        <v>2154</v>
      </c>
      <c r="B1950" s="6" t="s">
        <v>2138</v>
      </c>
      <c r="C1950" s="6" t="s">
        <v>2139</v>
      </c>
      <c r="D1950" s="6">
        <f t="shared" si="231"/>
        <v>0.5</v>
      </c>
      <c r="E1950" s="6" t="s">
        <v>19</v>
      </c>
      <c r="F1950" s="6" t="str">
        <f>MID(A1950,19,1)</f>
        <v>N</v>
      </c>
      <c r="G1950" s="6">
        <v>-22.935559918779312</v>
      </c>
      <c r="H1950" s="6">
        <v>-47.070645463428484</v>
      </c>
      <c r="I1950" s="9">
        <v>1223.92</v>
      </c>
      <c r="K1950" s="6">
        <v>3.77</v>
      </c>
      <c r="L1950" s="6">
        <v>40</v>
      </c>
      <c r="N1950" s="1">
        <f t="shared" si="228"/>
        <v>0</v>
      </c>
      <c r="O1950" s="8" t="s">
        <v>185</v>
      </c>
      <c r="P1950" s="8"/>
      <c r="Q1950" s="8" t="s">
        <v>21</v>
      </c>
      <c r="R1950" s="8" t="s">
        <v>21</v>
      </c>
      <c r="S1950" s="8" t="s">
        <v>21</v>
      </c>
      <c r="T1950" s="8" t="s">
        <v>21</v>
      </c>
      <c r="U1950" s="6">
        <f t="shared" si="229"/>
        <v>489.56800000000004</v>
      </c>
      <c r="V1950" s="6">
        <f t="shared" si="230"/>
        <v>489.56800000000004</v>
      </c>
    </row>
    <row r="1951" spans="1:22" hidden="1" x14ac:dyDescent="0.35">
      <c r="A1951" s="8" t="s">
        <v>2155</v>
      </c>
      <c r="B1951" s="8" t="s">
        <v>2138</v>
      </c>
      <c r="C1951" s="8" t="s">
        <v>2139</v>
      </c>
      <c r="D1951" s="6">
        <f t="shared" si="231"/>
        <v>0.5</v>
      </c>
      <c r="E1951" s="8" t="s">
        <v>19</v>
      </c>
      <c r="F1951" s="6" t="str">
        <f>MID(A1951,19,1)</f>
        <v>S</v>
      </c>
      <c r="G1951" s="8">
        <v>-22.958328057752581</v>
      </c>
      <c r="H1951" s="8">
        <v>-47.125803278199562</v>
      </c>
      <c r="I1951" s="7">
        <v>3500.56</v>
      </c>
      <c r="J1951" s="7"/>
      <c r="K1951" s="8">
        <v>6.12</v>
      </c>
      <c r="L1951" s="8">
        <v>80</v>
      </c>
      <c r="M1951" s="8"/>
      <c r="N1951" s="11">
        <f t="shared" si="228"/>
        <v>2800.4480000000003</v>
      </c>
      <c r="O1951" s="8" t="s">
        <v>71</v>
      </c>
      <c r="P1951" s="8"/>
      <c r="Q1951" s="8" t="s">
        <v>21</v>
      </c>
      <c r="R1951" s="8" t="s">
        <v>21</v>
      </c>
      <c r="S1951" s="8" t="s">
        <v>21</v>
      </c>
      <c r="T1951" s="8" t="s">
        <v>26</v>
      </c>
      <c r="U1951" s="6">
        <f t="shared" si="229"/>
        <v>0</v>
      </c>
    </row>
    <row r="1952" spans="1:22" x14ac:dyDescent="0.35">
      <c r="A1952" s="6" t="s">
        <v>2156</v>
      </c>
      <c r="B1952" s="6" t="s">
        <v>2138</v>
      </c>
      <c r="C1952" s="6" t="s">
        <v>2139</v>
      </c>
      <c r="D1952" s="6">
        <f t="shared" si="231"/>
        <v>0.5</v>
      </c>
      <c r="E1952" s="6" t="s">
        <v>19</v>
      </c>
      <c r="F1952" s="6" t="str">
        <f>MID(A1952,19,1)</f>
        <v>N</v>
      </c>
      <c r="G1952" s="6">
        <v>-22.93590688600516</v>
      </c>
      <c r="H1952" s="6">
        <v>-47.070176250861827</v>
      </c>
      <c r="I1952" s="9">
        <v>932.25</v>
      </c>
      <c r="K1952" s="6">
        <v>3.89</v>
      </c>
      <c r="L1952" s="6">
        <v>40</v>
      </c>
      <c r="N1952" s="1">
        <f t="shared" si="228"/>
        <v>0</v>
      </c>
      <c r="O1952" s="6" t="s">
        <v>185</v>
      </c>
      <c r="Q1952" s="6" t="s">
        <v>21</v>
      </c>
      <c r="R1952" s="6" t="s">
        <v>21</v>
      </c>
      <c r="S1952" s="6" t="s">
        <v>21</v>
      </c>
      <c r="T1952" s="6" t="s">
        <v>21</v>
      </c>
      <c r="U1952" s="6">
        <f t="shared" si="229"/>
        <v>372.90000000000003</v>
      </c>
      <c r="V1952" s="6">
        <f t="shared" ref="V1952:V1958" si="233">(I1952*(L1952/100))</f>
        <v>372.90000000000003</v>
      </c>
    </row>
    <row r="1953" spans="1:22" x14ac:dyDescent="0.35">
      <c r="A1953" s="6" t="s">
        <v>2157</v>
      </c>
      <c r="B1953" s="6" t="s">
        <v>2138</v>
      </c>
      <c r="C1953" s="6" t="s">
        <v>2139</v>
      </c>
      <c r="D1953" s="6">
        <f t="shared" si="231"/>
        <v>0.5</v>
      </c>
      <c r="E1953" s="6" t="s">
        <v>19</v>
      </c>
      <c r="F1953" s="6" t="str">
        <f>MID(A1953,19,1)</f>
        <v>N</v>
      </c>
      <c r="G1953" s="6">
        <v>-22.9333431730999</v>
      </c>
      <c r="H1953" s="6">
        <v>-47.071468349271214</v>
      </c>
      <c r="I1953" s="9">
        <v>1718.19</v>
      </c>
      <c r="K1953" s="6">
        <v>4.4800000000000004</v>
      </c>
      <c r="L1953" s="6">
        <v>50</v>
      </c>
      <c r="N1953" s="1">
        <f t="shared" si="228"/>
        <v>0</v>
      </c>
      <c r="O1953" s="6" t="s">
        <v>20</v>
      </c>
      <c r="Q1953" s="6" t="s">
        <v>21</v>
      </c>
      <c r="R1953" s="6" t="s">
        <v>21</v>
      </c>
      <c r="S1953" s="6" t="s">
        <v>21</v>
      </c>
      <c r="T1953" s="6" t="s">
        <v>21</v>
      </c>
      <c r="U1953" s="6">
        <f t="shared" si="229"/>
        <v>859.09500000000003</v>
      </c>
      <c r="V1953" s="6">
        <f t="shared" si="233"/>
        <v>859.09500000000003</v>
      </c>
    </row>
    <row r="1954" spans="1:22" hidden="1" x14ac:dyDescent="0.35">
      <c r="A1954" s="6" t="s">
        <v>2158</v>
      </c>
      <c r="B1954" s="6" t="s">
        <v>2138</v>
      </c>
      <c r="C1954" s="6" t="s">
        <v>2139</v>
      </c>
      <c r="D1954" s="6">
        <f t="shared" si="231"/>
        <v>0.5</v>
      </c>
      <c r="E1954" s="6" t="s">
        <v>19</v>
      </c>
      <c r="F1954" s="6" t="str">
        <f>MID(A1954,19,1)</f>
        <v>S</v>
      </c>
      <c r="G1954" s="6">
        <v>-22.95409257114893</v>
      </c>
      <c r="H1954" s="6">
        <v>-47.126093394726126</v>
      </c>
      <c r="I1954" s="9">
        <v>4512.1499999999996</v>
      </c>
      <c r="K1954" s="6">
        <v>7.18</v>
      </c>
      <c r="L1954" s="6">
        <v>80</v>
      </c>
      <c r="N1954" s="1">
        <f t="shared" si="228"/>
        <v>0</v>
      </c>
      <c r="O1954" s="6" t="s">
        <v>20</v>
      </c>
      <c r="Q1954" s="6" t="s">
        <v>21</v>
      </c>
      <c r="R1954" s="6" t="s">
        <v>21</v>
      </c>
      <c r="S1954" s="6" t="s">
        <v>21</v>
      </c>
      <c r="T1954" s="6" t="s">
        <v>21</v>
      </c>
      <c r="U1954" s="6">
        <f t="shared" si="229"/>
        <v>3609.72</v>
      </c>
      <c r="V1954" s="6">
        <f t="shared" si="233"/>
        <v>3609.72</v>
      </c>
    </row>
    <row r="1955" spans="1:22" hidden="1" x14ac:dyDescent="0.35">
      <c r="A1955" s="6" t="s">
        <v>2159</v>
      </c>
      <c r="B1955" s="6" t="s">
        <v>2138</v>
      </c>
      <c r="C1955" s="6" t="s">
        <v>2139</v>
      </c>
      <c r="D1955" s="6">
        <f t="shared" si="231"/>
        <v>0.5</v>
      </c>
      <c r="E1955" s="6" t="s">
        <v>23</v>
      </c>
      <c r="F1955" s="6" t="str">
        <f>MID(A1955,19,1)</f>
        <v>C</v>
      </c>
      <c r="G1955" s="6">
        <v>-22.954068449435731</v>
      </c>
      <c r="H1955" s="6">
        <v>-47.125749726208539</v>
      </c>
      <c r="I1955" s="9">
        <v>29847.27</v>
      </c>
      <c r="J1955" s="9">
        <f t="shared" ref="J1955:J1956" si="234">I1955/500</f>
        <v>59.694540000000003</v>
      </c>
      <c r="K1955" s="6">
        <v>6.32</v>
      </c>
      <c r="L1955" s="6">
        <v>80</v>
      </c>
      <c r="N1955" s="1">
        <f t="shared" si="228"/>
        <v>0</v>
      </c>
      <c r="O1955" s="6" t="s">
        <v>20</v>
      </c>
      <c r="Q1955" s="6" t="s">
        <v>21</v>
      </c>
      <c r="R1955" s="6" t="s">
        <v>21</v>
      </c>
      <c r="S1955" s="6" t="s">
        <v>21</v>
      </c>
      <c r="T1955" s="6" t="s">
        <v>21</v>
      </c>
      <c r="U1955" s="6">
        <f t="shared" si="229"/>
        <v>23877.816000000003</v>
      </c>
      <c r="V1955" s="6">
        <f t="shared" si="233"/>
        <v>23877.816000000003</v>
      </c>
    </row>
    <row r="1956" spans="1:22" hidden="1" x14ac:dyDescent="0.35">
      <c r="A1956" s="6" t="s">
        <v>2160</v>
      </c>
      <c r="B1956" s="6" t="s">
        <v>2138</v>
      </c>
      <c r="C1956" s="6" t="s">
        <v>2139</v>
      </c>
      <c r="D1956" s="6">
        <f t="shared" si="231"/>
        <v>0.5</v>
      </c>
      <c r="E1956" s="6" t="s">
        <v>23</v>
      </c>
      <c r="F1956" s="6" t="str">
        <f>MID(A1956,19,1)</f>
        <v>C</v>
      </c>
      <c r="G1956" s="6">
        <v>-22.932898203571529</v>
      </c>
      <c r="H1956" s="6">
        <v>-47.074456919830453</v>
      </c>
      <c r="I1956" s="9">
        <v>783.04</v>
      </c>
      <c r="J1956" s="9">
        <f t="shared" si="234"/>
        <v>1.5660799999999999</v>
      </c>
      <c r="K1956" s="6">
        <v>4.62</v>
      </c>
      <c r="L1956" s="6">
        <v>50</v>
      </c>
      <c r="N1956" s="1">
        <f t="shared" si="228"/>
        <v>0</v>
      </c>
      <c r="O1956" s="6" t="s">
        <v>20</v>
      </c>
      <c r="Q1956" s="6" t="s">
        <v>21</v>
      </c>
      <c r="R1956" s="6" t="s">
        <v>21</v>
      </c>
      <c r="S1956" s="6" t="s">
        <v>21</v>
      </c>
      <c r="T1956" s="6" t="s">
        <v>21</v>
      </c>
      <c r="U1956" s="6">
        <f t="shared" si="229"/>
        <v>391.52</v>
      </c>
      <c r="V1956" s="6">
        <f t="shared" si="233"/>
        <v>391.52</v>
      </c>
    </row>
    <row r="1957" spans="1:22" hidden="1" x14ac:dyDescent="0.35">
      <c r="A1957" s="6" t="s">
        <v>2161</v>
      </c>
      <c r="B1957" s="6" t="s">
        <v>2138</v>
      </c>
      <c r="C1957" s="6" t="s">
        <v>2139</v>
      </c>
      <c r="D1957" s="6">
        <f t="shared" si="231"/>
        <v>0.5</v>
      </c>
      <c r="E1957" s="6" t="s">
        <v>19</v>
      </c>
      <c r="F1957" s="6" t="str">
        <f>MID(A1957,19,1)</f>
        <v>S</v>
      </c>
      <c r="G1957" s="6">
        <v>-22.935238565603431</v>
      </c>
      <c r="H1957" s="6">
        <v>-47.071290911443796</v>
      </c>
      <c r="I1957" s="9">
        <v>6.91</v>
      </c>
      <c r="K1957" s="6">
        <v>8.15</v>
      </c>
      <c r="L1957" s="6">
        <v>0</v>
      </c>
      <c r="N1957" s="1">
        <f t="shared" si="228"/>
        <v>0</v>
      </c>
      <c r="Q1957" s="6" t="s">
        <v>21</v>
      </c>
      <c r="R1957" s="6" t="s">
        <v>21</v>
      </c>
      <c r="S1957" s="6" t="s">
        <v>21</v>
      </c>
      <c r="T1957" s="6" t="s">
        <v>21</v>
      </c>
      <c r="U1957" s="6">
        <f t="shared" si="229"/>
        <v>0</v>
      </c>
      <c r="V1957" s="6">
        <f t="shared" si="233"/>
        <v>0</v>
      </c>
    </row>
    <row r="1958" spans="1:22" hidden="1" x14ac:dyDescent="0.35">
      <c r="A1958" s="6" t="s">
        <v>2162</v>
      </c>
      <c r="B1958" s="6" t="s">
        <v>2138</v>
      </c>
      <c r="C1958" s="6" t="s">
        <v>2139</v>
      </c>
      <c r="D1958" s="6">
        <f t="shared" si="231"/>
        <v>0.5</v>
      </c>
      <c r="E1958" s="6" t="s">
        <v>19</v>
      </c>
      <c r="F1958" s="6" t="str">
        <f>MID(A1958,19,1)</f>
        <v>S</v>
      </c>
      <c r="G1958" s="6">
        <v>-22.934540718882019</v>
      </c>
      <c r="H1958" s="6">
        <v>-47.072131086196826</v>
      </c>
      <c r="I1958" s="9">
        <v>2488.37</v>
      </c>
      <c r="K1958" s="6">
        <v>6.13</v>
      </c>
      <c r="L1958" s="6">
        <v>50</v>
      </c>
      <c r="N1958" s="1">
        <f t="shared" si="228"/>
        <v>0</v>
      </c>
      <c r="O1958" s="6" t="s">
        <v>20</v>
      </c>
      <c r="Q1958" s="6" t="s">
        <v>21</v>
      </c>
      <c r="R1958" s="6" t="s">
        <v>21</v>
      </c>
      <c r="S1958" s="6" t="s">
        <v>21</v>
      </c>
      <c r="T1958" s="6" t="s">
        <v>21</v>
      </c>
      <c r="U1958" s="6">
        <f t="shared" si="229"/>
        <v>1244.1849999999999</v>
      </c>
      <c r="V1958" s="6">
        <f t="shared" si="233"/>
        <v>1244.1849999999999</v>
      </c>
    </row>
    <row r="1959" spans="1:22" hidden="1" x14ac:dyDescent="0.35">
      <c r="A1959" s="8" t="s">
        <v>2163</v>
      </c>
      <c r="B1959" s="8" t="s">
        <v>2138</v>
      </c>
      <c r="C1959" s="8" t="s">
        <v>2139</v>
      </c>
      <c r="D1959" s="6">
        <f t="shared" si="231"/>
        <v>0.5</v>
      </c>
      <c r="E1959" s="8" t="s">
        <v>23</v>
      </c>
      <c r="F1959" s="6" t="s">
        <v>4075</v>
      </c>
      <c r="G1959" s="8">
        <v>-22.953921890728878</v>
      </c>
      <c r="H1959" s="8">
        <v>-47.125388055034477</v>
      </c>
      <c r="I1959" s="7">
        <v>4346.5600000000004</v>
      </c>
      <c r="J1959" s="9">
        <f>I1959/500</f>
        <v>8.6931200000000004</v>
      </c>
      <c r="K1959" s="8">
        <v>5.33</v>
      </c>
      <c r="L1959" s="8">
        <v>30</v>
      </c>
      <c r="M1959" s="8"/>
      <c r="N1959" s="11">
        <f t="shared" si="228"/>
        <v>1303.9680000000001</v>
      </c>
      <c r="O1959" s="8" t="s">
        <v>25</v>
      </c>
      <c r="P1959" s="8"/>
      <c r="Q1959" s="8" t="s">
        <v>21</v>
      </c>
      <c r="R1959" s="8" t="s">
        <v>26</v>
      </c>
      <c r="S1959" s="8" t="s">
        <v>21</v>
      </c>
      <c r="T1959" s="8" t="s">
        <v>26</v>
      </c>
      <c r="U1959" s="6">
        <f t="shared" si="229"/>
        <v>0</v>
      </c>
    </row>
    <row r="1960" spans="1:22" hidden="1" x14ac:dyDescent="0.35">
      <c r="A1960" s="6" t="s">
        <v>2164</v>
      </c>
      <c r="B1960" s="6" t="s">
        <v>2138</v>
      </c>
      <c r="C1960" s="6" t="s">
        <v>2139</v>
      </c>
      <c r="D1960" s="6">
        <f t="shared" si="231"/>
        <v>0.5</v>
      </c>
      <c r="E1960" s="6" t="s">
        <v>19</v>
      </c>
      <c r="F1960" s="6" t="str">
        <f>MID(A1960,19,1)</f>
        <v>S</v>
      </c>
      <c r="G1960" s="6">
        <v>-22.933987253824931</v>
      </c>
      <c r="H1960" s="6">
        <v>-47.075371886885812</v>
      </c>
      <c r="I1960" s="9">
        <v>0</v>
      </c>
      <c r="K1960" s="6">
        <v>10.32</v>
      </c>
      <c r="N1960" s="1">
        <f t="shared" si="228"/>
        <v>0</v>
      </c>
      <c r="Q1960" s="6" t="s">
        <v>21</v>
      </c>
      <c r="R1960" s="6" t="s">
        <v>21</v>
      </c>
      <c r="S1960" s="6" t="s">
        <v>21</v>
      </c>
      <c r="T1960" s="6" t="s">
        <v>21</v>
      </c>
      <c r="U1960" s="6">
        <f t="shared" si="229"/>
        <v>0</v>
      </c>
      <c r="V1960" s="6">
        <f t="shared" ref="V1960:V1962" si="235">(I1960*(L1960/100))</f>
        <v>0</v>
      </c>
    </row>
    <row r="1961" spans="1:22" hidden="1" x14ac:dyDescent="0.35">
      <c r="A1961" s="6" t="s">
        <v>2165</v>
      </c>
      <c r="B1961" s="6" t="s">
        <v>2138</v>
      </c>
      <c r="C1961" s="6" t="s">
        <v>2139</v>
      </c>
      <c r="D1961" s="6">
        <f t="shared" si="231"/>
        <v>0.5</v>
      </c>
      <c r="E1961" s="6" t="s">
        <v>19</v>
      </c>
      <c r="F1961" s="6" t="str">
        <f>MID(A1961,19,1)</f>
        <v>S</v>
      </c>
      <c r="G1961" s="6">
        <v>-22.938072017451571</v>
      </c>
      <c r="H1961" s="6">
        <v>-47.069731009368233</v>
      </c>
      <c r="I1961" s="9">
        <v>949.77</v>
      </c>
      <c r="K1961" s="6">
        <v>3.79</v>
      </c>
      <c r="L1961" s="6">
        <v>60</v>
      </c>
      <c r="N1961" s="1">
        <f t="shared" si="228"/>
        <v>0</v>
      </c>
      <c r="O1961" s="6" t="s">
        <v>20</v>
      </c>
      <c r="Q1961" s="6" t="s">
        <v>21</v>
      </c>
      <c r="R1961" s="6" t="s">
        <v>21</v>
      </c>
      <c r="S1961" s="6" t="s">
        <v>21</v>
      </c>
      <c r="T1961" s="6" t="s">
        <v>21</v>
      </c>
      <c r="U1961" s="6">
        <f t="shared" si="229"/>
        <v>569.86199999999997</v>
      </c>
      <c r="V1961" s="6">
        <f t="shared" si="235"/>
        <v>569.86199999999997</v>
      </c>
    </row>
    <row r="1962" spans="1:22" hidden="1" x14ac:dyDescent="0.35">
      <c r="A1962" s="6" t="s">
        <v>2166</v>
      </c>
      <c r="B1962" s="6" t="s">
        <v>2138</v>
      </c>
      <c r="C1962" s="6" t="s">
        <v>2139</v>
      </c>
      <c r="D1962" s="6">
        <f t="shared" si="231"/>
        <v>0.5</v>
      </c>
      <c r="E1962" s="6" t="s">
        <v>19</v>
      </c>
      <c r="F1962" s="6" t="str">
        <f>MID(A1962,19,1)</f>
        <v>S</v>
      </c>
      <c r="G1962" s="6">
        <v>-22.938043618256849</v>
      </c>
      <c r="H1962" s="6">
        <v>-47.069556418246208</v>
      </c>
      <c r="I1962" s="9">
        <v>2344.48</v>
      </c>
      <c r="K1962" s="6">
        <v>3.52</v>
      </c>
      <c r="L1962" s="6">
        <v>60</v>
      </c>
      <c r="N1962" s="1">
        <f t="shared" si="228"/>
        <v>0</v>
      </c>
      <c r="O1962" s="6" t="s">
        <v>20</v>
      </c>
      <c r="Q1962" s="6" t="s">
        <v>21</v>
      </c>
      <c r="R1962" s="6" t="s">
        <v>21</v>
      </c>
      <c r="S1962" s="6" t="s">
        <v>21</v>
      </c>
      <c r="T1962" s="6" t="s">
        <v>21</v>
      </c>
      <c r="U1962" s="6">
        <f t="shared" si="229"/>
        <v>1406.6879999999999</v>
      </c>
      <c r="V1962" s="6">
        <f t="shared" si="235"/>
        <v>1406.6879999999999</v>
      </c>
    </row>
    <row r="1963" spans="1:22" x14ac:dyDescent="0.35">
      <c r="A1963" s="8" t="s">
        <v>2167</v>
      </c>
      <c r="B1963" s="8" t="s">
        <v>2138</v>
      </c>
      <c r="C1963" s="8" t="s">
        <v>2139</v>
      </c>
      <c r="D1963" s="6">
        <f t="shared" si="231"/>
        <v>0.5</v>
      </c>
      <c r="E1963" s="8" t="s">
        <v>19</v>
      </c>
      <c r="F1963" s="6" t="str">
        <f>MID(A1963,19,1)</f>
        <v>N</v>
      </c>
      <c r="G1963" s="8">
        <v>-22.957935911091429</v>
      </c>
      <c r="H1963" s="8">
        <v>-47.125092116944273</v>
      </c>
      <c r="I1963" s="7">
        <v>2647.24</v>
      </c>
      <c r="J1963" s="7"/>
      <c r="K1963" s="8">
        <v>5.77</v>
      </c>
      <c r="L1963" s="8">
        <v>80</v>
      </c>
      <c r="M1963" s="8"/>
      <c r="N1963" s="11">
        <f t="shared" si="228"/>
        <v>2117.7919999999999</v>
      </c>
      <c r="O1963" s="8" t="s">
        <v>71</v>
      </c>
      <c r="P1963" s="8"/>
      <c r="Q1963" s="8" t="s">
        <v>21</v>
      </c>
      <c r="R1963" s="8" t="s">
        <v>21</v>
      </c>
      <c r="S1963" s="8" t="s">
        <v>21</v>
      </c>
      <c r="T1963" s="8" t="s">
        <v>26</v>
      </c>
      <c r="U1963" s="6">
        <f t="shared" si="229"/>
        <v>0</v>
      </c>
    </row>
    <row r="1964" spans="1:22" hidden="1" x14ac:dyDescent="0.35">
      <c r="A1964" s="6" t="s">
        <v>2168</v>
      </c>
      <c r="B1964" s="6" t="s">
        <v>2138</v>
      </c>
      <c r="C1964" s="6" t="s">
        <v>2139</v>
      </c>
      <c r="D1964" s="6">
        <f t="shared" si="231"/>
        <v>0.5</v>
      </c>
      <c r="E1964" s="6" t="s">
        <v>19</v>
      </c>
      <c r="F1964" s="6" t="str">
        <f>MID(A1964,19,1)</f>
        <v>S</v>
      </c>
      <c r="G1964" s="6">
        <v>-22.934726962782001</v>
      </c>
      <c r="H1964" s="6">
        <v>-47.074201687271241</v>
      </c>
      <c r="I1964" s="9">
        <v>828.38</v>
      </c>
      <c r="K1964" s="6">
        <v>6.25</v>
      </c>
      <c r="L1964" s="6">
        <v>50</v>
      </c>
      <c r="N1964" s="1">
        <f t="shared" si="228"/>
        <v>0</v>
      </c>
      <c r="O1964" s="6" t="s">
        <v>20</v>
      </c>
      <c r="Q1964" s="6" t="s">
        <v>21</v>
      </c>
      <c r="R1964" s="6" t="s">
        <v>21</v>
      </c>
      <c r="S1964" s="6" t="s">
        <v>21</v>
      </c>
      <c r="T1964" s="6" t="s">
        <v>21</v>
      </c>
      <c r="U1964" s="6">
        <f t="shared" si="229"/>
        <v>414.19</v>
      </c>
      <c r="V1964" s="6">
        <f t="shared" ref="V1964:V2027" si="236">(I1964*(L1964/100))</f>
        <v>414.19</v>
      </c>
    </row>
    <row r="1965" spans="1:22" hidden="1" x14ac:dyDescent="0.35">
      <c r="A1965" s="6" t="s">
        <v>2169</v>
      </c>
      <c r="B1965" s="6" t="s">
        <v>2138</v>
      </c>
      <c r="C1965" s="6" t="s">
        <v>2139</v>
      </c>
      <c r="D1965" s="6">
        <f t="shared" si="231"/>
        <v>0.5</v>
      </c>
      <c r="E1965" s="6" t="s">
        <v>19</v>
      </c>
      <c r="F1965" s="6" t="str">
        <f>MID(A1965,19,1)</f>
        <v>S</v>
      </c>
      <c r="G1965" s="6">
        <v>-22.933648829134331</v>
      </c>
      <c r="H1965" s="6">
        <v>-47.075262194092247</v>
      </c>
      <c r="I1965" s="9">
        <v>929.5</v>
      </c>
      <c r="K1965" s="6">
        <v>8.0500000000000007</v>
      </c>
      <c r="L1965" s="6">
        <v>50</v>
      </c>
      <c r="N1965" s="1">
        <f t="shared" si="228"/>
        <v>0</v>
      </c>
      <c r="O1965" s="6" t="s">
        <v>20</v>
      </c>
      <c r="Q1965" s="6" t="s">
        <v>21</v>
      </c>
      <c r="R1965" s="6" t="s">
        <v>21</v>
      </c>
      <c r="S1965" s="6" t="s">
        <v>21</v>
      </c>
      <c r="T1965" s="6" t="s">
        <v>21</v>
      </c>
      <c r="U1965" s="6">
        <f t="shared" si="229"/>
        <v>464.75</v>
      </c>
      <c r="V1965" s="6">
        <f t="shared" si="236"/>
        <v>464.75</v>
      </c>
    </row>
    <row r="1966" spans="1:22" hidden="1" x14ac:dyDescent="0.35">
      <c r="A1966" s="6" t="s">
        <v>2170</v>
      </c>
      <c r="B1966" s="6" t="s">
        <v>2138</v>
      </c>
      <c r="C1966" s="6" t="s">
        <v>2139</v>
      </c>
      <c r="D1966" s="6">
        <f t="shared" si="231"/>
        <v>0.5</v>
      </c>
      <c r="E1966" s="6" t="s">
        <v>19</v>
      </c>
      <c r="F1966" s="6" t="str">
        <f>MID(A1966,19,1)</f>
        <v>S</v>
      </c>
      <c r="G1966" s="6">
        <v>-22.93633102750147</v>
      </c>
      <c r="H1966" s="6">
        <v>-47.070540325538396</v>
      </c>
      <c r="I1966" s="9">
        <v>1622.24</v>
      </c>
      <c r="K1966" s="6">
        <v>5.67</v>
      </c>
      <c r="L1966" s="6">
        <v>60</v>
      </c>
      <c r="N1966" s="1">
        <f t="shared" si="228"/>
        <v>0</v>
      </c>
      <c r="O1966" s="6" t="s">
        <v>20</v>
      </c>
      <c r="Q1966" s="6" t="s">
        <v>21</v>
      </c>
      <c r="R1966" s="6" t="s">
        <v>21</v>
      </c>
      <c r="S1966" s="6" t="s">
        <v>21</v>
      </c>
      <c r="T1966" s="6" t="s">
        <v>21</v>
      </c>
      <c r="U1966" s="6">
        <f t="shared" si="229"/>
        <v>973.34399999999994</v>
      </c>
      <c r="V1966" s="6">
        <f t="shared" si="236"/>
        <v>973.34399999999994</v>
      </c>
    </row>
    <row r="1967" spans="1:22" hidden="1" x14ac:dyDescent="0.35">
      <c r="A1967" s="6" t="s">
        <v>2171</v>
      </c>
      <c r="B1967" s="6" t="s">
        <v>2138</v>
      </c>
      <c r="C1967" s="6" t="s">
        <v>2139</v>
      </c>
      <c r="D1967" s="6">
        <f t="shared" si="231"/>
        <v>0.5</v>
      </c>
      <c r="E1967" s="6" t="s">
        <v>19</v>
      </c>
      <c r="F1967" s="6" t="str">
        <f>MID(A1967,19,1)</f>
        <v>S</v>
      </c>
      <c r="G1967" s="6">
        <v>-22.93618274277377</v>
      </c>
      <c r="H1967" s="6">
        <v>-47.070807391087811</v>
      </c>
      <c r="I1967" s="9">
        <v>961.27</v>
      </c>
      <c r="K1967" s="6">
        <v>6.47</v>
      </c>
      <c r="L1967" s="6">
        <v>60</v>
      </c>
      <c r="N1967" s="1">
        <f t="shared" si="228"/>
        <v>0</v>
      </c>
      <c r="O1967" s="6" t="s">
        <v>20</v>
      </c>
      <c r="Q1967" s="6" t="s">
        <v>21</v>
      </c>
      <c r="R1967" s="6" t="s">
        <v>21</v>
      </c>
      <c r="S1967" s="6" t="s">
        <v>21</v>
      </c>
      <c r="T1967" s="6" t="s">
        <v>21</v>
      </c>
      <c r="U1967" s="6">
        <f t="shared" si="229"/>
        <v>576.76199999999994</v>
      </c>
      <c r="V1967" s="6">
        <f t="shared" si="236"/>
        <v>576.76199999999994</v>
      </c>
    </row>
    <row r="1968" spans="1:22" hidden="1" x14ac:dyDescent="0.35">
      <c r="A1968" s="6" t="s">
        <v>2172</v>
      </c>
      <c r="B1968" s="6" t="s">
        <v>2138</v>
      </c>
      <c r="C1968" s="6" t="s">
        <v>2139</v>
      </c>
      <c r="D1968" s="6">
        <f t="shared" si="231"/>
        <v>0.5</v>
      </c>
      <c r="E1968" s="6" t="s">
        <v>19</v>
      </c>
      <c r="F1968" s="6" t="str">
        <f>MID(A1968,19,1)</f>
        <v>S</v>
      </c>
      <c r="G1968" s="6">
        <v>-22.933984412653221</v>
      </c>
      <c r="H1968" s="6">
        <v>-47.073987990803538</v>
      </c>
      <c r="I1968" s="9">
        <v>23229.74</v>
      </c>
      <c r="K1968" s="6">
        <v>4.76</v>
      </c>
      <c r="L1968" s="6">
        <v>50</v>
      </c>
      <c r="N1968" s="1">
        <f t="shared" si="228"/>
        <v>0</v>
      </c>
      <c r="O1968" s="6" t="s">
        <v>20</v>
      </c>
      <c r="Q1968" s="6" t="s">
        <v>21</v>
      </c>
      <c r="R1968" s="6" t="s">
        <v>21</v>
      </c>
      <c r="S1968" s="6" t="s">
        <v>21</v>
      </c>
      <c r="T1968" s="6" t="s">
        <v>21</v>
      </c>
      <c r="U1968" s="6">
        <f t="shared" si="229"/>
        <v>11614.87</v>
      </c>
      <c r="V1968" s="6">
        <f t="shared" si="236"/>
        <v>11614.87</v>
      </c>
    </row>
    <row r="1969" spans="1:22" hidden="1" x14ac:dyDescent="0.35">
      <c r="A1969" s="6" t="s">
        <v>2173</v>
      </c>
      <c r="B1969" s="6" t="s">
        <v>2138</v>
      </c>
      <c r="C1969" s="6" t="s">
        <v>2139</v>
      </c>
      <c r="D1969" s="6">
        <f t="shared" si="231"/>
        <v>0.5</v>
      </c>
      <c r="E1969" s="6" t="s">
        <v>19</v>
      </c>
      <c r="F1969" s="6" t="str">
        <f>MID(A1969,19,1)</f>
        <v>S</v>
      </c>
      <c r="G1969" s="6">
        <v>-22.933766176975059</v>
      </c>
      <c r="H1969" s="6">
        <v>-47.076311918099954</v>
      </c>
      <c r="I1969" s="9">
        <v>939.43</v>
      </c>
      <c r="K1969" s="6">
        <v>5.88</v>
      </c>
      <c r="L1969" s="6">
        <v>50</v>
      </c>
      <c r="N1969" s="1">
        <f t="shared" si="228"/>
        <v>0</v>
      </c>
      <c r="O1969" s="6" t="s">
        <v>20</v>
      </c>
      <c r="Q1969" s="6" t="s">
        <v>21</v>
      </c>
      <c r="R1969" s="6" t="s">
        <v>21</v>
      </c>
      <c r="S1969" s="6" t="s">
        <v>21</v>
      </c>
      <c r="T1969" s="6" t="s">
        <v>21</v>
      </c>
      <c r="U1969" s="6">
        <f t="shared" si="229"/>
        <v>469.71499999999997</v>
      </c>
      <c r="V1969" s="6">
        <f t="shared" si="236"/>
        <v>469.71499999999997</v>
      </c>
    </row>
    <row r="1970" spans="1:22" hidden="1" x14ac:dyDescent="0.35">
      <c r="A1970" s="6" t="s">
        <v>2174</v>
      </c>
      <c r="B1970" s="6" t="s">
        <v>2138</v>
      </c>
      <c r="C1970" s="6" t="s">
        <v>2139</v>
      </c>
      <c r="D1970" s="6">
        <f t="shared" si="231"/>
        <v>0.5</v>
      </c>
      <c r="E1970" s="6" t="s">
        <v>19</v>
      </c>
      <c r="F1970" s="6" t="str">
        <f>MID(A1970,19,1)</f>
        <v>S</v>
      </c>
      <c r="G1970" s="6">
        <v>-22.933342553121818</v>
      </c>
      <c r="H1970" s="6">
        <v>-47.075101304479041</v>
      </c>
      <c r="I1970" s="9">
        <v>213.8</v>
      </c>
      <c r="K1970" s="6">
        <v>3.76</v>
      </c>
      <c r="L1970" s="6">
        <v>50</v>
      </c>
      <c r="N1970" s="1">
        <f t="shared" si="228"/>
        <v>0</v>
      </c>
      <c r="O1970" s="6" t="s">
        <v>20</v>
      </c>
      <c r="Q1970" s="6" t="s">
        <v>21</v>
      </c>
      <c r="R1970" s="6" t="s">
        <v>21</v>
      </c>
      <c r="S1970" s="6" t="s">
        <v>21</v>
      </c>
      <c r="T1970" s="6" t="s">
        <v>21</v>
      </c>
      <c r="U1970" s="6">
        <f t="shared" si="229"/>
        <v>106.9</v>
      </c>
      <c r="V1970" s="6">
        <f t="shared" si="236"/>
        <v>106.9</v>
      </c>
    </row>
    <row r="1971" spans="1:22" hidden="1" x14ac:dyDescent="0.35">
      <c r="A1971" s="6" t="s">
        <v>2175</v>
      </c>
      <c r="B1971" s="6" t="s">
        <v>2176</v>
      </c>
      <c r="C1971" s="6" t="s">
        <v>2177</v>
      </c>
      <c r="D1971" s="6">
        <f t="shared" si="231"/>
        <v>0.5</v>
      </c>
      <c r="E1971" s="6" t="s">
        <v>19</v>
      </c>
      <c r="F1971" s="6" t="str">
        <f>MID(A1971,19,1)</f>
        <v>S</v>
      </c>
      <c r="G1971" s="6">
        <v>-22.933538601680759</v>
      </c>
      <c r="H1971" s="6">
        <v>-47.077151154987853</v>
      </c>
      <c r="I1971" s="9">
        <v>124.37</v>
      </c>
      <c r="K1971" s="6">
        <v>3.35</v>
      </c>
      <c r="L1971" s="6">
        <v>50</v>
      </c>
      <c r="N1971" s="1">
        <f t="shared" si="228"/>
        <v>0</v>
      </c>
      <c r="O1971" s="6" t="s">
        <v>20</v>
      </c>
      <c r="Q1971" s="6" t="s">
        <v>21</v>
      </c>
      <c r="R1971" s="6" t="s">
        <v>21</v>
      </c>
      <c r="S1971" s="6" t="s">
        <v>21</v>
      </c>
      <c r="T1971" s="6" t="s">
        <v>21</v>
      </c>
      <c r="U1971" s="6">
        <f t="shared" si="229"/>
        <v>62.185000000000002</v>
      </c>
      <c r="V1971" s="6">
        <f t="shared" si="236"/>
        <v>62.185000000000002</v>
      </c>
    </row>
    <row r="1972" spans="1:22" hidden="1" x14ac:dyDescent="0.35">
      <c r="A1972" s="6" t="s">
        <v>2178</v>
      </c>
      <c r="B1972" s="6" t="s">
        <v>2176</v>
      </c>
      <c r="C1972" s="6" t="s">
        <v>2177</v>
      </c>
      <c r="D1972" s="6">
        <f t="shared" si="231"/>
        <v>0.5</v>
      </c>
      <c r="E1972" s="6" t="s">
        <v>23</v>
      </c>
      <c r="F1972" s="6" t="str">
        <f>MID(A1972,19,1)</f>
        <v>C</v>
      </c>
      <c r="G1972" s="6">
        <v>-22.947208390077499</v>
      </c>
      <c r="H1972" s="6">
        <v>-47.125578817056763</v>
      </c>
      <c r="I1972" s="9">
        <v>1624.94</v>
      </c>
      <c r="J1972" s="9">
        <f>I1972/500</f>
        <v>3.2498800000000001</v>
      </c>
      <c r="K1972" s="6">
        <v>7.04</v>
      </c>
      <c r="L1972" s="6">
        <v>50</v>
      </c>
      <c r="N1972" s="1">
        <f t="shared" si="228"/>
        <v>0</v>
      </c>
      <c r="O1972" s="6" t="s">
        <v>20</v>
      </c>
      <c r="Q1972" s="6" t="s">
        <v>21</v>
      </c>
      <c r="R1972" s="6" t="s">
        <v>21</v>
      </c>
      <c r="S1972" s="6" t="s">
        <v>21</v>
      </c>
      <c r="T1972" s="6" t="s">
        <v>21</v>
      </c>
      <c r="U1972" s="6">
        <f t="shared" si="229"/>
        <v>812.47</v>
      </c>
      <c r="V1972" s="6">
        <f t="shared" si="236"/>
        <v>812.47</v>
      </c>
    </row>
    <row r="1973" spans="1:22" x14ac:dyDescent="0.35">
      <c r="A1973" s="6" t="s">
        <v>2179</v>
      </c>
      <c r="B1973" s="6" t="s">
        <v>2176</v>
      </c>
      <c r="C1973" s="6" t="s">
        <v>2177</v>
      </c>
      <c r="D1973" s="6">
        <f t="shared" si="231"/>
        <v>0.5</v>
      </c>
      <c r="E1973" s="6" t="s">
        <v>19</v>
      </c>
      <c r="F1973" s="6" t="str">
        <f>MID(A1973,19,1)</f>
        <v>N</v>
      </c>
      <c r="G1973" s="6">
        <v>-22.929655683492189</v>
      </c>
      <c r="H1973" s="6">
        <v>-47.07887848484765</v>
      </c>
      <c r="I1973" s="9">
        <v>320.58</v>
      </c>
      <c r="K1973" s="6">
        <v>2.16</v>
      </c>
      <c r="L1973" s="6">
        <v>50</v>
      </c>
      <c r="N1973" s="1">
        <f t="shared" si="228"/>
        <v>0</v>
      </c>
      <c r="O1973" s="6" t="s">
        <v>20</v>
      </c>
      <c r="Q1973" s="6" t="s">
        <v>21</v>
      </c>
      <c r="R1973" s="6" t="s">
        <v>21</v>
      </c>
      <c r="S1973" s="6" t="s">
        <v>21</v>
      </c>
      <c r="T1973" s="6" t="s">
        <v>21</v>
      </c>
      <c r="U1973" s="6">
        <f t="shared" si="229"/>
        <v>160.29</v>
      </c>
      <c r="V1973" s="6">
        <f t="shared" si="236"/>
        <v>160.29</v>
      </c>
    </row>
    <row r="1974" spans="1:22" hidden="1" x14ac:dyDescent="0.35">
      <c r="A1974" s="6" t="s">
        <v>2180</v>
      </c>
      <c r="B1974" s="6" t="s">
        <v>2176</v>
      </c>
      <c r="C1974" s="6" t="s">
        <v>2177</v>
      </c>
      <c r="D1974" s="6">
        <f t="shared" si="231"/>
        <v>0.5</v>
      </c>
      <c r="E1974" s="6" t="s">
        <v>19</v>
      </c>
      <c r="F1974" s="6" t="str">
        <f>MID(A1974,19,1)</f>
        <v>S</v>
      </c>
      <c r="G1974" s="6">
        <v>-22.928981566126751</v>
      </c>
      <c r="H1974" s="6">
        <v>-47.080992855922155</v>
      </c>
      <c r="I1974" s="9">
        <v>610.64</v>
      </c>
      <c r="K1974" s="6">
        <v>3.03</v>
      </c>
      <c r="L1974" s="6">
        <v>30</v>
      </c>
      <c r="N1974" s="1">
        <f t="shared" si="228"/>
        <v>0</v>
      </c>
      <c r="O1974" s="6" t="s">
        <v>20</v>
      </c>
      <c r="Q1974" s="6" t="s">
        <v>21</v>
      </c>
      <c r="R1974" s="6" t="s">
        <v>21</v>
      </c>
      <c r="S1974" s="6" t="s">
        <v>21</v>
      </c>
      <c r="T1974" s="6" t="s">
        <v>21</v>
      </c>
      <c r="U1974" s="6">
        <f t="shared" si="229"/>
        <v>183.19199999999998</v>
      </c>
      <c r="V1974" s="6">
        <f t="shared" si="236"/>
        <v>183.19199999999998</v>
      </c>
    </row>
    <row r="1975" spans="1:22" hidden="1" x14ac:dyDescent="0.35">
      <c r="A1975" s="6" t="s">
        <v>2181</v>
      </c>
      <c r="B1975" s="6" t="s">
        <v>2176</v>
      </c>
      <c r="C1975" s="6" t="s">
        <v>2177</v>
      </c>
      <c r="D1975" s="6">
        <f t="shared" si="231"/>
        <v>0.5</v>
      </c>
      <c r="E1975" s="6" t="s">
        <v>23</v>
      </c>
      <c r="F1975" s="6" t="str">
        <f>MID(A1975,19,1)</f>
        <v>C</v>
      </c>
      <c r="G1975" s="6">
        <v>-22.947211071483679</v>
      </c>
      <c r="H1975" s="6">
        <v>-47.125914325348411</v>
      </c>
      <c r="I1975" s="9">
        <v>10612.14</v>
      </c>
      <c r="J1975" s="9">
        <f t="shared" ref="J1975:J1976" si="237">I1975/500</f>
        <v>21.22428</v>
      </c>
      <c r="K1975" s="6">
        <v>6.83</v>
      </c>
      <c r="L1975" s="6">
        <v>80</v>
      </c>
      <c r="N1975" s="1">
        <f t="shared" si="228"/>
        <v>0</v>
      </c>
      <c r="O1975" s="6" t="s">
        <v>20</v>
      </c>
      <c r="Q1975" s="6" t="s">
        <v>21</v>
      </c>
      <c r="R1975" s="6" t="s">
        <v>21</v>
      </c>
      <c r="S1975" s="6" t="s">
        <v>21</v>
      </c>
      <c r="T1975" s="6" t="s">
        <v>21</v>
      </c>
      <c r="U1975" s="6">
        <f t="shared" si="229"/>
        <v>8489.7119999999995</v>
      </c>
      <c r="V1975" s="6">
        <f t="shared" si="236"/>
        <v>8489.7119999999995</v>
      </c>
    </row>
    <row r="1976" spans="1:22" hidden="1" x14ac:dyDescent="0.35">
      <c r="A1976" s="6" t="s">
        <v>2182</v>
      </c>
      <c r="B1976" s="6" t="s">
        <v>2176</v>
      </c>
      <c r="C1976" s="6" t="s">
        <v>2177</v>
      </c>
      <c r="D1976" s="6">
        <f t="shared" si="231"/>
        <v>0.5</v>
      </c>
      <c r="E1976" s="6" t="s">
        <v>23</v>
      </c>
      <c r="F1976" s="6" t="str">
        <f>MID(A1976,19,1)</f>
        <v>C</v>
      </c>
      <c r="G1976" s="6">
        <v>-22.943037708058139</v>
      </c>
      <c r="H1976" s="6">
        <v>-47.126001243534823</v>
      </c>
      <c r="I1976" s="9">
        <v>13375.98</v>
      </c>
      <c r="J1976" s="9">
        <f t="shared" si="237"/>
        <v>26.75196</v>
      </c>
      <c r="K1976" s="6">
        <v>7.32</v>
      </c>
      <c r="L1976" s="6">
        <v>80</v>
      </c>
      <c r="N1976" s="1">
        <f t="shared" si="228"/>
        <v>0</v>
      </c>
      <c r="O1976" s="6" t="s">
        <v>20</v>
      </c>
      <c r="Q1976" s="6" t="s">
        <v>21</v>
      </c>
      <c r="R1976" s="6" t="s">
        <v>21</v>
      </c>
      <c r="S1976" s="6" t="s">
        <v>21</v>
      </c>
      <c r="T1976" s="6" t="s">
        <v>21</v>
      </c>
      <c r="U1976" s="6">
        <f t="shared" si="229"/>
        <v>10700.784</v>
      </c>
      <c r="V1976" s="6">
        <f t="shared" si="236"/>
        <v>10700.784</v>
      </c>
    </row>
    <row r="1977" spans="1:22" x14ac:dyDescent="0.35">
      <c r="A1977" s="6" t="s">
        <v>2183</v>
      </c>
      <c r="B1977" s="6" t="s">
        <v>2176</v>
      </c>
      <c r="C1977" s="6" t="s">
        <v>2177</v>
      </c>
      <c r="D1977" s="6">
        <f t="shared" si="231"/>
        <v>0.5</v>
      </c>
      <c r="E1977" s="6" t="s">
        <v>19</v>
      </c>
      <c r="F1977" s="6" t="str">
        <f>MID(A1977,19,1)</f>
        <v>N</v>
      </c>
      <c r="G1977" s="6">
        <v>-22.92839527329539</v>
      </c>
      <c r="H1977" s="6">
        <v>-47.080867829835078</v>
      </c>
      <c r="I1977" s="9">
        <v>2603.52</v>
      </c>
      <c r="K1977" s="6">
        <v>4.8899999999999997</v>
      </c>
      <c r="L1977" s="6">
        <v>0</v>
      </c>
      <c r="N1977" s="1">
        <f t="shared" si="228"/>
        <v>0</v>
      </c>
      <c r="Q1977" s="6" t="s">
        <v>21</v>
      </c>
      <c r="R1977" s="6" t="s">
        <v>21</v>
      </c>
      <c r="S1977" s="6" t="s">
        <v>21</v>
      </c>
      <c r="T1977" s="6" t="s">
        <v>21</v>
      </c>
      <c r="U1977" s="6">
        <f t="shared" si="229"/>
        <v>0</v>
      </c>
      <c r="V1977" s="6">
        <f t="shared" si="236"/>
        <v>0</v>
      </c>
    </row>
    <row r="1978" spans="1:22" hidden="1" x14ac:dyDescent="0.35">
      <c r="A1978" s="6" t="s">
        <v>2184</v>
      </c>
      <c r="B1978" s="6" t="s">
        <v>2176</v>
      </c>
      <c r="C1978" s="6" t="s">
        <v>2177</v>
      </c>
      <c r="D1978" s="6">
        <f t="shared" si="231"/>
        <v>0.5</v>
      </c>
      <c r="E1978" s="6" t="s">
        <v>19</v>
      </c>
      <c r="F1978" s="6" t="str">
        <f>MID(A1978,19,1)</f>
        <v>S</v>
      </c>
      <c r="G1978" s="6">
        <v>-22.929667426435021</v>
      </c>
      <c r="H1978" s="6">
        <v>-47.079813827132334</v>
      </c>
      <c r="I1978" s="9">
        <v>574.44000000000005</v>
      </c>
      <c r="K1978" s="6">
        <v>3.84</v>
      </c>
      <c r="L1978" s="6">
        <v>30</v>
      </c>
      <c r="N1978" s="1">
        <f t="shared" si="228"/>
        <v>0</v>
      </c>
      <c r="O1978" s="6" t="s">
        <v>20</v>
      </c>
      <c r="Q1978" s="6" t="s">
        <v>21</v>
      </c>
      <c r="R1978" s="6" t="s">
        <v>21</v>
      </c>
      <c r="S1978" s="6" t="s">
        <v>21</v>
      </c>
      <c r="T1978" s="6" t="s">
        <v>21</v>
      </c>
      <c r="U1978" s="6">
        <f t="shared" si="229"/>
        <v>172.33200000000002</v>
      </c>
      <c r="V1978" s="6">
        <f t="shared" si="236"/>
        <v>172.33200000000002</v>
      </c>
    </row>
    <row r="1979" spans="1:22" hidden="1" x14ac:dyDescent="0.35">
      <c r="A1979" s="6" t="s">
        <v>2185</v>
      </c>
      <c r="B1979" s="6" t="s">
        <v>2176</v>
      </c>
      <c r="C1979" s="6" t="s">
        <v>2177</v>
      </c>
      <c r="D1979" s="6">
        <f t="shared" si="231"/>
        <v>0.5</v>
      </c>
      <c r="E1979" s="6" t="s">
        <v>19</v>
      </c>
      <c r="F1979" s="6" t="str">
        <f>MID(A1979,19,1)</f>
        <v>S</v>
      </c>
      <c r="G1979" s="6">
        <v>-22.92936514378723</v>
      </c>
      <c r="H1979" s="6">
        <v>-47.079889609892184</v>
      </c>
      <c r="I1979" s="9">
        <v>1036.5899999999999</v>
      </c>
      <c r="K1979" s="6">
        <v>4.3</v>
      </c>
      <c r="L1979" s="6">
        <v>30</v>
      </c>
      <c r="N1979" s="1">
        <f t="shared" si="228"/>
        <v>0</v>
      </c>
      <c r="O1979" s="6" t="s">
        <v>20</v>
      </c>
      <c r="Q1979" s="6" t="s">
        <v>21</v>
      </c>
      <c r="R1979" s="6" t="s">
        <v>21</v>
      </c>
      <c r="S1979" s="6" t="s">
        <v>21</v>
      </c>
      <c r="T1979" s="6" t="s">
        <v>21</v>
      </c>
      <c r="U1979" s="6">
        <f t="shared" si="229"/>
        <v>310.97699999999998</v>
      </c>
      <c r="V1979" s="6">
        <f t="shared" si="236"/>
        <v>310.97699999999998</v>
      </c>
    </row>
    <row r="1980" spans="1:22" x14ac:dyDescent="0.35">
      <c r="A1980" s="6" t="s">
        <v>2186</v>
      </c>
      <c r="B1980" s="6" t="s">
        <v>2176</v>
      </c>
      <c r="C1980" s="6" t="s">
        <v>2177</v>
      </c>
      <c r="D1980" s="6">
        <f t="shared" si="231"/>
        <v>0.5</v>
      </c>
      <c r="E1980" s="6" t="s">
        <v>19</v>
      </c>
      <c r="F1980" s="6" t="str">
        <f>MID(A1980,19,1)</f>
        <v>N</v>
      </c>
      <c r="G1980" s="6">
        <v>-22.927745045245061</v>
      </c>
      <c r="H1980" s="6">
        <v>-47.081705975029031</v>
      </c>
      <c r="I1980" s="9">
        <v>406.31</v>
      </c>
      <c r="K1980" s="6">
        <v>4.84</v>
      </c>
      <c r="L1980" s="6">
        <v>0</v>
      </c>
      <c r="N1980" s="1">
        <f t="shared" si="228"/>
        <v>0</v>
      </c>
      <c r="Q1980" s="6" t="s">
        <v>21</v>
      </c>
      <c r="R1980" s="6" t="s">
        <v>21</v>
      </c>
      <c r="S1980" s="6" t="s">
        <v>21</v>
      </c>
      <c r="T1980" s="6" t="s">
        <v>21</v>
      </c>
      <c r="U1980" s="6">
        <f t="shared" si="229"/>
        <v>0</v>
      </c>
      <c r="V1980" s="6">
        <f t="shared" si="236"/>
        <v>0</v>
      </c>
    </row>
    <row r="1981" spans="1:22" hidden="1" x14ac:dyDescent="0.35">
      <c r="A1981" s="6" t="s">
        <v>2187</v>
      </c>
      <c r="B1981" s="6" t="s">
        <v>2176</v>
      </c>
      <c r="C1981" s="6" t="s">
        <v>2177</v>
      </c>
      <c r="D1981" s="6">
        <f t="shared" si="231"/>
        <v>0.5</v>
      </c>
      <c r="E1981" s="6" t="s">
        <v>23</v>
      </c>
      <c r="F1981" s="6" t="str">
        <f>MID(A1981,19,1)</f>
        <v>C</v>
      </c>
      <c r="G1981" s="6">
        <v>-22.931508084239429</v>
      </c>
      <c r="H1981" s="6">
        <v>-47.076532488245022</v>
      </c>
      <c r="I1981" s="9">
        <v>3654.25</v>
      </c>
      <c r="J1981" s="9">
        <f>I1981/500</f>
        <v>7.3085000000000004</v>
      </c>
      <c r="K1981" s="6">
        <v>2.5499999999999998</v>
      </c>
      <c r="L1981" s="6">
        <v>50</v>
      </c>
      <c r="N1981" s="1">
        <f t="shared" si="228"/>
        <v>0</v>
      </c>
      <c r="O1981" s="6" t="s">
        <v>20</v>
      </c>
      <c r="Q1981" s="6" t="s">
        <v>21</v>
      </c>
      <c r="R1981" s="6" t="s">
        <v>21</v>
      </c>
      <c r="S1981" s="6" t="s">
        <v>21</v>
      </c>
      <c r="T1981" s="6" t="s">
        <v>21</v>
      </c>
      <c r="U1981" s="6">
        <f t="shared" si="229"/>
        <v>1827.125</v>
      </c>
      <c r="V1981" s="6">
        <f t="shared" si="236"/>
        <v>1827.125</v>
      </c>
    </row>
    <row r="1982" spans="1:22" x14ac:dyDescent="0.35">
      <c r="A1982" s="6" t="s">
        <v>2188</v>
      </c>
      <c r="B1982" s="6" t="s">
        <v>2176</v>
      </c>
      <c r="C1982" s="6" t="s">
        <v>2177</v>
      </c>
      <c r="D1982" s="6">
        <f t="shared" si="231"/>
        <v>0.5</v>
      </c>
      <c r="E1982" s="6" t="s">
        <v>19</v>
      </c>
      <c r="F1982" s="6" t="str">
        <f>MID(A1982,19,1)</f>
        <v>N</v>
      </c>
      <c r="G1982" s="6">
        <v>-22.930101569362229</v>
      </c>
      <c r="H1982" s="6">
        <v>-47.078205040762775</v>
      </c>
      <c r="I1982" s="9">
        <v>539.83000000000004</v>
      </c>
      <c r="K1982" s="6">
        <v>2.62</v>
      </c>
      <c r="L1982" s="6">
        <v>50</v>
      </c>
      <c r="N1982" s="1">
        <f t="shared" si="228"/>
        <v>0</v>
      </c>
      <c r="O1982" s="6" t="s">
        <v>20</v>
      </c>
      <c r="Q1982" s="6" t="s">
        <v>21</v>
      </c>
      <c r="R1982" s="6" t="s">
        <v>21</v>
      </c>
      <c r="S1982" s="6" t="s">
        <v>21</v>
      </c>
      <c r="T1982" s="6" t="s">
        <v>21</v>
      </c>
      <c r="U1982" s="6">
        <f t="shared" si="229"/>
        <v>269.91500000000002</v>
      </c>
      <c r="V1982" s="6">
        <f t="shared" si="236"/>
        <v>269.91500000000002</v>
      </c>
    </row>
    <row r="1983" spans="1:22" x14ac:dyDescent="0.35">
      <c r="A1983" s="6" t="s">
        <v>2189</v>
      </c>
      <c r="B1983" s="6" t="s">
        <v>2176</v>
      </c>
      <c r="C1983" s="6" t="s">
        <v>2177</v>
      </c>
      <c r="D1983" s="6">
        <f t="shared" si="231"/>
        <v>0.5</v>
      </c>
      <c r="E1983" s="6" t="s">
        <v>19</v>
      </c>
      <c r="F1983" s="6" t="str">
        <f>MID(A1983,19,1)</f>
        <v>N</v>
      </c>
      <c r="G1983" s="6">
        <v>-22.93099617286396</v>
      </c>
      <c r="H1983" s="6">
        <v>-47.0759707547722</v>
      </c>
      <c r="I1983" s="9">
        <v>2154.23</v>
      </c>
      <c r="K1983" s="6">
        <v>3.57</v>
      </c>
      <c r="L1983" s="6">
        <v>50</v>
      </c>
      <c r="N1983" s="1">
        <f t="shared" si="228"/>
        <v>0</v>
      </c>
      <c r="O1983" s="6" t="s">
        <v>20</v>
      </c>
      <c r="Q1983" s="6" t="s">
        <v>21</v>
      </c>
      <c r="R1983" s="6" t="s">
        <v>21</v>
      </c>
      <c r="S1983" s="6" t="s">
        <v>21</v>
      </c>
      <c r="T1983" s="6" t="s">
        <v>21</v>
      </c>
      <c r="U1983" s="6">
        <f t="shared" si="229"/>
        <v>1077.115</v>
      </c>
      <c r="V1983" s="6">
        <f t="shared" si="236"/>
        <v>1077.115</v>
      </c>
    </row>
    <row r="1984" spans="1:22" hidden="1" x14ac:dyDescent="0.35">
      <c r="A1984" s="6" t="s">
        <v>2190</v>
      </c>
      <c r="B1984" s="6" t="s">
        <v>2176</v>
      </c>
      <c r="C1984" s="6" t="s">
        <v>2177</v>
      </c>
      <c r="D1984" s="6">
        <f t="shared" si="231"/>
        <v>0.5</v>
      </c>
      <c r="E1984" s="6" t="s">
        <v>19</v>
      </c>
      <c r="F1984" s="6" t="str">
        <f>MID(A1984,19,1)</f>
        <v>S</v>
      </c>
      <c r="G1984" s="6">
        <v>-22.931635723660229</v>
      </c>
      <c r="H1984" s="6">
        <v>-47.077012889377585</v>
      </c>
      <c r="I1984" s="9">
        <v>2159.73</v>
      </c>
      <c r="K1984" s="6">
        <v>3.84</v>
      </c>
      <c r="L1984" s="6">
        <v>50</v>
      </c>
      <c r="N1984" s="1">
        <f t="shared" si="228"/>
        <v>0</v>
      </c>
      <c r="O1984" s="6" t="s">
        <v>20</v>
      </c>
      <c r="Q1984" s="6" t="s">
        <v>21</v>
      </c>
      <c r="R1984" s="6" t="s">
        <v>21</v>
      </c>
      <c r="S1984" s="6" t="s">
        <v>21</v>
      </c>
      <c r="T1984" s="6" t="s">
        <v>21</v>
      </c>
      <c r="U1984" s="6">
        <f t="shared" si="229"/>
        <v>1079.865</v>
      </c>
      <c r="V1984" s="6">
        <f t="shared" si="236"/>
        <v>1079.865</v>
      </c>
    </row>
    <row r="1985" spans="1:22" hidden="1" x14ac:dyDescent="0.35">
      <c r="A1985" s="6" t="s">
        <v>2191</v>
      </c>
      <c r="B1985" s="6" t="s">
        <v>2176</v>
      </c>
      <c r="C1985" s="6" t="s">
        <v>2177</v>
      </c>
      <c r="D1985" s="6">
        <f t="shared" si="231"/>
        <v>0.5</v>
      </c>
      <c r="E1985" s="6" t="s">
        <v>19</v>
      </c>
      <c r="F1985" s="6" t="str">
        <f>MID(A1985,19,1)</f>
        <v>S</v>
      </c>
      <c r="G1985" s="6">
        <v>-22.930052628069021</v>
      </c>
      <c r="H1985" s="6">
        <v>-47.079309751685109</v>
      </c>
      <c r="I1985" s="9">
        <v>19.96</v>
      </c>
      <c r="K1985" s="6">
        <v>1.88</v>
      </c>
      <c r="L1985" s="6">
        <v>50</v>
      </c>
      <c r="N1985" s="1">
        <f t="shared" si="228"/>
        <v>0</v>
      </c>
      <c r="O1985" s="6" t="s">
        <v>20</v>
      </c>
      <c r="Q1985" s="6" t="s">
        <v>21</v>
      </c>
      <c r="R1985" s="6" t="s">
        <v>21</v>
      </c>
      <c r="S1985" s="6" t="s">
        <v>21</v>
      </c>
      <c r="T1985" s="6" t="s">
        <v>21</v>
      </c>
      <c r="U1985" s="6">
        <f t="shared" si="229"/>
        <v>9.98</v>
      </c>
      <c r="V1985" s="6">
        <f t="shared" si="236"/>
        <v>9.98</v>
      </c>
    </row>
    <row r="1986" spans="1:22" hidden="1" x14ac:dyDescent="0.35">
      <c r="A1986" s="6" t="s">
        <v>2192</v>
      </c>
      <c r="B1986" s="6" t="s">
        <v>2176</v>
      </c>
      <c r="C1986" s="6" t="s">
        <v>2177</v>
      </c>
      <c r="D1986" s="6">
        <f t="shared" si="231"/>
        <v>0.5</v>
      </c>
      <c r="E1986" s="6" t="s">
        <v>19</v>
      </c>
      <c r="F1986" s="6" t="str">
        <f>MID(A1986,19,1)</f>
        <v>S</v>
      </c>
      <c r="G1986" s="6">
        <v>-22.928166850755591</v>
      </c>
      <c r="H1986" s="6">
        <v>-47.081745304208468</v>
      </c>
      <c r="I1986" s="9">
        <v>1028.6300000000001</v>
      </c>
      <c r="K1986" s="6">
        <v>4.37</v>
      </c>
      <c r="L1986" s="6">
        <v>30</v>
      </c>
      <c r="N1986" s="1">
        <f t="shared" ref="N1986:N2049" si="238">IF(OR(R1986="Sim",S1986="Sim",T1986="Sim"),(L1986/100)*I1986,0)</f>
        <v>0</v>
      </c>
      <c r="O1986" s="6" t="s">
        <v>20</v>
      </c>
      <c r="Q1986" s="6" t="s">
        <v>21</v>
      </c>
      <c r="R1986" s="6" t="s">
        <v>21</v>
      </c>
      <c r="S1986" s="6" t="s">
        <v>21</v>
      </c>
      <c r="T1986" s="6" t="s">
        <v>21</v>
      </c>
      <c r="U1986" s="6">
        <f t="shared" si="229"/>
        <v>308.589</v>
      </c>
      <c r="V1986" s="6">
        <f t="shared" si="236"/>
        <v>308.589</v>
      </c>
    </row>
    <row r="1987" spans="1:22" hidden="1" x14ac:dyDescent="0.35">
      <c r="A1987" s="6" t="s">
        <v>2193</v>
      </c>
      <c r="B1987" s="6" t="s">
        <v>2176</v>
      </c>
      <c r="C1987" s="6" t="s">
        <v>2177</v>
      </c>
      <c r="D1987" s="6">
        <f t="shared" si="231"/>
        <v>0.5</v>
      </c>
      <c r="E1987" s="6" t="s">
        <v>19</v>
      </c>
      <c r="F1987" s="6" t="str">
        <f>MID(A1987,19,1)</f>
        <v>S</v>
      </c>
      <c r="G1987" s="6">
        <v>-22.947214029807022</v>
      </c>
      <c r="H1987" s="6">
        <v>-47.126211606184647</v>
      </c>
      <c r="I1987" s="9">
        <v>1597.1</v>
      </c>
      <c r="K1987" s="6">
        <v>6.35</v>
      </c>
      <c r="L1987" s="6">
        <v>50</v>
      </c>
      <c r="N1987" s="1">
        <f t="shared" si="238"/>
        <v>0</v>
      </c>
      <c r="O1987" s="6" t="s">
        <v>20</v>
      </c>
      <c r="Q1987" s="6" t="s">
        <v>21</v>
      </c>
      <c r="R1987" s="6" t="s">
        <v>21</v>
      </c>
      <c r="S1987" s="6" t="s">
        <v>21</v>
      </c>
      <c r="T1987" s="6" t="s">
        <v>21</v>
      </c>
      <c r="U1987" s="6">
        <f t="shared" ref="U1987:U2050" si="239">IF(N1987=0,(I1987*(L1987/100)),0)</f>
        <v>798.55</v>
      </c>
      <c r="V1987" s="6">
        <f t="shared" si="236"/>
        <v>798.55</v>
      </c>
    </row>
    <row r="1988" spans="1:22" hidden="1" x14ac:dyDescent="0.35">
      <c r="A1988" s="6" t="s">
        <v>2194</v>
      </c>
      <c r="B1988" s="6" t="s">
        <v>2176</v>
      </c>
      <c r="C1988" s="6" t="s">
        <v>2177</v>
      </c>
      <c r="D1988" s="6">
        <f t="shared" si="231"/>
        <v>0.5</v>
      </c>
      <c r="E1988" s="6" t="s">
        <v>19</v>
      </c>
      <c r="F1988" s="6" t="str">
        <f>MID(A1988,19,1)</f>
        <v>S</v>
      </c>
      <c r="G1988" s="6">
        <v>-22.943039600994901</v>
      </c>
      <c r="H1988" s="6">
        <v>-47.126303048375938</v>
      </c>
      <c r="I1988" s="9">
        <v>2088.44</v>
      </c>
      <c r="K1988" s="6">
        <v>8.1199999999999992</v>
      </c>
      <c r="L1988" s="6">
        <v>50</v>
      </c>
      <c r="N1988" s="1">
        <f t="shared" si="238"/>
        <v>0</v>
      </c>
      <c r="O1988" s="6" t="s">
        <v>20</v>
      </c>
      <c r="Q1988" s="6" t="s">
        <v>21</v>
      </c>
      <c r="R1988" s="6" t="s">
        <v>21</v>
      </c>
      <c r="S1988" s="6" t="s">
        <v>21</v>
      </c>
      <c r="T1988" s="6" t="s">
        <v>21</v>
      </c>
      <c r="U1988" s="6">
        <f t="shared" si="239"/>
        <v>1044.22</v>
      </c>
      <c r="V1988" s="6">
        <f t="shared" si="236"/>
        <v>1044.22</v>
      </c>
    </row>
    <row r="1989" spans="1:22" hidden="1" x14ac:dyDescent="0.35">
      <c r="A1989" s="6" t="s">
        <v>2195</v>
      </c>
      <c r="B1989" s="6" t="s">
        <v>2176</v>
      </c>
      <c r="C1989" s="6" t="s">
        <v>2177</v>
      </c>
      <c r="D1989" s="6">
        <f t="shared" si="231"/>
        <v>0.5</v>
      </c>
      <c r="E1989" s="6" t="s">
        <v>19</v>
      </c>
      <c r="F1989" s="6" t="str">
        <f>MID(A1989,19,1)</f>
        <v>S</v>
      </c>
      <c r="G1989" s="6">
        <v>-22.92829933565314</v>
      </c>
      <c r="H1989" s="6">
        <v>-47.081827559268802</v>
      </c>
      <c r="I1989" s="9">
        <v>2694.27</v>
      </c>
      <c r="K1989" s="6">
        <v>4.78</v>
      </c>
      <c r="L1989" s="6">
        <v>30</v>
      </c>
      <c r="N1989" s="1">
        <f t="shared" si="238"/>
        <v>0</v>
      </c>
      <c r="O1989" s="6" t="s">
        <v>20</v>
      </c>
      <c r="Q1989" s="6" t="s">
        <v>21</v>
      </c>
      <c r="R1989" s="6" t="s">
        <v>21</v>
      </c>
      <c r="S1989" s="6" t="s">
        <v>21</v>
      </c>
      <c r="T1989" s="6" t="s">
        <v>21</v>
      </c>
      <c r="U1989" s="6">
        <f t="shared" si="239"/>
        <v>808.28099999999995</v>
      </c>
      <c r="V1989" s="6">
        <f t="shared" si="236"/>
        <v>808.28099999999995</v>
      </c>
    </row>
    <row r="1990" spans="1:22" hidden="1" x14ac:dyDescent="0.35">
      <c r="A1990" s="6" t="s">
        <v>2196</v>
      </c>
      <c r="B1990" s="6" t="s">
        <v>2176</v>
      </c>
      <c r="C1990" s="6" t="s">
        <v>2177</v>
      </c>
      <c r="D1990" s="6">
        <f t="shared" si="231"/>
        <v>0.5</v>
      </c>
      <c r="E1990" s="6" t="s">
        <v>19</v>
      </c>
      <c r="F1990" s="6" t="str">
        <f>MID(A1990,19,1)</f>
        <v>S</v>
      </c>
      <c r="G1990" s="6">
        <v>-22.929971104497419</v>
      </c>
      <c r="H1990" s="6">
        <v>-47.078909859935408</v>
      </c>
      <c r="I1990" s="9">
        <v>81.48</v>
      </c>
      <c r="K1990" s="6">
        <v>1.93</v>
      </c>
      <c r="L1990" s="6">
        <v>50</v>
      </c>
      <c r="N1990" s="1">
        <f t="shared" si="238"/>
        <v>0</v>
      </c>
      <c r="O1990" s="6" t="s">
        <v>20</v>
      </c>
      <c r="Q1990" s="6" t="s">
        <v>21</v>
      </c>
      <c r="R1990" s="6" t="s">
        <v>21</v>
      </c>
      <c r="S1990" s="6" t="s">
        <v>21</v>
      </c>
      <c r="T1990" s="6" t="s">
        <v>21</v>
      </c>
      <c r="U1990" s="6">
        <f t="shared" si="239"/>
        <v>40.74</v>
      </c>
      <c r="V1990" s="6">
        <f t="shared" si="236"/>
        <v>40.74</v>
      </c>
    </row>
    <row r="1991" spans="1:22" hidden="1" x14ac:dyDescent="0.35">
      <c r="A1991" s="6" t="s">
        <v>2197</v>
      </c>
      <c r="B1991" s="6" t="s">
        <v>2176</v>
      </c>
      <c r="C1991" s="6" t="s">
        <v>2177</v>
      </c>
      <c r="D1991" s="6">
        <f t="shared" si="231"/>
        <v>0.5</v>
      </c>
      <c r="E1991" s="6" t="s">
        <v>19</v>
      </c>
      <c r="F1991" s="6" t="str">
        <f>MID(A1991,19,1)</f>
        <v>S</v>
      </c>
      <c r="G1991" s="6">
        <v>-22.93315709557589</v>
      </c>
      <c r="H1991" s="6">
        <v>-47.075805973113837</v>
      </c>
      <c r="I1991" s="9">
        <v>1112.6099999999999</v>
      </c>
      <c r="K1991" s="6">
        <v>7.88</v>
      </c>
      <c r="L1991" s="6">
        <v>50</v>
      </c>
      <c r="N1991" s="1">
        <f t="shared" si="238"/>
        <v>0</v>
      </c>
      <c r="O1991" s="6" t="s">
        <v>20</v>
      </c>
      <c r="Q1991" s="6" t="s">
        <v>21</v>
      </c>
      <c r="R1991" s="6" t="s">
        <v>21</v>
      </c>
      <c r="S1991" s="6" t="s">
        <v>21</v>
      </c>
      <c r="T1991" s="6" t="s">
        <v>21</v>
      </c>
      <c r="U1991" s="6">
        <f t="shared" si="239"/>
        <v>556.30499999999995</v>
      </c>
      <c r="V1991" s="6">
        <f t="shared" si="236"/>
        <v>556.30499999999995</v>
      </c>
    </row>
    <row r="1992" spans="1:22" hidden="1" x14ac:dyDescent="0.35">
      <c r="A1992" s="6" t="s">
        <v>2198</v>
      </c>
      <c r="B1992" s="6" t="s">
        <v>2176</v>
      </c>
      <c r="C1992" s="6" t="s">
        <v>2177</v>
      </c>
      <c r="D1992" s="6">
        <f t="shared" si="231"/>
        <v>0.5</v>
      </c>
      <c r="E1992" s="6" t="s">
        <v>19</v>
      </c>
      <c r="F1992" s="6" t="str">
        <f>MID(A1992,19,1)</f>
        <v>S</v>
      </c>
      <c r="G1992" s="6">
        <v>-22.933454708336491</v>
      </c>
      <c r="H1992" s="6">
        <v>-47.076580022104196</v>
      </c>
      <c r="I1992" s="9">
        <v>1.1599999999999999</v>
      </c>
      <c r="K1992" s="6">
        <v>1.31</v>
      </c>
      <c r="N1992" s="1">
        <f t="shared" si="238"/>
        <v>0</v>
      </c>
      <c r="Q1992" s="6" t="s">
        <v>21</v>
      </c>
      <c r="R1992" s="6" t="s">
        <v>21</v>
      </c>
      <c r="S1992" s="6" t="s">
        <v>21</v>
      </c>
      <c r="T1992" s="6" t="s">
        <v>21</v>
      </c>
      <c r="U1992" s="6">
        <f t="shared" si="239"/>
        <v>0</v>
      </c>
      <c r="V1992" s="6">
        <f t="shared" si="236"/>
        <v>0</v>
      </c>
    </row>
    <row r="1993" spans="1:22" x14ac:dyDescent="0.35">
      <c r="A1993" s="6" t="s">
        <v>2199</v>
      </c>
      <c r="B1993" s="6" t="s">
        <v>2176</v>
      </c>
      <c r="C1993" s="6" t="s">
        <v>2177</v>
      </c>
      <c r="D1993" s="6">
        <f t="shared" si="231"/>
        <v>0.5</v>
      </c>
      <c r="E1993" s="6" t="s">
        <v>19</v>
      </c>
      <c r="F1993" s="6" t="str">
        <f>MID(A1993,19,1)</f>
        <v>N</v>
      </c>
      <c r="G1993" s="6">
        <v>-22.94307052418959</v>
      </c>
      <c r="H1993" s="6">
        <v>-47.125668067512358</v>
      </c>
      <c r="I1993" s="9">
        <v>2042.91</v>
      </c>
      <c r="K1993" s="6">
        <v>5.18</v>
      </c>
      <c r="L1993" s="6">
        <v>50</v>
      </c>
      <c r="N1993" s="1">
        <f t="shared" si="238"/>
        <v>0</v>
      </c>
      <c r="O1993" s="6" t="s">
        <v>20</v>
      </c>
      <c r="Q1993" s="6" t="s">
        <v>21</v>
      </c>
      <c r="R1993" s="6" t="s">
        <v>21</v>
      </c>
      <c r="S1993" s="6" t="s">
        <v>21</v>
      </c>
      <c r="T1993" s="6" t="s">
        <v>21</v>
      </c>
      <c r="U1993" s="6">
        <f t="shared" si="239"/>
        <v>1021.455</v>
      </c>
      <c r="V1993" s="6">
        <f t="shared" si="236"/>
        <v>1021.455</v>
      </c>
    </row>
    <row r="1994" spans="1:22" x14ac:dyDescent="0.35">
      <c r="A1994" s="6" t="s">
        <v>2200</v>
      </c>
      <c r="B1994" s="6" t="s">
        <v>2176</v>
      </c>
      <c r="C1994" s="6" t="s">
        <v>2177</v>
      </c>
      <c r="D1994" s="6">
        <f t="shared" si="231"/>
        <v>0.5</v>
      </c>
      <c r="E1994" s="6" t="s">
        <v>19</v>
      </c>
      <c r="F1994" s="6" t="str">
        <f>MID(A1994,19,1)</f>
        <v>N</v>
      </c>
      <c r="G1994" s="6">
        <v>-22.927177023975119</v>
      </c>
      <c r="H1994" s="6">
        <v>-47.082607909483919</v>
      </c>
      <c r="I1994" s="9">
        <v>0.64</v>
      </c>
      <c r="K1994" s="6">
        <v>6.31</v>
      </c>
      <c r="N1994" s="1">
        <f t="shared" si="238"/>
        <v>0</v>
      </c>
      <c r="Q1994" s="6" t="s">
        <v>21</v>
      </c>
      <c r="R1994" s="6" t="s">
        <v>21</v>
      </c>
      <c r="S1994" s="6" t="s">
        <v>21</v>
      </c>
      <c r="T1994" s="6" t="s">
        <v>21</v>
      </c>
      <c r="U1994" s="6">
        <f t="shared" si="239"/>
        <v>0</v>
      </c>
      <c r="V1994" s="6">
        <f t="shared" si="236"/>
        <v>0</v>
      </c>
    </row>
    <row r="1995" spans="1:22" x14ac:dyDescent="0.35">
      <c r="A1995" s="6" t="s">
        <v>2201</v>
      </c>
      <c r="B1995" s="6" t="s">
        <v>2176</v>
      </c>
      <c r="C1995" s="6" t="s">
        <v>2177</v>
      </c>
      <c r="D1995" s="6">
        <f t="shared" si="231"/>
        <v>0.5</v>
      </c>
      <c r="E1995" s="6" t="s">
        <v>19</v>
      </c>
      <c r="F1995" s="6" t="str">
        <f>MID(A1995,19,1)</f>
        <v>N</v>
      </c>
      <c r="G1995" s="6">
        <v>-22.931549836275519</v>
      </c>
      <c r="H1995" s="6">
        <v>-47.075684024242499</v>
      </c>
      <c r="I1995" s="9">
        <v>3176.12</v>
      </c>
      <c r="K1995" s="6">
        <v>2.83</v>
      </c>
      <c r="L1995" s="6">
        <v>50</v>
      </c>
      <c r="N1995" s="1">
        <f t="shared" si="238"/>
        <v>0</v>
      </c>
      <c r="O1995" s="6" t="s">
        <v>20</v>
      </c>
      <c r="Q1995" s="6" t="s">
        <v>21</v>
      </c>
      <c r="R1995" s="6" t="s">
        <v>21</v>
      </c>
      <c r="S1995" s="6" t="s">
        <v>21</v>
      </c>
      <c r="T1995" s="6" t="s">
        <v>21</v>
      </c>
      <c r="U1995" s="6">
        <f t="shared" si="239"/>
        <v>1588.06</v>
      </c>
      <c r="V1995" s="6">
        <f t="shared" si="236"/>
        <v>1588.06</v>
      </c>
    </row>
    <row r="1996" spans="1:22" hidden="1" x14ac:dyDescent="0.35">
      <c r="A1996" s="6" t="s">
        <v>2202</v>
      </c>
      <c r="B1996" s="6" t="s">
        <v>2203</v>
      </c>
      <c r="C1996" s="6" t="s">
        <v>2204</v>
      </c>
      <c r="D1996" s="6">
        <f t="shared" si="231"/>
        <v>0.5</v>
      </c>
      <c r="E1996" s="6" t="s">
        <v>23</v>
      </c>
      <c r="F1996" s="6" t="str">
        <f>MID(A1996,19,1)</f>
        <v>C</v>
      </c>
      <c r="G1996" s="6">
        <v>-22.93446452455478</v>
      </c>
      <c r="H1996" s="6">
        <v>-47.127597658824477</v>
      </c>
      <c r="I1996" s="9">
        <v>11959.74</v>
      </c>
      <c r="J1996" s="9">
        <f>I1996/500</f>
        <v>23.91948</v>
      </c>
      <c r="K1996" s="6">
        <v>4.96</v>
      </c>
      <c r="L1996" s="6">
        <v>80</v>
      </c>
      <c r="N1996" s="1">
        <f t="shared" si="238"/>
        <v>0</v>
      </c>
      <c r="O1996" s="6" t="s">
        <v>20</v>
      </c>
      <c r="Q1996" s="6" t="s">
        <v>21</v>
      </c>
      <c r="R1996" s="6" t="s">
        <v>21</v>
      </c>
      <c r="S1996" s="6" t="s">
        <v>21</v>
      </c>
      <c r="T1996" s="6" t="s">
        <v>21</v>
      </c>
      <c r="U1996" s="6">
        <f t="shared" si="239"/>
        <v>9567.7919999999995</v>
      </c>
      <c r="V1996" s="6">
        <f t="shared" si="236"/>
        <v>9567.7919999999995</v>
      </c>
    </row>
    <row r="1997" spans="1:22" hidden="1" x14ac:dyDescent="0.35">
      <c r="A1997" s="6" t="s">
        <v>2205</v>
      </c>
      <c r="B1997" s="6" t="s">
        <v>2203</v>
      </c>
      <c r="C1997" s="6" t="s">
        <v>2204</v>
      </c>
      <c r="D1997" s="6">
        <f t="shared" si="231"/>
        <v>0.5</v>
      </c>
      <c r="E1997" s="6" t="s">
        <v>19</v>
      </c>
      <c r="F1997" s="6" t="str">
        <f>MID(A1997,19,1)</f>
        <v>S</v>
      </c>
      <c r="G1997" s="6">
        <v>-22.923720094337909</v>
      </c>
      <c r="H1997" s="6">
        <v>-47.089216769501078</v>
      </c>
      <c r="I1997" s="9">
        <v>756.55</v>
      </c>
      <c r="K1997" s="6">
        <v>3.92</v>
      </c>
      <c r="L1997" s="6">
        <v>0</v>
      </c>
      <c r="N1997" s="1">
        <f t="shared" si="238"/>
        <v>0</v>
      </c>
      <c r="Q1997" s="6" t="s">
        <v>21</v>
      </c>
      <c r="R1997" s="6" t="s">
        <v>21</v>
      </c>
      <c r="S1997" s="6" t="s">
        <v>21</v>
      </c>
      <c r="T1997" s="6" t="s">
        <v>21</v>
      </c>
      <c r="U1997" s="6">
        <f t="shared" si="239"/>
        <v>0</v>
      </c>
      <c r="V1997" s="6">
        <f t="shared" si="236"/>
        <v>0</v>
      </c>
    </row>
    <row r="1998" spans="1:22" hidden="1" x14ac:dyDescent="0.35">
      <c r="A1998" s="6" t="s">
        <v>2206</v>
      </c>
      <c r="B1998" s="6" t="s">
        <v>2203</v>
      </c>
      <c r="C1998" s="6" t="s">
        <v>2204</v>
      </c>
      <c r="D1998" s="6">
        <f t="shared" ref="D1998:D2061" si="240">C1998-B1998</f>
        <v>0.5</v>
      </c>
      <c r="E1998" s="6" t="s">
        <v>19</v>
      </c>
      <c r="F1998" s="6" t="str">
        <f>MID(A1998,19,1)</f>
        <v>S</v>
      </c>
      <c r="G1998" s="6">
        <v>-22.922643691671141</v>
      </c>
      <c r="H1998" s="6">
        <v>-47.090732127930181</v>
      </c>
      <c r="I1998" s="9">
        <v>1511.5</v>
      </c>
      <c r="K1998" s="6">
        <v>2.72</v>
      </c>
      <c r="L1998" s="6">
        <v>0</v>
      </c>
      <c r="N1998" s="1">
        <f t="shared" si="238"/>
        <v>0</v>
      </c>
      <c r="Q1998" s="6" t="s">
        <v>21</v>
      </c>
      <c r="R1998" s="6" t="s">
        <v>21</v>
      </c>
      <c r="S1998" s="6" t="s">
        <v>21</v>
      </c>
      <c r="T1998" s="6" t="s">
        <v>21</v>
      </c>
      <c r="U1998" s="6">
        <f t="shared" si="239"/>
        <v>0</v>
      </c>
      <c r="V1998" s="6">
        <f t="shared" si="236"/>
        <v>0</v>
      </c>
    </row>
    <row r="1999" spans="1:22" hidden="1" x14ac:dyDescent="0.35">
      <c r="A1999" s="6" t="s">
        <v>2207</v>
      </c>
      <c r="B1999" s="6" t="s">
        <v>2203</v>
      </c>
      <c r="C1999" s="6" t="s">
        <v>2204</v>
      </c>
      <c r="D1999" s="6">
        <f t="shared" si="240"/>
        <v>0.5</v>
      </c>
      <c r="E1999" s="6" t="s">
        <v>19</v>
      </c>
      <c r="F1999" s="6" t="str">
        <f>MID(A1999,19,1)</f>
        <v>S</v>
      </c>
      <c r="G1999" s="6">
        <v>-22.938653033878381</v>
      </c>
      <c r="H1999" s="6">
        <v>-47.126845392067288</v>
      </c>
      <c r="I1999" s="9">
        <v>1831.7</v>
      </c>
      <c r="K1999" s="6">
        <v>6.74</v>
      </c>
      <c r="L1999" s="6">
        <v>50</v>
      </c>
      <c r="N1999" s="1">
        <f t="shared" si="238"/>
        <v>0</v>
      </c>
      <c r="O1999" s="6" t="s">
        <v>20</v>
      </c>
      <c r="Q1999" s="6" t="s">
        <v>21</v>
      </c>
      <c r="R1999" s="6" t="s">
        <v>21</v>
      </c>
      <c r="S1999" s="6" t="s">
        <v>21</v>
      </c>
      <c r="T1999" s="6" t="s">
        <v>21</v>
      </c>
      <c r="U1999" s="6">
        <f t="shared" si="239"/>
        <v>915.85</v>
      </c>
      <c r="V1999" s="6">
        <f t="shared" si="236"/>
        <v>915.85</v>
      </c>
    </row>
    <row r="2000" spans="1:22" x14ac:dyDescent="0.35">
      <c r="A2000" s="6" t="s">
        <v>2208</v>
      </c>
      <c r="B2000" s="6" t="s">
        <v>2203</v>
      </c>
      <c r="C2000" s="6" t="s">
        <v>2204</v>
      </c>
      <c r="D2000" s="6">
        <f t="shared" si="240"/>
        <v>0.5</v>
      </c>
      <c r="E2000" s="6" t="s">
        <v>19</v>
      </c>
      <c r="F2000" s="6" t="str">
        <f>MID(A2000,19,1)</f>
        <v>N</v>
      </c>
      <c r="G2000" s="6">
        <v>-22.925925264513051</v>
      </c>
      <c r="H2000" s="6">
        <v>-47.084868470139092</v>
      </c>
      <c r="I2000" s="9">
        <v>2592.3200000000002</v>
      </c>
      <c r="K2000" s="6">
        <v>4.76</v>
      </c>
      <c r="L2000" s="6">
        <v>0</v>
      </c>
      <c r="N2000" s="1">
        <f t="shared" si="238"/>
        <v>0</v>
      </c>
      <c r="Q2000" s="6" t="s">
        <v>21</v>
      </c>
      <c r="R2000" s="6" t="s">
        <v>21</v>
      </c>
      <c r="S2000" s="6" t="s">
        <v>21</v>
      </c>
      <c r="T2000" s="6" t="s">
        <v>21</v>
      </c>
      <c r="U2000" s="6">
        <f t="shared" si="239"/>
        <v>0</v>
      </c>
      <c r="V2000" s="6">
        <f t="shared" si="236"/>
        <v>0</v>
      </c>
    </row>
    <row r="2001" spans="1:22" hidden="1" x14ac:dyDescent="0.35">
      <c r="A2001" s="6" t="s">
        <v>2209</v>
      </c>
      <c r="B2001" s="6" t="s">
        <v>2203</v>
      </c>
      <c r="C2001" s="6" t="s">
        <v>2204</v>
      </c>
      <c r="D2001" s="6">
        <f t="shared" si="240"/>
        <v>0.5</v>
      </c>
      <c r="E2001" s="6" t="s">
        <v>19</v>
      </c>
      <c r="F2001" s="6" t="str">
        <f>MID(A2001,19,1)</f>
        <v>S</v>
      </c>
      <c r="G2001" s="6">
        <v>-22.9345127211838</v>
      </c>
      <c r="H2001" s="6">
        <v>-47.127905381563451</v>
      </c>
      <c r="I2001" s="9">
        <v>1940.08</v>
      </c>
      <c r="K2001" s="6">
        <v>6.17</v>
      </c>
      <c r="L2001" s="6">
        <v>50</v>
      </c>
      <c r="N2001" s="1">
        <f t="shared" si="238"/>
        <v>0</v>
      </c>
      <c r="O2001" s="6" t="s">
        <v>20</v>
      </c>
      <c r="Q2001" s="6" t="s">
        <v>21</v>
      </c>
      <c r="R2001" s="6" t="s">
        <v>21</v>
      </c>
      <c r="S2001" s="6" t="s">
        <v>21</v>
      </c>
      <c r="T2001" s="6" t="s">
        <v>21</v>
      </c>
      <c r="U2001" s="6">
        <f t="shared" si="239"/>
        <v>970.04</v>
      </c>
      <c r="V2001" s="6">
        <f t="shared" si="236"/>
        <v>970.04</v>
      </c>
    </row>
    <row r="2002" spans="1:22" hidden="1" x14ac:dyDescent="0.35">
      <c r="A2002" s="6" t="s">
        <v>2210</v>
      </c>
      <c r="B2002" s="6" t="s">
        <v>2203</v>
      </c>
      <c r="C2002" s="6" t="s">
        <v>2204</v>
      </c>
      <c r="D2002" s="6">
        <f t="shared" si="240"/>
        <v>0.5</v>
      </c>
      <c r="E2002" s="6" t="s">
        <v>19</v>
      </c>
      <c r="F2002" s="6" t="str">
        <f>MID(A2002,19,1)</f>
        <v>S</v>
      </c>
      <c r="G2002" s="6">
        <v>-22.92470234055595</v>
      </c>
      <c r="H2002" s="6">
        <v>-47.087367649274412</v>
      </c>
      <c r="I2002" s="9">
        <v>607.38</v>
      </c>
      <c r="K2002" s="6">
        <v>4.33</v>
      </c>
      <c r="L2002" s="6">
        <v>0</v>
      </c>
      <c r="N2002" s="1">
        <f t="shared" si="238"/>
        <v>0</v>
      </c>
      <c r="Q2002" s="6" t="s">
        <v>21</v>
      </c>
      <c r="R2002" s="6" t="s">
        <v>21</v>
      </c>
      <c r="S2002" s="6" t="s">
        <v>21</v>
      </c>
      <c r="T2002" s="6" t="s">
        <v>21</v>
      </c>
      <c r="U2002" s="6">
        <f t="shared" si="239"/>
        <v>0</v>
      </c>
      <c r="V2002" s="6">
        <f t="shared" si="236"/>
        <v>0</v>
      </c>
    </row>
    <row r="2003" spans="1:22" x14ac:dyDescent="0.35">
      <c r="A2003" s="6" t="s">
        <v>2211</v>
      </c>
      <c r="B2003" s="6" t="s">
        <v>2203</v>
      </c>
      <c r="C2003" s="6" t="s">
        <v>2204</v>
      </c>
      <c r="D2003" s="6">
        <f t="shared" si="240"/>
        <v>0.5</v>
      </c>
      <c r="E2003" s="6" t="s">
        <v>19</v>
      </c>
      <c r="F2003" s="6" t="str">
        <f>MID(A2003,19,1)</f>
        <v>N</v>
      </c>
      <c r="G2003" s="6">
        <v>-22.923751291968149</v>
      </c>
      <c r="H2003" s="6">
        <v>-47.088125256848052</v>
      </c>
      <c r="I2003" s="9">
        <v>87.94</v>
      </c>
      <c r="K2003" s="6">
        <v>4.33</v>
      </c>
      <c r="L2003" s="6">
        <v>30</v>
      </c>
      <c r="N2003" s="1">
        <f t="shared" si="238"/>
        <v>0</v>
      </c>
      <c r="O2003" s="6" t="s">
        <v>20</v>
      </c>
      <c r="Q2003" s="6" t="s">
        <v>21</v>
      </c>
      <c r="R2003" s="6" t="s">
        <v>21</v>
      </c>
      <c r="S2003" s="6" t="s">
        <v>21</v>
      </c>
      <c r="T2003" s="6" t="s">
        <v>21</v>
      </c>
      <c r="U2003" s="6">
        <f t="shared" si="239"/>
        <v>26.381999999999998</v>
      </c>
      <c r="V2003" s="6">
        <f t="shared" si="236"/>
        <v>26.381999999999998</v>
      </c>
    </row>
    <row r="2004" spans="1:22" x14ac:dyDescent="0.35">
      <c r="A2004" s="6" t="s">
        <v>2212</v>
      </c>
      <c r="B2004" s="6" t="s">
        <v>2203</v>
      </c>
      <c r="C2004" s="6" t="s">
        <v>2204</v>
      </c>
      <c r="D2004" s="6">
        <f t="shared" si="240"/>
        <v>0.5</v>
      </c>
      <c r="E2004" s="6" t="s">
        <v>19</v>
      </c>
      <c r="F2004" s="6" t="str">
        <f>MID(A2004,19,1)</f>
        <v>N</v>
      </c>
      <c r="G2004" s="6">
        <v>-22.925023587875991</v>
      </c>
      <c r="H2004" s="6">
        <v>-47.086087518702705</v>
      </c>
      <c r="I2004" s="9">
        <v>432.17</v>
      </c>
      <c r="K2004" s="6">
        <v>5.61</v>
      </c>
      <c r="L2004" s="6">
        <v>0</v>
      </c>
      <c r="N2004" s="1">
        <f t="shared" si="238"/>
        <v>0</v>
      </c>
      <c r="Q2004" s="6" t="s">
        <v>21</v>
      </c>
      <c r="R2004" s="6" t="s">
        <v>21</v>
      </c>
      <c r="S2004" s="6" t="s">
        <v>21</v>
      </c>
      <c r="T2004" s="6" t="s">
        <v>21</v>
      </c>
      <c r="U2004" s="6">
        <f t="shared" si="239"/>
        <v>0</v>
      </c>
      <c r="V2004" s="6">
        <f t="shared" si="236"/>
        <v>0</v>
      </c>
    </row>
    <row r="2005" spans="1:22" x14ac:dyDescent="0.35">
      <c r="A2005" s="6" t="s">
        <v>2213</v>
      </c>
      <c r="B2005" s="6" t="s">
        <v>2203</v>
      </c>
      <c r="C2005" s="6" t="s">
        <v>2204</v>
      </c>
      <c r="D2005" s="6">
        <f t="shared" si="240"/>
        <v>0.5</v>
      </c>
      <c r="E2005" s="6" t="s">
        <v>19</v>
      </c>
      <c r="F2005" s="6" t="str">
        <f>MID(A2005,19,1)</f>
        <v>N</v>
      </c>
      <c r="G2005" s="6">
        <v>-22.922405634869161</v>
      </c>
      <c r="H2005" s="6">
        <v>-47.090500650139049</v>
      </c>
      <c r="I2005" s="9">
        <v>1952.99</v>
      </c>
      <c r="K2005" s="6">
        <v>3.28</v>
      </c>
      <c r="L2005" s="6">
        <v>30</v>
      </c>
      <c r="N2005" s="1">
        <f t="shared" si="238"/>
        <v>0</v>
      </c>
      <c r="O2005" s="6" t="s">
        <v>20</v>
      </c>
      <c r="Q2005" s="6" t="s">
        <v>21</v>
      </c>
      <c r="R2005" s="6" t="s">
        <v>21</v>
      </c>
      <c r="S2005" s="6" t="s">
        <v>21</v>
      </c>
      <c r="T2005" s="6" t="s">
        <v>21</v>
      </c>
      <c r="U2005" s="6">
        <f t="shared" si="239"/>
        <v>585.89699999999993</v>
      </c>
      <c r="V2005" s="6">
        <f t="shared" si="236"/>
        <v>585.89699999999993</v>
      </c>
    </row>
    <row r="2006" spans="1:22" hidden="1" x14ac:dyDescent="0.35">
      <c r="A2006" s="6" t="s">
        <v>2214</v>
      </c>
      <c r="B2006" s="6" t="s">
        <v>2203</v>
      </c>
      <c r="C2006" s="6" t="s">
        <v>2204</v>
      </c>
      <c r="D2006" s="6">
        <f t="shared" si="240"/>
        <v>0.5</v>
      </c>
      <c r="E2006" s="6" t="s">
        <v>23</v>
      </c>
      <c r="F2006" s="6" t="str">
        <f>MID(A2006,19,1)</f>
        <v>C</v>
      </c>
      <c r="G2006" s="6">
        <v>-22.938578996443479</v>
      </c>
      <c r="H2006" s="6">
        <v>-47.126553254761482</v>
      </c>
      <c r="I2006" s="9">
        <v>11854.89</v>
      </c>
      <c r="J2006" s="9">
        <f>I2006/500</f>
        <v>23.709779999999999</v>
      </c>
      <c r="K2006" s="6">
        <v>6.22</v>
      </c>
      <c r="L2006" s="6">
        <v>80</v>
      </c>
      <c r="N2006" s="1">
        <f t="shared" si="238"/>
        <v>0</v>
      </c>
      <c r="O2006" s="6" t="s">
        <v>20</v>
      </c>
      <c r="Q2006" s="6" t="s">
        <v>21</v>
      </c>
      <c r="R2006" s="6" t="s">
        <v>21</v>
      </c>
      <c r="S2006" s="6" t="s">
        <v>21</v>
      </c>
      <c r="T2006" s="6" t="s">
        <v>21</v>
      </c>
      <c r="U2006" s="6">
        <f t="shared" si="239"/>
        <v>9483.9120000000003</v>
      </c>
      <c r="V2006" s="6">
        <f t="shared" si="236"/>
        <v>9483.9120000000003</v>
      </c>
    </row>
    <row r="2007" spans="1:22" hidden="1" x14ac:dyDescent="0.35">
      <c r="A2007" s="6" t="s">
        <v>2215</v>
      </c>
      <c r="B2007" s="6" t="s">
        <v>2203</v>
      </c>
      <c r="C2007" s="6" t="s">
        <v>2204</v>
      </c>
      <c r="D2007" s="6">
        <f t="shared" si="240"/>
        <v>0.5</v>
      </c>
      <c r="E2007" s="6" t="s">
        <v>19</v>
      </c>
      <c r="F2007" s="6" t="str">
        <f>MID(A2007,19,1)</f>
        <v>S</v>
      </c>
      <c r="G2007" s="6">
        <v>-22.926426765439089</v>
      </c>
      <c r="H2007" s="6">
        <v>-47.08462279034282</v>
      </c>
      <c r="I2007" s="9">
        <v>4569.9399999999996</v>
      </c>
      <c r="K2007" s="6">
        <v>3.94</v>
      </c>
      <c r="L2007" s="6">
        <v>30</v>
      </c>
      <c r="N2007" s="1">
        <f t="shared" si="238"/>
        <v>0</v>
      </c>
      <c r="O2007" s="6" t="s">
        <v>20</v>
      </c>
      <c r="Q2007" s="6" t="s">
        <v>21</v>
      </c>
      <c r="R2007" s="6" t="s">
        <v>21</v>
      </c>
      <c r="S2007" s="6" t="s">
        <v>21</v>
      </c>
      <c r="T2007" s="6" t="s">
        <v>21</v>
      </c>
      <c r="U2007" s="6">
        <f t="shared" si="239"/>
        <v>1370.9819999999997</v>
      </c>
      <c r="V2007" s="6">
        <f t="shared" si="236"/>
        <v>1370.9819999999997</v>
      </c>
    </row>
    <row r="2008" spans="1:22" hidden="1" x14ac:dyDescent="0.35">
      <c r="A2008" s="6" t="s">
        <v>2216</v>
      </c>
      <c r="B2008" s="6" t="s">
        <v>2203</v>
      </c>
      <c r="C2008" s="6" t="s">
        <v>2204</v>
      </c>
      <c r="D2008" s="6">
        <f t="shared" si="240"/>
        <v>0.5</v>
      </c>
      <c r="E2008" s="6" t="s">
        <v>19</v>
      </c>
      <c r="F2008" s="6" t="str">
        <f>MID(A2008,19,1)</f>
        <v>S</v>
      </c>
      <c r="G2008" s="6">
        <v>-22.927185554445369</v>
      </c>
      <c r="H2008" s="6">
        <v>-47.083770943644119</v>
      </c>
      <c r="I2008" s="9">
        <v>208.75</v>
      </c>
      <c r="K2008" s="6">
        <v>2.87</v>
      </c>
      <c r="L2008" s="6">
        <v>30</v>
      </c>
      <c r="N2008" s="1">
        <f t="shared" si="238"/>
        <v>0</v>
      </c>
      <c r="O2008" s="6" t="s">
        <v>20</v>
      </c>
      <c r="Q2008" s="6" t="s">
        <v>21</v>
      </c>
      <c r="R2008" s="6" t="s">
        <v>21</v>
      </c>
      <c r="S2008" s="6" t="s">
        <v>21</v>
      </c>
      <c r="T2008" s="6" t="s">
        <v>21</v>
      </c>
      <c r="U2008" s="6">
        <f t="shared" si="239"/>
        <v>62.625</v>
      </c>
      <c r="V2008" s="6">
        <f t="shared" si="236"/>
        <v>62.625</v>
      </c>
    </row>
    <row r="2009" spans="1:22" x14ac:dyDescent="0.35">
      <c r="A2009" s="6" t="s">
        <v>2217</v>
      </c>
      <c r="B2009" s="6" t="s">
        <v>2203</v>
      </c>
      <c r="C2009" s="6" t="s">
        <v>2204</v>
      </c>
      <c r="D2009" s="6">
        <f t="shared" si="240"/>
        <v>0.5</v>
      </c>
      <c r="E2009" s="6" t="s">
        <v>19</v>
      </c>
      <c r="F2009" s="6" t="str">
        <f>MID(A2009,19,1)</f>
        <v>N</v>
      </c>
      <c r="G2009" s="6">
        <v>-22.93429752009607</v>
      </c>
      <c r="H2009" s="6">
        <v>-47.127306433588018</v>
      </c>
      <c r="I2009" s="9">
        <v>1931.46</v>
      </c>
      <c r="K2009" s="6">
        <v>4.87</v>
      </c>
      <c r="L2009" s="6">
        <v>50</v>
      </c>
      <c r="N2009" s="1">
        <f t="shared" si="238"/>
        <v>0</v>
      </c>
      <c r="O2009" s="6" t="s">
        <v>20</v>
      </c>
      <c r="Q2009" s="6" t="s">
        <v>21</v>
      </c>
      <c r="R2009" s="6" t="s">
        <v>21</v>
      </c>
      <c r="S2009" s="6" t="s">
        <v>21</v>
      </c>
      <c r="T2009" s="6" t="s">
        <v>21</v>
      </c>
      <c r="U2009" s="6">
        <f t="shared" si="239"/>
        <v>965.73</v>
      </c>
      <c r="V2009" s="6">
        <f t="shared" si="236"/>
        <v>965.73</v>
      </c>
    </row>
    <row r="2010" spans="1:22" x14ac:dyDescent="0.35">
      <c r="A2010" s="6" t="s">
        <v>2218</v>
      </c>
      <c r="B2010" s="6" t="s">
        <v>2203</v>
      </c>
      <c r="C2010" s="6" t="s">
        <v>2204</v>
      </c>
      <c r="D2010" s="6">
        <f t="shared" si="240"/>
        <v>0.5</v>
      </c>
      <c r="E2010" s="6" t="s">
        <v>19</v>
      </c>
      <c r="F2010" s="6" t="str">
        <f>MID(A2010,19,1)</f>
        <v>N</v>
      </c>
      <c r="G2010" s="6">
        <v>-22.926300253286811</v>
      </c>
      <c r="H2010" s="6">
        <v>-47.083936096468705</v>
      </c>
      <c r="I2010" s="9">
        <v>795.83</v>
      </c>
      <c r="K2010" s="6">
        <v>4.09</v>
      </c>
      <c r="L2010" s="6">
        <v>0</v>
      </c>
      <c r="N2010" s="1">
        <f t="shared" si="238"/>
        <v>0</v>
      </c>
      <c r="Q2010" s="6" t="s">
        <v>21</v>
      </c>
      <c r="R2010" s="6" t="s">
        <v>21</v>
      </c>
      <c r="S2010" s="6" t="s">
        <v>21</v>
      </c>
      <c r="T2010" s="6" t="s">
        <v>21</v>
      </c>
      <c r="U2010" s="6">
        <f t="shared" si="239"/>
        <v>0</v>
      </c>
      <c r="V2010" s="6">
        <f t="shared" si="236"/>
        <v>0</v>
      </c>
    </row>
    <row r="2011" spans="1:22" x14ac:dyDescent="0.35">
      <c r="A2011" s="6" t="s">
        <v>2219</v>
      </c>
      <c r="B2011" s="6" t="s">
        <v>2203</v>
      </c>
      <c r="C2011" s="6" t="s">
        <v>2204</v>
      </c>
      <c r="D2011" s="6">
        <f t="shared" si="240"/>
        <v>0.5</v>
      </c>
      <c r="E2011" s="6" t="s">
        <v>19</v>
      </c>
      <c r="F2011" s="6" t="str">
        <f>MID(A2011,19,1)</f>
        <v>N</v>
      </c>
      <c r="G2011" s="6">
        <v>-22.938398407904629</v>
      </c>
      <c r="H2011" s="6">
        <v>-47.126252203863508</v>
      </c>
      <c r="I2011" s="9">
        <v>1805.21</v>
      </c>
      <c r="K2011" s="6">
        <v>4.5999999999999996</v>
      </c>
      <c r="L2011" s="6">
        <v>50</v>
      </c>
      <c r="N2011" s="1">
        <f t="shared" si="238"/>
        <v>0</v>
      </c>
      <c r="O2011" s="6" t="s">
        <v>20</v>
      </c>
      <c r="Q2011" s="6" t="s">
        <v>21</v>
      </c>
      <c r="R2011" s="6" t="s">
        <v>21</v>
      </c>
      <c r="S2011" s="6" t="s">
        <v>21</v>
      </c>
      <c r="T2011" s="6" t="s">
        <v>21</v>
      </c>
      <c r="U2011" s="6">
        <f t="shared" si="239"/>
        <v>902.60500000000002</v>
      </c>
      <c r="V2011" s="6">
        <f t="shared" si="236"/>
        <v>902.60500000000002</v>
      </c>
    </row>
    <row r="2012" spans="1:22" hidden="1" x14ac:dyDescent="0.35">
      <c r="A2012" s="6" t="s">
        <v>2220</v>
      </c>
      <c r="B2012" s="6" t="s">
        <v>2203</v>
      </c>
      <c r="C2012" s="6" t="s">
        <v>2204</v>
      </c>
      <c r="D2012" s="6">
        <f t="shared" si="240"/>
        <v>0.5</v>
      </c>
      <c r="E2012" s="6" t="s">
        <v>19</v>
      </c>
      <c r="F2012" s="6" t="str">
        <f>MID(A2012,19,1)</f>
        <v>S</v>
      </c>
      <c r="G2012" s="6">
        <v>-22.92238929108181</v>
      </c>
      <c r="H2012" s="6">
        <v>-47.091332665835765</v>
      </c>
      <c r="I2012" s="9">
        <v>292.14</v>
      </c>
      <c r="K2012" s="6">
        <v>2.34</v>
      </c>
      <c r="L2012" s="6">
        <v>0</v>
      </c>
      <c r="N2012" s="1">
        <f t="shared" si="238"/>
        <v>0</v>
      </c>
      <c r="Q2012" s="6" t="s">
        <v>21</v>
      </c>
      <c r="R2012" s="6" t="s">
        <v>21</v>
      </c>
      <c r="S2012" s="6" t="s">
        <v>21</v>
      </c>
      <c r="T2012" s="6" t="s">
        <v>21</v>
      </c>
      <c r="U2012" s="6">
        <f t="shared" si="239"/>
        <v>0</v>
      </c>
      <c r="V2012" s="6">
        <f t="shared" si="236"/>
        <v>0</v>
      </c>
    </row>
    <row r="2013" spans="1:22" hidden="1" x14ac:dyDescent="0.35">
      <c r="A2013" s="6" t="s">
        <v>2221</v>
      </c>
      <c r="B2013" s="6" t="s">
        <v>2203</v>
      </c>
      <c r="C2013" s="6" t="s">
        <v>2204</v>
      </c>
      <c r="D2013" s="6">
        <f t="shared" si="240"/>
        <v>0.5</v>
      </c>
      <c r="E2013" s="6" t="s">
        <v>19</v>
      </c>
      <c r="F2013" s="6" t="str">
        <f>MID(A2013,19,1)</f>
        <v>S</v>
      </c>
      <c r="G2013" s="6">
        <v>-22.925733924820449</v>
      </c>
      <c r="H2013" s="6">
        <v>-47.085943095678815</v>
      </c>
      <c r="I2013" s="9">
        <v>1047.5999999999999</v>
      </c>
      <c r="K2013" s="6">
        <v>4.21</v>
      </c>
      <c r="L2013" s="6">
        <v>30</v>
      </c>
      <c r="N2013" s="1">
        <f t="shared" si="238"/>
        <v>0</v>
      </c>
      <c r="O2013" s="6" t="s">
        <v>20</v>
      </c>
      <c r="Q2013" s="6" t="s">
        <v>21</v>
      </c>
      <c r="R2013" s="6" t="s">
        <v>21</v>
      </c>
      <c r="S2013" s="6" t="s">
        <v>21</v>
      </c>
      <c r="T2013" s="6" t="s">
        <v>21</v>
      </c>
      <c r="U2013" s="6">
        <f t="shared" si="239"/>
        <v>314.27999999999997</v>
      </c>
      <c r="V2013" s="6">
        <f t="shared" si="236"/>
        <v>314.27999999999997</v>
      </c>
    </row>
    <row r="2014" spans="1:22" hidden="1" x14ac:dyDescent="0.35">
      <c r="A2014" s="6" t="s">
        <v>2222</v>
      </c>
      <c r="B2014" s="6" t="s">
        <v>2203</v>
      </c>
      <c r="C2014" s="6" t="s">
        <v>2204</v>
      </c>
      <c r="D2014" s="6">
        <f t="shared" si="240"/>
        <v>0.5</v>
      </c>
      <c r="E2014" s="6" t="s">
        <v>19</v>
      </c>
      <c r="F2014" s="6" t="str">
        <f>MID(A2014,19,1)</f>
        <v>S</v>
      </c>
      <c r="G2014" s="6">
        <v>-22.92491236036614</v>
      </c>
      <c r="H2014" s="6">
        <v>-47.087297877733306</v>
      </c>
      <c r="I2014" s="9">
        <v>282.38</v>
      </c>
      <c r="K2014" s="6">
        <v>4</v>
      </c>
      <c r="L2014" s="6">
        <v>0</v>
      </c>
      <c r="N2014" s="1">
        <f t="shared" si="238"/>
        <v>0</v>
      </c>
      <c r="Q2014" s="6" t="s">
        <v>21</v>
      </c>
      <c r="R2014" s="6" t="s">
        <v>21</v>
      </c>
      <c r="S2014" s="6" t="s">
        <v>21</v>
      </c>
      <c r="T2014" s="6" t="s">
        <v>21</v>
      </c>
      <c r="U2014" s="6">
        <f t="shared" si="239"/>
        <v>0</v>
      </c>
      <c r="V2014" s="6">
        <f t="shared" si="236"/>
        <v>0</v>
      </c>
    </row>
    <row r="2015" spans="1:22" x14ac:dyDescent="0.35">
      <c r="A2015" s="6" t="s">
        <v>2223</v>
      </c>
      <c r="B2015" s="6" t="s">
        <v>2203</v>
      </c>
      <c r="C2015" s="6" t="s">
        <v>2204</v>
      </c>
      <c r="D2015" s="6">
        <f t="shared" si="240"/>
        <v>0.5</v>
      </c>
      <c r="E2015" s="6" t="s">
        <v>19</v>
      </c>
      <c r="F2015" s="6" t="str">
        <f>MID(A2015,19,1)</f>
        <v>N</v>
      </c>
      <c r="G2015" s="6">
        <v>-22.92437899462908</v>
      </c>
      <c r="H2015" s="6">
        <v>-47.087138154464199</v>
      </c>
      <c r="I2015" s="9">
        <v>312.08</v>
      </c>
      <c r="K2015" s="6">
        <v>6.79</v>
      </c>
      <c r="L2015" s="6">
        <v>30</v>
      </c>
      <c r="N2015" s="1">
        <f t="shared" si="238"/>
        <v>0</v>
      </c>
      <c r="O2015" s="6" t="s">
        <v>20</v>
      </c>
      <c r="Q2015" s="6" t="s">
        <v>21</v>
      </c>
      <c r="R2015" s="6" t="s">
        <v>21</v>
      </c>
      <c r="S2015" s="6" t="s">
        <v>21</v>
      </c>
      <c r="T2015" s="6" t="s">
        <v>21</v>
      </c>
      <c r="U2015" s="6">
        <f t="shared" si="239"/>
        <v>93.623999999999995</v>
      </c>
      <c r="V2015" s="6">
        <f t="shared" si="236"/>
        <v>93.623999999999995</v>
      </c>
    </row>
    <row r="2016" spans="1:22" hidden="1" x14ac:dyDescent="0.35">
      <c r="A2016" s="6" t="s">
        <v>2224</v>
      </c>
      <c r="B2016" s="6" t="s">
        <v>2203</v>
      </c>
      <c r="C2016" s="6" t="s">
        <v>2204</v>
      </c>
      <c r="D2016" s="6">
        <f t="shared" si="240"/>
        <v>0.5</v>
      </c>
      <c r="E2016" s="6" t="s">
        <v>19</v>
      </c>
      <c r="F2016" s="6" t="str">
        <f>MID(A2016,19,1)</f>
        <v>S</v>
      </c>
      <c r="G2016" s="6">
        <v>-22.923768237906071</v>
      </c>
      <c r="H2016" s="6">
        <v>-47.08886468922865</v>
      </c>
      <c r="I2016" s="9">
        <v>776.28</v>
      </c>
      <c r="K2016" s="6">
        <v>4.3899999999999997</v>
      </c>
      <c r="L2016" s="6">
        <v>0</v>
      </c>
      <c r="N2016" s="1">
        <f t="shared" si="238"/>
        <v>0</v>
      </c>
      <c r="Q2016" s="6" t="s">
        <v>21</v>
      </c>
      <c r="R2016" s="6" t="s">
        <v>21</v>
      </c>
      <c r="S2016" s="6" t="s">
        <v>21</v>
      </c>
      <c r="T2016" s="6" t="s">
        <v>21</v>
      </c>
      <c r="U2016" s="6">
        <f t="shared" si="239"/>
        <v>0</v>
      </c>
      <c r="V2016" s="6">
        <f t="shared" si="236"/>
        <v>0</v>
      </c>
    </row>
    <row r="2017" spans="1:22" hidden="1" x14ac:dyDescent="0.35">
      <c r="A2017" s="6" t="s">
        <v>2225</v>
      </c>
      <c r="B2017" s="6" t="s">
        <v>2226</v>
      </c>
      <c r="C2017" s="6" t="s">
        <v>2227</v>
      </c>
      <c r="D2017" s="6">
        <f t="shared" si="240"/>
        <v>0.5</v>
      </c>
      <c r="E2017" s="6" t="s">
        <v>19</v>
      </c>
      <c r="F2017" s="6" t="str">
        <f>MID(A2017,19,1)</f>
        <v>S</v>
      </c>
      <c r="G2017" s="6">
        <v>-22.918828973763809</v>
      </c>
      <c r="H2017" s="6">
        <v>-47.095481385927535</v>
      </c>
      <c r="I2017" s="9">
        <v>181.79</v>
      </c>
      <c r="K2017" s="6">
        <v>3.89</v>
      </c>
      <c r="L2017" s="6">
        <v>0</v>
      </c>
      <c r="N2017" s="1">
        <f t="shared" si="238"/>
        <v>0</v>
      </c>
      <c r="Q2017" s="6" t="s">
        <v>21</v>
      </c>
      <c r="R2017" s="6" t="s">
        <v>21</v>
      </c>
      <c r="S2017" s="6" t="s">
        <v>21</v>
      </c>
      <c r="T2017" s="6" t="s">
        <v>21</v>
      </c>
      <c r="U2017" s="6">
        <f t="shared" si="239"/>
        <v>0</v>
      </c>
      <c r="V2017" s="6">
        <f t="shared" si="236"/>
        <v>0</v>
      </c>
    </row>
    <row r="2018" spans="1:22" x14ac:dyDescent="0.35">
      <c r="A2018" s="6" t="s">
        <v>2228</v>
      </c>
      <c r="B2018" s="6" t="s">
        <v>2226</v>
      </c>
      <c r="C2018" s="6" t="s">
        <v>2227</v>
      </c>
      <c r="D2018" s="6">
        <f t="shared" si="240"/>
        <v>0.5</v>
      </c>
      <c r="E2018" s="6" t="s">
        <v>19</v>
      </c>
      <c r="F2018" s="6" t="str">
        <f>MID(A2018,19,1)</f>
        <v>N</v>
      </c>
      <c r="G2018" s="6">
        <v>-22.917691131682549</v>
      </c>
      <c r="H2018" s="6">
        <v>-47.095337295330935</v>
      </c>
      <c r="I2018" s="9">
        <v>0.64</v>
      </c>
      <c r="K2018" s="6">
        <v>3.82</v>
      </c>
      <c r="N2018" s="1">
        <f t="shared" si="238"/>
        <v>0</v>
      </c>
      <c r="Q2018" s="6" t="s">
        <v>21</v>
      </c>
      <c r="R2018" s="6" t="s">
        <v>21</v>
      </c>
      <c r="S2018" s="6" t="s">
        <v>21</v>
      </c>
      <c r="T2018" s="6" t="s">
        <v>21</v>
      </c>
      <c r="U2018" s="6">
        <f t="shared" si="239"/>
        <v>0</v>
      </c>
      <c r="V2018" s="6">
        <f t="shared" si="236"/>
        <v>0</v>
      </c>
    </row>
    <row r="2019" spans="1:22" x14ac:dyDescent="0.35">
      <c r="A2019" s="6" t="s">
        <v>2229</v>
      </c>
      <c r="B2019" s="6" t="s">
        <v>2226</v>
      </c>
      <c r="C2019" s="6" t="s">
        <v>2227</v>
      </c>
      <c r="D2019" s="6">
        <f t="shared" si="240"/>
        <v>0.5</v>
      </c>
      <c r="E2019" s="6" t="s">
        <v>19</v>
      </c>
      <c r="F2019" s="6" t="str">
        <f>MID(A2019,19,1)</f>
        <v>N</v>
      </c>
      <c r="G2019" s="6">
        <v>-22.91987382138317</v>
      </c>
      <c r="H2019" s="6">
        <v>-47.093723018743546</v>
      </c>
      <c r="I2019" s="9">
        <v>1925.62</v>
      </c>
      <c r="K2019" s="6">
        <v>2.8</v>
      </c>
      <c r="L2019" s="6">
        <v>30</v>
      </c>
      <c r="N2019" s="1">
        <f t="shared" si="238"/>
        <v>0</v>
      </c>
      <c r="O2019" s="6" t="s">
        <v>20</v>
      </c>
      <c r="Q2019" s="6" t="s">
        <v>21</v>
      </c>
      <c r="R2019" s="6" t="s">
        <v>21</v>
      </c>
      <c r="S2019" s="6" t="s">
        <v>21</v>
      </c>
      <c r="T2019" s="6" t="s">
        <v>21</v>
      </c>
      <c r="U2019" s="6">
        <f t="shared" si="239"/>
        <v>577.68599999999992</v>
      </c>
      <c r="V2019" s="6">
        <f t="shared" si="236"/>
        <v>577.68599999999992</v>
      </c>
    </row>
    <row r="2020" spans="1:22" x14ac:dyDescent="0.35">
      <c r="A2020" s="6" t="s">
        <v>2230</v>
      </c>
      <c r="B2020" s="6" t="s">
        <v>2226</v>
      </c>
      <c r="C2020" s="6" t="s">
        <v>2227</v>
      </c>
      <c r="D2020" s="6">
        <f t="shared" si="240"/>
        <v>0.5</v>
      </c>
      <c r="E2020" s="6" t="s">
        <v>19</v>
      </c>
      <c r="F2020" s="6" t="str">
        <f>MID(A2020,19,1)</f>
        <v>N</v>
      </c>
      <c r="G2020" s="6">
        <v>-22.921860988610749</v>
      </c>
      <c r="H2020" s="6">
        <v>-47.091158226536805</v>
      </c>
      <c r="I2020" s="9">
        <v>79.209999999999994</v>
      </c>
      <c r="K2020" s="6">
        <v>2.82</v>
      </c>
      <c r="L2020" s="6">
        <v>30</v>
      </c>
      <c r="N2020" s="1">
        <f t="shared" si="238"/>
        <v>0</v>
      </c>
      <c r="O2020" s="6" t="s">
        <v>20</v>
      </c>
      <c r="Q2020" s="6" t="s">
        <v>21</v>
      </c>
      <c r="R2020" s="6" t="s">
        <v>21</v>
      </c>
      <c r="S2020" s="6" t="s">
        <v>21</v>
      </c>
      <c r="T2020" s="6" t="s">
        <v>21</v>
      </c>
      <c r="U2020" s="6">
        <f t="shared" si="239"/>
        <v>23.762999999999998</v>
      </c>
      <c r="V2020" s="6">
        <f t="shared" si="236"/>
        <v>23.762999999999998</v>
      </c>
    </row>
    <row r="2021" spans="1:22" hidden="1" x14ac:dyDescent="0.35">
      <c r="A2021" s="6" t="s">
        <v>2231</v>
      </c>
      <c r="B2021" s="6" t="s">
        <v>2226</v>
      </c>
      <c r="C2021" s="6" t="s">
        <v>2227</v>
      </c>
      <c r="D2021" s="6">
        <f t="shared" si="240"/>
        <v>0.5</v>
      </c>
      <c r="E2021" s="6" t="s">
        <v>19</v>
      </c>
      <c r="F2021" s="6" t="str">
        <f>MID(A2021,19,1)</f>
        <v>S</v>
      </c>
      <c r="G2021" s="6">
        <v>-22.931469279428999</v>
      </c>
      <c r="H2021" s="6">
        <v>-47.128738800047877</v>
      </c>
      <c r="I2021" s="9">
        <v>842.21</v>
      </c>
      <c r="K2021" s="6">
        <v>5.23</v>
      </c>
      <c r="L2021" s="6">
        <v>50</v>
      </c>
      <c r="N2021" s="1">
        <f t="shared" si="238"/>
        <v>0</v>
      </c>
      <c r="O2021" s="6" t="s">
        <v>20</v>
      </c>
      <c r="Q2021" s="6" t="s">
        <v>21</v>
      </c>
      <c r="R2021" s="6" t="s">
        <v>21</v>
      </c>
      <c r="S2021" s="6" t="s">
        <v>21</v>
      </c>
      <c r="T2021" s="6" t="s">
        <v>21</v>
      </c>
      <c r="U2021" s="6">
        <f t="shared" si="239"/>
        <v>421.10500000000002</v>
      </c>
      <c r="V2021" s="6">
        <f t="shared" si="236"/>
        <v>421.10500000000002</v>
      </c>
    </row>
    <row r="2022" spans="1:22" hidden="1" x14ac:dyDescent="0.35">
      <c r="A2022" s="6" t="s">
        <v>2232</v>
      </c>
      <c r="B2022" s="6" t="s">
        <v>2226</v>
      </c>
      <c r="C2022" s="6" t="s">
        <v>2227</v>
      </c>
      <c r="D2022" s="6">
        <f t="shared" si="240"/>
        <v>0.5</v>
      </c>
      <c r="E2022" s="6" t="s">
        <v>23</v>
      </c>
      <c r="F2022" s="6" t="str">
        <f>MID(A2022,19,1)</f>
        <v>C</v>
      </c>
      <c r="G2022" s="6">
        <v>-22.926154471506148</v>
      </c>
      <c r="H2022" s="6">
        <v>-47.130036195588161</v>
      </c>
      <c r="I2022" s="9">
        <v>23730.39</v>
      </c>
      <c r="J2022" s="9">
        <f t="shared" ref="J2022:J2023" si="241">I2022/500</f>
        <v>47.46078</v>
      </c>
      <c r="K2022" s="6">
        <v>4.41</v>
      </c>
      <c r="L2022" s="6">
        <v>80</v>
      </c>
      <c r="N2022" s="1">
        <f t="shared" si="238"/>
        <v>0</v>
      </c>
      <c r="O2022" s="6" t="s">
        <v>20</v>
      </c>
      <c r="Q2022" s="6" t="s">
        <v>21</v>
      </c>
      <c r="R2022" s="6" t="s">
        <v>21</v>
      </c>
      <c r="S2022" s="6" t="s">
        <v>21</v>
      </c>
      <c r="T2022" s="6" t="s">
        <v>21</v>
      </c>
      <c r="U2022" s="6">
        <f t="shared" si="239"/>
        <v>18984.312000000002</v>
      </c>
      <c r="V2022" s="6">
        <f t="shared" si="236"/>
        <v>18984.312000000002</v>
      </c>
    </row>
    <row r="2023" spans="1:22" hidden="1" x14ac:dyDescent="0.35">
      <c r="A2023" s="6" t="s">
        <v>2233</v>
      </c>
      <c r="B2023" s="6" t="s">
        <v>2226</v>
      </c>
      <c r="C2023" s="6" t="s">
        <v>2227</v>
      </c>
      <c r="D2023" s="6">
        <f t="shared" si="240"/>
        <v>0.5</v>
      </c>
      <c r="E2023" s="6" t="s">
        <v>23</v>
      </c>
      <c r="F2023" s="6" t="str">
        <f>MID(A2023,19,1)</f>
        <v>C</v>
      </c>
      <c r="G2023" s="6">
        <v>-22.92922305260009</v>
      </c>
      <c r="H2023" s="6">
        <v>-47.129034036386052</v>
      </c>
      <c r="I2023" s="9">
        <v>3372.89</v>
      </c>
      <c r="J2023" s="9">
        <f t="shared" si="241"/>
        <v>6.7457799999999999</v>
      </c>
      <c r="K2023" s="6">
        <v>5.92</v>
      </c>
      <c r="L2023" s="6">
        <v>80</v>
      </c>
      <c r="N2023" s="1">
        <f t="shared" si="238"/>
        <v>0</v>
      </c>
      <c r="O2023" s="6" t="s">
        <v>20</v>
      </c>
      <c r="Q2023" s="6" t="s">
        <v>21</v>
      </c>
      <c r="R2023" s="6" t="s">
        <v>21</v>
      </c>
      <c r="S2023" s="6" t="s">
        <v>21</v>
      </c>
      <c r="T2023" s="6" t="s">
        <v>21</v>
      </c>
      <c r="U2023" s="6">
        <f t="shared" si="239"/>
        <v>2698.3119999999999</v>
      </c>
      <c r="V2023" s="6">
        <f t="shared" si="236"/>
        <v>2698.3119999999999</v>
      </c>
    </row>
    <row r="2024" spans="1:22" hidden="1" x14ac:dyDescent="0.35">
      <c r="A2024" s="6" t="s">
        <v>2234</v>
      </c>
      <c r="B2024" s="6" t="s">
        <v>2226</v>
      </c>
      <c r="C2024" s="6" t="s">
        <v>2227</v>
      </c>
      <c r="D2024" s="6">
        <f t="shared" si="240"/>
        <v>0.5</v>
      </c>
      <c r="E2024" s="6" t="s">
        <v>19</v>
      </c>
      <c r="F2024" s="6" t="str">
        <f>MID(A2024,19,1)</f>
        <v>S</v>
      </c>
      <c r="G2024" s="6">
        <v>-22.916443576016832</v>
      </c>
      <c r="H2024" s="6">
        <v>-47.097182481840036</v>
      </c>
      <c r="I2024" s="9">
        <v>922.25</v>
      </c>
      <c r="K2024" s="6">
        <v>2.72</v>
      </c>
      <c r="L2024" s="6">
        <v>0</v>
      </c>
      <c r="N2024" s="1">
        <f t="shared" si="238"/>
        <v>0</v>
      </c>
      <c r="Q2024" s="6" t="s">
        <v>21</v>
      </c>
      <c r="R2024" s="6" t="s">
        <v>21</v>
      </c>
      <c r="S2024" s="6" t="s">
        <v>21</v>
      </c>
      <c r="T2024" s="6" t="s">
        <v>21</v>
      </c>
      <c r="U2024" s="6">
        <f t="shared" si="239"/>
        <v>0</v>
      </c>
      <c r="V2024" s="6">
        <f t="shared" si="236"/>
        <v>0</v>
      </c>
    </row>
    <row r="2025" spans="1:22" hidden="1" x14ac:dyDescent="0.35">
      <c r="A2025" s="6" t="s">
        <v>2235</v>
      </c>
      <c r="B2025" s="6" t="s">
        <v>2226</v>
      </c>
      <c r="C2025" s="6" t="s">
        <v>2227</v>
      </c>
      <c r="D2025" s="6">
        <f t="shared" si="240"/>
        <v>0.5</v>
      </c>
      <c r="E2025" s="6" t="s">
        <v>19</v>
      </c>
      <c r="F2025" s="6" t="str">
        <f>MID(A2025,19,1)</f>
        <v>S</v>
      </c>
      <c r="G2025" s="6">
        <v>-22.91777106274559</v>
      </c>
      <c r="H2025" s="6">
        <v>-47.0960325778167</v>
      </c>
      <c r="I2025" s="9">
        <v>1702.68</v>
      </c>
      <c r="K2025" s="6">
        <v>3</v>
      </c>
      <c r="L2025" s="6">
        <v>0</v>
      </c>
      <c r="N2025" s="1">
        <f t="shared" si="238"/>
        <v>0</v>
      </c>
      <c r="Q2025" s="6" t="s">
        <v>21</v>
      </c>
      <c r="R2025" s="6" t="s">
        <v>21</v>
      </c>
      <c r="S2025" s="6" t="s">
        <v>21</v>
      </c>
      <c r="T2025" s="6" t="s">
        <v>21</v>
      </c>
      <c r="U2025" s="6">
        <f t="shared" si="239"/>
        <v>0</v>
      </c>
      <c r="V2025" s="6">
        <f t="shared" si="236"/>
        <v>0</v>
      </c>
    </row>
    <row r="2026" spans="1:22" hidden="1" x14ac:dyDescent="0.35">
      <c r="A2026" s="6" t="s">
        <v>2236</v>
      </c>
      <c r="B2026" s="6" t="s">
        <v>2226</v>
      </c>
      <c r="C2026" s="6" t="s">
        <v>2227</v>
      </c>
      <c r="D2026" s="6">
        <f t="shared" si="240"/>
        <v>0.5</v>
      </c>
      <c r="E2026" s="6" t="s">
        <v>19</v>
      </c>
      <c r="F2026" s="6" t="str">
        <f>MID(A2026,19,1)</f>
        <v>S</v>
      </c>
      <c r="G2026" s="6">
        <v>-22.918437505389221</v>
      </c>
      <c r="H2026" s="6">
        <v>-47.095720621852635</v>
      </c>
      <c r="I2026" s="9">
        <v>2240.11</v>
      </c>
      <c r="K2026" s="6">
        <v>3.15</v>
      </c>
      <c r="L2026" s="6">
        <v>0</v>
      </c>
      <c r="N2026" s="1">
        <f t="shared" si="238"/>
        <v>0</v>
      </c>
      <c r="Q2026" s="6" t="s">
        <v>21</v>
      </c>
      <c r="R2026" s="6" t="s">
        <v>21</v>
      </c>
      <c r="S2026" s="6" t="s">
        <v>21</v>
      </c>
      <c r="T2026" s="6" t="s">
        <v>21</v>
      </c>
      <c r="U2026" s="6">
        <f t="shared" si="239"/>
        <v>0</v>
      </c>
      <c r="V2026" s="6">
        <f t="shared" si="236"/>
        <v>0</v>
      </c>
    </row>
    <row r="2027" spans="1:22" hidden="1" x14ac:dyDescent="0.35">
      <c r="A2027" s="6" t="s">
        <v>2237</v>
      </c>
      <c r="B2027" s="6" t="s">
        <v>2226</v>
      </c>
      <c r="C2027" s="6" t="s">
        <v>2227</v>
      </c>
      <c r="D2027" s="6">
        <f t="shared" si="240"/>
        <v>0.5</v>
      </c>
      <c r="E2027" s="6" t="s">
        <v>19</v>
      </c>
      <c r="F2027" s="6" t="str">
        <f>MID(A2027,19,1)</f>
        <v>S</v>
      </c>
      <c r="G2027" s="6">
        <v>-22.920126908308031</v>
      </c>
      <c r="H2027" s="6">
        <v>-47.093860512732967</v>
      </c>
      <c r="I2027" s="9">
        <v>1741.69</v>
      </c>
      <c r="K2027" s="6">
        <v>2.5099999999999998</v>
      </c>
      <c r="L2027" s="6">
        <v>0</v>
      </c>
      <c r="N2027" s="1">
        <f t="shared" si="238"/>
        <v>0</v>
      </c>
      <c r="Q2027" s="6" t="s">
        <v>21</v>
      </c>
      <c r="R2027" s="6" t="s">
        <v>21</v>
      </c>
      <c r="S2027" s="6" t="s">
        <v>21</v>
      </c>
      <c r="T2027" s="6" t="s">
        <v>21</v>
      </c>
      <c r="U2027" s="6">
        <f t="shared" si="239"/>
        <v>0</v>
      </c>
      <c r="V2027" s="6">
        <f t="shared" si="236"/>
        <v>0</v>
      </c>
    </row>
    <row r="2028" spans="1:22" x14ac:dyDescent="0.35">
      <c r="A2028" s="6" t="s">
        <v>2238</v>
      </c>
      <c r="B2028" s="6" t="s">
        <v>2226</v>
      </c>
      <c r="C2028" s="6" t="s">
        <v>2227</v>
      </c>
      <c r="D2028" s="6">
        <f t="shared" si="240"/>
        <v>0.5</v>
      </c>
      <c r="E2028" s="6" t="s">
        <v>19</v>
      </c>
      <c r="F2028" s="6" t="str">
        <f>MID(A2028,19,1)</f>
        <v>N</v>
      </c>
      <c r="G2028" s="6">
        <v>-22.928935512821148</v>
      </c>
      <c r="H2028" s="6">
        <v>-47.128749951499493</v>
      </c>
      <c r="I2028" s="9">
        <v>300.54000000000002</v>
      </c>
      <c r="K2028" s="6">
        <v>7.48</v>
      </c>
      <c r="L2028" s="6">
        <v>50</v>
      </c>
      <c r="N2028" s="1">
        <f t="shared" si="238"/>
        <v>0</v>
      </c>
      <c r="O2028" s="6" t="s">
        <v>20</v>
      </c>
      <c r="Q2028" s="6" t="s">
        <v>21</v>
      </c>
      <c r="R2028" s="6" t="s">
        <v>21</v>
      </c>
      <c r="S2028" s="6" t="s">
        <v>21</v>
      </c>
      <c r="T2028" s="6" t="s">
        <v>21</v>
      </c>
      <c r="U2028" s="6">
        <f t="shared" si="239"/>
        <v>150.27000000000001</v>
      </c>
      <c r="V2028" s="6">
        <f t="shared" ref="V2028:V2091" si="242">(I2028*(L2028/100))</f>
        <v>150.27000000000001</v>
      </c>
    </row>
    <row r="2029" spans="1:22" hidden="1" x14ac:dyDescent="0.35">
      <c r="A2029" s="6" t="s">
        <v>2239</v>
      </c>
      <c r="B2029" s="6" t="s">
        <v>2226</v>
      </c>
      <c r="C2029" s="6" t="s">
        <v>2227</v>
      </c>
      <c r="D2029" s="6">
        <f t="shared" si="240"/>
        <v>0.5</v>
      </c>
      <c r="E2029" s="6" t="s">
        <v>19</v>
      </c>
      <c r="F2029" s="6" t="str">
        <f>MID(A2029,19,1)</f>
        <v>S</v>
      </c>
      <c r="G2029" s="6">
        <v>-22.920792897073021</v>
      </c>
      <c r="H2029" s="6">
        <v>-47.093368003525924</v>
      </c>
      <c r="I2029" s="9">
        <v>514.03</v>
      </c>
      <c r="K2029" s="6">
        <v>2.1800000000000002</v>
      </c>
      <c r="L2029" s="6">
        <v>0</v>
      </c>
      <c r="N2029" s="1">
        <f t="shared" si="238"/>
        <v>0</v>
      </c>
      <c r="Q2029" s="6" t="s">
        <v>21</v>
      </c>
      <c r="R2029" s="6" t="s">
        <v>21</v>
      </c>
      <c r="S2029" s="6" t="s">
        <v>21</v>
      </c>
      <c r="T2029" s="6" t="s">
        <v>21</v>
      </c>
      <c r="U2029" s="6">
        <f t="shared" si="239"/>
        <v>0</v>
      </c>
      <c r="V2029" s="6">
        <f t="shared" si="242"/>
        <v>0</v>
      </c>
    </row>
    <row r="2030" spans="1:22" hidden="1" x14ac:dyDescent="0.35">
      <c r="A2030" s="6" t="s">
        <v>2240</v>
      </c>
      <c r="B2030" s="6" t="s">
        <v>2226</v>
      </c>
      <c r="C2030" s="6" t="s">
        <v>2227</v>
      </c>
      <c r="D2030" s="6">
        <f t="shared" si="240"/>
        <v>0.5</v>
      </c>
      <c r="E2030" s="6" t="s">
        <v>19</v>
      </c>
      <c r="F2030" s="6" t="str">
        <f>MID(A2030,19,1)</f>
        <v>S</v>
      </c>
      <c r="G2030" s="6">
        <v>-22.919649639697049</v>
      </c>
      <c r="H2030" s="6">
        <v>-47.094505219167125</v>
      </c>
      <c r="I2030" s="9">
        <v>169.71</v>
      </c>
      <c r="K2030" s="6">
        <v>1.77</v>
      </c>
      <c r="L2030" s="6">
        <v>0</v>
      </c>
      <c r="N2030" s="1">
        <f t="shared" si="238"/>
        <v>0</v>
      </c>
      <c r="Q2030" s="6" t="s">
        <v>21</v>
      </c>
      <c r="R2030" s="6" t="s">
        <v>21</v>
      </c>
      <c r="S2030" s="6" t="s">
        <v>21</v>
      </c>
      <c r="T2030" s="6" t="s">
        <v>21</v>
      </c>
      <c r="U2030" s="6">
        <f t="shared" si="239"/>
        <v>0</v>
      </c>
      <c r="V2030" s="6">
        <f t="shared" si="242"/>
        <v>0</v>
      </c>
    </row>
    <row r="2031" spans="1:22" hidden="1" x14ac:dyDescent="0.35">
      <c r="A2031" s="6" t="s">
        <v>2241</v>
      </c>
      <c r="B2031" s="6" t="s">
        <v>2226</v>
      </c>
      <c r="C2031" s="6" t="s">
        <v>2227</v>
      </c>
      <c r="D2031" s="6">
        <f t="shared" si="240"/>
        <v>0.5</v>
      </c>
      <c r="E2031" s="6" t="s">
        <v>19</v>
      </c>
      <c r="F2031" s="6" t="str">
        <f>MID(A2031,19,1)</f>
        <v>S</v>
      </c>
      <c r="G2031" s="6">
        <v>-22.921628973289572</v>
      </c>
      <c r="H2031" s="6">
        <v>-47.092183414553965</v>
      </c>
      <c r="I2031" s="9">
        <v>884.68</v>
      </c>
      <c r="K2031" s="6">
        <v>3.51</v>
      </c>
      <c r="L2031" s="6">
        <v>0</v>
      </c>
      <c r="N2031" s="1">
        <f t="shared" si="238"/>
        <v>0</v>
      </c>
      <c r="Q2031" s="6" t="s">
        <v>21</v>
      </c>
      <c r="R2031" s="6" t="s">
        <v>21</v>
      </c>
      <c r="S2031" s="6" t="s">
        <v>21</v>
      </c>
      <c r="T2031" s="6" t="s">
        <v>21</v>
      </c>
      <c r="U2031" s="6">
        <f t="shared" si="239"/>
        <v>0</v>
      </c>
      <c r="V2031" s="6">
        <f t="shared" si="242"/>
        <v>0</v>
      </c>
    </row>
    <row r="2032" spans="1:22" hidden="1" x14ac:dyDescent="0.35">
      <c r="A2032" s="6" t="s">
        <v>2242</v>
      </c>
      <c r="B2032" s="6" t="s">
        <v>2226</v>
      </c>
      <c r="C2032" s="6" t="s">
        <v>2227</v>
      </c>
      <c r="D2032" s="6">
        <f t="shared" si="240"/>
        <v>0.5</v>
      </c>
      <c r="E2032" s="6" t="s">
        <v>19</v>
      </c>
      <c r="F2032" s="6" t="str">
        <f>MID(A2032,19,1)</f>
        <v>S</v>
      </c>
      <c r="G2032" s="6">
        <v>-22.921691824849098</v>
      </c>
      <c r="H2032" s="6">
        <v>-47.092284202643739</v>
      </c>
      <c r="I2032" s="9">
        <v>521.13</v>
      </c>
      <c r="K2032" s="6">
        <v>3.61</v>
      </c>
      <c r="L2032" s="6">
        <v>0</v>
      </c>
      <c r="N2032" s="1">
        <f t="shared" si="238"/>
        <v>0</v>
      </c>
      <c r="Q2032" s="6" t="s">
        <v>21</v>
      </c>
      <c r="R2032" s="6" t="s">
        <v>21</v>
      </c>
      <c r="S2032" s="6" t="s">
        <v>21</v>
      </c>
      <c r="T2032" s="6" t="s">
        <v>21</v>
      </c>
      <c r="U2032" s="6">
        <f t="shared" si="239"/>
        <v>0</v>
      </c>
      <c r="V2032" s="6">
        <f t="shared" si="242"/>
        <v>0</v>
      </c>
    </row>
    <row r="2033" spans="1:22" hidden="1" x14ac:dyDescent="0.35">
      <c r="A2033" s="6" t="s">
        <v>2243</v>
      </c>
      <c r="B2033" s="6" t="s">
        <v>2226</v>
      </c>
      <c r="C2033" s="6" t="s">
        <v>2227</v>
      </c>
      <c r="D2033" s="6">
        <f t="shared" si="240"/>
        <v>0.5</v>
      </c>
      <c r="E2033" s="6" t="s">
        <v>23</v>
      </c>
      <c r="F2033" s="6" t="str">
        <f>MID(A2033,19,1)</f>
        <v>C</v>
      </c>
      <c r="G2033" s="6">
        <v>-22.931248056370009</v>
      </c>
      <c r="H2033" s="6">
        <v>-47.128467003394697</v>
      </c>
      <c r="I2033" s="9">
        <v>5582.3</v>
      </c>
      <c r="J2033" s="9">
        <f>I2033/500</f>
        <v>11.1646</v>
      </c>
      <c r="K2033" s="6">
        <v>3.62</v>
      </c>
      <c r="L2033" s="6">
        <v>80</v>
      </c>
      <c r="N2033" s="1">
        <f t="shared" si="238"/>
        <v>0</v>
      </c>
      <c r="O2033" s="6" t="s">
        <v>20</v>
      </c>
      <c r="Q2033" s="6" t="s">
        <v>21</v>
      </c>
      <c r="R2033" s="6" t="s">
        <v>21</v>
      </c>
      <c r="S2033" s="6" t="s">
        <v>21</v>
      </c>
      <c r="T2033" s="6" t="s">
        <v>21</v>
      </c>
      <c r="U2033" s="6">
        <f t="shared" si="239"/>
        <v>4465.84</v>
      </c>
      <c r="V2033" s="6">
        <f t="shared" si="242"/>
        <v>4465.84</v>
      </c>
    </row>
    <row r="2034" spans="1:22" x14ac:dyDescent="0.35">
      <c r="A2034" s="6" t="s">
        <v>2244</v>
      </c>
      <c r="B2034" s="6" t="s">
        <v>2226</v>
      </c>
      <c r="C2034" s="6" t="s">
        <v>2227</v>
      </c>
      <c r="D2034" s="6">
        <f t="shared" si="240"/>
        <v>0.5</v>
      </c>
      <c r="E2034" s="6" t="s">
        <v>19</v>
      </c>
      <c r="F2034" s="6" t="str">
        <f>MID(A2034,19,1)</f>
        <v>N</v>
      </c>
      <c r="G2034" s="6">
        <v>-22.921420573524209</v>
      </c>
      <c r="H2034" s="6">
        <v>-47.09199749564695</v>
      </c>
      <c r="I2034" s="9">
        <v>1106.98</v>
      </c>
      <c r="K2034" s="6">
        <v>3.92</v>
      </c>
      <c r="L2034" s="6">
        <v>30</v>
      </c>
      <c r="N2034" s="1">
        <f t="shared" si="238"/>
        <v>0</v>
      </c>
      <c r="O2034" s="6" t="s">
        <v>20</v>
      </c>
      <c r="Q2034" s="6" t="s">
        <v>21</v>
      </c>
      <c r="R2034" s="6" t="s">
        <v>21</v>
      </c>
      <c r="S2034" s="6" t="s">
        <v>21</v>
      </c>
      <c r="T2034" s="6" t="s">
        <v>21</v>
      </c>
      <c r="U2034" s="6">
        <f t="shared" si="239"/>
        <v>332.09399999999999</v>
      </c>
      <c r="V2034" s="6">
        <f t="shared" si="242"/>
        <v>332.09399999999999</v>
      </c>
    </row>
    <row r="2035" spans="1:22" x14ac:dyDescent="0.35">
      <c r="A2035" s="6" t="s">
        <v>2245</v>
      </c>
      <c r="B2035" s="6" t="s">
        <v>2226</v>
      </c>
      <c r="C2035" s="6" t="s">
        <v>2227</v>
      </c>
      <c r="D2035" s="6">
        <f t="shared" si="240"/>
        <v>0.5</v>
      </c>
      <c r="E2035" s="6" t="s">
        <v>19</v>
      </c>
      <c r="F2035" s="6" t="str">
        <f>MID(A2035,19,1)</f>
        <v>N</v>
      </c>
      <c r="G2035" s="6">
        <v>-22.921388104275671</v>
      </c>
      <c r="H2035" s="6">
        <v>-47.091846933410501</v>
      </c>
      <c r="I2035" s="9">
        <v>214.42</v>
      </c>
      <c r="K2035" s="6">
        <v>3.46</v>
      </c>
      <c r="L2035" s="6">
        <v>30</v>
      </c>
      <c r="N2035" s="1">
        <f t="shared" si="238"/>
        <v>0</v>
      </c>
      <c r="O2035" s="6" t="s">
        <v>20</v>
      </c>
      <c r="Q2035" s="6" t="s">
        <v>21</v>
      </c>
      <c r="R2035" s="6" t="s">
        <v>21</v>
      </c>
      <c r="S2035" s="6" t="s">
        <v>21</v>
      </c>
      <c r="T2035" s="6" t="s">
        <v>21</v>
      </c>
      <c r="U2035" s="6">
        <f t="shared" si="239"/>
        <v>64.325999999999993</v>
      </c>
      <c r="V2035" s="6">
        <f t="shared" si="242"/>
        <v>64.325999999999993</v>
      </c>
    </row>
    <row r="2036" spans="1:22" x14ac:dyDescent="0.35">
      <c r="A2036" s="6" t="s">
        <v>2246</v>
      </c>
      <c r="B2036" s="6" t="s">
        <v>2226</v>
      </c>
      <c r="C2036" s="6" t="s">
        <v>2227</v>
      </c>
      <c r="D2036" s="6">
        <f t="shared" si="240"/>
        <v>0.5</v>
      </c>
      <c r="E2036" s="6" t="s">
        <v>19</v>
      </c>
      <c r="F2036" s="6" t="str">
        <f>MID(A2036,19,1)</f>
        <v>N</v>
      </c>
      <c r="G2036" s="6">
        <v>-22.919359293070151</v>
      </c>
      <c r="H2036" s="6">
        <v>-47.094042145768782</v>
      </c>
      <c r="I2036" s="9">
        <v>478.94</v>
      </c>
      <c r="K2036" s="6">
        <v>3.26</v>
      </c>
      <c r="L2036" s="6">
        <v>30</v>
      </c>
      <c r="N2036" s="1">
        <f t="shared" si="238"/>
        <v>0</v>
      </c>
      <c r="O2036" s="6" t="s">
        <v>20</v>
      </c>
      <c r="Q2036" s="6" t="s">
        <v>21</v>
      </c>
      <c r="R2036" s="6" t="s">
        <v>21</v>
      </c>
      <c r="S2036" s="6" t="s">
        <v>21</v>
      </c>
      <c r="T2036" s="6" t="s">
        <v>21</v>
      </c>
      <c r="U2036" s="6">
        <f t="shared" si="239"/>
        <v>143.68199999999999</v>
      </c>
      <c r="V2036" s="6">
        <f t="shared" si="242"/>
        <v>143.68199999999999</v>
      </c>
    </row>
    <row r="2037" spans="1:22" x14ac:dyDescent="0.35">
      <c r="A2037" s="6" t="s">
        <v>2247</v>
      </c>
      <c r="B2037" s="6" t="s">
        <v>2226</v>
      </c>
      <c r="C2037" s="6" t="s">
        <v>2227</v>
      </c>
      <c r="D2037" s="6">
        <f t="shared" si="240"/>
        <v>0.5</v>
      </c>
      <c r="E2037" s="6" t="s">
        <v>19</v>
      </c>
      <c r="F2037" s="6" t="str">
        <f>MID(A2037,19,1)</f>
        <v>N</v>
      </c>
      <c r="G2037" s="6">
        <v>-22.93125808658445</v>
      </c>
      <c r="H2037" s="6">
        <v>-47.127665920926823</v>
      </c>
      <c r="I2037" s="9">
        <v>5</v>
      </c>
      <c r="K2037" s="6">
        <v>7.16</v>
      </c>
      <c r="N2037" s="1">
        <f t="shared" si="238"/>
        <v>0</v>
      </c>
      <c r="Q2037" s="6" t="s">
        <v>21</v>
      </c>
      <c r="R2037" s="6" t="s">
        <v>21</v>
      </c>
      <c r="S2037" s="6" t="s">
        <v>21</v>
      </c>
      <c r="T2037" s="6" t="s">
        <v>21</v>
      </c>
      <c r="U2037" s="6">
        <f t="shared" si="239"/>
        <v>0</v>
      </c>
      <c r="V2037" s="6">
        <f t="shared" si="242"/>
        <v>0</v>
      </c>
    </row>
    <row r="2038" spans="1:22" x14ac:dyDescent="0.35">
      <c r="A2038" s="6" t="s">
        <v>2248</v>
      </c>
      <c r="B2038" s="6" t="s">
        <v>2226</v>
      </c>
      <c r="C2038" s="6" t="s">
        <v>2227</v>
      </c>
      <c r="D2038" s="6">
        <f t="shared" si="240"/>
        <v>0.5</v>
      </c>
      <c r="E2038" s="6" t="s">
        <v>19</v>
      </c>
      <c r="F2038" s="6" t="str">
        <f>MID(A2038,19,1)</f>
        <v>N</v>
      </c>
      <c r="G2038" s="6">
        <v>-22.931043002609051</v>
      </c>
      <c r="H2038" s="6">
        <v>-47.128199876957112</v>
      </c>
      <c r="I2038" s="9">
        <v>1044.17</v>
      </c>
      <c r="K2038" s="6">
        <v>4.4800000000000004</v>
      </c>
      <c r="L2038" s="6">
        <v>50</v>
      </c>
      <c r="N2038" s="1">
        <f t="shared" si="238"/>
        <v>0</v>
      </c>
      <c r="O2038" s="6" t="s">
        <v>20</v>
      </c>
      <c r="Q2038" s="6" t="s">
        <v>21</v>
      </c>
      <c r="R2038" s="6" t="s">
        <v>21</v>
      </c>
      <c r="S2038" s="6" t="s">
        <v>21</v>
      </c>
      <c r="T2038" s="6" t="s">
        <v>21</v>
      </c>
      <c r="U2038" s="6">
        <f t="shared" si="239"/>
        <v>522.08500000000004</v>
      </c>
      <c r="V2038" s="6">
        <f t="shared" si="242"/>
        <v>522.08500000000004</v>
      </c>
    </row>
    <row r="2039" spans="1:22" hidden="1" x14ac:dyDescent="0.35">
      <c r="A2039" s="6" t="s">
        <v>2249</v>
      </c>
      <c r="B2039" s="6" t="s">
        <v>2226</v>
      </c>
      <c r="C2039" s="6" t="s">
        <v>2227</v>
      </c>
      <c r="D2039" s="6">
        <f t="shared" si="240"/>
        <v>0.5</v>
      </c>
      <c r="E2039" s="6" t="s">
        <v>19</v>
      </c>
      <c r="F2039" s="6" t="str">
        <f>MID(A2039,19,1)</f>
        <v>S</v>
      </c>
      <c r="G2039" s="6">
        <v>-22.929754444766669</v>
      </c>
      <c r="H2039" s="6">
        <v>-47.129332505319162</v>
      </c>
      <c r="I2039" s="9">
        <v>918.19</v>
      </c>
      <c r="K2039" s="6">
        <v>5.84</v>
      </c>
      <c r="L2039" s="6">
        <v>50</v>
      </c>
      <c r="N2039" s="1">
        <f t="shared" si="238"/>
        <v>0</v>
      </c>
      <c r="O2039" s="6" t="s">
        <v>20</v>
      </c>
      <c r="Q2039" s="6" t="s">
        <v>21</v>
      </c>
      <c r="R2039" s="6" t="s">
        <v>21</v>
      </c>
      <c r="S2039" s="6" t="s">
        <v>21</v>
      </c>
      <c r="T2039" s="6" t="s">
        <v>21</v>
      </c>
      <c r="U2039" s="6">
        <f t="shared" si="239"/>
        <v>459.09500000000003</v>
      </c>
      <c r="V2039" s="6">
        <f t="shared" si="242"/>
        <v>459.09500000000003</v>
      </c>
    </row>
    <row r="2040" spans="1:22" hidden="1" x14ac:dyDescent="0.35">
      <c r="A2040" s="6" t="s">
        <v>2250</v>
      </c>
      <c r="B2040" s="6" t="s">
        <v>2226</v>
      </c>
      <c r="C2040" s="6" t="s">
        <v>2227</v>
      </c>
      <c r="D2040" s="6">
        <f t="shared" si="240"/>
        <v>0.5</v>
      </c>
      <c r="E2040" s="6" t="s">
        <v>19</v>
      </c>
      <c r="F2040" s="6" t="str">
        <f>MID(A2040,19,1)</f>
        <v>S</v>
      </c>
      <c r="G2040" s="6">
        <v>-22.926658088783281</v>
      </c>
      <c r="H2040" s="6">
        <v>-47.13034758272871</v>
      </c>
      <c r="I2040" s="9">
        <v>1995.37</v>
      </c>
      <c r="K2040" s="6">
        <v>7.55</v>
      </c>
      <c r="L2040" s="6">
        <v>50</v>
      </c>
      <c r="N2040" s="1">
        <f t="shared" si="238"/>
        <v>0</v>
      </c>
      <c r="O2040" s="6" t="s">
        <v>20</v>
      </c>
      <c r="Q2040" s="6" t="s">
        <v>21</v>
      </c>
      <c r="R2040" s="6" t="s">
        <v>21</v>
      </c>
      <c r="S2040" s="6" t="s">
        <v>21</v>
      </c>
      <c r="T2040" s="6" t="s">
        <v>21</v>
      </c>
      <c r="U2040" s="6">
        <f t="shared" si="239"/>
        <v>997.68499999999995</v>
      </c>
      <c r="V2040" s="6">
        <f t="shared" si="242"/>
        <v>997.68499999999995</v>
      </c>
    </row>
    <row r="2041" spans="1:22" x14ac:dyDescent="0.35">
      <c r="A2041" s="6" t="s">
        <v>2251</v>
      </c>
      <c r="B2041" s="6" t="s">
        <v>2226</v>
      </c>
      <c r="C2041" s="6" t="s">
        <v>2227</v>
      </c>
      <c r="D2041" s="6">
        <f t="shared" si="240"/>
        <v>0.5</v>
      </c>
      <c r="E2041" s="6" t="s">
        <v>19</v>
      </c>
      <c r="F2041" s="6" t="str">
        <f>MID(A2041,19,1)</f>
        <v>N</v>
      </c>
      <c r="G2041" s="6">
        <v>-22.92641430902917</v>
      </c>
      <c r="H2041" s="6">
        <v>-47.129466768547083</v>
      </c>
      <c r="I2041" s="9">
        <v>2022.02</v>
      </c>
      <c r="K2041" s="6">
        <v>4.3</v>
      </c>
      <c r="L2041" s="6">
        <v>50</v>
      </c>
      <c r="N2041" s="1">
        <f t="shared" si="238"/>
        <v>0</v>
      </c>
      <c r="O2041" s="6" t="s">
        <v>20</v>
      </c>
      <c r="Q2041" s="6" t="s">
        <v>21</v>
      </c>
      <c r="R2041" s="6" t="s">
        <v>21</v>
      </c>
      <c r="S2041" s="6" t="s">
        <v>21</v>
      </c>
      <c r="T2041" s="6" t="s">
        <v>21</v>
      </c>
      <c r="U2041" s="6">
        <f t="shared" si="239"/>
        <v>1011.01</v>
      </c>
      <c r="V2041" s="6">
        <f t="shared" si="242"/>
        <v>1011.01</v>
      </c>
    </row>
    <row r="2042" spans="1:22" x14ac:dyDescent="0.35">
      <c r="A2042" s="6" t="s">
        <v>2252</v>
      </c>
      <c r="B2042" s="6" t="s">
        <v>2226</v>
      </c>
      <c r="C2042" s="6" t="s">
        <v>2227</v>
      </c>
      <c r="D2042" s="6">
        <f t="shared" si="240"/>
        <v>0.5</v>
      </c>
      <c r="E2042" s="6" t="s">
        <v>19</v>
      </c>
      <c r="F2042" s="6" t="str">
        <f>MID(A2042,19,1)</f>
        <v>N</v>
      </c>
      <c r="G2042" s="6">
        <v>-22.917871854350029</v>
      </c>
      <c r="H2042" s="6">
        <v>-47.095065440234656</v>
      </c>
      <c r="I2042" s="9">
        <v>9.14</v>
      </c>
      <c r="K2042" s="6">
        <v>2.64</v>
      </c>
      <c r="N2042" s="1">
        <f t="shared" si="238"/>
        <v>0</v>
      </c>
      <c r="Q2042" s="6" t="s">
        <v>21</v>
      </c>
      <c r="R2042" s="6" t="s">
        <v>21</v>
      </c>
      <c r="S2042" s="6" t="s">
        <v>21</v>
      </c>
      <c r="T2042" s="6" t="s">
        <v>21</v>
      </c>
      <c r="U2042" s="6">
        <f t="shared" si="239"/>
        <v>0</v>
      </c>
      <c r="V2042" s="6">
        <f t="shared" si="242"/>
        <v>0</v>
      </c>
    </row>
    <row r="2043" spans="1:22" x14ac:dyDescent="0.35">
      <c r="A2043" s="6" t="s">
        <v>2253</v>
      </c>
      <c r="B2043" s="6" t="s">
        <v>2226</v>
      </c>
      <c r="C2043" s="6" t="s">
        <v>2227</v>
      </c>
      <c r="D2043" s="6">
        <f t="shared" si="240"/>
        <v>0.5</v>
      </c>
      <c r="E2043" s="6" t="s">
        <v>19</v>
      </c>
      <c r="F2043" s="6" t="str">
        <f>MID(A2043,19,1)</f>
        <v>N</v>
      </c>
      <c r="G2043" s="6">
        <v>-22.916484789106679</v>
      </c>
      <c r="H2043" s="6">
        <v>-47.096763226822489</v>
      </c>
      <c r="I2043" s="9">
        <v>953.96</v>
      </c>
      <c r="K2043" s="6">
        <v>3.3</v>
      </c>
      <c r="L2043" s="6">
        <v>0</v>
      </c>
      <c r="N2043" s="1">
        <f t="shared" si="238"/>
        <v>0</v>
      </c>
      <c r="Q2043" s="6" t="s">
        <v>21</v>
      </c>
      <c r="R2043" s="6" t="s">
        <v>21</v>
      </c>
      <c r="S2043" s="6" t="s">
        <v>21</v>
      </c>
      <c r="T2043" s="6" t="s">
        <v>21</v>
      </c>
      <c r="U2043" s="6">
        <f t="shared" si="239"/>
        <v>0</v>
      </c>
      <c r="V2043" s="6">
        <f t="shared" si="242"/>
        <v>0</v>
      </c>
    </row>
    <row r="2044" spans="1:22" x14ac:dyDescent="0.35">
      <c r="A2044" s="6" t="s">
        <v>2254</v>
      </c>
      <c r="B2044" s="6" t="s">
        <v>2226</v>
      </c>
      <c r="C2044" s="6" t="s">
        <v>2227</v>
      </c>
      <c r="D2044" s="6">
        <f t="shared" si="240"/>
        <v>0.5</v>
      </c>
      <c r="E2044" s="6" t="s">
        <v>19</v>
      </c>
      <c r="F2044" s="6" t="str">
        <f>MID(A2044,19,1)</f>
        <v>N</v>
      </c>
      <c r="G2044" s="6">
        <v>-22.917961605073611</v>
      </c>
      <c r="H2044" s="6">
        <v>-47.095154325813887</v>
      </c>
      <c r="I2044" s="9">
        <v>992.12</v>
      </c>
      <c r="K2044" s="6">
        <v>2.73</v>
      </c>
      <c r="L2044" s="6">
        <v>0</v>
      </c>
      <c r="N2044" s="1">
        <f t="shared" si="238"/>
        <v>0</v>
      </c>
      <c r="Q2044" s="6" t="s">
        <v>21</v>
      </c>
      <c r="R2044" s="6" t="s">
        <v>21</v>
      </c>
      <c r="S2044" s="6" t="s">
        <v>21</v>
      </c>
      <c r="T2044" s="6" t="s">
        <v>21</v>
      </c>
      <c r="U2044" s="6">
        <f t="shared" si="239"/>
        <v>0</v>
      </c>
      <c r="V2044" s="6">
        <f t="shared" si="242"/>
        <v>0</v>
      </c>
    </row>
    <row r="2045" spans="1:22" x14ac:dyDescent="0.35">
      <c r="A2045" s="6" t="s">
        <v>2255</v>
      </c>
      <c r="B2045" s="6" t="s">
        <v>2226</v>
      </c>
      <c r="C2045" s="6" t="s">
        <v>2227</v>
      </c>
      <c r="D2045" s="6">
        <f t="shared" si="240"/>
        <v>0.5</v>
      </c>
      <c r="E2045" s="6" t="s">
        <v>19</v>
      </c>
      <c r="F2045" s="6" t="str">
        <f>MID(A2045,19,1)</f>
        <v>N</v>
      </c>
      <c r="G2045" s="6">
        <v>-22.918189532938079</v>
      </c>
      <c r="H2045" s="6">
        <v>-47.095173618370929</v>
      </c>
      <c r="I2045" s="9">
        <v>139.07</v>
      </c>
      <c r="K2045" s="6">
        <v>1.17</v>
      </c>
      <c r="L2045" s="6">
        <v>0</v>
      </c>
      <c r="N2045" s="1">
        <f t="shared" si="238"/>
        <v>0</v>
      </c>
      <c r="Q2045" s="6" t="s">
        <v>21</v>
      </c>
      <c r="R2045" s="6" t="s">
        <v>21</v>
      </c>
      <c r="S2045" s="6" t="s">
        <v>21</v>
      </c>
      <c r="T2045" s="6" t="s">
        <v>21</v>
      </c>
      <c r="U2045" s="6">
        <f t="shared" si="239"/>
        <v>0</v>
      </c>
      <c r="V2045" s="6">
        <f t="shared" si="242"/>
        <v>0</v>
      </c>
    </row>
    <row r="2046" spans="1:22" x14ac:dyDescent="0.35">
      <c r="A2046" s="6" t="s">
        <v>2256</v>
      </c>
      <c r="B2046" s="6" t="s">
        <v>2226</v>
      </c>
      <c r="C2046" s="6" t="s">
        <v>2227</v>
      </c>
      <c r="D2046" s="6">
        <f t="shared" si="240"/>
        <v>0.5</v>
      </c>
      <c r="E2046" s="6" t="s">
        <v>19</v>
      </c>
      <c r="F2046" s="6" t="str">
        <f>MID(A2046,19,1)</f>
        <v>N</v>
      </c>
      <c r="G2046" s="6">
        <v>-22.918205804046909</v>
      </c>
      <c r="H2046" s="6">
        <v>-47.094857543468912</v>
      </c>
      <c r="I2046" s="9">
        <v>77.790000000000006</v>
      </c>
      <c r="K2046" s="6">
        <v>1.38</v>
      </c>
      <c r="L2046" s="6">
        <v>0</v>
      </c>
      <c r="N2046" s="1">
        <f t="shared" si="238"/>
        <v>0</v>
      </c>
      <c r="Q2046" s="6" t="s">
        <v>21</v>
      </c>
      <c r="R2046" s="6" t="s">
        <v>21</v>
      </c>
      <c r="S2046" s="6" t="s">
        <v>21</v>
      </c>
      <c r="T2046" s="6" t="s">
        <v>21</v>
      </c>
      <c r="U2046" s="6">
        <f t="shared" si="239"/>
        <v>0</v>
      </c>
      <c r="V2046" s="6">
        <f t="shared" si="242"/>
        <v>0</v>
      </c>
    </row>
    <row r="2047" spans="1:22" hidden="1" x14ac:dyDescent="0.35">
      <c r="A2047" s="6" t="s">
        <v>2257</v>
      </c>
      <c r="B2047" s="6" t="s">
        <v>2258</v>
      </c>
      <c r="C2047" s="6" t="s">
        <v>2259</v>
      </c>
      <c r="D2047" s="6">
        <f t="shared" si="240"/>
        <v>0.5</v>
      </c>
      <c r="E2047" s="6" t="s">
        <v>19</v>
      </c>
      <c r="F2047" s="6" t="str">
        <f>MID(A2047,19,1)</f>
        <v>S</v>
      </c>
      <c r="G2047" s="6">
        <v>-22.909308118521771</v>
      </c>
      <c r="H2047" s="6">
        <v>-47.104044251598197</v>
      </c>
      <c r="I2047" s="9">
        <v>4069.8</v>
      </c>
      <c r="K2047" s="6">
        <v>5.69</v>
      </c>
      <c r="L2047" s="6">
        <v>0</v>
      </c>
      <c r="N2047" s="1">
        <f t="shared" si="238"/>
        <v>0</v>
      </c>
      <c r="Q2047" s="6" t="s">
        <v>21</v>
      </c>
      <c r="R2047" s="6" t="s">
        <v>21</v>
      </c>
      <c r="S2047" s="6" t="s">
        <v>21</v>
      </c>
      <c r="T2047" s="6" t="s">
        <v>21</v>
      </c>
      <c r="U2047" s="6">
        <f t="shared" si="239"/>
        <v>0</v>
      </c>
      <c r="V2047" s="6">
        <f t="shared" si="242"/>
        <v>0</v>
      </c>
    </row>
    <row r="2048" spans="1:22" hidden="1" x14ac:dyDescent="0.35">
      <c r="A2048" s="6" t="s">
        <v>2260</v>
      </c>
      <c r="B2048" s="6" t="s">
        <v>2258</v>
      </c>
      <c r="C2048" s="6" t="s">
        <v>2259</v>
      </c>
      <c r="D2048" s="6">
        <f t="shared" si="240"/>
        <v>0.5</v>
      </c>
      <c r="E2048" s="6" t="s">
        <v>23</v>
      </c>
      <c r="F2048" s="6" t="str">
        <f>MID(A2048,19,1)</f>
        <v>C</v>
      </c>
      <c r="G2048" s="6">
        <v>-22.921978015188561</v>
      </c>
      <c r="H2048" s="6">
        <v>-47.133514991417023</v>
      </c>
      <c r="I2048" s="9">
        <v>9451.2900000000009</v>
      </c>
      <c r="J2048" s="9">
        <f t="shared" ref="J2048:J2049" si="243">I2048/500</f>
        <v>18.90258</v>
      </c>
      <c r="K2048" s="6">
        <v>4.7300000000000004</v>
      </c>
      <c r="L2048" s="6">
        <v>80</v>
      </c>
      <c r="N2048" s="1">
        <f t="shared" si="238"/>
        <v>0</v>
      </c>
      <c r="O2048" s="6" t="s">
        <v>20</v>
      </c>
      <c r="Q2048" s="6" t="s">
        <v>21</v>
      </c>
      <c r="R2048" s="6" t="s">
        <v>21</v>
      </c>
      <c r="S2048" s="6" t="s">
        <v>21</v>
      </c>
      <c r="T2048" s="6" t="s">
        <v>21</v>
      </c>
      <c r="U2048" s="6">
        <f t="shared" si="239"/>
        <v>7561.0320000000011</v>
      </c>
      <c r="V2048" s="6">
        <f t="shared" si="242"/>
        <v>7561.0320000000011</v>
      </c>
    </row>
    <row r="2049" spans="1:22" hidden="1" x14ac:dyDescent="0.35">
      <c r="A2049" s="6" t="s">
        <v>2261</v>
      </c>
      <c r="B2049" s="6" t="s">
        <v>2258</v>
      </c>
      <c r="C2049" s="6" t="s">
        <v>2259</v>
      </c>
      <c r="D2049" s="6">
        <f t="shared" si="240"/>
        <v>0.5</v>
      </c>
      <c r="E2049" s="6" t="s">
        <v>23</v>
      </c>
      <c r="F2049" s="6" t="str">
        <f>MID(A2049,19,1)</f>
        <v>C</v>
      </c>
      <c r="G2049" s="6">
        <v>-22.92331102351028</v>
      </c>
      <c r="H2049" s="6">
        <v>-47.13167376319003</v>
      </c>
      <c r="I2049" s="9">
        <v>23020.33</v>
      </c>
      <c r="J2049" s="9">
        <f t="shared" si="243"/>
        <v>46.040660000000003</v>
      </c>
      <c r="K2049" s="6">
        <v>3.2</v>
      </c>
      <c r="L2049" s="6">
        <v>80</v>
      </c>
      <c r="N2049" s="1">
        <f t="shared" si="238"/>
        <v>0</v>
      </c>
      <c r="O2049" s="6" t="s">
        <v>20</v>
      </c>
      <c r="Q2049" s="6" t="s">
        <v>21</v>
      </c>
      <c r="R2049" s="6" t="s">
        <v>21</v>
      </c>
      <c r="S2049" s="6" t="s">
        <v>21</v>
      </c>
      <c r="T2049" s="6" t="s">
        <v>21</v>
      </c>
      <c r="U2049" s="6">
        <f t="shared" si="239"/>
        <v>18416.264000000003</v>
      </c>
      <c r="V2049" s="6">
        <f t="shared" si="242"/>
        <v>18416.264000000003</v>
      </c>
    </row>
    <row r="2050" spans="1:22" hidden="1" x14ac:dyDescent="0.35">
      <c r="A2050" s="6" t="s">
        <v>2262</v>
      </c>
      <c r="B2050" s="6" t="s">
        <v>2258</v>
      </c>
      <c r="C2050" s="6" t="s">
        <v>2259</v>
      </c>
      <c r="D2050" s="6">
        <f t="shared" si="240"/>
        <v>0.5</v>
      </c>
      <c r="E2050" s="6" t="s">
        <v>19</v>
      </c>
      <c r="F2050" s="6" t="str">
        <f>MID(A2050,19,1)</f>
        <v>S</v>
      </c>
      <c r="G2050" s="6">
        <v>-22.910942993486358</v>
      </c>
      <c r="H2050" s="6">
        <v>-47.10199573798706</v>
      </c>
      <c r="I2050" s="9">
        <v>1758.24</v>
      </c>
      <c r="K2050" s="6">
        <v>5.75</v>
      </c>
      <c r="L2050" s="6">
        <v>0</v>
      </c>
      <c r="N2050" s="1">
        <f t="shared" ref="N2050:N2113" si="244">IF(OR(R2050="Sim",S2050="Sim",T2050="Sim"),(L2050/100)*I2050,0)</f>
        <v>0</v>
      </c>
      <c r="Q2050" s="6" t="s">
        <v>21</v>
      </c>
      <c r="R2050" s="6" t="s">
        <v>21</v>
      </c>
      <c r="S2050" s="6" t="s">
        <v>21</v>
      </c>
      <c r="T2050" s="6" t="s">
        <v>21</v>
      </c>
      <c r="U2050" s="6">
        <f t="shared" si="239"/>
        <v>0</v>
      </c>
      <c r="V2050" s="6">
        <f t="shared" si="242"/>
        <v>0</v>
      </c>
    </row>
    <row r="2051" spans="1:22" hidden="1" x14ac:dyDescent="0.35">
      <c r="A2051" s="6" t="s">
        <v>2263</v>
      </c>
      <c r="B2051" s="6" t="s">
        <v>2258</v>
      </c>
      <c r="C2051" s="6" t="s">
        <v>2259</v>
      </c>
      <c r="D2051" s="6">
        <f t="shared" si="240"/>
        <v>0.5</v>
      </c>
      <c r="E2051" s="6" t="s">
        <v>19</v>
      </c>
      <c r="F2051" s="6" t="str">
        <f>MID(A2051,19,1)</f>
        <v>S</v>
      </c>
      <c r="G2051" s="6">
        <v>-22.91523222005868</v>
      </c>
      <c r="H2051" s="6">
        <v>-47.098226007512324</v>
      </c>
      <c r="I2051" s="9">
        <v>1346.41</v>
      </c>
      <c r="K2051" s="6">
        <v>4.33</v>
      </c>
      <c r="L2051" s="6">
        <v>0</v>
      </c>
      <c r="N2051" s="1">
        <f t="shared" si="244"/>
        <v>0</v>
      </c>
      <c r="Q2051" s="6" t="s">
        <v>21</v>
      </c>
      <c r="R2051" s="6" t="s">
        <v>21</v>
      </c>
      <c r="S2051" s="6" t="s">
        <v>21</v>
      </c>
      <c r="T2051" s="6" t="s">
        <v>21</v>
      </c>
      <c r="U2051" s="6">
        <f t="shared" ref="U2051:U2114" si="245">IF(N2051=0,(I2051*(L2051/100)),0)</f>
        <v>0</v>
      </c>
      <c r="V2051" s="6">
        <f t="shared" si="242"/>
        <v>0</v>
      </c>
    </row>
    <row r="2052" spans="1:22" x14ac:dyDescent="0.35">
      <c r="A2052" s="6" t="s">
        <v>2264</v>
      </c>
      <c r="B2052" s="6" t="s">
        <v>2258</v>
      </c>
      <c r="C2052" s="6" t="s">
        <v>2259</v>
      </c>
      <c r="D2052" s="6">
        <f t="shared" si="240"/>
        <v>0.5</v>
      </c>
      <c r="E2052" s="6" t="s">
        <v>19</v>
      </c>
      <c r="F2052" s="6" t="str">
        <f>MID(A2052,19,1)</f>
        <v>N</v>
      </c>
      <c r="G2052" s="6">
        <v>-22.91075217027813</v>
      </c>
      <c r="H2052" s="6">
        <v>-47.101802923378067</v>
      </c>
      <c r="I2052" s="9">
        <v>1757.72</v>
      </c>
      <c r="K2052" s="6">
        <v>4.49</v>
      </c>
      <c r="L2052" s="6">
        <v>40</v>
      </c>
      <c r="N2052" s="1">
        <f t="shared" si="244"/>
        <v>0</v>
      </c>
      <c r="O2052" s="6" t="s">
        <v>20</v>
      </c>
      <c r="Q2052" s="6" t="s">
        <v>21</v>
      </c>
      <c r="R2052" s="6" t="s">
        <v>21</v>
      </c>
      <c r="S2052" s="6" t="s">
        <v>21</v>
      </c>
      <c r="T2052" s="6" t="s">
        <v>21</v>
      </c>
      <c r="U2052" s="6">
        <f t="shared" si="245"/>
        <v>703.08800000000008</v>
      </c>
      <c r="V2052" s="6">
        <f t="shared" si="242"/>
        <v>703.08800000000008</v>
      </c>
    </row>
    <row r="2053" spans="1:22" x14ac:dyDescent="0.35">
      <c r="A2053" s="6" t="s">
        <v>2265</v>
      </c>
      <c r="B2053" s="6" t="s">
        <v>2258</v>
      </c>
      <c r="C2053" s="6" t="s">
        <v>2259</v>
      </c>
      <c r="D2053" s="6">
        <f t="shared" si="240"/>
        <v>0.5</v>
      </c>
      <c r="E2053" s="6" t="s">
        <v>19</v>
      </c>
      <c r="F2053" s="6" t="str">
        <f>MID(A2053,19,1)</f>
        <v>N</v>
      </c>
      <c r="G2053" s="6">
        <v>-22.920661052512859</v>
      </c>
      <c r="H2053" s="6">
        <v>-47.136546215751622</v>
      </c>
      <c r="I2053" s="9">
        <v>2101.6</v>
      </c>
      <c r="K2053" s="6">
        <v>5.17</v>
      </c>
      <c r="L2053" s="6">
        <v>50</v>
      </c>
      <c r="N2053" s="1">
        <f t="shared" si="244"/>
        <v>0</v>
      </c>
      <c r="O2053" s="6" t="s">
        <v>20</v>
      </c>
      <c r="Q2053" s="6" t="s">
        <v>21</v>
      </c>
      <c r="R2053" s="6" t="s">
        <v>21</v>
      </c>
      <c r="S2053" s="6" t="s">
        <v>21</v>
      </c>
      <c r="T2053" s="6" t="s">
        <v>21</v>
      </c>
      <c r="U2053" s="6">
        <f t="shared" si="245"/>
        <v>1050.8</v>
      </c>
      <c r="V2053" s="6">
        <f t="shared" si="242"/>
        <v>1050.8</v>
      </c>
    </row>
    <row r="2054" spans="1:22" hidden="1" x14ac:dyDescent="0.35">
      <c r="A2054" s="6" t="s">
        <v>2266</v>
      </c>
      <c r="B2054" s="6" t="s">
        <v>2258</v>
      </c>
      <c r="C2054" s="6" t="s">
        <v>2259</v>
      </c>
      <c r="D2054" s="6">
        <f t="shared" si="240"/>
        <v>0.5</v>
      </c>
      <c r="E2054" s="6" t="s">
        <v>23</v>
      </c>
      <c r="F2054" s="6" t="str">
        <f>MID(A2054,19,1)</f>
        <v>C</v>
      </c>
      <c r="G2054" s="6">
        <v>-22.908868411369738</v>
      </c>
      <c r="H2054" s="6">
        <v>-47.10381363027512</v>
      </c>
      <c r="I2054" s="9">
        <v>494.37</v>
      </c>
      <c r="J2054" s="9">
        <f>I2054/500</f>
        <v>0.98874000000000006</v>
      </c>
      <c r="K2054" s="6">
        <v>5.7</v>
      </c>
      <c r="L2054" s="6">
        <v>0</v>
      </c>
      <c r="N2054" s="1">
        <f t="shared" si="244"/>
        <v>0</v>
      </c>
      <c r="Q2054" s="6" t="s">
        <v>21</v>
      </c>
      <c r="R2054" s="6" t="s">
        <v>21</v>
      </c>
      <c r="S2054" s="6" t="s">
        <v>21</v>
      </c>
      <c r="T2054" s="6" t="s">
        <v>21</v>
      </c>
      <c r="U2054" s="6">
        <f t="shared" si="245"/>
        <v>0</v>
      </c>
      <c r="V2054" s="6">
        <f t="shared" si="242"/>
        <v>0</v>
      </c>
    </row>
    <row r="2055" spans="1:22" hidden="1" x14ac:dyDescent="0.35">
      <c r="A2055" s="6" t="s">
        <v>2267</v>
      </c>
      <c r="B2055" s="6" t="s">
        <v>2258</v>
      </c>
      <c r="C2055" s="6" t="s">
        <v>2259</v>
      </c>
      <c r="D2055" s="6">
        <f t="shared" si="240"/>
        <v>0.5</v>
      </c>
      <c r="E2055" s="6" t="s">
        <v>19</v>
      </c>
      <c r="F2055" s="6" t="str">
        <f>MID(A2055,19,1)</f>
        <v>S</v>
      </c>
      <c r="G2055" s="6">
        <v>-22.91377304166754</v>
      </c>
      <c r="H2055" s="6">
        <v>-47.099507691165208</v>
      </c>
      <c r="I2055" s="9">
        <v>487.34</v>
      </c>
      <c r="K2055" s="6">
        <v>4.7</v>
      </c>
      <c r="L2055" s="6">
        <v>0</v>
      </c>
      <c r="N2055" s="1">
        <f t="shared" si="244"/>
        <v>0</v>
      </c>
      <c r="Q2055" s="6" t="s">
        <v>21</v>
      </c>
      <c r="R2055" s="6" t="s">
        <v>21</v>
      </c>
      <c r="S2055" s="6" t="s">
        <v>21</v>
      </c>
      <c r="T2055" s="6" t="s">
        <v>21</v>
      </c>
      <c r="U2055" s="6">
        <f t="shared" si="245"/>
        <v>0</v>
      </c>
      <c r="V2055" s="6">
        <f t="shared" si="242"/>
        <v>0</v>
      </c>
    </row>
    <row r="2056" spans="1:22" hidden="1" x14ac:dyDescent="0.35">
      <c r="A2056" s="6" t="s">
        <v>2268</v>
      </c>
      <c r="B2056" s="6" t="s">
        <v>2258</v>
      </c>
      <c r="C2056" s="6" t="s">
        <v>2259</v>
      </c>
      <c r="D2056" s="6">
        <f t="shared" si="240"/>
        <v>0.5</v>
      </c>
      <c r="E2056" s="6" t="s">
        <v>19</v>
      </c>
      <c r="F2056" s="6" t="str">
        <f>MID(A2056,19,1)</f>
        <v>S</v>
      </c>
      <c r="G2056" s="6">
        <v>-22.923256921498311</v>
      </c>
      <c r="H2056" s="6">
        <v>-47.132716837316018</v>
      </c>
      <c r="I2056" s="9">
        <v>1638.15</v>
      </c>
      <c r="K2056" s="6">
        <v>6.18</v>
      </c>
      <c r="L2056" s="6">
        <v>50</v>
      </c>
      <c r="N2056" s="1">
        <f t="shared" si="244"/>
        <v>0</v>
      </c>
      <c r="O2056" s="6" t="s">
        <v>20</v>
      </c>
      <c r="Q2056" s="6" t="s">
        <v>21</v>
      </c>
      <c r="R2056" s="6" t="s">
        <v>21</v>
      </c>
      <c r="S2056" s="6" t="s">
        <v>21</v>
      </c>
      <c r="T2056" s="6" t="s">
        <v>21</v>
      </c>
      <c r="U2056" s="6">
        <f t="shared" si="245"/>
        <v>819.07500000000005</v>
      </c>
      <c r="V2056" s="6">
        <f t="shared" si="242"/>
        <v>819.07500000000005</v>
      </c>
    </row>
    <row r="2057" spans="1:22" hidden="1" x14ac:dyDescent="0.35">
      <c r="A2057" s="6" t="s">
        <v>2269</v>
      </c>
      <c r="B2057" s="6" t="s">
        <v>2258</v>
      </c>
      <c r="C2057" s="6" t="s">
        <v>2259</v>
      </c>
      <c r="D2057" s="6">
        <f t="shared" si="240"/>
        <v>0.5</v>
      </c>
      <c r="E2057" s="6" t="s">
        <v>19</v>
      </c>
      <c r="F2057" s="6" t="str">
        <f>MID(A2057,19,1)</f>
        <v>S</v>
      </c>
      <c r="G2057" s="6">
        <v>-22.912244477004158</v>
      </c>
      <c r="H2057" s="6">
        <v>-47.101070590248739</v>
      </c>
      <c r="I2057" s="9">
        <v>91.62</v>
      </c>
      <c r="K2057" s="6">
        <v>3.82</v>
      </c>
      <c r="L2057" s="6">
        <v>0</v>
      </c>
      <c r="N2057" s="1">
        <f t="shared" si="244"/>
        <v>0</v>
      </c>
      <c r="Q2057" s="6" t="s">
        <v>21</v>
      </c>
      <c r="R2057" s="6" t="s">
        <v>21</v>
      </c>
      <c r="S2057" s="6" t="s">
        <v>21</v>
      </c>
      <c r="T2057" s="6" t="s">
        <v>21</v>
      </c>
      <c r="U2057" s="6">
        <f t="shared" si="245"/>
        <v>0</v>
      </c>
      <c r="V2057" s="6">
        <f t="shared" si="242"/>
        <v>0</v>
      </c>
    </row>
    <row r="2058" spans="1:22" x14ac:dyDescent="0.35">
      <c r="A2058" s="6" t="s">
        <v>2270</v>
      </c>
      <c r="B2058" s="6" t="s">
        <v>2258</v>
      </c>
      <c r="C2058" s="6" t="s">
        <v>2259</v>
      </c>
      <c r="D2058" s="6">
        <f t="shared" si="240"/>
        <v>0.5</v>
      </c>
      <c r="E2058" s="6" t="s">
        <v>19</v>
      </c>
      <c r="F2058" s="6" t="str">
        <f>MID(A2058,19,1)</f>
        <v>N</v>
      </c>
      <c r="G2058" s="6">
        <v>-22.921138108691292</v>
      </c>
      <c r="H2058" s="6">
        <v>-47.133846240337043</v>
      </c>
      <c r="I2058" s="9">
        <v>197.35</v>
      </c>
      <c r="K2058" s="6">
        <v>5.81</v>
      </c>
      <c r="L2058" s="6">
        <v>50</v>
      </c>
      <c r="N2058" s="1">
        <f t="shared" si="244"/>
        <v>0</v>
      </c>
      <c r="O2058" s="6" t="s">
        <v>20</v>
      </c>
      <c r="Q2058" s="6" t="s">
        <v>21</v>
      </c>
      <c r="R2058" s="6" t="s">
        <v>21</v>
      </c>
      <c r="S2058" s="6" t="s">
        <v>21</v>
      </c>
      <c r="T2058" s="6" t="s">
        <v>21</v>
      </c>
      <c r="U2058" s="6">
        <f t="shared" si="245"/>
        <v>98.674999999999997</v>
      </c>
      <c r="V2058" s="6">
        <f t="shared" si="242"/>
        <v>98.674999999999997</v>
      </c>
    </row>
    <row r="2059" spans="1:22" x14ac:dyDescent="0.35">
      <c r="A2059" s="6" t="s">
        <v>2271</v>
      </c>
      <c r="B2059" s="6" t="s">
        <v>2258</v>
      </c>
      <c r="C2059" s="6" t="s">
        <v>2259</v>
      </c>
      <c r="D2059" s="6">
        <f t="shared" si="240"/>
        <v>0.5</v>
      </c>
      <c r="E2059" s="6" t="s">
        <v>19</v>
      </c>
      <c r="F2059" s="6" t="str">
        <f>MID(A2059,19,1)</f>
        <v>N</v>
      </c>
      <c r="G2059" s="6">
        <v>-22.915032532733399</v>
      </c>
      <c r="H2059" s="6">
        <v>-47.098040073730203</v>
      </c>
      <c r="I2059" s="9">
        <v>1230.6400000000001</v>
      </c>
      <c r="K2059" s="6">
        <v>4.57</v>
      </c>
      <c r="L2059" s="6">
        <v>0</v>
      </c>
      <c r="N2059" s="1">
        <f t="shared" si="244"/>
        <v>0</v>
      </c>
      <c r="Q2059" s="6" t="s">
        <v>21</v>
      </c>
      <c r="R2059" s="6" t="s">
        <v>21</v>
      </c>
      <c r="S2059" s="6" t="s">
        <v>21</v>
      </c>
      <c r="T2059" s="6" t="s">
        <v>21</v>
      </c>
      <c r="U2059" s="6">
        <f t="shared" si="245"/>
        <v>0</v>
      </c>
      <c r="V2059" s="6">
        <f t="shared" si="242"/>
        <v>0</v>
      </c>
    </row>
    <row r="2060" spans="1:22" hidden="1" x14ac:dyDescent="0.35">
      <c r="A2060" s="6" t="s">
        <v>2272</v>
      </c>
      <c r="B2060" s="6" t="s">
        <v>2258</v>
      </c>
      <c r="C2060" s="6" t="s">
        <v>2259</v>
      </c>
      <c r="D2060" s="6">
        <f t="shared" si="240"/>
        <v>0.5</v>
      </c>
      <c r="E2060" s="6" t="s">
        <v>23</v>
      </c>
      <c r="F2060" s="6" t="str">
        <f>MID(A2060,19,1)</f>
        <v>C</v>
      </c>
      <c r="G2060" s="6">
        <v>-22.921084405382921</v>
      </c>
      <c r="H2060" s="6">
        <v>-47.135904666746427</v>
      </c>
      <c r="I2060" s="9">
        <v>18509.419999999998</v>
      </c>
      <c r="J2060" s="9">
        <f>I2060/500</f>
        <v>37.018839999999997</v>
      </c>
      <c r="K2060" s="6">
        <v>6.74</v>
      </c>
      <c r="L2060" s="6">
        <v>80</v>
      </c>
      <c r="N2060" s="1">
        <f t="shared" si="244"/>
        <v>0</v>
      </c>
      <c r="O2060" s="6" t="s">
        <v>20</v>
      </c>
      <c r="Q2060" s="6" t="s">
        <v>21</v>
      </c>
      <c r="R2060" s="6" t="s">
        <v>21</v>
      </c>
      <c r="S2060" s="6" t="s">
        <v>21</v>
      </c>
      <c r="T2060" s="6" t="s">
        <v>21</v>
      </c>
      <c r="U2060" s="6">
        <f t="shared" si="245"/>
        <v>14807.536</v>
      </c>
      <c r="V2060" s="6">
        <f t="shared" si="242"/>
        <v>14807.536</v>
      </c>
    </row>
    <row r="2061" spans="1:22" x14ac:dyDescent="0.35">
      <c r="A2061" s="6" t="s">
        <v>2273</v>
      </c>
      <c r="B2061" s="6" t="s">
        <v>2258</v>
      </c>
      <c r="C2061" s="6" t="s">
        <v>2259</v>
      </c>
      <c r="D2061" s="6">
        <f t="shared" si="240"/>
        <v>0.5</v>
      </c>
      <c r="E2061" s="6" t="s">
        <v>19</v>
      </c>
      <c r="F2061" s="6" t="str">
        <f>MID(A2061,19,1)</f>
        <v>N</v>
      </c>
      <c r="G2061" s="6">
        <v>-22.923874530166891</v>
      </c>
      <c r="H2061" s="6">
        <v>-47.130476848509304</v>
      </c>
      <c r="I2061" s="9">
        <v>434.44</v>
      </c>
      <c r="K2061" s="6">
        <v>3.77</v>
      </c>
      <c r="L2061" s="6">
        <v>50</v>
      </c>
      <c r="N2061" s="1">
        <f t="shared" si="244"/>
        <v>0</v>
      </c>
      <c r="O2061" s="6" t="s">
        <v>20</v>
      </c>
      <c r="Q2061" s="6" t="s">
        <v>21</v>
      </c>
      <c r="R2061" s="6" t="s">
        <v>21</v>
      </c>
      <c r="S2061" s="6" t="s">
        <v>21</v>
      </c>
      <c r="T2061" s="6" t="s">
        <v>21</v>
      </c>
      <c r="U2061" s="6">
        <f t="shared" si="245"/>
        <v>217.22</v>
      </c>
      <c r="V2061" s="6">
        <f t="shared" si="242"/>
        <v>217.22</v>
      </c>
    </row>
    <row r="2062" spans="1:22" hidden="1" x14ac:dyDescent="0.35">
      <c r="A2062" s="6" t="s">
        <v>2274</v>
      </c>
      <c r="B2062" s="6" t="s">
        <v>2258</v>
      </c>
      <c r="C2062" s="6" t="s">
        <v>2259</v>
      </c>
      <c r="D2062" s="6">
        <f t="shared" ref="D2062:D2125" si="246">C2062-B2062</f>
        <v>0.5</v>
      </c>
      <c r="E2062" s="6" t="s">
        <v>19</v>
      </c>
      <c r="F2062" s="6" t="str">
        <f>MID(A2062,19,1)</f>
        <v>S</v>
      </c>
      <c r="G2062" s="6">
        <v>-22.911589646084138</v>
      </c>
      <c r="H2062" s="6">
        <v>-47.101635670531529</v>
      </c>
      <c r="I2062" s="9">
        <v>462.28</v>
      </c>
      <c r="K2062" s="6">
        <v>4.33</v>
      </c>
      <c r="L2062" s="6">
        <v>0</v>
      </c>
      <c r="N2062" s="1">
        <f t="shared" si="244"/>
        <v>0</v>
      </c>
      <c r="Q2062" s="6" t="s">
        <v>21</v>
      </c>
      <c r="R2062" s="6" t="s">
        <v>21</v>
      </c>
      <c r="S2062" s="6" t="s">
        <v>21</v>
      </c>
      <c r="T2062" s="6" t="s">
        <v>21</v>
      </c>
      <c r="U2062" s="6">
        <f t="shared" si="245"/>
        <v>0</v>
      </c>
      <c r="V2062" s="6">
        <f t="shared" si="242"/>
        <v>0</v>
      </c>
    </row>
    <row r="2063" spans="1:22" x14ac:dyDescent="0.35">
      <c r="A2063" s="6" t="s">
        <v>2275</v>
      </c>
      <c r="B2063" s="6" t="s">
        <v>2258</v>
      </c>
      <c r="C2063" s="6" t="s">
        <v>2259</v>
      </c>
      <c r="D2063" s="6">
        <f t="shared" si="246"/>
        <v>0.5</v>
      </c>
      <c r="E2063" s="6" t="s">
        <v>19</v>
      </c>
      <c r="F2063" s="6" t="str">
        <f>MID(A2063,19,1)</f>
        <v>N</v>
      </c>
      <c r="G2063" s="6">
        <v>-22.908807595007541</v>
      </c>
      <c r="H2063" s="6">
        <v>-47.103337234874118</v>
      </c>
      <c r="I2063" s="9">
        <v>684.92</v>
      </c>
      <c r="K2063" s="6">
        <v>5.33</v>
      </c>
      <c r="L2063" s="6">
        <v>40</v>
      </c>
      <c r="N2063" s="1">
        <f t="shared" si="244"/>
        <v>0</v>
      </c>
      <c r="O2063" s="6" t="s">
        <v>20</v>
      </c>
      <c r="Q2063" s="6" t="s">
        <v>21</v>
      </c>
      <c r="R2063" s="6" t="s">
        <v>21</v>
      </c>
      <c r="S2063" s="6" t="s">
        <v>21</v>
      </c>
      <c r="T2063" s="6" t="s">
        <v>21</v>
      </c>
      <c r="U2063" s="6">
        <f t="shared" si="245"/>
        <v>273.96800000000002</v>
      </c>
      <c r="V2063" s="6">
        <f t="shared" si="242"/>
        <v>273.96800000000002</v>
      </c>
    </row>
    <row r="2064" spans="1:22" hidden="1" x14ac:dyDescent="0.35">
      <c r="A2064" s="6" t="s">
        <v>2276</v>
      </c>
      <c r="B2064" s="6" t="s">
        <v>2258</v>
      </c>
      <c r="C2064" s="6" t="s">
        <v>2259</v>
      </c>
      <c r="D2064" s="6">
        <f t="shared" si="246"/>
        <v>0.5</v>
      </c>
      <c r="E2064" s="6" t="s">
        <v>19</v>
      </c>
      <c r="F2064" s="6" t="str">
        <f>MID(A2064,19,1)</f>
        <v>S</v>
      </c>
      <c r="G2064" s="6">
        <v>-22.91059229978314</v>
      </c>
      <c r="H2064" s="6">
        <v>-47.102592554527739</v>
      </c>
      <c r="I2064" s="9">
        <v>242.06</v>
      </c>
      <c r="K2064" s="6">
        <v>7.75</v>
      </c>
      <c r="L2064" s="6">
        <v>0</v>
      </c>
      <c r="N2064" s="1">
        <f t="shared" si="244"/>
        <v>0</v>
      </c>
      <c r="Q2064" s="6" t="s">
        <v>21</v>
      </c>
      <c r="R2064" s="6" t="s">
        <v>21</v>
      </c>
      <c r="S2064" s="6" t="s">
        <v>21</v>
      </c>
      <c r="T2064" s="6" t="s">
        <v>21</v>
      </c>
      <c r="U2064" s="6">
        <f t="shared" si="245"/>
        <v>0</v>
      </c>
      <c r="V2064" s="6">
        <f t="shared" si="242"/>
        <v>0</v>
      </c>
    </row>
    <row r="2065" spans="1:22" hidden="1" x14ac:dyDescent="0.35">
      <c r="A2065" s="6" t="s">
        <v>2277</v>
      </c>
      <c r="B2065" s="6" t="s">
        <v>2258</v>
      </c>
      <c r="C2065" s="6" t="s">
        <v>2259</v>
      </c>
      <c r="D2065" s="6">
        <f t="shared" si="246"/>
        <v>0.5</v>
      </c>
      <c r="E2065" s="6" t="s">
        <v>19</v>
      </c>
      <c r="F2065" s="6" t="str">
        <f>MID(A2065,19,1)</f>
        <v>S</v>
      </c>
      <c r="G2065" s="6">
        <v>-22.921363882841309</v>
      </c>
      <c r="H2065" s="6">
        <v>-47.136561064396759</v>
      </c>
      <c r="I2065" s="9">
        <v>2043.91</v>
      </c>
      <c r="K2065" s="6">
        <v>8.44</v>
      </c>
      <c r="L2065" s="6">
        <v>50</v>
      </c>
      <c r="N2065" s="1">
        <f t="shared" si="244"/>
        <v>0</v>
      </c>
      <c r="O2065" s="6" t="s">
        <v>20</v>
      </c>
      <c r="Q2065" s="6" t="s">
        <v>21</v>
      </c>
      <c r="R2065" s="6" t="s">
        <v>21</v>
      </c>
      <c r="S2065" s="6" t="s">
        <v>21</v>
      </c>
      <c r="T2065" s="6" t="s">
        <v>21</v>
      </c>
      <c r="U2065" s="6">
        <f t="shared" si="245"/>
        <v>1021.955</v>
      </c>
      <c r="V2065" s="6">
        <f t="shared" si="242"/>
        <v>1021.955</v>
      </c>
    </row>
    <row r="2066" spans="1:22" x14ac:dyDescent="0.35">
      <c r="A2066" s="6" t="s">
        <v>2278</v>
      </c>
      <c r="B2066" s="6" t="s">
        <v>2258</v>
      </c>
      <c r="C2066" s="6" t="s">
        <v>2259</v>
      </c>
      <c r="D2066" s="6">
        <f t="shared" si="246"/>
        <v>0.5</v>
      </c>
      <c r="E2066" s="6" t="s">
        <v>19</v>
      </c>
      <c r="F2066" s="6" t="str">
        <f>MID(A2066,19,1)</f>
        <v>N</v>
      </c>
      <c r="G2066" s="6">
        <v>-22.912330946961941</v>
      </c>
      <c r="H2066" s="6">
        <v>-47.100412146392657</v>
      </c>
      <c r="I2066" s="9">
        <v>894.92</v>
      </c>
      <c r="K2066" s="6">
        <v>4.17</v>
      </c>
      <c r="L2066" s="6">
        <v>0</v>
      </c>
      <c r="N2066" s="1">
        <f t="shared" si="244"/>
        <v>0</v>
      </c>
      <c r="Q2066" s="6" t="s">
        <v>21</v>
      </c>
      <c r="R2066" s="6" t="s">
        <v>21</v>
      </c>
      <c r="S2066" s="6" t="s">
        <v>21</v>
      </c>
      <c r="T2066" s="6" t="s">
        <v>21</v>
      </c>
      <c r="U2066" s="6">
        <f t="shared" si="245"/>
        <v>0</v>
      </c>
      <c r="V2066" s="6">
        <f t="shared" si="242"/>
        <v>0</v>
      </c>
    </row>
    <row r="2067" spans="1:22" hidden="1" x14ac:dyDescent="0.35">
      <c r="A2067" s="6" t="s">
        <v>2279</v>
      </c>
      <c r="B2067" s="6" t="s">
        <v>2258</v>
      </c>
      <c r="C2067" s="6" t="s">
        <v>2259</v>
      </c>
      <c r="D2067" s="6">
        <f t="shared" si="246"/>
        <v>0.5</v>
      </c>
      <c r="E2067" s="6" t="s">
        <v>19</v>
      </c>
      <c r="F2067" s="6" t="str">
        <f>MID(A2067,19,1)</f>
        <v>S</v>
      </c>
      <c r="G2067" s="6">
        <v>-22.912513681505981</v>
      </c>
      <c r="H2067" s="6">
        <v>-47.10061808738233</v>
      </c>
      <c r="I2067" s="9">
        <v>888.87</v>
      </c>
      <c r="K2067" s="6">
        <v>4.6399999999999997</v>
      </c>
      <c r="L2067" s="6">
        <v>0</v>
      </c>
      <c r="N2067" s="1">
        <f t="shared" si="244"/>
        <v>0</v>
      </c>
      <c r="Q2067" s="6" t="s">
        <v>21</v>
      </c>
      <c r="R2067" s="6" t="s">
        <v>21</v>
      </c>
      <c r="S2067" s="6" t="s">
        <v>21</v>
      </c>
      <c r="T2067" s="6" t="s">
        <v>21</v>
      </c>
      <c r="U2067" s="6">
        <f t="shared" si="245"/>
        <v>0</v>
      </c>
      <c r="V2067" s="6">
        <f t="shared" si="242"/>
        <v>0</v>
      </c>
    </row>
    <row r="2068" spans="1:22" hidden="1" x14ac:dyDescent="0.35">
      <c r="A2068" s="6" t="s">
        <v>2280</v>
      </c>
      <c r="B2068" s="6" t="s">
        <v>2258</v>
      </c>
      <c r="C2068" s="6" t="s">
        <v>2259</v>
      </c>
      <c r="D2068" s="6">
        <f t="shared" si="246"/>
        <v>0.5</v>
      </c>
      <c r="E2068" s="6" t="s">
        <v>19</v>
      </c>
      <c r="F2068" s="6" t="str">
        <f>MID(A2068,19,1)</f>
        <v>S</v>
      </c>
      <c r="G2068" s="6">
        <v>-22.909977912092369</v>
      </c>
      <c r="H2068" s="6">
        <v>-47.103112833608343</v>
      </c>
      <c r="I2068" s="9">
        <v>1223.82</v>
      </c>
      <c r="K2068" s="6">
        <v>6.93</v>
      </c>
      <c r="L2068" s="6">
        <v>0</v>
      </c>
      <c r="N2068" s="1">
        <f t="shared" si="244"/>
        <v>0</v>
      </c>
      <c r="Q2068" s="6" t="s">
        <v>21</v>
      </c>
      <c r="R2068" s="6" t="s">
        <v>21</v>
      </c>
      <c r="S2068" s="6" t="s">
        <v>21</v>
      </c>
      <c r="T2068" s="6" t="s">
        <v>21</v>
      </c>
      <c r="U2068" s="6">
        <f t="shared" si="245"/>
        <v>0</v>
      </c>
      <c r="V2068" s="6">
        <f t="shared" si="242"/>
        <v>0</v>
      </c>
    </row>
    <row r="2069" spans="1:22" hidden="1" x14ac:dyDescent="0.35">
      <c r="A2069" s="6" t="s">
        <v>2281</v>
      </c>
      <c r="B2069" s="6" t="s">
        <v>2258</v>
      </c>
      <c r="C2069" s="6" t="s">
        <v>2259</v>
      </c>
      <c r="D2069" s="6">
        <f t="shared" si="246"/>
        <v>0.5</v>
      </c>
      <c r="E2069" s="6" t="s">
        <v>19</v>
      </c>
      <c r="F2069" s="6" t="str">
        <f>MID(A2069,19,1)</f>
        <v>S</v>
      </c>
      <c r="G2069" s="6">
        <v>-22.913054592552189</v>
      </c>
      <c r="H2069" s="6">
        <v>-47.100318709302726</v>
      </c>
      <c r="I2069" s="9">
        <v>0.04</v>
      </c>
      <c r="K2069" s="6">
        <v>7.23</v>
      </c>
      <c r="N2069" s="1">
        <f t="shared" si="244"/>
        <v>0</v>
      </c>
      <c r="Q2069" s="6" t="s">
        <v>21</v>
      </c>
      <c r="R2069" s="6" t="s">
        <v>21</v>
      </c>
      <c r="S2069" s="6" t="s">
        <v>21</v>
      </c>
      <c r="T2069" s="6" t="s">
        <v>21</v>
      </c>
      <c r="U2069" s="6">
        <f t="shared" si="245"/>
        <v>0</v>
      </c>
      <c r="V2069" s="6">
        <f t="shared" si="242"/>
        <v>0</v>
      </c>
    </row>
    <row r="2070" spans="1:22" hidden="1" x14ac:dyDescent="0.35">
      <c r="A2070" s="6" t="s">
        <v>2282</v>
      </c>
      <c r="B2070" s="6" t="s">
        <v>2283</v>
      </c>
      <c r="C2070" s="6" t="s">
        <v>2284</v>
      </c>
      <c r="D2070" s="6">
        <f t="shared" si="246"/>
        <v>0.5</v>
      </c>
      <c r="E2070" s="6" t="s">
        <v>23</v>
      </c>
      <c r="F2070" s="6" t="str">
        <f>MID(A2070,19,1)</f>
        <v>C</v>
      </c>
      <c r="G2070" s="6">
        <v>-22.92062421420831</v>
      </c>
      <c r="H2070" s="6">
        <v>-47.147370778803982</v>
      </c>
      <c r="I2070" s="9">
        <v>884.91</v>
      </c>
      <c r="J2070" s="9">
        <f>I2070/500</f>
        <v>1.7698199999999999</v>
      </c>
      <c r="K2070" s="6">
        <v>2.42</v>
      </c>
      <c r="L2070" s="6">
        <v>80</v>
      </c>
      <c r="N2070" s="1">
        <f t="shared" si="244"/>
        <v>0</v>
      </c>
      <c r="O2070" s="6" t="s">
        <v>20</v>
      </c>
      <c r="Q2070" s="6" t="s">
        <v>21</v>
      </c>
      <c r="R2070" s="6" t="s">
        <v>21</v>
      </c>
      <c r="S2070" s="6" t="s">
        <v>21</v>
      </c>
      <c r="T2070" s="6" t="s">
        <v>21</v>
      </c>
      <c r="U2070" s="6">
        <f t="shared" si="245"/>
        <v>707.928</v>
      </c>
      <c r="V2070" s="6">
        <f t="shared" si="242"/>
        <v>707.928</v>
      </c>
    </row>
    <row r="2071" spans="1:22" hidden="1" x14ac:dyDescent="0.35">
      <c r="A2071" s="6" t="s">
        <v>2285</v>
      </c>
      <c r="B2071" s="6" t="s">
        <v>2283</v>
      </c>
      <c r="C2071" s="6" t="s">
        <v>2284</v>
      </c>
      <c r="D2071" s="6">
        <f t="shared" si="246"/>
        <v>0.5</v>
      </c>
      <c r="E2071" s="6" t="s">
        <v>19</v>
      </c>
      <c r="F2071" s="6" t="str">
        <f>MID(A2071,19,1)</f>
        <v>S</v>
      </c>
      <c r="G2071" s="6">
        <v>-22.921462433798489</v>
      </c>
      <c r="H2071" s="6">
        <v>-47.141251847323453</v>
      </c>
      <c r="I2071" s="9">
        <v>1857.06</v>
      </c>
      <c r="K2071" s="6">
        <v>6.65</v>
      </c>
      <c r="L2071" s="6">
        <v>50</v>
      </c>
      <c r="N2071" s="1">
        <f t="shared" si="244"/>
        <v>0</v>
      </c>
      <c r="O2071" s="6" t="s">
        <v>20</v>
      </c>
      <c r="Q2071" s="6" t="s">
        <v>21</v>
      </c>
      <c r="R2071" s="6" t="s">
        <v>21</v>
      </c>
      <c r="S2071" s="6" t="s">
        <v>21</v>
      </c>
      <c r="T2071" s="6" t="s">
        <v>21</v>
      </c>
      <c r="U2071" s="6">
        <f t="shared" si="245"/>
        <v>928.53</v>
      </c>
      <c r="V2071" s="6">
        <f t="shared" si="242"/>
        <v>928.53</v>
      </c>
    </row>
    <row r="2072" spans="1:22" hidden="1" x14ac:dyDescent="0.35">
      <c r="A2072" s="6" t="s">
        <v>2286</v>
      </c>
      <c r="B2072" s="6" t="s">
        <v>2283</v>
      </c>
      <c r="C2072" s="6" t="s">
        <v>2284</v>
      </c>
      <c r="D2072" s="6">
        <f t="shared" si="246"/>
        <v>0.5</v>
      </c>
      <c r="E2072" s="6" t="s">
        <v>19</v>
      </c>
      <c r="F2072" s="6" t="str">
        <f>MID(A2072,19,1)</f>
        <v>S</v>
      </c>
      <c r="G2072" s="6">
        <v>-22.901084081308301</v>
      </c>
      <c r="H2072" s="6">
        <v>-47.109491203067577</v>
      </c>
      <c r="I2072" s="9">
        <v>156.74</v>
      </c>
      <c r="K2072" s="6">
        <v>2.2400000000000002</v>
      </c>
      <c r="L2072" s="6">
        <v>0</v>
      </c>
      <c r="N2072" s="1">
        <f t="shared" si="244"/>
        <v>0</v>
      </c>
      <c r="Q2072" s="6" t="s">
        <v>21</v>
      </c>
      <c r="R2072" s="6" t="s">
        <v>21</v>
      </c>
      <c r="S2072" s="6" t="s">
        <v>21</v>
      </c>
      <c r="T2072" s="6" t="s">
        <v>21</v>
      </c>
      <c r="U2072" s="6">
        <f t="shared" si="245"/>
        <v>0</v>
      </c>
      <c r="V2072" s="6">
        <f t="shared" si="242"/>
        <v>0</v>
      </c>
    </row>
    <row r="2073" spans="1:22" hidden="1" x14ac:dyDescent="0.35">
      <c r="A2073" s="6" t="s">
        <v>2287</v>
      </c>
      <c r="B2073" s="6" t="s">
        <v>2283</v>
      </c>
      <c r="C2073" s="6" t="s">
        <v>2284</v>
      </c>
      <c r="D2073" s="6">
        <f t="shared" si="246"/>
        <v>0.5</v>
      </c>
      <c r="E2073" s="6" t="s">
        <v>19</v>
      </c>
      <c r="F2073" s="6" t="str">
        <f>MID(A2073,19,1)</f>
        <v>S</v>
      </c>
      <c r="G2073" s="6">
        <v>-22.901218803818939</v>
      </c>
      <c r="H2073" s="6">
        <v>-47.10958214806066</v>
      </c>
      <c r="I2073" s="9">
        <v>697.36</v>
      </c>
      <c r="K2073" s="6">
        <v>2.77</v>
      </c>
      <c r="L2073" s="6">
        <v>0</v>
      </c>
      <c r="N2073" s="1">
        <f t="shared" si="244"/>
        <v>0</v>
      </c>
      <c r="Q2073" s="6" t="s">
        <v>21</v>
      </c>
      <c r="R2073" s="6" t="s">
        <v>21</v>
      </c>
      <c r="S2073" s="6" t="s">
        <v>21</v>
      </c>
      <c r="T2073" s="6" t="s">
        <v>21</v>
      </c>
      <c r="U2073" s="6">
        <f t="shared" si="245"/>
        <v>0</v>
      </c>
      <c r="V2073" s="6">
        <f t="shared" si="242"/>
        <v>0</v>
      </c>
    </row>
    <row r="2074" spans="1:22" hidden="1" x14ac:dyDescent="0.35">
      <c r="A2074" s="6" t="s">
        <v>2288</v>
      </c>
      <c r="B2074" s="6" t="s">
        <v>2283</v>
      </c>
      <c r="C2074" s="6" t="s">
        <v>2284</v>
      </c>
      <c r="D2074" s="6">
        <f t="shared" si="246"/>
        <v>0.5</v>
      </c>
      <c r="E2074" s="6" t="s">
        <v>19</v>
      </c>
      <c r="F2074" s="6" t="str">
        <f>MID(A2074,19,1)</f>
        <v>S</v>
      </c>
      <c r="G2074" s="6">
        <v>-22.904831664402259</v>
      </c>
      <c r="H2074" s="6">
        <v>-47.10737745312202</v>
      </c>
      <c r="I2074" s="9">
        <v>93.03</v>
      </c>
      <c r="K2074" s="6">
        <v>4.3099999999999996</v>
      </c>
      <c r="L2074" s="6">
        <v>0</v>
      </c>
      <c r="N2074" s="1">
        <f t="shared" si="244"/>
        <v>0</v>
      </c>
      <c r="Q2074" s="6" t="s">
        <v>21</v>
      </c>
      <c r="R2074" s="6" t="s">
        <v>21</v>
      </c>
      <c r="S2074" s="6" t="s">
        <v>21</v>
      </c>
      <c r="T2074" s="6" t="s">
        <v>21</v>
      </c>
      <c r="U2074" s="6">
        <f t="shared" si="245"/>
        <v>0</v>
      </c>
      <c r="V2074" s="6">
        <f t="shared" si="242"/>
        <v>0</v>
      </c>
    </row>
    <row r="2075" spans="1:22" hidden="1" x14ac:dyDescent="0.35">
      <c r="A2075" s="6" t="s">
        <v>2289</v>
      </c>
      <c r="B2075" s="6" t="s">
        <v>2283</v>
      </c>
      <c r="C2075" s="6" t="s">
        <v>2284</v>
      </c>
      <c r="D2075" s="6">
        <f t="shared" si="246"/>
        <v>0.5</v>
      </c>
      <c r="E2075" s="6" t="s">
        <v>19</v>
      </c>
      <c r="F2075" s="6" t="str">
        <f>MID(A2075,19,1)</f>
        <v>S</v>
      </c>
      <c r="G2075" s="6">
        <v>-22.904375507337122</v>
      </c>
      <c r="H2075" s="6">
        <v>-47.108018426507797</v>
      </c>
      <c r="I2075" s="9">
        <v>157.84</v>
      </c>
      <c r="K2075" s="6">
        <v>8.02</v>
      </c>
      <c r="L2075" s="6">
        <v>0</v>
      </c>
      <c r="N2075" s="1">
        <f t="shared" si="244"/>
        <v>0</v>
      </c>
      <c r="Q2075" s="6" t="s">
        <v>21</v>
      </c>
      <c r="R2075" s="6" t="s">
        <v>21</v>
      </c>
      <c r="S2075" s="6" t="s">
        <v>21</v>
      </c>
      <c r="T2075" s="6" t="s">
        <v>21</v>
      </c>
      <c r="U2075" s="6">
        <f t="shared" si="245"/>
        <v>0</v>
      </c>
      <c r="V2075" s="6">
        <f t="shared" si="242"/>
        <v>0</v>
      </c>
    </row>
    <row r="2076" spans="1:22" x14ac:dyDescent="0.35">
      <c r="A2076" s="6" t="s">
        <v>2290</v>
      </c>
      <c r="B2076" s="6" t="s">
        <v>2283</v>
      </c>
      <c r="C2076" s="6" t="s">
        <v>2284</v>
      </c>
      <c r="D2076" s="6">
        <f t="shared" si="246"/>
        <v>0.5</v>
      </c>
      <c r="E2076" s="6" t="s">
        <v>19</v>
      </c>
      <c r="F2076" s="6" t="str">
        <f>MID(A2076,19,1)</f>
        <v>N</v>
      </c>
      <c r="G2076" s="6">
        <v>-22.902303738605909</v>
      </c>
      <c r="H2076" s="6">
        <v>-47.108588405651268</v>
      </c>
      <c r="I2076" s="9">
        <v>1021.05</v>
      </c>
      <c r="K2076" s="6">
        <v>3.42</v>
      </c>
      <c r="L2076" s="6">
        <v>40</v>
      </c>
      <c r="N2076" s="1">
        <f t="shared" si="244"/>
        <v>0</v>
      </c>
      <c r="O2076" s="6" t="s">
        <v>20</v>
      </c>
      <c r="Q2076" s="6" t="s">
        <v>21</v>
      </c>
      <c r="R2076" s="6" t="s">
        <v>21</v>
      </c>
      <c r="S2076" s="6" t="s">
        <v>21</v>
      </c>
      <c r="T2076" s="6" t="s">
        <v>21</v>
      </c>
      <c r="U2076" s="6">
        <f t="shared" si="245"/>
        <v>408.42</v>
      </c>
      <c r="V2076" s="6">
        <f t="shared" si="242"/>
        <v>408.42</v>
      </c>
    </row>
    <row r="2077" spans="1:22" hidden="1" x14ac:dyDescent="0.35">
      <c r="A2077" s="6" t="s">
        <v>2291</v>
      </c>
      <c r="B2077" s="6" t="s">
        <v>2283</v>
      </c>
      <c r="C2077" s="6" t="s">
        <v>2284</v>
      </c>
      <c r="D2077" s="6">
        <f t="shared" si="246"/>
        <v>0.5</v>
      </c>
      <c r="E2077" s="6" t="s">
        <v>19</v>
      </c>
      <c r="F2077" s="6" t="str">
        <f>MID(A2077,19,1)</f>
        <v>S</v>
      </c>
      <c r="G2077" s="6">
        <v>-22.907169952552469</v>
      </c>
      <c r="H2077" s="6">
        <v>-47.105495967777117</v>
      </c>
      <c r="I2077" s="9">
        <v>494.2</v>
      </c>
      <c r="K2077" s="6">
        <v>5.94</v>
      </c>
      <c r="L2077" s="6">
        <v>0</v>
      </c>
      <c r="N2077" s="1">
        <f t="shared" si="244"/>
        <v>0</v>
      </c>
      <c r="Q2077" s="6" t="s">
        <v>21</v>
      </c>
      <c r="R2077" s="6" t="s">
        <v>21</v>
      </c>
      <c r="S2077" s="6" t="s">
        <v>21</v>
      </c>
      <c r="T2077" s="6" t="s">
        <v>21</v>
      </c>
      <c r="U2077" s="6">
        <f t="shared" si="245"/>
        <v>0</v>
      </c>
      <c r="V2077" s="6">
        <f t="shared" si="242"/>
        <v>0</v>
      </c>
    </row>
    <row r="2078" spans="1:22" x14ac:dyDescent="0.35">
      <c r="A2078" s="6" t="s">
        <v>2292</v>
      </c>
      <c r="B2078" s="6" t="s">
        <v>2283</v>
      </c>
      <c r="C2078" s="6" t="s">
        <v>2284</v>
      </c>
      <c r="D2078" s="6">
        <f t="shared" si="246"/>
        <v>0.5</v>
      </c>
      <c r="E2078" s="6" t="s">
        <v>19</v>
      </c>
      <c r="F2078" s="6" t="str">
        <f>MID(A2078,19,1)</f>
        <v>N</v>
      </c>
      <c r="G2078" s="6">
        <v>-22.90068554378945</v>
      </c>
      <c r="H2078" s="6">
        <v>-47.109214950414859</v>
      </c>
      <c r="I2078" s="9">
        <v>8.41</v>
      </c>
      <c r="K2078" s="6">
        <v>2.61</v>
      </c>
      <c r="L2078" s="6">
        <v>0</v>
      </c>
      <c r="N2078" s="1">
        <f t="shared" si="244"/>
        <v>0</v>
      </c>
      <c r="Q2078" s="6" t="s">
        <v>21</v>
      </c>
      <c r="R2078" s="6" t="s">
        <v>21</v>
      </c>
      <c r="S2078" s="6" t="s">
        <v>21</v>
      </c>
      <c r="T2078" s="6" t="s">
        <v>21</v>
      </c>
      <c r="U2078" s="6">
        <f t="shared" si="245"/>
        <v>0</v>
      </c>
      <c r="V2078" s="6">
        <f t="shared" si="242"/>
        <v>0</v>
      </c>
    </row>
    <row r="2079" spans="1:22" hidden="1" x14ac:dyDescent="0.35">
      <c r="A2079" s="6" t="s">
        <v>2293</v>
      </c>
      <c r="B2079" s="6" t="s">
        <v>2283</v>
      </c>
      <c r="C2079" s="6" t="s">
        <v>2284</v>
      </c>
      <c r="D2079" s="6">
        <f t="shared" si="246"/>
        <v>0.5</v>
      </c>
      <c r="E2079" s="6" t="s">
        <v>19</v>
      </c>
      <c r="F2079" s="6" t="str">
        <f>MID(A2079,19,1)</f>
        <v>S</v>
      </c>
      <c r="G2079" s="6">
        <v>-22.906105801555849</v>
      </c>
      <c r="H2079" s="6">
        <v>-47.106259762168278</v>
      </c>
      <c r="I2079" s="9">
        <v>1708.79</v>
      </c>
      <c r="K2079" s="6">
        <v>6.42</v>
      </c>
      <c r="L2079" s="6">
        <v>0</v>
      </c>
      <c r="N2079" s="1">
        <f t="shared" si="244"/>
        <v>0</v>
      </c>
      <c r="Q2079" s="6" t="s">
        <v>21</v>
      </c>
      <c r="R2079" s="6" t="s">
        <v>21</v>
      </c>
      <c r="S2079" s="6" t="s">
        <v>21</v>
      </c>
      <c r="T2079" s="6" t="s">
        <v>21</v>
      </c>
      <c r="U2079" s="6">
        <f t="shared" si="245"/>
        <v>0</v>
      </c>
      <c r="V2079" s="6">
        <f t="shared" si="242"/>
        <v>0</v>
      </c>
    </row>
    <row r="2080" spans="1:22" x14ac:dyDescent="0.35">
      <c r="A2080" s="6" t="s">
        <v>2294</v>
      </c>
      <c r="B2080" s="6" t="s">
        <v>2283</v>
      </c>
      <c r="C2080" s="6" t="s">
        <v>2284</v>
      </c>
      <c r="D2080" s="6">
        <f t="shared" si="246"/>
        <v>0.5</v>
      </c>
      <c r="E2080" s="6" t="s">
        <v>19</v>
      </c>
      <c r="F2080" s="6" t="str">
        <f>MID(A2080,19,1)</f>
        <v>N</v>
      </c>
      <c r="G2080" s="6">
        <v>-22.90463698432788</v>
      </c>
      <c r="H2080" s="6">
        <v>-47.107177953115567</v>
      </c>
      <c r="I2080" s="9">
        <v>87.61</v>
      </c>
      <c r="K2080" s="6">
        <v>2.92</v>
      </c>
      <c r="L2080" s="6">
        <v>0</v>
      </c>
      <c r="N2080" s="1">
        <f t="shared" si="244"/>
        <v>0</v>
      </c>
      <c r="Q2080" s="6" t="s">
        <v>21</v>
      </c>
      <c r="R2080" s="6" t="s">
        <v>21</v>
      </c>
      <c r="S2080" s="6" t="s">
        <v>21</v>
      </c>
      <c r="T2080" s="6" t="s">
        <v>21</v>
      </c>
      <c r="U2080" s="6">
        <f t="shared" si="245"/>
        <v>0</v>
      </c>
      <c r="V2080" s="6">
        <f t="shared" si="242"/>
        <v>0</v>
      </c>
    </row>
    <row r="2081" spans="1:22" x14ac:dyDescent="0.35">
      <c r="A2081" s="6" t="s">
        <v>2295</v>
      </c>
      <c r="B2081" s="6" t="s">
        <v>2283</v>
      </c>
      <c r="C2081" s="6" t="s">
        <v>2284</v>
      </c>
      <c r="D2081" s="6">
        <f t="shared" si="246"/>
        <v>0.5</v>
      </c>
      <c r="E2081" s="6" t="s">
        <v>19</v>
      </c>
      <c r="F2081" s="6" t="str">
        <f>MID(A2081,19,1)</f>
        <v>N</v>
      </c>
      <c r="G2081" s="6">
        <v>-22.92007452273554</v>
      </c>
      <c r="H2081" s="6">
        <v>-47.148052700000491</v>
      </c>
      <c r="I2081" s="9">
        <v>1.71</v>
      </c>
      <c r="K2081" s="6">
        <v>2.3199999999999998</v>
      </c>
      <c r="N2081" s="1">
        <f t="shared" si="244"/>
        <v>0</v>
      </c>
      <c r="Q2081" s="6" t="s">
        <v>21</v>
      </c>
      <c r="R2081" s="6" t="s">
        <v>21</v>
      </c>
      <c r="S2081" s="6" t="s">
        <v>21</v>
      </c>
      <c r="T2081" s="6" t="s">
        <v>21</v>
      </c>
      <c r="U2081" s="6">
        <f t="shared" si="245"/>
        <v>0</v>
      </c>
      <c r="V2081" s="6">
        <f t="shared" si="242"/>
        <v>0</v>
      </c>
    </row>
    <row r="2082" spans="1:22" x14ac:dyDescent="0.35">
      <c r="A2082" s="6" t="s">
        <v>2296</v>
      </c>
      <c r="B2082" s="6" t="s">
        <v>2283</v>
      </c>
      <c r="C2082" s="6" t="s">
        <v>2284</v>
      </c>
      <c r="D2082" s="6">
        <f t="shared" si="246"/>
        <v>0.5</v>
      </c>
      <c r="E2082" s="6" t="s">
        <v>19</v>
      </c>
      <c r="F2082" s="6" t="str">
        <f>MID(A2082,19,1)</f>
        <v>N</v>
      </c>
      <c r="G2082" s="6">
        <v>-22.920415139676852</v>
      </c>
      <c r="H2082" s="6">
        <v>-47.147114381289867</v>
      </c>
      <c r="I2082" s="9">
        <v>690.57</v>
      </c>
      <c r="K2082" s="6">
        <v>2.89</v>
      </c>
      <c r="L2082" s="6">
        <v>50</v>
      </c>
      <c r="N2082" s="1">
        <f t="shared" si="244"/>
        <v>0</v>
      </c>
      <c r="O2082" s="6" t="s">
        <v>20</v>
      </c>
      <c r="Q2082" s="6" t="s">
        <v>21</v>
      </c>
      <c r="R2082" s="6" t="s">
        <v>21</v>
      </c>
      <c r="S2082" s="6" t="s">
        <v>21</v>
      </c>
      <c r="T2082" s="6" t="s">
        <v>21</v>
      </c>
      <c r="U2082" s="6">
        <f t="shared" si="245"/>
        <v>345.28500000000003</v>
      </c>
      <c r="V2082" s="6">
        <f t="shared" si="242"/>
        <v>345.28500000000003</v>
      </c>
    </row>
    <row r="2083" spans="1:22" hidden="1" x14ac:dyDescent="0.35">
      <c r="A2083" s="6" t="s">
        <v>2297</v>
      </c>
      <c r="B2083" s="6" t="s">
        <v>2283</v>
      </c>
      <c r="C2083" s="6" t="s">
        <v>2284</v>
      </c>
      <c r="D2083" s="6">
        <f t="shared" si="246"/>
        <v>0.5</v>
      </c>
      <c r="E2083" s="6" t="s">
        <v>19</v>
      </c>
      <c r="F2083" s="6" t="str">
        <f>MID(A2083,19,1)</f>
        <v>S</v>
      </c>
      <c r="G2083" s="6">
        <v>-22.900834764409161</v>
      </c>
      <c r="H2083" s="6">
        <v>-47.109554080409801</v>
      </c>
      <c r="I2083" s="9">
        <v>78.849999999999994</v>
      </c>
      <c r="K2083" s="6">
        <v>1.19</v>
      </c>
      <c r="L2083" s="6">
        <v>0</v>
      </c>
      <c r="N2083" s="1">
        <f t="shared" si="244"/>
        <v>0</v>
      </c>
      <c r="Q2083" s="6" t="s">
        <v>21</v>
      </c>
      <c r="R2083" s="6" t="s">
        <v>21</v>
      </c>
      <c r="S2083" s="6" t="s">
        <v>21</v>
      </c>
      <c r="T2083" s="6" t="s">
        <v>21</v>
      </c>
      <c r="U2083" s="6">
        <f t="shared" si="245"/>
        <v>0</v>
      </c>
      <c r="V2083" s="6">
        <f t="shared" si="242"/>
        <v>0</v>
      </c>
    </row>
    <row r="2084" spans="1:22" hidden="1" x14ac:dyDescent="0.35">
      <c r="A2084" s="6" t="s">
        <v>2298</v>
      </c>
      <c r="B2084" s="6" t="s">
        <v>2283</v>
      </c>
      <c r="C2084" s="6" t="s">
        <v>2284</v>
      </c>
      <c r="D2084" s="6">
        <f t="shared" si="246"/>
        <v>0.5</v>
      </c>
      <c r="E2084" s="6" t="s">
        <v>19</v>
      </c>
      <c r="F2084" s="6" t="str">
        <f>MID(A2084,19,1)</f>
        <v>S</v>
      </c>
      <c r="G2084" s="6">
        <v>-22.921769537901099</v>
      </c>
      <c r="H2084" s="6">
        <v>-47.146648760880339</v>
      </c>
      <c r="I2084" s="9">
        <v>1614.45</v>
      </c>
      <c r="K2084" s="6">
        <v>6.12</v>
      </c>
      <c r="L2084" s="6">
        <v>50</v>
      </c>
      <c r="N2084" s="1">
        <f t="shared" si="244"/>
        <v>0</v>
      </c>
      <c r="O2084" s="6" t="s">
        <v>20</v>
      </c>
      <c r="Q2084" s="6" t="s">
        <v>21</v>
      </c>
      <c r="R2084" s="6" t="s">
        <v>21</v>
      </c>
      <c r="S2084" s="6" t="s">
        <v>21</v>
      </c>
      <c r="T2084" s="6" t="s">
        <v>21</v>
      </c>
      <c r="U2084" s="6">
        <f t="shared" si="245"/>
        <v>807.22500000000002</v>
      </c>
      <c r="V2084" s="6">
        <f t="shared" si="242"/>
        <v>807.22500000000002</v>
      </c>
    </row>
    <row r="2085" spans="1:22" x14ac:dyDescent="0.35">
      <c r="A2085" s="6" t="s">
        <v>2299</v>
      </c>
      <c r="B2085" s="6" t="s">
        <v>2283</v>
      </c>
      <c r="C2085" s="6" t="s">
        <v>2284</v>
      </c>
      <c r="D2085" s="6">
        <f t="shared" si="246"/>
        <v>0.5</v>
      </c>
      <c r="E2085" s="6" t="s">
        <v>19</v>
      </c>
      <c r="F2085" s="6" t="str">
        <f>MID(A2085,19,1)</f>
        <v>N</v>
      </c>
      <c r="G2085" s="6">
        <v>-22.920944433154869</v>
      </c>
      <c r="H2085" s="6">
        <v>-47.145377555577618</v>
      </c>
      <c r="I2085" s="9">
        <v>1539.15</v>
      </c>
      <c r="K2085" s="6">
        <v>3.55</v>
      </c>
      <c r="L2085" s="6">
        <v>50</v>
      </c>
      <c r="N2085" s="1">
        <f t="shared" si="244"/>
        <v>0</v>
      </c>
      <c r="O2085" s="6" t="s">
        <v>20</v>
      </c>
      <c r="Q2085" s="6" t="s">
        <v>21</v>
      </c>
      <c r="R2085" s="6" t="s">
        <v>21</v>
      </c>
      <c r="S2085" s="6" t="s">
        <v>21</v>
      </c>
      <c r="T2085" s="6" t="s">
        <v>21</v>
      </c>
      <c r="U2085" s="6">
        <f t="shared" si="245"/>
        <v>769.57500000000005</v>
      </c>
      <c r="V2085" s="6">
        <f t="shared" si="242"/>
        <v>769.57500000000005</v>
      </c>
    </row>
    <row r="2086" spans="1:22" x14ac:dyDescent="0.35">
      <c r="A2086" s="6" t="s">
        <v>2300</v>
      </c>
      <c r="B2086" s="6" t="s">
        <v>2283</v>
      </c>
      <c r="C2086" s="6" t="s">
        <v>2284</v>
      </c>
      <c r="D2086" s="6">
        <f t="shared" si="246"/>
        <v>0.5</v>
      </c>
      <c r="E2086" s="6" t="s">
        <v>19</v>
      </c>
      <c r="F2086" s="6" t="str">
        <f>MID(A2086,19,1)</f>
        <v>N</v>
      </c>
      <c r="G2086" s="6">
        <v>-22.903283043102881</v>
      </c>
      <c r="H2086" s="6">
        <v>-47.107906454548818</v>
      </c>
      <c r="I2086" s="9">
        <v>672.11</v>
      </c>
      <c r="K2086" s="6">
        <v>3.99</v>
      </c>
      <c r="L2086" s="6">
        <v>40</v>
      </c>
      <c r="N2086" s="1">
        <f t="shared" si="244"/>
        <v>0</v>
      </c>
      <c r="O2086" s="6" t="s">
        <v>20</v>
      </c>
      <c r="Q2086" s="6" t="s">
        <v>21</v>
      </c>
      <c r="R2086" s="6" t="s">
        <v>21</v>
      </c>
      <c r="S2086" s="6" t="s">
        <v>21</v>
      </c>
      <c r="T2086" s="6" t="s">
        <v>21</v>
      </c>
      <c r="U2086" s="6">
        <f t="shared" si="245"/>
        <v>268.84399999999999</v>
      </c>
      <c r="V2086" s="6">
        <f t="shared" si="242"/>
        <v>268.84399999999999</v>
      </c>
    </row>
    <row r="2087" spans="1:22" hidden="1" x14ac:dyDescent="0.35">
      <c r="A2087" s="6" t="s">
        <v>2301</v>
      </c>
      <c r="B2087" s="6" t="s">
        <v>2283</v>
      </c>
      <c r="C2087" s="6" t="s">
        <v>2284</v>
      </c>
      <c r="D2087" s="6">
        <f t="shared" si="246"/>
        <v>0.5</v>
      </c>
      <c r="E2087" s="6" t="s">
        <v>19</v>
      </c>
      <c r="F2087" s="6" t="str">
        <f>MID(A2087,19,1)</f>
        <v>S</v>
      </c>
      <c r="G2087" s="6">
        <v>-22.92178493159161</v>
      </c>
      <c r="H2087" s="6">
        <v>-47.145597402349978</v>
      </c>
      <c r="I2087" s="9">
        <v>2445.7600000000002</v>
      </c>
      <c r="K2087" s="6">
        <v>7.32</v>
      </c>
      <c r="L2087" s="6">
        <v>50</v>
      </c>
      <c r="N2087" s="1">
        <f t="shared" si="244"/>
        <v>0</v>
      </c>
      <c r="O2087" s="6" t="s">
        <v>20</v>
      </c>
      <c r="Q2087" s="6" t="s">
        <v>21</v>
      </c>
      <c r="R2087" s="6" t="s">
        <v>21</v>
      </c>
      <c r="S2087" s="6" t="s">
        <v>21</v>
      </c>
      <c r="T2087" s="6" t="s">
        <v>21</v>
      </c>
      <c r="U2087" s="6">
        <f t="shared" si="245"/>
        <v>1222.8800000000001</v>
      </c>
      <c r="V2087" s="6">
        <f t="shared" si="242"/>
        <v>1222.8800000000001</v>
      </c>
    </row>
    <row r="2088" spans="1:22" x14ac:dyDescent="0.35">
      <c r="A2088" s="6" t="s">
        <v>2302</v>
      </c>
      <c r="B2088" s="6" t="s">
        <v>2283</v>
      </c>
      <c r="C2088" s="6" t="s">
        <v>2284</v>
      </c>
      <c r="D2088" s="6">
        <f t="shared" si="246"/>
        <v>0.5</v>
      </c>
      <c r="E2088" s="6" t="s">
        <v>19</v>
      </c>
      <c r="F2088" s="6" t="str">
        <f>MID(A2088,19,1)</f>
        <v>N</v>
      </c>
      <c r="G2088" s="6">
        <v>-22.921034822265629</v>
      </c>
      <c r="H2088" s="6">
        <v>-47.141300762209767</v>
      </c>
      <c r="I2088" s="9">
        <v>1881.04</v>
      </c>
      <c r="K2088" s="6">
        <v>5.66</v>
      </c>
      <c r="L2088" s="6">
        <v>50</v>
      </c>
      <c r="N2088" s="1">
        <f t="shared" si="244"/>
        <v>0</v>
      </c>
      <c r="O2088" s="6" t="s">
        <v>20</v>
      </c>
      <c r="Q2088" s="6" t="s">
        <v>21</v>
      </c>
      <c r="R2088" s="6" t="s">
        <v>21</v>
      </c>
      <c r="S2088" s="6" t="s">
        <v>21</v>
      </c>
      <c r="T2088" s="6" t="s">
        <v>21</v>
      </c>
      <c r="U2088" s="6">
        <f t="shared" si="245"/>
        <v>940.52</v>
      </c>
      <c r="V2088" s="6">
        <f t="shared" si="242"/>
        <v>940.52</v>
      </c>
    </row>
    <row r="2089" spans="1:22" x14ac:dyDescent="0.35">
      <c r="A2089" s="6" t="s">
        <v>2303</v>
      </c>
      <c r="B2089" s="6" t="s">
        <v>2283</v>
      </c>
      <c r="C2089" s="6" t="s">
        <v>2284</v>
      </c>
      <c r="D2089" s="6">
        <f t="shared" si="246"/>
        <v>0.5</v>
      </c>
      <c r="E2089" s="6" t="s">
        <v>19</v>
      </c>
      <c r="F2089" s="6" t="str">
        <f>MID(A2089,19,1)</f>
        <v>N</v>
      </c>
      <c r="G2089" s="6">
        <v>-22.901590080072289</v>
      </c>
      <c r="H2089" s="6">
        <v>-47.108756044821853</v>
      </c>
      <c r="I2089" s="9">
        <v>897.38</v>
      </c>
      <c r="K2089" s="6">
        <v>3.65</v>
      </c>
      <c r="L2089" s="6">
        <v>40</v>
      </c>
      <c r="N2089" s="1">
        <f t="shared" si="244"/>
        <v>0</v>
      </c>
      <c r="O2089" s="6" t="s">
        <v>20</v>
      </c>
      <c r="Q2089" s="6" t="s">
        <v>21</v>
      </c>
      <c r="R2089" s="6" t="s">
        <v>21</v>
      </c>
      <c r="S2089" s="6" t="s">
        <v>21</v>
      </c>
      <c r="T2089" s="6" t="s">
        <v>21</v>
      </c>
      <c r="U2089" s="6">
        <f t="shared" si="245"/>
        <v>358.952</v>
      </c>
      <c r="V2089" s="6">
        <f t="shared" si="242"/>
        <v>358.952</v>
      </c>
    </row>
    <row r="2090" spans="1:22" hidden="1" x14ac:dyDescent="0.35">
      <c r="A2090" s="6" t="s">
        <v>2304</v>
      </c>
      <c r="B2090" s="6" t="s">
        <v>2283</v>
      </c>
      <c r="C2090" s="6" t="s">
        <v>2284</v>
      </c>
      <c r="D2090" s="6">
        <f t="shared" si="246"/>
        <v>0.5</v>
      </c>
      <c r="E2090" s="6" t="s">
        <v>23</v>
      </c>
      <c r="F2090" s="6" t="str">
        <f>MID(A2090,19,1)</f>
        <v>C</v>
      </c>
      <c r="G2090" s="6">
        <v>-22.921252017006751</v>
      </c>
      <c r="H2090" s="6">
        <v>-47.141264033203043</v>
      </c>
      <c r="I2090" s="9">
        <v>5564.99</v>
      </c>
      <c r="J2090" s="9">
        <f t="shared" ref="J2090:J2091" si="247">I2090/500</f>
        <v>11.12998</v>
      </c>
      <c r="K2090" s="6">
        <v>6.17</v>
      </c>
      <c r="L2090" s="6">
        <v>80</v>
      </c>
      <c r="N2090" s="1">
        <f t="shared" si="244"/>
        <v>0</v>
      </c>
      <c r="O2090" s="6" t="s">
        <v>20</v>
      </c>
      <c r="Q2090" s="6" t="s">
        <v>21</v>
      </c>
      <c r="R2090" s="6" t="s">
        <v>21</v>
      </c>
      <c r="S2090" s="6" t="s">
        <v>21</v>
      </c>
      <c r="T2090" s="6" t="s">
        <v>21</v>
      </c>
      <c r="U2090" s="6">
        <f t="shared" si="245"/>
        <v>4451.9920000000002</v>
      </c>
      <c r="V2090" s="6">
        <f t="shared" si="242"/>
        <v>4451.9920000000002</v>
      </c>
    </row>
    <row r="2091" spans="1:22" hidden="1" x14ac:dyDescent="0.35">
      <c r="A2091" s="6" t="s">
        <v>2305</v>
      </c>
      <c r="B2091" s="6" t="s">
        <v>2283</v>
      </c>
      <c r="C2091" s="6" t="s">
        <v>2284</v>
      </c>
      <c r="D2091" s="6">
        <f t="shared" si="246"/>
        <v>0.5</v>
      </c>
      <c r="E2091" s="6" t="s">
        <v>23</v>
      </c>
      <c r="F2091" s="6" t="str">
        <f>MID(A2091,19,1)</f>
        <v>C</v>
      </c>
      <c r="G2091" s="6">
        <v>-22.921256631330561</v>
      </c>
      <c r="H2091" s="6">
        <v>-47.145106299660448</v>
      </c>
      <c r="I2091" s="9">
        <v>3930.52</v>
      </c>
      <c r="J2091" s="9">
        <f t="shared" si="247"/>
        <v>7.86104</v>
      </c>
      <c r="K2091" s="6">
        <v>5.32</v>
      </c>
      <c r="L2091" s="6">
        <v>80</v>
      </c>
      <c r="N2091" s="1">
        <f t="shared" si="244"/>
        <v>0</v>
      </c>
      <c r="O2091" s="6" t="s">
        <v>185</v>
      </c>
      <c r="Q2091" s="6" t="s">
        <v>21</v>
      </c>
      <c r="R2091" s="6" t="s">
        <v>21</v>
      </c>
      <c r="S2091" s="6" t="s">
        <v>21</v>
      </c>
      <c r="T2091" s="6" t="s">
        <v>21</v>
      </c>
      <c r="U2091" s="6">
        <f t="shared" si="245"/>
        <v>3144.4160000000002</v>
      </c>
      <c r="V2091" s="6">
        <f t="shared" si="242"/>
        <v>3144.4160000000002</v>
      </c>
    </row>
    <row r="2092" spans="1:22" hidden="1" x14ac:dyDescent="0.35">
      <c r="A2092" s="6" t="s">
        <v>2306</v>
      </c>
      <c r="B2092" s="6" t="s">
        <v>2283</v>
      </c>
      <c r="C2092" s="6" t="s">
        <v>2284</v>
      </c>
      <c r="D2092" s="6">
        <f t="shared" si="246"/>
        <v>0.5</v>
      </c>
      <c r="E2092" s="6" t="s">
        <v>19</v>
      </c>
      <c r="F2092" s="6" t="str">
        <f>MID(A2092,19,1)</f>
        <v>S</v>
      </c>
      <c r="G2092" s="6">
        <v>-22.903878603951188</v>
      </c>
      <c r="H2092" s="6">
        <v>-47.10845410963082</v>
      </c>
      <c r="I2092" s="9">
        <v>2208.9899999999998</v>
      </c>
      <c r="K2092" s="6">
        <v>6.03</v>
      </c>
      <c r="L2092" s="6">
        <v>0</v>
      </c>
      <c r="N2092" s="1">
        <f t="shared" si="244"/>
        <v>0</v>
      </c>
      <c r="Q2092" s="6" t="s">
        <v>21</v>
      </c>
      <c r="R2092" s="6" t="s">
        <v>21</v>
      </c>
      <c r="S2092" s="6" t="s">
        <v>21</v>
      </c>
      <c r="T2092" s="6" t="s">
        <v>21</v>
      </c>
      <c r="U2092" s="6">
        <f t="shared" si="245"/>
        <v>0</v>
      </c>
      <c r="V2092" s="6">
        <f t="shared" ref="V2092" si="248">(I2092*(L2092/100))</f>
        <v>0</v>
      </c>
    </row>
    <row r="2093" spans="1:22" hidden="1" x14ac:dyDescent="0.35">
      <c r="A2093" s="6" t="s">
        <v>2307</v>
      </c>
      <c r="B2093" s="6" t="s">
        <v>2283</v>
      </c>
      <c r="C2093" s="6" t="s">
        <v>2284</v>
      </c>
      <c r="D2093" s="6">
        <f t="shared" si="246"/>
        <v>0.5</v>
      </c>
      <c r="E2093" s="6" t="s">
        <v>19</v>
      </c>
      <c r="F2093" s="6" t="str">
        <f>MID(A2093,19,1)</f>
        <v>S</v>
      </c>
      <c r="G2093" s="6">
        <v>-22.903321876980989</v>
      </c>
      <c r="H2093" s="6">
        <v>-47.108364579419103</v>
      </c>
      <c r="I2093" s="9">
        <v>1172.08</v>
      </c>
      <c r="K2093" s="6">
        <v>3.97</v>
      </c>
      <c r="L2093" s="6">
        <v>0</v>
      </c>
      <c r="N2093" s="1">
        <f t="shared" si="244"/>
        <v>0</v>
      </c>
      <c r="Q2093" s="6" t="s">
        <v>26</v>
      </c>
      <c r="R2093" s="6" t="s">
        <v>21</v>
      </c>
      <c r="S2093" s="6" t="s">
        <v>21</v>
      </c>
      <c r="T2093" s="6" t="s">
        <v>21</v>
      </c>
      <c r="U2093" s="6">
        <f t="shared" si="245"/>
        <v>0</v>
      </c>
    </row>
    <row r="2094" spans="1:22" hidden="1" x14ac:dyDescent="0.35">
      <c r="A2094" s="6" t="s">
        <v>2308</v>
      </c>
      <c r="B2094" s="6" t="s">
        <v>2283</v>
      </c>
      <c r="C2094" s="6" t="s">
        <v>2284</v>
      </c>
      <c r="D2094" s="6">
        <f t="shared" si="246"/>
        <v>0.5</v>
      </c>
      <c r="E2094" s="6" t="s">
        <v>19</v>
      </c>
      <c r="F2094" s="6" t="str">
        <f>MID(A2094,19,1)</f>
        <v>S</v>
      </c>
      <c r="G2094" s="6">
        <v>-22.90836683294923</v>
      </c>
      <c r="H2094" s="6">
        <v>-47.104255340797692</v>
      </c>
      <c r="I2094" s="9">
        <v>47.44</v>
      </c>
      <c r="K2094" s="6">
        <v>5.59</v>
      </c>
      <c r="L2094" s="6">
        <v>0</v>
      </c>
      <c r="N2094" s="1">
        <f t="shared" si="244"/>
        <v>0</v>
      </c>
      <c r="Q2094" s="6" t="s">
        <v>21</v>
      </c>
      <c r="R2094" s="6" t="s">
        <v>21</v>
      </c>
      <c r="S2094" s="6" t="s">
        <v>21</v>
      </c>
      <c r="T2094" s="6" t="s">
        <v>21</v>
      </c>
      <c r="U2094" s="6">
        <f t="shared" si="245"/>
        <v>0</v>
      </c>
      <c r="V2094" s="6">
        <f t="shared" ref="V2094:V2157" si="249">(I2094*(L2094/100))</f>
        <v>0</v>
      </c>
    </row>
    <row r="2095" spans="1:22" hidden="1" x14ac:dyDescent="0.35">
      <c r="A2095" s="6" t="s">
        <v>2309</v>
      </c>
      <c r="B2095" s="6" t="s">
        <v>2283</v>
      </c>
      <c r="C2095" s="6" t="s">
        <v>2284</v>
      </c>
      <c r="D2095" s="6">
        <f t="shared" si="246"/>
        <v>0.5</v>
      </c>
      <c r="E2095" s="6" t="s">
        <v>19</v>
      </c>
      <c r="F2095" s="6" t="str">
        <f>MID(A2095,19,1)</f>
        <v>S</v>
      </c>
      <c r="G2095" s="6">
        <v>-22.90416672578181</v>
      </c>
      <c r="H2095" s="6">
        <v>-47.108101971602558</v>
      </c>
      <c r="I2095" s="9">
        <v>186.41</v>
      </c>
      <c r="K2095" s="6">
        <v>9.82</v>
      </c>
      <c r="L2095" s="6">
        <v>0</v>
      </c>
      <c r="N2095" s="1">
        <f t="shared" si="244"/>
        <v>0</v>
      </c>
      <c r="Q2095" s="6" t="s">
        <v>21</v>
      </c>
      <c r="R2095" s="6" t="s">
        <v>21</v>
      </c>
      <c r="S2095" s="6" t="s">
        <v>21</v>
      </c>
      <c r="T2095" s="6" t="s">
        <v>21</v>
      </c>
      <c r="U2095" s="6">
        <f t="shared" si="245"/>
        <v>0</v>
      </c>
      <c r="V2095" s="6">
        <f t="shared" si="249"/>
        <v>0</v>
      </c>
    </row>
    <row r="2096" spans="1:22" hidden="1" x14ac:dyDescent="0.35">
      <c r="A2096" s="6" t="s">
        <v>2310</v>
      </c>
      <c r="B2096" s="6" t="s">
        <v>2283</v>
      </c>
      <c r="C2096" s="6" t="s">
        <v>2284</v>
      </c>
      <c r="D2096" s="6">
        <f t="shared" si="246"/>
        <v>0.5</v>
      </c>
      <c r="E2096" s="6" t="s">
        <v>19</v>
      </c>
      <c r="F2096" s="6" t="str">
        <f>MID(A2096,19,1)</f>
        <v>S</v>
      </c>
      <c r="G2096" s="6">
        <v>-22.900917357398338</v>
      </c>
      <c r="H2096" s="6">
        <v>-47.109674701558518</v>
      </c>
      <c r="I2096" s="9">
        <v>201.49</v>
      </c>
      <c r="K2096" s="6">
        <v>1.52</v>
      </c>
      <c r="L2096" s="6">
        <v>0</v>
      </c>
      <c r="N2096" s="1">
        <f t="shared" si="244"/>
        <v>0</v>
      </c>
      <c r="Q2096" s="6" t="s">
        <v>21</v>
      </c>
      <c r="R2096" s="6" t="s">
        <v>21</v>
      </c>
      <c r="S2096" s="6" t="s">
        <v>21</v>
      </c>
      <c r="T2096" s="6" t="s">
        <v>21</v>
      </c>
      <c r="U2096" s="6">
        <f t="shared" si="245"/>
        <v>0</v>
      </c>
      <c r="V2096" s="6">
        <f t="shared" si="249"/>
        <v>0</v>
      </c>
    </row>
    <row r="2097" spans="1:22" x14ac:dyDescent="0.35">
      <c r="A2097" s="6" t="s">
        <v>2311</v>
      </c>
      <c r="B2097" s="6" t="s">
        <v>2283</v>
      </c>
      <c r="C2097" s="6" t="s">
        <v>2284</v>
      </c>
      <c r="D2097" s="6">
        <f t="shared" si="246"/>
        <v>0.5</v>
      </c>
      <c r="E2097" s="6" t="s">
        <v>19</v>
      </c>
      <c r="F2097" s="6" t="str">
        <f>MID(A2097,19,1)</f>
        <v>N</v>
      </c>
      <c r="G2097" s="6">
        <v>-22.906372100445839</v>
      </c>
      <c r="H2097" s="6">
        <v>-47.105475686239657</v>
      </c>
      <c r="I2097" s="9">
        <v>2107.5100000000002</v>
      </c>
      <c r="K2097" s="6">
        <v>5.71</v>
      </c>
      <c r="L2097" s="6">
        <v>40</v>
      </c>
      <c r="N2097" s="1">
        <f t="shared" si="244"/>
        <v>0</v>
      </c>
      <c r="O2097" s="6" t="s">
        <v>20</v>
      </c>
      <c r="Q2097" s="6" t="s">
        <v>21</v>
      </c>
      <c r="R2097" s="6" t="s">
        <v>21</v>
      </c>
      <c r="S2097" s="6" t="s">
        <v>21</v>
      </c>
      <c r="T2097" s="6" t="s">
        <v>21</v>
      </c>
      <c r="U2097" s="6">
        <f t="shared" si="245"/>
        <v>843.00400000000013</v>
      </c>
      <c r="V2097" s="6">
        <f t="shared" si="249"/>
        <v>843.00400000000013</v>
      </c>
    </row>
    <row r="2098" spans="1:22" x14ac:dyDescent="0.35">
      <c r="A2098" s="6" t="s">
        <v>2312</v>
      </c>
      <c r="B2098" s="6" t="s">
        <v>2283</v>
      </c>
      <c r="C2098" s="6" t="s">
        <v>2284</v>
      </c>
      <c r="D2098" s="6">
        <f t="shared" si="246"/>
        <v>0.5</v>
      </c>
      <c r="E2098" s="6" t="s">
        <v>19</v>
      </c>
      <c r="F2098" s="6" t="str">
        <f>MID(A2098,19,1)</f>
        <v>N</v>
      </c>
      <c r="G2098" s="6">
        <v>-22.90395076499297</v>
      </c>
      <c r="H2098" s="6">
        <v>-47.107467045011091</v>
      </c>
      <c r="I2098" s="9">
        <v>543.01</v>
      </c>
      <c r="K2098" s="6">
        <v>4.0599999999999996</v>
      </c>
      <c r="L2098" s="6">
        <v>40</v>
      </c>
      <c r="N2098" s="1">
        <f t="shared" si="244"/>
        <v>0</v>
      </c>
      <c r="O2098" s="6" t="s">
        <v>20</v>
      </c>
      <c r="Q2098" s="6" t="s">
        <v>21</v>
      </c>
      <c r="R2098" s="6" t="s">
        <v>21</v>
      </c>
      <c r="S2098" s="6" t="s">
        <v>21</v>
      </c>
      <c r="T2098" s="6" t="s">
        <v>21</v>
      </c>
      <c r="U2098" s="6">
        <f t="shared" si="245"/>
        <v>217.20400000000001</v>
      </c>
      <c r="V2098" s="6">
        <f t="shared" si="249"/>
        <v>217.20400000000001</v>
      </c>
    </row>
    <row r="2099" spans="1:22" x14ac:dyDescent="0.35">
      <c r="A2099" s="6" t="s">
        <v>2313</v>
      </c>
      <c r="B2099" s="6" t="s">
        <v>2283</v>
      </c>
      <c r="C2099" s="6" t="s">
        <v>2284</v>
      </c>
      <c r="D2099" s="6">
        <f t="shared" si="246"/>
        <v>0.5</v>
      </c>
      <c r="E2099" s="6" t="s">
        <v>19</v>
      </c>
      <c r="F2099" s="6" t="str">
        <f>MID(A2099,19,1)</f>
        <v>N</v>
      </c>
      <c r="G2099" s="6">
        <v>-22.90421083675572</v>
      </c>
      <c r="H2099" s="6">
        <v>-47.107520558078413</v>
      </c>
      <c r="I2099" s="9">
        <v>535.24</v>
      </c>
      <c r="K2099" s="6">
        <v>3.42</v>
      </c>
      <c r="L2099" s="6">
        <v>40</v>
      </c>
      <c r="N2099" s="1">
        <f t="shared" si="244"/>
        <v>0</v>
      </c>
      <c r="O2099" s="6" t="s">
        <v>20</v>
      </c>
      <c r="Q2099" s="6" t="s">
        <v>21</v>
      </c>
      <c r="R2099" s="6" t="s">
        <v>21</v>
      </c>
      <c r="S2099" s="6" t="s">
        <v>21</v>
      </c>
      <c r="T2099" s="6" t="s">
        <v>21</v>
      </c>
      <c r="U2099" s="6">
        <f t="shared" si="245"/>
        <v>214.096</v>
      </c>
      <c r="V2099" s="6">
        <f t="shared" si="249"/>
        <v>214.096</v>
      </c>
    </row>
    <row r="2100" spans="1:22" hidden="1" x14ac:dyDescent="0.35">
      <c r="A2100" s="6" t="s">
        <v>2314</v>
      </c>
      <c r="B2100" s="6" t="s">
        <v>2315</v>
      </c>
      <c r="C2100" s="6" t="s">
        <v>2316</v>
      </c>
      <c r="D2100" s="6">
        <f t="shared" si="246"/>
        <v>0.5</v>
      </c>
      <c r="E2100" s="6" t="s">
        <v>23</v>
      </c>
      <c r="F2100" s="6" t="str">
        <f>MID(A2100,19,1)</f>
        <v>C</v>
      </c>
      <c r="G2100" s="6">
        <v>-22.897518667868621</v>
      </c>
      <c r="H2100" s="6">
        <v>-47.108761682917503</v>
      </c>
      <c r="I2100" s="9">
        <v>35717.5</v>
      </c>
      <c r="J2100" s="9">
        <f>I2100/500</f>
        <v>71.435000000000002</v>
      </c>
      <c r="K2100" s="6">
        <v>3.2</v>
      </c>
      <c r="L2100" s="6">
        <v>40</v>
      </c>
      <c r="N2100" s="1">
        <f t="shared" si="244"/>
        <v>0</v>
      </c>
      <c r="O2100" s="6" t="s">
        <v>20</v>
      </c>
      <c r="Q2100" s="6" t="s">
        <v>21</v>
      </c>
      <c r="R2100" s="6" t="s">
        <v>21</v>
      </c>
      <c r="S2100" s="6" t="s">
        <v>21</v>
      </c>
      <c r="T2100" s="6" t="s">
        <v>21</v>
      </c>
      <c r="U2100" s="6">
        <f t="shared" si="245"/>
        <v>14287</v>
      </c>
      <c r="V2100" s="6">
        <f t="shared" si="249"/>
        <v>14287</v>
      </c>
    </row>
    <row r="2101" spans="1:22" x14ac:dyDescent="0.35">
      <c r="A2101" s="6" t="s">
        <v>2317</v>
      </c>
      <c r="B2101" s="6" t="s">
        <v>2315</v>
      </c>
      <c r="C2101" s="6" t="s">
        <v>2316</v>
      </c>
      <c r="D2101" s="6">
        <f t="shared" si="246"/>
        <v>0.5</v>
      </c>
      <c r="E2101" s="6" t="s">
        <v>19</v>
      </c>
      <c r="F2101" s="6" t="str">
        <f>MID(A2101,19,1)</f>
        <v>N</v>
      </c>
      <c r="G2101" s="6">
        <v>-22.896262218552732</v>
      </c>
      <c r="H2101" s="6">
        <v>-47.110230756124309</v>
      </c>
      <c r="I2101" s="9">
        <v>940.17</v>
      </c>
      <c r="K2101" s="6">
        <v>2.09</v>
      </c>
      <c r="L2101" s="6">
        <v>40</v>
      </c>
      <c r="N2101" s="1">
        <f t="shared" si="244"/>
        <v>0</v>
      </c>
      <c r="O2101" s="6" t="s">
        <v>20</v>
      </c>
      <c r="Q2101" s="6" t="s">
        <v>21</v>
      </c>
      <c r="R2101" s="6" t="s">
        <v>21</v>
      </c>
      <c r="S2101" s="6" t="s">
        <v>21</v>
      </c>
      <c r="T2101" s="6" t="s">
        <v>21</v>
      </c>
      <c r="U2101" s="6">
        <f t="shared" si="245"/>
        <v>376.06799999999998</v>
      </c>
      <c r="V2101" s="6">
        <f t="shared" si="249"/>
        <v>376.06799999999998</v>
      </c>
    </row>
    <row r="2102" spans="1:22" x14ac:dyDescent="0.35">
      <c r="A2102" s="6" t="s">
        <v>2318</v>
      </c>
      <c r="B2102" s="6" t="s">
        <v>2315</v>
      </c>
      <c r="C2102" s="6" t="s">
        <v>2316</v>
      </c>
      <c r="D2102" s="6">
        <f t="shared" si="246"/>
        <v>0.5</v>
      </c>
      <c r="E2102" s="6" t="s">
        <v>19</v>
      </c>
      <c r="F2102" s="6" t="str">
        <f>MID(A2102,19,1)</f>
        <v>N</v>
      </c>
      <c r="G2102" s="6">
        <v>-22.89906129999909</v>
      </c>
      <c r="H2102" s="6">
        <v>-47.108971446050766</v>
      </c>
      <c r="I2102" s="9">
        <v>322.41000000000003</v>
      </c>
      <c r="K2102" s="6">
        <v>2.5</v>
      </c>
      <c r="L2102" s="6">
        <v>40</v>
      </c>
      <c r="N2102" s="1">
        <f t="shared" si="244"/>
        <v>0</v>
      </c>
      <c r="O2102" s="6" t="s">
        <v>20</v>
      </c>
      <c r="Q2102" s="6" t="s">
        <v>21</v>
      </c>
      <c r="R2102" s="6" t="s">
        <v>21</v>
      </c>
      <c r="S2102" s="6" t="s">
        <v>21</v>
      </c>
      <c r="T2102" s="6" t="s">
        <v>21</v>
      </c>
      <c r="U2102" s="6">
        <f t="shared" si="245"/>
        <v>128.96400000000003</v>
      </c>
      <c r="V2102" s="6">
        <f t="shared" si="249"/>
        <v>128.96400000000003</v>
      </c>
    </row>
    <row r="2103" spans="1:22" x14ac:dyDescent="0.35">
      <c r="A2103" s="6" t="s">
        <v>2319</v>
      </c>
      <c r="B2103" s="6" t="s">
        <v>2315</v>
      </c>
      <c r="C2103" s="6" t="s">
        <v>2316</v>
      </c>
      <c r="D2103" s="6">
        <f t="shared" si="246"/>
        <v>0.5</v>
      </c>
      <c r="E2103" s="6" t="s">
        <v>19</v>
      </c>
      <c r="F2103" s="6" t="str">
        <f>MID(A2103,19,1)</f>
        <v>N</v>
      </c>
      <c r="G2103" s="6">
        <v>-22.900286440928831</v>
      </c>
      <c r="H2103" s="6">
        <v>-47.109318831604071</v>
      </c>
      <c r="I2103" s="9">
        <v>112.41</v>
      </c>
      <c r="K2103" s="6">
        <v>2.99</v>
      </c>
      <c r="L2103" s="6">
        <v>40</v>
      </c>
      <c r="N2103" s="1">
        <f t="shared" si="244"/>
        <v>0</v>
      </c>
      <c r="O2103" s="6" t="s">
        <v>20</v>
      </c>
      <c r="Q2103" s="6" t="s">
        <v>21</v>
      </c>
      <c r="R2103" s="6" t="s">
        <v>21</v>
      </c>
      <c r="S2103" s="6" t="s">
        <v>21</v>
      </c>
      <c r="T2103" s="6" t="s">
        <v>21</v>
      </c>
      <c r="U2103" s="6">
        <f t="shared" si="245"/>
        <v>44.963999999999999</v>
      </c>
      <c r="V2103" s="6">
        <f t="shared" si="249"/>
        <v>44.963999999999999</v>
      </c>
    </row>
    <row r="2104" spans="1:22" x14ac:dyDescent="0.35">
      <c r="A2104" s="6" t="s">
        <v>2320</v>
      </c>
      <c r="B2104" s="6" t="s">
        <v>2315</v>
      </c>
      <c r="C2104" s="6" t="s">
        <v>2316</v>
      </c>
      <c r="D2104" s="6">
        <f t="shared" si="246"/>
        <v>0.5</v>
      </c>
      <c r="E2104" s="6" t="s">
        <v>19</v>
      </c>
      <c r="F2104" s="6" t="str">
        <f>MID(A2104,19,1)</f>
        <v>N</v>
      </c>
      <c r="G2104" s="6">
        <v>-22.915372264497488</v>
      </c>
      <c r="H2104" s="6">
        <v>-47.156380750445052</v>
      </c>
      <c r="I2104" s="9">
        <v>326.86</v>
      </c>
      <c r="K2104" s="6">
        <v>1.19</v>
      </c>
      <c r="L2104" s="6">
        <v>70</v>
      </c>
      <c r="N2104" s="1">
        <f t="shared" si="244"/>
        <v>0</v>
      </c>
      <c r="O2104" s="6" t="s">
        <v>20</v>
      </c>
      <c r="Q2104" s="6" t="s">
        <v>21</v>
      </c>
      <c r="R2104" s="6" t="s">
        <v>21</v>
      </c>
      <c r="S2104" s="6" t="s">
        <v>21</v>
      </c>
      <c r="T2104" s="6" t="s">
        <v>21</v>
      </c>
      <c r="U2104" s="6">
        <f t="shared" si="245"/>
        <v>228.80199999999999</v>
      </c>
      <c r="V2104" s="6">
        <f t="shared" si="249"/>
        <v>228.80199999999999</v>
      </c>
    </row>
    <row r="2105" spans="1:22" hidden="1" x14ac:dyDescent="0.35">
      <c r="A2105" s="6" t="s">
        <v>2321</v>
      </c>
      <c r="B2105" s="6" t="s">
        <v>2315</v>
      </c>
      <c r="C2105" s="6" t="s">
        <v>2316</v>
      </c>
      <c r="D2105" s="6">
        <f t="shared" si="246"/>
        <v>0.5</v>
      </c>
      <c r="E2105" s="6" t="s">
        <v>19</v>
      </c>
      <c r="F2105" s="6" t="str">
        <f>MID(A2105,19,1)</f>
        <v>S</v>
      </c>
      <c r="G2105" s="6">
        <v>-22.89852085203486</v>
      </c>
      <c r="H2105" s="6">
        <v>-47.112179968522767</v>
      </c>
      <c r="I2105" s="9">
        <v>3.61</v>
      </c>
      <c r="K2105" s="6">
        <v>0.73</v>
      </c>
      <c r="N2105" s="1">
        <f t="shared" si="244"/>
        <v>0</v>
      </c>
      <c r="Q2105" s="6" t="s">
        <v>21</v>
      </c>
      <c r="R2105" s="6" t="s">
        <v>21</v>
      </c>
      <c r="S2105" s="6" t="s">
        <v>21</v>
      </c>
      <c r="T2105" s="6" t="s">
        <v>21</v>
      </c>
      <c r="U2105" s="6">
        <f t="shared" si="245"/>
        <v>0</v>
      </c>
      <c r="V2105" s="6">
        <f t="shared" si="249"/>
        <v>0</v>
      </c>
    </row>
    <row r="2106" spans="1:22" hidden="1" x14ac:dyDescent="0.35">
      <c r="A2106" s="6" t="s">
        <v>2322</v>
      </c>
      <c r="B2106" s="6" t="s">
        <v>2315</v>
      </c>
      <c r="C2106" s="6" t="s">
        <v>2316</v>
      </c>
      <c r="D2106" s="6">
        <f t="shared" si="246"/>
        <v>0.5</v>
      </c>
      <c r="E2106" s="6" t="s">
        <v>19</v>
      </c>
      <c r="F2106" s="6" t="str">
        <f>MID(A2106,19,1)</f>
        <v>S</v>
      </c>
      <c r="G2106" s="6">
        <v>-22.90041366479473</v>
      </c>
      <c r="H2106" s="6">
        <v>-47.10977996486772</v>
      </c>
      <c r="I2106" s="9">
        <v>365.15</v>
      </c>
      <c r="K2106" s="6">
        <v>2.33</v>
      </c>
      <c r="L2106" s="6">
        <v>0</v>
      </c>
      <c r="N2106" s="1">
        <f t="shared" si="244"/>
        <v>0</v>
      </c>
      <c r="Q2106" s="6" t="s">
        <v>21</v>
      </c>
      <c r="R2106" s="6" t="s">
        <v>21</v>
      </c>
      <c r="S2106" s="6" t="s">
        <v>21</v>
      </c>
      <c r="T2106" s="6" t="s">
        <v>21</v>
      </c>
      <c r="U2106" s="6">
        <f t="shared" si="245"/>
        <v>0</v>
      </c>
      <c r="V2106" s="6">
        <f t="shared" si="249"/>
        <v>0</v>
      </c>
    </row>
    <row r="2107" spans="1:22" hidden="1" x14ac:dyDescent="0.35">
      <c r="A2107" s="6" t="s">
        <v>2323</v>
      </c>
      <c r="B2107" s="6" t="s">
        <v>2315</v>
      </c>
      <c r="C2107" s="6" t="s">
        <v>2316</v>
      </c>
      <c r="D2107" s="6">
        <f t="shared" si="246"/>
        <v>0.5</v>
      </c>
      <c r="E2107" s="6" t="s">
        <v>19</v>
      </c>
      <c r="F2107" s="6" t="str">
        <f>MID(A2107,19,1)</f>
        <v>S</v>
      </c>
      <c r="G2107" s="6">
        <v>-22.91707636088104</v>
      </c>
      <c r="H2107" s="6">
        <v>-47.154703610174792</v>
      </c>
      <c r="I2107" s="9">
        <v>1725.04</v>
      </c>
      <c r="K2107" s="6">
        <v>4.4400000000000004</v>
      </c>
      <c r="L2107" s="6">
        <v>70</v>
      </c>
      <c r="N2107" s="1">
        <f t="shared" si="244"/>
        <v>0</v>
      </c>
      <c r="O2107" s="6" t="s">
        <v>20</v>
      </c>
      <c r="Q2107" s="6" t="s">
        <v>21</v>
      </c>
      <c r="R2107" s="6" t="s">
        <v>21</v>
      </c>
      <c r="S2107" s="6" t="s">
        <v>21</v>
      </c>
      <c r="T2107" s="6" t="s">
        <v>21</v>
      </c>
      <c r="U2107" s="6">
        <f t="shared" si="245"/>
        <v>1207.5279999999998</v>
      </c>
      <c r="V2107" s="6">
        <f t="shared" si="249"/>
        <v>1207.5279999999998</v>
      </c>
    </row>
    <row r="2108" spans="1:22" x14ac:dyDescent="0.35">
      <c r="A2108" s="6" t="s">
        <v>2324</v>
      </c>
      <c r="B2108" s="6" t="s">
        <v>2315</v>
      </c>
      <c r="C2108" s="6" t="s">
        <v>2316</v>
      </c>
      <c r="D2108" s="6">
        <f t="shared" si="246"/>
        <v>0.5</v>
      </c>
      <c r="E2108" s="6" t="s">
        <v>19</v>
      </c>
      <c r="F2108" s="6" t="str">
        <f>MID(A2108,19,1)</f>
        <v>N</v>
      </c>
      <c r="G2108" s="6">
        <v>-22.918868482661701</v>
      </c>
      <c r="H2108" s="6">
        <v>-47.150350345310343</v>
      </c>
      <c r="I2108" s="9">
        <v>2167.5</v>
      </c>
      <c r="K2108" s="6">
        <v>5.27</v>
      </c>
      <c r="L2108" s="6">
        <v>50</v>
      </c>
      <c r="N2108" s="1">
        <f t="shared" si="244"/>
        <v>0</v>
      </c>
      <c r="O2108" s="6" t="s">
        <v>20</v>
      </c>
      <c r="Q2108" s="6" t="s">
        <v>21</v>
      </c>
      <c r="R2108" s="6" t="s">
        <v>21</v>
      </c>
      <c r="S2108" s="6" t="s">
        <v>21</v>
      </c>
      <c r="T2108" s="6" t="s">
        <v>21</v>
      </c>
      <c r="U2108" s="6">
        <f t="shared" si="245"/>
        <v>1083.75</v>
      </c>
      <c r="V2108" s="6">
        <f t="shared" si="249"/>
        <v>1083.75</v>
      </c>
    </row>
    <row r="2109" spans="1:22" hidden="1" x14ac:dyDescent="0.35">
      <c r="A2109" s="6" t="s">
        <v>2325</v>
      </c>
      <c r="B2109" s="6" t="s">
        <v>2315</v>
      </c>
      <c r="C2109" s="6" t="s">
        <v>2316</v>
      </c>
      <c r="D2109" s="6">
        <f t="shared" si="246"/>
        <v>0.5</v>
      </c>
      <c r="E2109" s="6" t="s">
        <v>19</v>
      </c>
      <c r="F2109" s="6" t="str">
        <f>MID(A2109,19,1)</f>
        <v>S</v>
      </c>
      <c r="G2109" s="6">
        <v>-22.896316402194419</v>
      </c>
      <c r="H2109" s="6">
        <v>-47.11118709427479</v>
      </c>
      <c r="I2109" s="9">
        <v>194.04</v>
      </c>
      <c r="K2109" s="6">
        <v>3.34</v>
      </c>
      <c r="L2109" s="6">
        <v>50</v>
      </c>
      <c r="N2109" s="1">
        <f t="shared" si="244"/>
        <v>0</v>
      </c>
      <c r="O2109" s="6" t="s">
        <v>20</v>
      </c>
      <c r="Q2109" s="6" t="s">
        <v>21</v>
      </c>
      <c r="R2109" s="6" t="s">
        <v>21</v>
      </c>
      <c r="S2109" s="6" t="s">
        <v>21</v>
      </c>
      <c r="T2109" s="6" t="s">
        <v>21</v>
      </c>
      <c r="U2109" s="6">
        <f t="shared" si="245"/>
        <v>97.02</v>
      </c>
      <c r="V2109" s="6">
        <f t="shared" si="249"/>
        <v>97.02</v>
      </c>
    </row>
    <row r="2110" spans="1:22" hidden="1" x14ac:dyDescent="0.35">
      <c r="A2110" s="6" t="s">
        <v>2326</v>
      </c>
      <c r="B2110" s="6" t="s">
        <v>2315</v>
      </c>
      <c r="C2110" s="6" t="s">
        <v>2316</v>
      </c>
      <c r="D2110" s="6">
        <f t="shared" si="246"/>
        <v>0.5</v>
      </c>
      <c r="E2110" s="6" t="s">
        <v>19</v>
      </c>
      <c r="F2110" s="6" t="str">
        <f>MID(A2110,19,1)</f>
        <v>S</v>
      </c>
      <c r="G2110" s="6">
        <v>-22.89550957496586</v>
      </c>
      <c r="H2110" s="6">
        <v>-47.111157289878257</v>
      </c>
      <c r="I2110" s="9">
        <v>4330.01</v>
      </c>
      <c r="K2110" s="6">
        <v>2.35</v>
      </c>
      <c r="L2110" s="6">
        <v>50</v>
      </c>
      <c r="N2110" s="1">
        <f t="shared" si="244"/>
        <v>0</v>
      </c>
      <c r="O2110" s="6" t="s">
        <v>20</v>
      </c>
      <c r="Q2110" s="6" t="s">
        <v>21</v>
      </c>
      <c r="R2110" s="6" t="s">
        <v>21</v>
      </c>
      <c r="S2110" s="6" t="s">
        <v>21</v>
      </c>
      <c r="T2110" s="6" t="s">
        <v>21</v>
      </c>
      <c r="U2110" s="6">
        <f t="shared" si="245"/>
        <v>2165.0050000000001</v>
      </c>
      <c r="V2110" s="6">
        <f t="shared" si="249"/>
        <v>2165.0050000000001</v>
      </c>
    </row>
    <row r="2111" spans="1:22" hidden="1" x14ac:dyDescent="0.35">
      <c r="A2111" s="6" t="s">
        <v>2327</v>
      </c>
      <c r="B2111" s="6" t="s">
        <v>2315</v>
      </c>
      <c r="C2111" s="6" t="s">
        <v>2316</v>
      </c>
      <c r="D2111" s="6">
        <f t="shared" si="246"/>
        <v>0.5</v>
      </c>
      <c r="E2111" s="6" t="s">
        <v>19</v>
      </c>
      <c r="F2111" s="6" t="str">
        <f>MID(A2111,19,1)</f>
        <v>S</v>
      </c>
      <c r="G2111" s="6">
        <v>-22.892939529367879</v>
      </c>
      <c r="H2111" s="6">
        <v>-47.111867207799968</v>
      </c>
      <c r="I2111" s="9">
        <v>343.7</v>
      </c>
      <c r="K2111" s="6">
        <v>1.75</v>
      </c>
      <c r="L2111" s="6">
        <v>50</v>
      </c>
      <c r="N2111" s="1">
        <f t="shared" si="244"/>
        <v>0</v>
      </c>
      <c r="O2111" s="6" t="s">
        <v>20</v>
      </c>
      <c r="Q2111" s="6" t="s">
        <v>21</v>
      </c>
      <c r="R2111" s="6" t="s">
        <v>21</v>
      </c>
      <c r="S2111" s="6" t="s">
        <v>21</v>
      </c>
      <c r="T2111" s="6" t="s">
        <v>21</v>
      </c>
      <c r="U2111" s="6">
        <f t="shared" si="245"/>
        <v>171.85</v>
      </c>
      <c r="V2111" s="6">
        <f t="shared" si="249"/>
        <v>171.85</v>
      </c>
    </row>
    <row r="2112" spans="1:22" x14ac:dyDescent="0.35">
      <c r="A2112" s="6" t="s">
        <v>2328</v>
      </c>
      <c r="B2112" s="6" t="s">
        <v>2315</v>
      </c>
      <c r="C2112" s="6" t="s">
        <v>2316</v>
      </c>
      <c r="D2112" s="6">
        <f t="shared" si="246"/>
        <v>0.5</v>
      </c>
      <c r="E2112" s="6" t="s">
        <v>19</v>
      </c>
      <c r="F2112" s="6" t="str">
        <f>MID(A2112,19,1)</f>
        <v>N</v>
      </c>
      <c r="G2112" s="6">
        <v>-22.897197832854939</v>
      </c>
      <c r="H2112" s="6">
        <v>-47.107453452554871</v>
      </c>
      <c r="I2112" s="9">
        <v>264.27</v>
      </c>
      <c r="K2112" s="6">
        <v>4.1100000000000003</v>
      </c>
      <c r="L2112" s="6">
        <v>40</v>
      </c>
      <c r="N2112" s="1">
        <f t="shared" si="244"/>
        <v>0</v>
      </c>
      <c r="O2112" s="6" t="s">
        <v>20</v>
      </c>
      <c r="Q2112" s="6" t="s">
        <v>21</v>
      </c>
      <c r="R2112" s="6" t="s">
        <v>21</v>
      </c>
      <c r="S2112" s="6" t="s">
        <v>21</v>
      </c>
      <c r="T2112" s="6" t="s">
        <v>21</v>
      </c>
      <c r="U2112" s="6">
        <f t="shared" si="245"/>
        <v>105.708</v>
      </c>
      <c r="V2112" s="6">
        <f t="shared" si="249"/>
        <v>105.708</v>
      </c>
    </row>
    <row r="2113" spans="1:22" x14ac:dyDescent="0.35">
      <c r="A2113" s="6" t="s">
        <v>2329</v>
      </c>
      <c r="B2113" s="6" t="s">
        <v>2315</v>
      </c>
      <c r="C2113" s="6" t="s">
        <v>2316</v>
      </c>
      <c r="D2113" s="6">
        <f t="shared" si="246"/>
        <v>0.5</v>
      </c>
      <c r="E2113" s="6" t="s">
        <v>19</v>
      </c>
      <c r="F2113" s="6" t="str">
        <f>MID(A2113,19,1)</f>
        <v>N</v>
      </c>
      <c r="G2113" s="6">
        <v>-22.896893711959759</v>
      </c>
      <c r="H2113" s="6">
        <v>-47.109875504926997</v>
      </c>
      <c r="I2113" s="9">
        <v>6900.16</v>
      </c>
      <c r="K2113" s="6">
        <v>2.59</v>
      </c>
      <c r="L2113" s="6">
        <v>40</v>
      </c>
      <c r="N2113" s="1">
        <f t="shared" si="244"/>
        <v>0</v>
      </c>
      <c r="O2113" s="6" t="s">
        <v>20</v>
      </c>
      <c r="Q2113" s="6" t="s">
        <v>21</v>
      </c>
      <c r="R2113" s="6" t="s">
        <v>21</v>
      </c>
      <c r="S2113" s="6" t="s">
        <v>21</v>
      </c>
      <c r="T2113" s="6" t="s">
        <v>21</v>
      </c>
      <c r="U2113" s="6">
        <f t="shared" si="245"/>
        <v>2760.0640000000003</v>
      </c>
      <c r="V2113" s="6">
        <f t="shared" si="249"/>
        <v>2760.0640000000003</v>
      </c>
    </row>
    <row r="2114" spans="1:22" hidden="1" x14ac:dyDescent="0.35">
      <c r="A2114" s="6" t="s">
        <v>2330</v>
      </c>
      <c r="B2114" s="6" t="s">
        <v>2315</v>
      </c>
      <c r="C2114" s="6" t="s">
        <v>2316</v>
      </c>
      <c r="D2114" s="6">
        <f t="shared" si="246"/>
        <v>0.5</v>
      </c>
      <c r="E2114" s="6" t="s">
        <v>23</v>
      </c>
      <c r="F2114" s="6" t="str">
        <f>MID(A2114,19,1)</f>
        <v>C</v>
      </c>
      <c r="G2114" s="6">
        <v>-22.91688549879159</v>
      </c>
      <c r="H2114" s="6">
        <v>-47.154522947401212</v>
      </c>
      <c r="I2114" s="9">
        <v>4881.0200000000004</v>
      </c>
      <c r="J2114" s="9">
        <f>I2114/500</f>
        <v>9.7620400000000007</v>
      </c>
      <c r="K2114" s="6">
        <v>4.45</v>
      </c>
      <c r="L2114" s="6">
        <v>80</v>
      </c>
      <c r="N2114" s="1">
        <f t="shared" ref="N2114:N2177" si="250">IF(OR(R2114="Sim",S2114="Sim",T2114="Sim"),(L2114/100)*I2114,0)</f>
        <v>0</v>
      </c>
      <c r="O2114" s="6" t="s">
        <v>20</v>
      </c>
      <c r="Q2114" s="6" t="s">
        <v>21</v>
      </c>
      <c r="R2114" s="6" t="s">
        <v>21</v>
      </c>
      <c r="S2114" s="6" t="s">
        <v>21</v>
      </c>
      <c r="T2114" s="6" t="s">
        <v>21</v>
      </c>
      <c r="U2114" s="6">
        <f t="shared" si="245"/>
        <v>3904.8160000000007</v>
      </c>
      <c r="V2114" s="6">
        <f t="shared" si="249"/>
        <v>3904.8160000000007</v>
      </c>
    </row>
    <row r="2115" spans="1:22" x14ac:dyDescent="0.35">
      <c r="A2115" s="6" t="s">
        <v>2331</v>
      </c>
      <c r="B2115" s="6" t="s">
        <v>2315</v>
      </c>
      <c r="C2115" s="6" t="s">
        <v>2316</v>
      </c>
      <c r="D2115" s="6">
        <f t="shared" si="246"/>
        <v>0.5</v>
      </c>
      <c r="E2115" s="6" t="s">
        <v>19</v>
      </c>
      <c r="F2115" s="6" t="str">
        <f>MID(A2115,19,1)</f>
        <v>N</v>
      </c>
      <c r="G2115" s="6">
        <v>-22.896403095190269</v>
      </c>
      <c r="H2115" s="6">
        <v>-47.108841139127797</v>
      </c>
      <c r="I2115" s="9">
        <v>319.27</v>
      </c>
      <c r="K2115" s="6">
        <v>3.18</v>
      </c>
      <c r="L2115" s="6">
        <v>40</v>
      </c>
      <c r="N2115" s="1">
        <f t="shared" si="250"/>
        <v>0</v>
      </c>
      <c r="O2115" s="6" t="s">
        <v>20</v>
      </c>
      <c r="Q2115" s="6" t="s">
        <v>21</v>
      </c>
      <c r="R2115" s="6" t="s">
        <v>21</v>
      </c>
      <c r="S2115" s="6" t="s">
        <v>21</v>
      </c>
      <c r="T2115" s="6" t="s">
        <v>21</v>
      </c>
      <c r="U2115" s="6">
        <f t="shared" ref="U2115:U2178" si="251">IF(N2115=0,(I2115*(L2115/100)),0)</f>
        <v>127.708</v>
      </c>
      <c r="V2115" s="6">
        <f t="shared" si="249"/>
        <v>127.708</v>
      </c>
    </row>
    <row r="2116" spans="1:22" hidden="1" x14ac:dyDescent="0.35">
      <c r="A2116" s="6" t="s">
        <v>2332</v>
      </c>
      <c r="B2116" s="6" t="s">
        <v>2315</v>
      </c>
      <c r="C2116" s="6" t="s">
        <v>2316</v>
      </c>
      <c r="D2116" s="6">
        <f t="shared" si="246"/>
        <v>0.5</v>
      </c>
      <c r="E2116" s="6" t="s">
        <v>19</v>
      </c>
      <c r="F2116" s="6" t="str">
        <f>MID(A2116,19,1)</f>
        <v>S</v>
      </c>
      <c r="G2116" s="6">
        <v>-22.897858534156541</v>
      </c>
      <c r="H2116" s="6">
        <v>-47.110707287272412</v>
      </c>
      <c r="I2116" s="9">
        <v>3482.12</v>
      </c>
      <c r="K2116" s="6">
        <v>1.99</v>
      </c>
      <c r="L2116" s="6">
        <v>0</v>
      </c>
      <c r="N2116" s="1">
        <f t="shared" si="250"/>
        <v>0</v>
      </c>
      <c r="Q2116" s="6" t="s">
        <v>21</v>
      </c>
      <c r="R2116" s="6" t="s">
        <v>21</v>
      </c>
      <c r="S2116" s="6" t="s">
        <v>21</v>
      </c>
      <c r="T2116" s="6" t="s">
        <v>21</v>
      </c>
      <c r="U2116" s="6">
        <f t="shared" si="251"/>
        <v>0</v>
      </c>
      <c r="V2116" s="6">
        <f t="shared" si="249"/>
        <v>0</v>
      </c>
    </row>
    <row r="2117" spans="1:22" x14ac:dyDescent="0.35">
      <c r="A2117" s="6" t="s">
        <v>2333</v>
      </c>
      <c r="B2117" s="6" t="s">
        <v>2315</v>
      </c>
      <c r="C2117" s="6" t="s">
        <v>2316</v>
      </c>
      <c r="D2117" s="6">
        <f t="shared" si="246"/>
        <v>0.5</v>
      </c>
      <c r="E2117" s="6" t="s">
        <v>19</v>
      </c>
      <c r="F2117" s="6" t="str">
        <f>MID(A2117,19,1)</f>
        <v>N</v>
      </c>
      <c r="G2117" s="6">
        <v>-22.893782256502661</v>
      </c>
      <c r="H2117" s="6">
        <v>-47.111052769661683</v>
      </c>
      <c r="I2117" s="9">
        <v>1797.03</v>
      </c>
      <c r="K2117" s="6">
        <v>2.6</v>
      </c>
      <c r="L2117" s="6">
        <v>40</v>
      </c>
      <c r="N2117" s="1">
        <f t="shared" si="250"/>
        <v>0</v>
      </c>
      <c r="O2117" s="6" t="s">
        <v>20</v>
      </c>
      <c r="Q2117" s="6" t="s">
        <v>21</v>
      </c>
      <c r="R2117" s="6" t="s">
        <v>21</v>
      </c>
      <c r="S2117" s="6" t="s">
        <v>21</v>
      </c>
      <c r="T2117" s="6" t="s">
        <v>21</v>
      </c>
      <c r="U2117" s="6">
        <f t="shared" si="251"/>
        <v>718.81200000000001</v>
      </c>
      <c r="V2117" s="6">
        <f t="shared" si="249"/>
        <v>718.81200000000001</v>
      </c>
    </row>
    <row r="2118" spans="1:22" x14ac:dyDescent="0.35">
      <c r="A2118" s="6" t="s">
        <v>2334</v>
      </c>
      <c r="B2118" s="6" t="s">
        <v>2315</v>
      </c>
      <c r="C2118" s="6" t="s">
        <v>2316</v>
      </c>
      <c r="D2118" s="6">
        <f t="shared" si="246"/>
        <v>0.5</v>
      </c>
      <c r="E2118" s="6" t="s">
        <v>19</v>
      </c>
      <c r="F2118" s="6" t="str">
        <f>MID(A2118,19,1)</f>
        <v>N</v>
      </c>
      <c r="G2118" s="6">
        <v>-22.892817170796651</v>
      </c>
      <c r="H2118" s="6">
        <v>-47.11152534729726</v>
      </c>
      <c r="I2118" s="9">
        <v>1070.99</v>
      </c>
      <c r="K2118" s="6">
        <v>2.21</v>
      </c>
      <c r="L2118" s="6">
        <v>40</v>
      </c>
      <c r="N2118" s="1">
        <f t="shared" si="250"/>
        <v>0</v>
      </c>
      <c r="O2118" s="6" t="s">
        <v>20</v>
      </c>
      <c r="Q2118" s="6" t="s">
        <v>21</v>
      </c>
      <c r="R2118" s="6" t="s">
        <v>21</v>
      </c>
      <c r="S2118" s="6" t="s">
        <v>21</v>
      </c>
      <c r="T2118" s="6" t="s">
        <v>21</v>
      </c>
      <c r="U2118" s="6">
        <f t="shared" si="251"/>
        <v>428.39600000000002</v>
      </c>
      <c r="V2118" s="6">
        <f t="shared" si="249"/>
        <v>428.39600000000002</v>
      </c>
    </row>
    <row r="2119" spans="1:22" x14ac:dyDescent="0.35">
      <c r="A2119" s="6" t="s">
        <v>2335</v>
      </c>
      <c r="B2119" s="6" t="s">
        <v>2315</v>
      </c>
      <c r="C2119" s="6" t="s">
        <v>2316</v>
      </c>
      <c r="D2119" s="6">
        <f t="shared" si="246"/>
        <v>0.5</v>
      </c>
      <c r="E2119" s="6" t="s">
        <v>19</v>
      </c>
      <c r="F2119" s="6" t="str">
        <f>MID(A2119,19,1)</f>
        <v>N</v>
      </c>
      <c r="G2119" s="6">
        <v>-22.895433639385729</v>
      </c>
      <c r="H2119" s="6">
        <v>-47.110634363294807</v>
      </c>
      <c r="I2119" s="9">
        <v>4384.6099999999997</v>
      </c>
      <c r="K2119" s="6">
        <v>2.2999999999999998</v>
      </c>
      <c r="L2119" s="6">
        <v>40</v>
      </c>
      <c r="N2119" s="1">
        <f t="shared" si="250"/>
        <v>0</v>
      </c>
      <c r="O2119" s="6" t="s">
        <v>20</v>
      </c>
      <c r="Q2119" s="6" t="s">
        <v>21</v>
      </c>
      <c r="R2119" s="6" t="s">
        <v>21</v>
      </c>
      <c r="S2119" s="6" t="s">
        <v>21</v>
      </c>
      <c r="T2119" s="6" t="s">
        <v>21</v>
      </c>
      <c r="U2119" s="6">
        <f t="shared" si="251"/>
        <v>1753.8440000000001</v>
      </c>
      <c r="V2119" s="6">
        <f t="shared" si="249"/>
        <v>1753.8440000000001</v>
      </c>
    </row>
    <row r="2120" spans="1:22" hidden="1" x14ac:dyDescent="0.35">
      <c r="A2120" s="6" t="s">
        <v>2336</v>
      </c>
      <c r="B2120" s="6" t="s">
        <v>2315</v>
      </c>
      <c r="C2120" s="6" t="s">
        <v>2316</v>
      </c>
      <c r="D2120" s="6">
        <f t="shared" si="246"/>
        <v>0.5</v>
      </c>
      <c r="E2120" s="6" t="s">
        <v>23</v>
      </c>
      <c r="F2120" s="6" t="str">
        <f>MID(A2120,19,1)</f>
        <v>C</v>
      </c>
      <c r="G2120" s="6">
        <v>-22.91951222698756</v>
      </c>
      <c r="H2120" s="6">
        <v>-47.14958494232058</v>
      </c>
      <c r="I2120" s="9">
        <v>3723.53</v>
      </c>
      <c r="J2120" s="9">
        <f>I2120/500</f>
        <v>7.4470600000000005</v>
      </c>
      <c r="K2120" s="6">
        <v>4.8499999999999996</v>
      </c>
      <c r="L2120" s="6">
        <v>80</v>
      </c>
      <c r="N2120" s="1">
        <f t="shared" si="250"/>
        <v>0</v>
      </c>
      <c r="O2120" s="6" t="s">
        <v>20</v>
      </c>
      <c r="Q2120" s="6" t="s">
        <v>21</v>
      </c>
      <c r="R2120" s="6" t="s">
        <v>21</v>
      </c>
      <c r="S2120" s="6" t="s">
        <v>21</v>
      </c>
      <c r="T2120" s="6" t="s">
        <v>21</v>
      </c>
      <c r="U2120" s="6">
        <f t="shared" si="251"/>
        <v>2978.8240000000005</v>
      </c>
      <c r="V2120" s="6">
        <f t="shared" si="249"/>
        <v>2978.8240000000005</v>
      </c>
    </row>
    <row r="2121" spans="1:22" hidden="1" x14ac:dyDescent="0.35">
      <c r="A2121" s="6" t="s">
        <v>2337</v>
      </c>
      <c r="B2121" s="6" t="s">
        <v>2315</v>
      </c>
      <c r="C2121" s="6" t="s">
        <v>2316</v>
      </c>
      <c r="D2121" s="6">
        <f t="shared" si="246"/>
        <v>0.5</v>
      </c>
      <c r="E2121" s="6" t="s">
        <v>19</v>
      </c>
      <c r="F2121" s="6" t="str">
        <f>MID(A2121,19,1)</f>
        <v>S</v>
      </c>
      <c r="G2121" s="6">
        <v>-22.896562397778439</v>
      </c>
      <c r="H2121" s="6">
        <v>-47.110955981631058</v>
      </c>
      <c r="I2121" s="9">
        <v>758.91</v>
      </c>
      <c r="K2121" s="6">
        <v>3.15</v>
      </c>
      <c r="L2121" s="6">
        <v>0</v>
      </c>
      <c r="N2121" s="1">
        <f t="shared" si="250"/>
        <v>0</v>
      </c>
      <c r="Q2121" s="6" t="s">
        <v>21</v>
      </c>
      <c r="R2121" s="6" t="s">
        <v>21</v>
      </c>
      <c r="S2121" s="6" t="s">
        <v>21</v>
      </c>
      <c r="T2121" s="6" t="s">
        <v>21</v>
      </c>
      <c r="U2121" s="6">
        <f t="shared" si="251"/>
        <v>0</v>
      </c>
      <c r="V2121" s="6">
        <f t="shared" si="249"/>
        <v>0</v>
      </c>
    </row>
    <row r="2122" spans="1:22" x14ac:dyDescent="0.35">
      <c r="A2122" s="6" t="s">
        <v>2338</v>
      </c>
      <c r="B2122" s="6" t="s">
        <v>2315</v>
      </c>
      <c r="C2122" s="6" t="s">
        <v>2316</v>
      </c>
      <c r="D2122" s="6">
        <f t="shared" si="246"/>
        <v>0.5</v>
      </c>
      <c r="E2122" s="6" t="s">
        <v>19</v>
      </c>
      <c r="F2122" s="6" t="str">
        <f>MID(A2122,19,1)</f>
        <v>N</v>
      </c>
      <c r="G2122" s="6">
        <v>-22.900316327475409</v>
      </c>
      <c r="H2122" s="6">
        <v>-47.109490487726298</v>
      </c>
      <c r="I2122" s="9">
        <v>324.27999999999997</v>
      </c>
      <c r="K2122" s="6">
        <v>2.12</v>
      </c>
      <c r="L2122" s="6">
        <v>0</v>
      </c>
      <c r="N2122" s="1">
        <f t="shared" si="250"/>
        <v>0</v>
      </c>
      <c r="Q2122" s="6" t="s">
        <v>21</v>
      </c>
      <c r="R2122" s="6" t="s">
        <v>21</v>
      </c>
      <c r="S2122" s="6" t="s">
        <v>21</v>
      </c>
      <c r="T2122" s="6" t="s">
        <v>21</v>
      </c>
      <c r="U2122" s="6">
        <f t="shared" si="251"/>
        <v>0</v>
      </c>
      <c r="V2122" s="6">
        <f t="shared" si="249"/>
        <v>0</v>
      </c>
    </row>
    <row r="2123" spans="1:22" hidden="1" x14ac:dyDescent="0.35">
      <c r="A2123" s="6" t="s">
        <v>2339</v>
      </c>
      <c r="B2123" s="6" t="s">
        <v>2315</v>
      </c>
      <c r="C2123" s="6" t="s">
        <v>2316</v>
      </c>
      <c r="D2123" s="6">
        <f t="shared" si="246"/>
        <v>0.5</v>
      </c>
      <c r="E2123" s="6" t="s">
        <v>19</v>
      </c>
      <c r="F2123" s="6" t="str">
        <f>MID(A2123,19,1)</f>
        <v>S</v>
      </c>
      <c r="G2123" s="6">
        <v>-22.89920634941581</v>
      </c>
      <c r="H2123" s="6">
        <v>-47.110184563664802</v>
      </c>
      <c r="I2123" s="9">
        <v>2615.83</v>
      </c>
      <c r="K2123" s="6">
        <v>1.52</v>
      </c>
      <c r="L2123" s="6">
        <v>0</v>
      </c>
      <c r="N2123" s="1">
        <f t="shared" si="250"/>
        <v>0</v>
      </c>
      <c r="Q2123" s="6" t="s">
        <v>21</v>
      </c>
      <c r="R2123" s="6" t="s">
        <v>21</v>
      </c>
      <c r="S2123" s="6" t="s">
        <v>21</v>
      </c>
      <c r="T2123" s="6" t="s">
        <v>21</v>
      </c>
      <c r="U2123" s="6">
        <f t="shared" si="251"/>
        <v>0</v>
      </c>
      <c r="V2123" s="6">
        <f t="shared" si="249"/>
        <v>0</v>
      </c>
    </row>
    <row r="2124" spans="1:22" hidden="1" x14ac:dyDescent="0.35">
      <c r="A2124" s="6" t="s">
        <v>2340</v>
      </c>
      <c r="B2124" s="6" t="s">
        <v>2315</v>
      </c>
      <c r="C2124" s="6" t="s">
        <v>2316</v>
      </c>
      <c r="D2124" s="6">
        <f t="shared" si="246"/>
        <v>0.5</v>
      </c>
      <c r="E2124" s="6" t="s">
        <v>19</v>
      </c>
      <c r="F2124" s="6" t="str">
        <f>MID(A2124,19,1)</f>
        <v>S</v>
      </c>
      <c r="G2124" s="6">
        <v>-22.916309528883929</v>
      </c>
      <c r="H2124" s="6">
        <v>-47.156230981852516</v>
      </c>
      <c r="I2124" s="9">
        <v>950.76</v>
      </c>
      <c r="K2124" s="6">
        <v>5.91</v>
      </c>
      <c r="L2124" s="6">
        <v>70</v>
      </c>
      <c r="N2124" s="1">
        <f t="shared" si="250"/>
        <v>0</v>
      </c>
      <c r="O2124" s="6" t="s">
        <v>20</v>
      </c>
      <c r="Q2124" s="6" t="s">
        <v>21</v>
      </c>
      <c r="R2124" s="6" t="s">
        <v>21</v>
      </c>
      <c r="S2124" s="6" t="s">
        <v>21</v>
      </c>
      <c r="T2124" s="6" t="s">
        <v>21</v>
      </c>
      <c r="U2124" s="6">
        <f t="shared" si="251"/>
        <v>665.53199999999993</v>
      </c>
      <c r="V2124" s="6">
        <f t="shared" si="249"/>
        <v>665.53199999999993</v>
      </c>
    </row>
    <row r="2125" spans="1:22" x14ac:dyDescent="0.35">
      <c r="A2125" s="6" t="s">
        <v>2341</v>
      </c>
      <c r="B2125" s="6" t="s">
        <v>2315</v>
      </c>
      <c r="C2125" s="6" t="s">
        <v>2316</v>
      </c>
      <c r="D2125" s="6">
        <f t="shared" si="246"/>
        <v>0.5</v>
      </c>
      <c r="E2125" s="6" t="s">
        <v>19</v>
      </c>
      <c r="F2125" s="6" t="str">
        <f>MID(A2125,19,1)</f>
        <v>N</v>
      </c>
      <c r="G2125" s="6">
        <v>-22.900305333543461</v>
      </c>
      <c r="H2125" s="6">
        <v>-47.109185363153827</v>
      </c>
      <c r="I2125" s="9">
        <v>134.79</v>
      </c>
      <c r="K2125" s="6">
        <v>2.79</v>
      </c>
      <c r="L2125" s="6">
        <v>40</v>
      </c>
      <c r="N2125" s="1">
        <f t="shared" si="250"/>
        <v>0</v>
      </c>
      <c r="O2125" s="6" t="s">
        <v>20</v>
      </c>
      <c r="Q2125" s="6" t="s">
        <v>21</v>
      </c>
      <c r="R2125" s="6" t="s">
        <v>21</v>
      </c>
      <c r="S2125" s="6" t="s">
        <v>21</v>
      </c>
      <c r="T2125" s="6" t="s">
        <v>21</v>
      </c>
      <c r="U2125" s="6">
        <f t="shared" si="251"/>
        <v>53.915999999999997</v>
      </c>
      <c r="V2125" s="6">
        <f t="shared" si="249"/>
        <v>53.915999999999997</v>
      </c>
    </row>
    <row r="2126" spans="1:22" hidden="1" x14ac:dyDescent="0.35">
      <c r="A2126" s="6" t="s">
        <v>2342</v>
      </c>
      <c r="B2126" s="6" t="s">
        <v>2315</v>
      </c>
      <c r="C2126" s="6" t="s">
        <v>2316</v>
      </c>
      <c r="D2126" s="6">
        <f t="shared" ref="D2126:D2189" si="252">C2126-B2126</f>
        <v>0.5</v>
      </c>
      <c r="E2126" s="6" t="s">
        <v>23</v>
      </c>
      <c r="F2126" s="6" t="str">
        <f>MID(A2126,19,1)</f>
        <v>C</v>
      </c>
      <c r="G2126" s="6">
        <v>-22.899425641626362</v>
      </c>
      <c r="H2126" s="6">
        <v>-47.109741338147202</v>
      </c>
      <c r="I2126" s="9">
        <v>547</v>
      </c>
      <c r="J2126" s="9">
        <f>I2126/500</f>
        <v>1.0940000000000001</v>
      </c>
      <c r="K2126" s="6">
        <v>1.9</v>
      </c>
      <c r="L2126" s="6">
        <v>0</v>
      </c>
      <c r="N2126" s="1">
        <f t="shared" si="250"/>
        <v>0</v>
      </c>
      <c r="Q2126" s="6" t="s">
        <v>21</v>
      </c>
      <c r="R2126" s="6" t="s">
        <v>21</v>
      </c>
      <c r="S2126" s="6" t="s">
        <v>21</v>
      </c>
      <c r="T2126" s="6" t="s">
        <v>21</v>
      </c>
      <c r="U2126" s="6">
        <f t="shared" si="251"/>
        <v>0</v>
      </c>
      <c r="V2126" s="6">
        <f t="shared" si="249"/>
        <v>0</v>
      </c>
    </row>
    <row r="2127" spans="1:22" hidden="1" x14ac:dyDescent="0.35">
      <c r="A2127" s="6" t="s">
        <v>2343</v>
      </c>
      <c r="B2127" s="6" t="s">
        <v>2315</v>
      </c>
      <c r="C2127" s="6" t="s">
        <v>2316</v>
      </c>
      <c r="D2127" s="6">
        <f t="shared" si="252"/>
        <v>0.5</v>
      </c>
      <c r="E2127" s="6" t="s">
        <v>19</v>
      </c>
      <c r="F2127" s="6" t="str">
        <f>MID(A2127,19,1)</f>
        <v>S</v>
      </c>
      <c r="G2127" s="6">
        <v>-22.897649998967641</v>
      </c>
      <c r="H2127" s="6">
        <v>-47.111210271972837</v>
      </c>
      <c r="I2127" s="9">
        <v>8668.24</v>
      </c>
      <c r="K2127" s="6">
        <v>2.6</v>
      </c>
      <c r="L2127" s="6">
        <v>0</v>
      </c>
      <c r="N2127" s="1">
        <f t="shared" si="250"/>
        <v>0</v>
      </c>
      <c r="Q2127" s="6" t="s">
        <v>21</v>
      </c>
      <c r="R2127" s="6" t="s">
        <v>21</v>
      </c>
      <c r="S2127" s="6" t="s">
        <v>21</v>
      </c>
      <c r="T2127" s="6" t="s">
        <v>21</v>
      </c>
      <c r="U2127" s="6">
        <f t="shared" si="251"/>
        <v>0</v>
      </c>
      <c r="V2127" s="6">
        <f t="shared" si="249"/>
        <v>0</v>
      </c>
    </row>
    <row r="2128" spans="1:22" hidden="1" x14ac:dyDescent="0.35">
      <c r="A2128" s="6" t="s">
        <v>2344</v>
      </c>
      <c r="B2128" s="6" t="s">
        <v>2315</v>
      </c>
      <c r="C2128" s="6" t="s">
        <v>2316</v>
      </c>
      <c r="D2128" s="6">
        <f t="shared" si="252"/>
        <v>0.5</v>
      </c>
      <c r="E2128" s="6" t="s">
        <v>19</v>
      </c>
      <c r="F2128" s="6" t="str">
        <f>MID(A2128,19,1)</f>
        <v>S</v>
      </c>
      <c r="G2128" s="6">
        <v>-22.897616253876961</v>
      </c>
      <c r="H2128" s="6">
        <v>-47.111785776204833</v>
      </c>
      <c r="I2128" s="9">
        <v>1082.52</v>
      </c>
      <c r="K2128" s="6">
        <v>3.43</v>
      </c>
      <c r="L2128" s="6">
        <v>0</v>
      </c>
      <c r="N2128" s="1">
        <f t="shared" si="250"/>
        <v>0</v>
      </c>
      <c r="Q2128" s="6" t="s">
        <v>21</v>
      </c>
      <c r="R2128" s="6" t="s">
        <v>21</v>
      </c>
      <c r="S2128" s="6" t="s">
        <v>21</v>
      </c>
      <c r="T2128" s="6" t="s">
        <v>21</v>
      </c>
      <c r="U2128" s="6">
        <f t="shared" si="251"/>
        <v>0</v>
      </c>
      <c r="V2128" s="6">
        <f t="shared" si="249"/>
        <v>0</v>
      </c>
    </row>
    <row r="2129" spans="1:22" x14ac:dyDescent="0.35">
      <c r="A2129" s="6" t="s">
        <v>2345</v>
      </c>
      <c r="B2129" s="6" t="s">
        <v>2315</v>
      </c>
      <c r="C2129" s="6" t="s">
        <v>2316</v>
      </c>
      <c r="D2129" s="6">
        <f t="shared" si="252"/>
        <v>0.5</v>
      </c>
      <c r="E2129" s="6" t="s">
        <v>19</v>
      </c>
      <c r="F2129" s="6" t="str">
        <f>MID(A2129,19,1)</f>
        <v>N</v>
      </c>
      <c r="G2129" s="6">
        <v>-22.898183993668219</v>
      </c>
      <c r="H2129" s="6">
        <v>-47.108220751753251</v>
      </c>
      <c r="I2129" s="9">
        <v>1975.58</v>
      </c>
      <c r="K2129" s="6">
        <v>3.27</v>
      </c>
      <c r="L2129" s="6">
        <v>40</v>
      </c>
      <c r="N2129" s="1">
        <f t="shared" si="250"/>
        <v>0</v>
      </c>
      <c r="O2129" s="6" t="s">
        <v>20</v>
      </c>
      <c r="Q2129" s="6" t="s">
        <v>21</v>
      </c>
      <c r="R2129" s="6" t="s">
        <v>21</v>
      </c>
      <c r="S2129" s="6" t="s">
        <v>21</v>
      </c>
      <c r="T2129" s="6" t="s">
        <v>21</v>
      </c>
      <c r="U2129" s="6">
        <f t="shared" si="251"/>
        <v>790.23199999999997</v>
      </c>
      <c r="V2129" s="6">
        <f t="shared" si="249"/>
        <v>790.23199999999997</v>
      </c>
    </row>
    <row r="2130" spans="1:22" hidden="1" x14ac:dyDescent="0.35">
      <c r="A2130" s="6" t="s">
        <v>2346</v>
      </c>
      <c r="B2130" s="6" t="s">
        <v>2315</v>
      </c>
      <c r="C2130" s="6" t="s">
        <v>2316</v>
      </c>
      <c r="D2130" s="6">
        <f t="shared" si="252"/>
        <v>0.5</v>
      </c>
      <c r="E2130" s="6" t="s">
        <v>19</v>
      </c>
      <c r="F2130" s="6" t="str">
        <f>MID(A2130,19,1)</f>
        <v>S</v>
      </c>
      <c r="G2130" s="6">
        <v>-22.898301503264541</v>
      </c>
      <c r="H2130" s="6">
        <v>-47.110613561191791</v>
      </c>
      <c r="I2130" s="9">
        <v>6889.2</v>
      </c>
      <c r="K2130" s="6">
        <v>2.4700000000000002</v>
      </c>
      <c r="L2130" s="6">
        <v>0</v>
      </c>
      <c r="N2130" s="1">
        <f t="shared" si="250"/>
        <v>0</v>
      </c>
      <c r="Q2130" s="6" t="s">
        <v>21</v>
      </c>
      <c r="R2130" s="6" t="s">
        <v>21</v>
      </c>
      <c r="S2130" s="6" t="s">
        <v>21</v>
      </c>
      <c r="T2130" s="6" t="s">
        <v>21</v>
      </c>
      <c r="U2130" s="6">
        <f t="shared" si="251"/>
        <v>0</v>
      </c>
      <c r="V2130" s="6">
        <f t="shared" si="249"/>
        <v>0</v>
      </c>
    </row>
    <row r="2131" spans="1:22" hidden="1" x14ac:dyDescent="0.35">
      <c r="A2131" s="6" t="s">
        <v>2347</v>
      </c>
      <c r="B2131" s="6" t="s">
        <v>2315</v>
      </c>
      <c r="C2131" s="6" t="s">
        <v>2316</v>
      </c>
      <c r="D2131" s="6">
        <f t="shared" si="252"/>
        <v>0.5</v>
      </c>
      <c r="E2131" s="6" t="s">
        <v>23</v>
      </c>
      <c r="F2131" s="6" t="str">
        <f>MID(A2131,19,1)</f>
        <v>C</v>
      </c>
      <c r="G2131" s="6">
        <v>-22.892182483365609</v>
      </c>
      <c r="H2131" s="6">
        <v>-47.111908504050788</v>
      </c>
      <c r="I2131" s="9">
        <v>560.91999999999996</v>
      </c>
      <c r="J2131" s="9">
        <f>I2131/500</f>
        <v>1.1218399999999999</v>
      </c>
      <c r="K2131" s="6">
        <v>3.16</v>
      </c>
      <c r="L2131" s="6">
        <v>80</v>
      </c>
      <c r="N2131" s="1">
        <f t="shared" si="250"/>
        <v>0</v>
      </c>
      <c r="O2131" s="6" t="s">
        <v>20</v>
      </c>
      <c r="Q2131" s="6" t="s">
        <v>21</v>
      </c>
      <c r="R2131" s="6" t="s">
        <v>21</v>
      </c>
      <c r="S2131" s="6" t="s">
        <v>21</v>
      </c>
      <c r="T2131" s="6" t="s">
        <v>21</v>
      </c>
      <c r="U2131" s="6">
        <f t="shared" si="251"/>
        <v>448.73599999999999</v>
      </c>
      <c r="V2131" s="6">
        <f t="shared" si="249"/>
        <v>448.73599999999999</v>
      </c>
    </row>
    <row r="2132" spans="1:22" hidden="1" x14ac:dyDescent="0.35">
      <c r="A2132" s="6" t="s">
        <v>2348</v>
      </c>
      <c r="B2132" s="6" t="s">
        <v>2315</v>
      </c>
      <c r="C2132" s="6" t="s">
        <v>2316</v>
      </c>
      <c r="D2132" s="6">
        <f t="shared" si="252"/>
        <v>0.5</v>
      </c>
      <c r="E2132" s="6" t="s">
        <v>19</v>
      </c>
      <c r="F2132" s="6" t="str">
        <f>MID(A2132,19,1)</f>
        <v>S</v>
      </c>
      <c r="G2132" s="6">
        <v>-22.89771618821095</v>
      </c>
      <c r="H2132" s="6">
        <v>-47.110233639491582</v>
      </c>
      <c r="I2132" s="9">
        <v>1123.6400000000001</v>
      </c>
      <c r="K2132" s="6">
        <v>2.65</v>
      </c>
      <c r="L2132" s="6">
        <v>0</v>
      </c>
      <c r="N2132" s="1">
        <f t="shared" si="250"/>
        <v>0</v>
      </c>
      <c r="Q2132" s="6" t="s">
        <v>21</v>
      </c>
      <c r="R2132" s="6" t="s">
        <v>21</v>
      </c>
      <c r="S2132" s="6" t="s">
        <v>21</v>
      </c>
      <c r="T2132" s="6" t="s">
        <v>21</v>
      </c>
      <c r="U2132" s="6">
        <f t="shared" si="251"/>
        <v>0</v>
      </c>
      <c r="V2132" s="6">
        <f t="shared" si="249"/>
        <v>0</v>
      </c>
    </row>
    <row r="2133" spans="1:22" hidden="1" x14ac:dyDescent="0.35">
      <c r="A2133" s="6" t="s">
        <v>2349</v>
      </c>
      <c r="B2133" s="6" t="s">
        <v>2315</v>
      </c>
      <c r="C2133" s="6" t="s">
        <v>2316</v>
      </c>
      <c r="D2133" s="6">
        <f t="shared" si="252"/>
        <v>0.5</v>
      </c>
      <c r="E2133" s="6" t="s">
        <v>19</v>
      </c>
      <c r="F2133" s="6" t="str">
        <f>MID(A2133,19,1)</f>
        <v>S</v>
      </c>
      <c r="G2133" s="6">
        <v>-22.898498288228389</v>
      </c>
      <c r="H2133" s="6">
        <v>-47.111690413943599</v>
      </c>
      <c r="I2133" s="9">
        <v>264.87</v>
      </c>
      <c r="K2133" s="6">
        <v>1.43</v>
      </c>
      <c r="L2133" s="6">
        <v>0</v>
      </c>
      <c r="N2133" s="1">
        <f t="shared" si="250"/>
        <v>0</v>
      </c>
      <c r="Q2133" s="6" t="s">
        <v>21</v>
      </c>
      <c r="R2133" s="6" t="s">
        <v>21</v>
      </c>
      <c r="S2133" s="6" t="s">
        <v>21</v>
      </c>
      <c r="T2133" s="6" t="s">
        <v>21</v>
      </c>
      <c r="U2133" s="6">
        <f t="shared" si="251"/>
        <v>0</v>
      </c>
      <c r="V2133" s="6">
        <f t="shared" si="249"/>
        <v>0</v>
      </c>
    </row>
    <row r="2134" spans="1:22" hidden="1" x14ac:dyDescent="0.35">
      <c r="A2134" s="6" t="s">
        <v>2350</v>
      </c>
      <c r="B2134" s="6" t="s">
        <v>2315</v>
      </c>
      <c r="C2134" s="6" t="s">
        <v>2316</v>
      </c>
      <c r="D2134" s="6">
        <f t="shared" si="252"/>
        <v>0.5</v>
      </c>
      <c r="E2134" s="6" t="s">
        <v>19</v>
      </c>
      <c r="F2134" s="6" t="str">
        <f>MID(A2134,19,1)</f>
        <v>S</v>
      </c>
      <c r="G2134" s="6">
        <v>-22.899469647844661</v>
      </c>
      <c r="H2134" s="6">
        <v>-47.110145587335367</v>
      </c>
      <c r="I2134" s="9">
        <v>403.94</v>
      </c>
      <c r="K2134" s="6">
        <v>1.71</v>
      </c>
      <c r="L2134" s="6">
        <v>0</v>
      </c>
      <c r="N2134" s="1">
        <f t="shared" si="250"/>
        <v>0</v>
      </c>
      <c r="Q2134" s="6" t="s">
        <v>21</v>
      </c>
      <c r="R2134" s="6" t="s">
        <v>21</v>
      </c>
      <c r="S2134" s="6" t="s">
        <v>21</v>
      </c>
      <c r="T2134" s="6" t="s">
        <v>21</v>
      </c>
      <c r="U2134" s="6">
        <f t="shared" si="251"/>
        <v>0</v>
      </c>
      <c r="V2134" s="6">
        <f t="shared" si="249"/>
        <v>0</v>
      </c>
    </row>
    <row r="2135" spans="1:22" hidden="1" x14ac:dyDescent="0.35">
      <c r="A2135" s="6" t="s">
        <v>2351</v>
      </c>
      <c r="B2135" s="6" t="s">
        <v>2315</v>
      </c>
      <c r="C2135" s="6" t="s">
        <v>2316</v>
      </c>
      <c r="D2135" s="6">
        <f t="shared" si="252"/>
        <v>0.5</v>
      </c>
      <c r="E2135" s="6" t="s">
        <v>19</v>
      </c>
      <c r="F2135" s="6" t="str">
        <f>MID(A2135,19,1)</f>
        <v>S</v>
      </c>
      <c r="G2135" s="6">
        <v>-22.90034001243523</v>
      </c>
      <c r="H2135" s="6">
        <v>-47.109684111570147</v>
      </c>
      <c r="I2135" s="9">
        <v>369.09</v>
      </c>
      <c r="K2135" s="6">
        <v>2.3199999999999998</v>
      </c>
      <c r="L2135" s="6">
        <v>0</v>
      </c>
      <c r="N2135" s="1">
        <f t="shared" si="250"/>
        <v>0</v>
      </c>
      <c r="Q2135" s="6" t="s">
        <v>21</v>
      </c>
      <c r="R2135" s="6" t="s">
        <v>21</v>
      </c>
      <c r="S2135" s="6" t="s">
        <v>21</v>
      </c>
      <c r="T2135" s="6" t="s">
        <v>21</v>
      </c>
      <c r="U2135" s="6">
        <f t="shared" si="251"/>
        <v>0</v>
      </c>
      <c r="V2135" s="6">
        <f t="shared" si="249"/>
        <v>0</v>
      </c>
    </row>
    <row r="2136" spans="1:22" hidden="1" x14ac:dyDescent="0.35">
      <c r="A2136" s="6" t="s">
        <v>2352</v>
      </c>
      <c r="B2136" s="6" t="s">
        <v>2315</v>
      </c>
      <c r="C2136" s="6" t="s">
        <v>2316</v>
      </c>
      <c r="D2136" s="6">
        <f t="shared" si="252"/>
        <v>0.5</v>
      </c>
      <c r="E2136" s="6" t="s">
        <v>23</v>
      </c>
      <c r="F2136" s="6" t="str">
        <f>MID(A2136,19,1)</f>
        <v>C</v>
      </c>
      <c r="G2136" s="6">
        <v>-22.89735870211392</v>
      </c>
      <c r="H2136" s="6">
        <v>-47.109803621767909</v>
      </c>
      <c r="I2136" s="9">
        <v>4036.31</v>
      </c>
      <c r="J2136" s="9">
        <f>I2136/500</f>
        <v>8.0726200000000006</v>
      </c>
      <c r="K2136" s="6">
        <v>2.63</v>
      </c>
      <c r="L2136" s="6">
        <v>40</v>
      </c>
      <c r="N2136" s="1">
        <f t="shared" si="250"/>
        <v>0</v>
      </c>
      <c r="O2136" s="6" t="s">
        <v>20</v>
      </c>
      <c r="Q2136" s="6" t="s">
        <v>21</v>
      </c>
      <c r="R2136" s="6" t="s">
        <v>21</v>
      </c>
      <c r="S2136" s="6" t="s">
        <v>21</v>
      </c>
      <c r="T2136" s="6" t="s">
        <v>21</v>
      </c>
      <c r="U2136" s="6">
        <f t="shared" si="251"/>
        <v>1614.5240000000001</v>
      </c>
      <c r="V2136" s="6">
        <f t="shared" si="249"/>
        <v>1614.5240000000001</v>
      </c>
    </row>
    <row r="2137" spans="1:22" hidden="1" x14ac:dyDescent="0.35">
      <c r="A2137" s="6" t="s">
        <v>2353</v>
      </c>
      <c r="B2137" s="6" t="s">
        <v>2315</v>
      </c>
      <c r="C2137" s="6" t="s">
        <v>2316</v>
      </c>
      <c r="D2137" s="6">
        <f t="shared" si="252"/>
        <v>0.5</v>
      </c>
      <c r="E2137" s="6" t="s">
        <v>19</v>
      </c>
      <c r="F2137" s="6" t="str">
        <f>MID(A2137,19,1)</f>
        <v>S</v>
      </c>
      <c r="G2137" s="6">
        <v>-22.897618743010451</v>
      </c>
      <c r="H2137" s="6">
        <v>-47.111568710259348</v>
      </c>
      <c r="I2137" s="9">
        <v>1466.7</v>
      </c>
      <c r="K2137" s="6">
        <v>2.48</v>
      </c>
      <c r="L2137" s="6">
        <v>0</v>
      </c>
      <c r="N2137" s="1">
        <f t="shared" si="250"/>
        <v>0</v>
      </c>
      <c r="Q2137" s="6" t="s">
        <v>21</v>
      </c>
      <c r="R2137" s="6" t="s">
        <v>21</v>
      </c>
      <c r="S2137" s="6" t="s">
        <v>21</v>
      </c>
      <c r="T2137" s="6" t="s">
        <v>21</v>
      </c>
      <c r="U2137" s="6">
        <f t="shared" si="251"/>
        <v>0</v>
      </c>
      <c r="V2137" s="6">
        <f t="shared" si="249"/>
        <v>0</v>
      </c>
    </row>
    <row r="2138" spans="1:22" x14ac:dyDescent="0.35">
      <c r="A2138" s="6" t="s">
        <v>2354</v>
      </c>
      <c r="B2138" s="6" t="s">
        <v>2315</v>
      </c>
      <c r="C2138" s="6" t="s">
        <v>2316</v>
      </c>
      <c r="D2138" s="6">
        <f t="shared" si="252"/>
        <v>0.5</v>
      </c>
      <c r="E2138" s="6" t="s">
        <v>19</v>
      </c>
      <c r="F2138" s="6" t="str">
        <f>MID(A2138,19,1)</f>
        <v>N</v>
      </c>
      <c r="G2138" s="6">
        <v>-22.91581174566878</v>
      </c>
      <c r="H2138" s="6">
        <v>-47.155902644692183</v>
      </c>
      <c r="I2138" s="9">
        <v>964.17</v>
      </c>
      <c r="K2138" s="6">
        <v>3.51</v>
      </c>
      <c r="L2138" s="6">
        <v>70</v>
      </c>
      <c r="N2138" s="1">
        <f t="shared" si="250"/>
        <v>0</v>
      </c>
      <c r="O2138" s="6" t="s">
        <v>20</v>
      </c>
      <c r="Q2138" s="6" t="s">
        <v>21</v>
      </c>
      <c r="R2138" s="6" t="s">
        <v>21</v>
      </c>
      <c r="S2138" s="6" t="s">
        <v>21</v>
      </c>
      <c r="T2138" s="6" t="s">
        <v>21</v>
      </c>
      <c r="U2138" s="6">
        <f t="shared" si="251"/>
        <v>674.91899999999998</v>
      </c>
      <c r="V2138" s="6">
        <f t="shared" si="249"/>
        <v>674.91899999999998</v>
      </c>
    </row>
    <row r="2139" spans="1:22" x14ac:dyDescent="0.35">
      <c r="A2139" s="6" t="s">
        <v>2355</v>
      </c>
      <c r="B2139" s="6" t="s">
        <v>2315</v>
      </c>
      <c r="C2139" s="6" t="s">
        <v>2316</v>
      </c>
      <c r="D2139" s="6">
        <f t="shared" si="252"/>
        <v>0.5</v>
      </c>
      <c r="E2139" s="6" t="s">
        <v>19</v>
      </c>
      <c r="F2139" s="6" t="str">
        <f>MID(A2139,19,1)</f>
        <v>N</v>
      </c>
      <c r="G2139" s="6">
        <v>-22.89900627107173</v>
      </c>
      <c r="H2139" s="6">
        <v>-47.109387773957579</v>
      </c>
      <c r="I2139" s="9">
        <v>2237.2199999999998</v>
      </c>
      <c r="K2139" s="6">
        <v>2.2200000000000002</v>
      </c>
      <c r="L2139" s="6">
        <v>40</v>
      </c>
      <c r="N2139" s="1">
        <f t="shared" si="250"/>
        <v>0</v>
      </c>
      <c r="O2139" s="6" t="s">
        <v>20</v>
      </c>
      <c r="Q2139" s="6" t="s">
        <v>21</v>
      </c>
      <c r="R2139" s="6" t="s">
        <v>21</v>
      </c>
      <c r="S2139" s="6" t="s">
        <v>21</v>
      </c>
      <c r="T2139" s="6" t="s">
        <v>21</v>
      </c>
      <c r="U2139" s="6">
        <f t="shared" si="251"/>
        <v>894.88799999999992</v>
      </c>
      <c r="V2139" s="6">
        <f t="shared" si="249"/>
        <v>894.88799999999992</v>
      </c>
    </row>
    <row r="2140" spans="1:22" hidden="1" x14ac:dyDescent="0.35">
      <c r="A2140" s="6" t="s">
        <v>2356</v>
      </c>
      <c r="B2140" s="6" t="s">
        <v>2315</v>
      </c>
      <c r="C2140" s="6" t="s">
        <v>2316</v>
      </c>
      <c r="D2140" s="6">
        <f t="shared" si="252"/>
        <v>0.5</v>
      </c>
      <c r="E2140" s="6" t="s">
        <v>19</v>
      </c>
      <c r="F2140" s="6" t="str">
        <f>MID(A2140,19,1)</f>
        <v>S</v>
      </c>
      <c r="G2140" s="6">
        <v>-22.9192045656524</v>
      </c>
      <c r="H2140" s="6">
        <v>-47.150609893163043</v>
      </c>
      <c r="I2140" s="9">
        <v>2145</v>
      </c>
      <c r="K2140" s="6">
        <v>4.08</v>
      </c>
      <c r="L2140" s="6">
        <v>50</v>
      </c>
      <c r="N2140" s="1">
        <f t="shared" si="250"/>
        <v>0</v>
      </c>
      <c r="O2140" s="6" t="s">
        <v>20</v>
      </c>
      <c r="Q2140" s="6" t="s">
        <v>21</v>
      </c>
      <c r="R2140" s="6" t="s">
        <v>21</v>
      </c>
      <c r="S2140" s="6" t="s">
        <v>21</v>
      </c>
      <c r="T2140" s="6" t="s">
        <v>21</v>
      </c>
      <c r="U2140" s="6">
        <f t="shared" si="251"/>
        <v>1072.5</v>
      </c>
      <c r="V2140" s="6">
        <f t="shared" si="249"/>
        <v>1072.5</v>
      </c>
    </row>
    <row r="2141" spans="1:22" x14ac:dyDescent="0.35">
      <c r="A2141" s="6" t="s">
        <v>2357</v>
      </c>
      <c r="B2141" s="6" t="s">
        <v>2315</v>
      </c>
      <c r="C2141" s="6" t="s">
        <v>2316</v>
      </c>
      <c r="D2141" s="6">
        <f t="shared" si="252"/>
        <v>0.5</v>
      </c>
      <c r="E2141" s="6" t="s">
        <v>19</v>
      </c>
      <c r="F2141" s="6" t="str">
        <f>MID(A2141,19,1)</f>
        <v>N</v>
      </c>
      <c r="G2141" s="6">
        <v>-22.896089681685929</v>
      </c>
      <c r="H2141" s="6">
        <v>-47.110027224738403</v>
      </c>
      <c r="I2141" s="9">
        <v>0.66</v>
      </c>
      <c r="K2141" s="6">
        <v>3.34</v>
      </c>
      <c r="N2141" s="1">
        <f t="shared" si="250"/>
        <v>0</v>
      </c>
      <c r="Q2141" s="6" t="s">
        <v>21</v>
      </c>
      <c r="R2141" s="6" t="s">
        <v>21</v>
      </c>
      <c r="S2141" s="6" t="s">
        <v>21</v>
      </c>
      <c r="T2141" s="6" t="s">
        <v>21</v>
      </c>
      <c r="U2141" s="6">
        <f t="shared" si="251"/>
        <v>0</v>
      </c>
      <c r="V2141" s="6">
        <f t="shared" si="249"/>
        <v>0</v>
      </c>
    </row>
    <row r="2142" spans="1:22" hidden="1" x14ac:dyDescent="0.35">
      <c r="A2142" s="6" t="s">
        <v>2358</v>
      </c>
      <c r="B2142" s="6" t="s">
        <v>2315</v>
      </c>
      <c r="C2142" s="6" t="s">
        <v>2316</v>
      </c>
      <c r="D2142" s="6">
        <f t="shared" si="252"/>
        <v>0.5</v>
      </c>
      <c r="E2142" s="6" t="s">
        <v>19</v>
      </c>
      <c r="F2142" s="6" t="str">
        <f>MID(A2142,19,1)</f>
        <v>S</v>
      </c>
      <c r="G2142" s="6">
        <v>-22.892247188061489</v>
      </c>
      <c r="H2142" s="6">
        <v>-47.112075241463593</v>
      </c>
      <c r="I2142" s="9">
        <v>128.13</v>
      </c>
      <c r="K2142" s="6">
        <v>3.59</v>
      </c>
      <c r="L2142" s="6">
        <v>50</v>
      </c>
      <c r="N2142" s="1">
        <f t="shared" si="250"/>
        <v>0</v>
      </c>
      <c r="O2142" s="6" t="s">
        <v>20</v>
      </c>
      <c r="Q2142" s="6" t="s">
        <v>21</v>
      </c>
      <c r="R2142" s="6" t="s">
        <v>21</v>
      </c>
      <c r="S2142" s="6" t="s">
        <v>21</v>
      </c>
      <c r="T2142" s="6" t="s">
        <v>21</v>
      </c>
      <c r="U2142" s="6">
        <f t="shared" si="251"/>
        <v>64.064999999999998</v>
      </c>
      <c r="V2142" s="6">
        <f t="shared" si="249"/>
        <v>64.064999999999998</v>
      </c>
    </row>
    <row r="2143" spans="1:22" hidden="1" x14ac:dyDescent="0.35">
      <c r="A2143" s="6" t="s">
        <v>2359</v>
      </c>
      <c r="B2143" s="6" t="s">
        <v>2315</v>
      </c>
      <c r="C2143" s="6" t="s">
        <v>2316</v>
      </c>
      <c r="D2143" s="6">
        <f t="shared" si="252"/>
        <v>0.5</v>
      </c>
      <c r="E2143" s="6" t="s">
        <v>23</v>
      </c>
      <c r="F2143" s="6" t="str">
        <f>MID(A2143,19,1)</f>
        <v>C</v>
      </c>
      <c r="G2143" s="6">
        <v>-22.894142665210421</v>
      </c>
      <c r="H2143" s="6">
        <v>-47.111313314221782</v>
      </c>
      <c r="I2143" s="9">
        <v>4219.05</v>
      </c>
      <c r="J2143" s="9">
        <f>I2143/500</f>
        <v>8.4381000000000004</v>
      </c>
      <c r="K2143" s="6">
        <v>1.82</v>
      </c>
      <c r="L2143" s="6">
        <v>80</v>
      </c>
      <c r="N2143" s="1">
        <f t="shared" si="250"/>
        <v>0</v>
      </c>
      <c r="O2143" s="6" t="s">
        <v>20</v>
      </c>
      <c r="Q2143" s="6" t="s">
        <v>21</v>
      </c>
      <c r="R2143" s="6" t="s">
        <v>21</v>
      </c>
      <c r="S2143" s="6" t="s">
        <v>21</v>
      </c>
      <c r="T2143" s="6" t="s">
        <v>21</v>
      </c>
      <c r="U2143" s="6">
        <f t="shared" si="251"/>
        <v>3375.2400000000002</v>
      </c>
      <c r="V2143" s="6">
        <f t="shared" si="249"/>
        <v>3375.2400000000002</v>
      </c>
    </row>
    <row r="2144" spans="1:22" hidden="1" x14ac:dyDescent="0.35">
      <c r="A2144" s="6" t="s">
        <v>2360</v>
      </c>
      <c r="B2144" s="6" t="s">
        <v>2315</v>
      </c>
      <c r="C2144" s="6" t="s">
        <v>2316</v>
      </c>
      <c r="D2144" s="6">
        <f t="shared" si="252"/>
        <v>0.5</v>
      </c>
      <c r="E2144" s="6" t="s">
        <v>19</v>
      </c>
      <c r="F2144" s="6" t="str">
        <f>MID(A2144,19,1)</f>
        <v>S</v>
      </c>
      <c r="G2144" s="6">
        <v>-22.90078803227977</v>
      </c>
      <c r="H2144" s="6">
        <v>-47.109909206478953</v>
      </c>
      <c r="I2144" s="9">
        <v>148.81</v>
      </c>
      <c r="K2144" s="6">
        <v>1.58</v>
      </c>
      <c r="L2144" s="6">
        <v>0</v>
      </c>
      <c r="N2144" s="1">
        <f t="shared" si="250"/>
        <v>0</v>
      </c>
      <c r="Q2144" s="6" t="s">
        <v>21</v>
      </c>
      <c r="R2144" s="6" t="s">
        <v>21</v>
      </c>
      <c r="S2144" s="6" t="s">
        <v>21</v>
      </c>
      <c r="T2144" s="6" t="s">
        <v>21</v>
      </c>
      <c r="U2144" s="6">
        <f t="shared" si="251"/>
        <v>0</v>
      </c>
      <c r="V2144" s="6">
        <f t="shared" si="249"/>
        <v>0</v>
      </c>
    </row>
    <row r="2145" spans="1:22" hidden="1" x14ac:dyDescent="0.35">
      <c r="A2145" s="6" t="s">
        <v>2361</v>
      </c>
      <c r="B2145" s="6" t="s">
        <v>2315</v>
      </c>
      <c r="C2145" s="6" t="s">
        <v>2316</v>
      </c>
      <c r="D2145" s="6">
        <f t="shared" si="252"/>
        <v>0.5</v>
      </c>
      <c r="E2145" s="6" t="s">
        <v>19</v>
      </c>
      <c r="F2145" s="6" t="str">
        <f>MID(A2145,19,1)</f>
        <v>S</v>
      </c>
      <c r="G2145" s="6">
        <v>-22.89229505283571</v>
      </c>
      <c r="H2145" s="6">
        <v>-47.112193770727274</v>
      </c>
      <c r="I2145" s="9">
        <v>160.09</v>
      </c>
      <c r="K2145" s="6">
        <v>3.6</v>
      </c>
      <c r="L2145" s="6">
        <v>50</v>
      </c>
      <c r="N2145" s="1">
        <f t="shared" si="250"/>
        <v>0</v>
      </c>
      <c r="O2145" s="6" t="s">
        <v>20</v>
      </c>
      <c r="Q2145" s="6" t="s">
        <v>21</v>
      </c>
      <c r="R2145" s="6" t="s">
        <v>21</v>
      </c>
      <c r="S2145" s="6" t="s">
        <v>21</v>
      </c>
      <c r="T2145" s="6" t="s">
        <v>21</v>
      </c>
      <c r="U2145" s="6">
        <f t="shared" si="251"/>
        <v>80.045000000000002</v>
      </c>
      <c r="V2145" s="6">
        <f t="shared" si="249"/>
        <v>80.045000000000002</v>
      </c>
    </row>
    <row r="2146" spans="1:22" hidden="1" x14ac:dyDescent="0.35">
      <c r="A2146" s="6" t="s">
        <v>2362</v>
      </c>
      <c r="B2146" s="6" t="s">
        <v>2315</v>
      </c>
      <c r="C2146" s="6" t="s">
        <v>2316</v>
      </c>
      <c r="D2146" s="6">
        <f t="shared" si="252"/>
        <v>0.5</v>
      </c>
      <c r="E2146" s="6" t="s">
        <v>19</v>
      </c>
      <c r="F2146" s="6" t="str">
        <f>MID(A2146,19,1)</f>
        <v>S</v>
      </c>
      <c r="G2146" s="6">
        <v>-22.896394431607</v>
      </c>
      <c r="H2146" s="6">
        <v>-47.110627950694713</v>
      </c>
      <c r="I2146" s="9">
        <v>78.489999999999995</v>
      </c>
      <c r="K2146" s="6">
        <v>1.04</v>
      </c>
      <c r="L2146" s="6">
        <v>0</v>
      </c>
      <c r="N2146" s="1">
        <f t="shared" si="250"/>
        <v>0</v>
      </c>
      <c r="Q2146" s="6" t="s">
        <v>21</v>
      </c>
      <c r="R2146" s="6" t="s">
        <v>21</v>
      </c>
      <c r="S2146" s="6" t="s">
        <v>21</v>
      </c>
      <c r="T2146" s="6" t="s">
        <v>21</v>
      </c>
      <c r="U2146" s="6">
        <f t="shared" si="251"/>
        <v>0</v>
      </c>
      <c r="V2146" s="6">
        <f t="shared" si="249"/>
        <v>0</v>
      </c>
    </row>
    <row r="2147" spans="1:22" hidden="1" x14ac:dyDescent="0.35">
      <c r="A2147" s="6" t="s">
        <v>2363</v>
      </c>
      <c r="B2147" s="6" t="s">
        <v>2315</v>
      </c>
      <c r="C2147" s="6" t="s">
        <v>2316</v>
      </c>
      <c r="D2147" s="6">
        <f t="shared" si="252"/>
        <v>0.5</v>
      </c>
      <c r="E2147" s="6" t="s">
        <v>23</v>
      </c>
      <c r="F2147" s="6" t="str">
        <f>MID(A2147,19,1)</f>
        <v>C</v>
      </c>
      <c r="G2147" s="6">
        <v>-22.918261557841781</v>
      </c>
      <c r="H2147" s="6">
        <v>-47.15192960964189</v>
      </c>
      <c r="I2147" s="9">
        <v>2355.33</v>
      </c>
      <c r="J2147" s="9">
        <f>I2147/500</f>
        <v>4.7106599999999998</v>
      </c>
      <c r="K2147" s="6">
        <v>4.29</v>
      </c>
      <c r="L2147" s="6">
        <v>80</v>
      </c>
      <c r="N2147" s="1">
        <f t="shared" si="250"/>
        <v>0</v>
      </c>
      <c r="O2147" s="6" t="s">
        <v>20</v>
      </c>
      <c r="Q2147" s="6" t="s">
        <v>21</v>
      </c>
      <c r="R2147" s="6" t="s">
        <v>21</v>
      </c>
      <c r="S2147" s="6" t="s">
        <v>21</v>
      </c>
      <c r="T2147" s="6" t="s">
        <v>21</v>
      </c>
      <c r="U2147" s="6">
        <f t="shared" si="251"/>
        <v>1884.2640000000001</v>
      </c>
      <c r="V2147" s="6">
        <f t="shared" si="249"/>
        <v>1884.2640000000001</v>
      </c>
    </row>
    <row r="2148" spans="1:22" x14ac:dyDescent="0.35">
      <c r="A2148" s="6" t="s">
        <v>2364</v>
      </c>
      <c r="B2148" s="6" t="s">
        <v>2315</v>
      </c>
      <c r="C2148" s="6" t="s">
        <v>2316</v>
      </c>
      <c r="D2148" s="6">
        <f t="shared" si="252"/>
        <v>0.5</v>
      </c>
      <c r="E2148" s="6" t="s">
        <v>19</v>
      </c>
      <c r="F2148" s="6" t="str">
        <f>MID(A2148,19,1)</f>
        <v>N</v>
      </c>
      <c r="G2148" s="6">
        <v>-22.916650928604369</v>
      </c>
      <c r="H2148" s="6">
        <v>-47.154411496197383</v>
      </c>
      <c r="I2148" s="9">
        <v>1719.11</v>
      </c>
      <c r="K2148" s="6">
        <v>4.7</v>
      </c>
      <c r="L2148" s="6">
        <v>70</v>
      </c>
      <c r="N2148" s="1">
        <f t="shared" si="250"/>
        <v>0</v>
      </c>
      <c r="O2148" s="6" t="s">
        <v>20</v>
      </c>
      <c r="Q2148" s="6" t="s">
        <v>21</v>
      </c>
      <c r="R2148" s="6" t="s">
        <v>21</v>
      </c>
      <c r="S2148" s="6" t="s">
        <v>21</v>
      </c>
      <c r="T2148" s="6" t="s">
        <v>21</v>
      </c>
      <c r="U2148" s="6">
        <f t="shared" si="251"/>
        <v>1203.377</v>
      </c>
      <c r="V2148" s="6">
        <f t="shared" si="249"/>
        <v>1203.377</v>
      </c>
    </row>
    <row r="2149" spans="1:22" hidden="1" x14ac:dyDescent="0.35">
      <c r="A2149" s="6" t="s">
        <v>2365</v>
      </c>
      <c r="B2149" s="6" t="s">
        <v>2366</v>
      </c>
      <c r="C2149" s="6" t="s">
        <v>2367</v>
      </c>
      <c r="D2149" s="6">
        <f t="shared" si="252"/>
        <v>0.5</v>
      </c>
      <c r="E2149" s="6" t="s">
        <v>23</v>
      </c>
      <c r="F2149" s="6" t="str">
        <f>MID(A2149,19,1)</f>
        <v>C</v>
      </c>
      <c r="G2149" s="6">
        <v>-22.889961992924739</v>
      </c>
      <c r="H2149" s="6">
        <v>-47.112583846345963</v>
      </c>
      <c r="I2149" s="9">
        <v>5296.17</v>
      </c>
      <c r="J2149" s="9">
        <f t="shared" ref="J2149:J2150" si="253">I2149/500</f>
        <v>10.59234</v>
      </c>
      <c r="K2149" s="6">
        <v>3.91</v>
      </c>
      <c r="L2149" s="6">
        <v>80</v>
      </c>
      <c r="N2149" s="1">
        <f t="shared" si="250"/>
        <v>0</v>
      </c>
      <c r="O2149" s="6" t="s">
        <v>20</v>
      </c>
      <c r="Q2149" s="6" t="s">
        <v>21</v>
      </c>
      <c r="R2149" s="6" t="s">
        <v>21</v>
      </c>
      <c r="S2149" s="6" t="s">
        <v>21</v>
      </c>
      <c r="T2149" s="6" t="s">
        <v>21</v>
      </c>
      <c r="U2149" s="6">
        <f t="shared" si="251"/>
        <v>4236.9360000000006</v>
      </c>
      <c r="V2149" s="6">
        <f t="shared" si="249"/>
        <v>4236.9360000000006</v>
      </c>
    </row>
    <row r="2150" spans="1:22" hidden="1" x14ac:dyDescent="0.35">
      <c r="A2150" s="6" t="s">
        <v>2368</v>
      </c>
      <c r="B2150" s="6" t="s">
        <v>2366</v>
      </c>
      <c r="C2150" s="6" t="s">
        <v>2367</v>
      </c>
      <c r="D2150" s="6">
        <f t="shared" si="252"/>
        <v>0.5</v>
      </c>
      <c r="E2150" s="6" t="s">
        <v>23</v>
      </c>
      <c r="F2150" s="6" t="str">
        <f>MID(A2150,19,1)</f>
        <v>C</v>
      </c>
      <c r="G2150" s="6">
        <v>-22.91439824077132</v>
      </c>
      <c r="H2150" s="6">
        <v>-47.1591852474481</v>
      </c>
      <c r="I2150" s="9">
        <v>3813.08</v>
      </c>
      <c r="J2150" s="9">
        <f t="shared" si="253"/>
        <v>7.6261599999999996</v>
      </c>
      <c r="K2150" s="6">
        <v>5.19</v>
      </c>
      <c r="L2150" s="6">
        <v>80</v>
      </c>
      <c r="N2150" s="1">
        <f t="shared" si="250"/>
        <v>0</v>
      </c>
      <c r="O2150" s="6" t="s">
        <v>20</v>
      </c>
      <c r="Q2150" s="6" t="s">
        <v>21</v>
      </c>
      <c r="R2150" s="6" t="s">
        <v>21</v>
      </c>
      <c r="S2150" s="6" t="s">
        <v>21</v>
      </c>
      <c r="T2150" s="6" t="s">
        <v>21</v>
      </c>
      <c r="U2150" s="6">
        <f t="shared" si="251"/>
        <v>3050.4639999999999</v>
      </c>
      <c r="V2150" s="6">
        <f t="shared" si="249"/>
        <v>3050.4639999999999</v>
      </c>
    </row>
    <row r="2151" spans="1:22" hidden="1" x14ac:dyDescent="0.35">
      <c r="A2151" s="6" t="s">
        <v>2369</v>
      </c>
      <c r="B2151" s="6" t="s">
        <v>2366</v>
      </c>
      <c r="C2151" s="6" t="s">
        <v>2367</v>
      </c>
      <c r="D2151" s="6">
        <f t="shared" si="252"/>
        <v>0.5</v>
      </c>
      <c r="E2151" s="6" t="s">
        <v>19</v>
      </c>
      <c r="F2151" s="6" t="str">
        <f>MID(A2151,19,1)</f>
        <v>S</v>
      </c>
      <c r="G2151" s="6">
        <v>-22.891716526543021</v>
      </c>
      <c r="H2151" s="6">
        <v>-47.112375388682928</v>
      </c>
      <c r="I2151" s="9">
        <v>310.07</v>
      </c>
      <c r="K2151" s="6">
        <v>2.4900000000000002</v>
      </c>
      <c r="L2151" s="6">
        <v>50</v>
      </c>
      <c r="N2151" s="1">
        <f t="shared" si="250"/>
        <v>0</v>
      </c>
      <c r="O2151" s="6" t="s">
        <v>20</v>
      </c>
      <c r="Q2151" s="6" t="s">
        <v>21</v>
      </c>
      <c r="R2151" s="6" t="s">
        <v>21</v>
      </c>
      <c r="S2151" s="6" t="s">
        <v>21</v>
      </c>
      <c r="T2151" s="6" t="s">
        <v>21</v>
      </c>
      <c r="U2151" s="6">
        <f t="shared" si="251"/>
        <v>155.035</v>
      </c>
      <c r="V2151" s="6">
        <f t="shared" si="249"/>
        <v>155.035</v>
      </c>
    </row>
    <row r="2152" spans="1:22" hidden="1" x14ac:dyDescent="0.35">
      <c r="A2152" s="6" t="s">
        <v>2370</v>
      </c>
      <c r="B2152" s="6" t="s">
        <v>2366</v>
      </c>
      <c r="C2152" s="6" t="s">
        <v>2367</v>
      </c>
      <c r="D2152" s="6">
        <f t="shared" si="252"/>
        <v>0.5</v>
      </c>
      <c r="E2152" s="6" t="s">
        <v>19</v>
      </c>
      <c r="F2152" s="6" t="str">
        <f>MID(A2152,19,1)</f>
        <v>S</v>
      </c>
      <c r="G2152" s="6">
        <v>-22.884919519905321</v>
      </c>
      <c r="H2152" s="6">
        <v>-47.114719658053907</v>
      </c>
      <c r="I2152" s="9">
        <v>1344.51</v>
      </c>
      <c r="K2152" s="6">
        <v>2.13</v>
      </c>
      <c r="L2152" s="6">
        <v>30</v>
      </c>
      <c r="N2152" s="1">
        <f t="shared" si="250"/>
        <v>0</v>
      </c>
      <c r="O2152" s="6" t="s">
        <v>20</v>
      </c>
      <c r="Q2152" s="6" t="s">
        <v>21</v>
      </c>
      <c r="R2152" s="6" t="s">
        <v>21</v>
      </c>
      <c r="S2152" s="6" t="s">
        <v>21</v>
      </c>
      <c r="T2152" s="6" t="s">
        <v>21</v>
      </c>
      <c r="U2152" s="6">
        <f t="shared" si="251"/>
        <v>403.35300000000001</v>
      </c>
      <c r="V2152" s="6">
        <f t="shared" si="249"/>
        <v>403.35300000000001</v>
      </c>
    </row>
    <row r="2153" spans="1:22" hidden="1" x14ac:dyDescent="0.35">
      <c r="A2153" s="6" t="s">
        <v>2371</v>
      </c>
      <c r="B2153" s="6" t="s">
        <v>2366</v>
      </c>
      <c r="C2153" s="6" t="s">
        <v>2367</v>
      </c>
      <c r="D2153" s="6">
        <f t="shared" si="252"/>
        <v>0.5</v>
      </c>
      <c r="E2153" s="6" t="s">
        <v>19</v>
      </c>
      <c r="F2153" s="6" t="str">
        <f>MID(A2153,19,1)</f>
        <v>S</v>
      </c>
      <c r="G2153" s="6">
        <v>-22.912743258968991</v>
      </c>
      <c r="H2153" s="6">
        <v>-47.16283799281991</v>
      </c>
      <c r="I2153" s="9">
        <v>2047.27</v>
      </c>
      <c r="K2153" s="6">
        <v>4.3099999999999996</v>
      </c>
      <c r="L2153" s="6">
        <v>50</v>
      </c>
      <c r="N2153" s="1">
        <f t="shared" si="250"/>
        <v>0</v>
      </c>
      <c r="O2153" s="6" t="s">
        <v>20</v>
      </c>
      <c r="Q2153" s="6" t="s">
        <v>21</v>
      </c>
      <c r="R2153" s="6" t="s">
        <v>21</v>
      </c>
      <c r="S2153" s="6" t="s">
        <v>21</v>
      </c>
      <c r="T2153" s="6" t="s">
        <v>21</v>
      </c>
      <c r="U2153" s="6">
        <f t="shared" si="251"/>
        <v>1023.635</v>
      </c>
      <c r="V2153" s="6">
        <f t="shared" si="249"/>
        <v>1023.635</v>
      </c>
    </row>
    <row r="2154" spans="1:22" hidden="1" x14ac:dyDescent="0.35">
      <c r="A2154" s="6" t="s">
        <v>2372</v>
      </c>
      <c r="B2154" s="6" t="s">
        <v>2366</v>
      </c>
      <c r="C2154" s="6" t="s">
        <v>2367</v>
      </c>
      <c r="D2154" s="6">
        <f t="shared" si="252"/>
        <v>0.5</v>
      </c>
      <c r="E2154" s="6" t="s">
        <v>19</v>
      </c>
      <c r="F2154" s="6" t="str">
        <f>MID(A2154,19,1)</f>
        <v>S</v>
      </c>
      <c r="G2154" s="6">
        <v>-22.91449557522812</v>
      </c>
      <c r="H2154" s="6">
        <v>-47.159443788070199</v>
      </c>
      <c r="I2154" s="9">
        <v>1144.1500000000001</v>
      </c>
      <c r="K2154" s="6">
        <v>4.17</v>
      </c>
      <c r="L2154" s="6">
        <v>70</v>
      </c>
      <c r="N2154" s="1">
        <f t="shared" si="250"/>
        <v>0</v>
      </c>
      <c r="O2154" s="6" t="s">
        <v>20</v>
      </c>
      <c r="Q2154" s="6" t="s">
        <v>21</v>
      </c>
      <c r="R2154" s="6" t="s">
        <v>21</v>
      </c>
      <c r="S2154" s="6" t="s">
        <v>21</v>
      </c>
      <c r="T2154" s="6" t="s">
        <v>21</v>
      </c>
      <c r="U2154" s="6">
        <f t="shared" si="251"/>
        <v>800.90499999999997</v>
      </c>
      <c r="V2154" s="6">
        <f t="shared" si="249"/>
        <v>800.90499999999997</v>
      </c>
    </row>
    <row r="2155" spans="1:22" hidden="1" x14ac:dyDescent="0.35">
      <c r="A2155" s="6" t="s">
        <v>2373</v>
      </c>
      <c r="B2155" s="6" t="s">
        <v>2366</v>
      </c>
      <c r="C2155" s="6" t="s">
        <v>2367</v>
      </c>
      <c r="D2155" s="6">
        <f t="shared" si="252"/>
        <v>0.5</v>
      </c>
      <c r="E2155" s="6" t="s">
        <v>23</v>
      </c>
      <c r="F2155" s="6" t="str">
        <f>MID(A2155,19,1)</f>
        <v>C</v>
      </c>
      <c r="G2155" s="6">
        <v>-22.9157135290029</v>
      </c>
      <c r="H2155" s="6">
        <v>-47.156723461484859</v>
      </c>
      <c r="I2155" s="9">
        <v>1159.48</v>
      </c>
      <c r="J2155" s="9">
        <f>I2155/500</f>
        <v>2.3189600000000001</v>
      </c>
      <c r="K2155" s="6">
        <v>1.8</v>
      </c>
      <c r="L2155" s="6">
        <v>80</v>
      </c>
      <c r="N2155" s="1">
        <f t="shared" si="250"/>
        <v>0</v>
      </c>
      <c r="O2155" s="6" t="s">
        <v>185</v>
      </c>
      <c r="Q2155" s="6" t="s">
        <v>21</v>
      </c>
      <c r="R2155" s="6" t="s">
        <v>21</v>
      </c>
      <c r="S2155" s="6" t="s">
        <v>21</v>
      </c>
      <c r="T2155" s="6" t="s">
        <v>21</v>
      </c>
      <c r="U2155" s="6">
        <f t="shared" si="251"/>
        <v>927.58400000000006</v>
      </c>
      <c r="V2155" s="6">
        <f t="shared" si="249"/>
        <v>927.58400000000006</v>
      </c>
    </row>
    <row r="2156" spans="1:22" x14ac:dyDescent="0.35">
      <c r="A2156" s="6" t="s">
        <v>2374</v>
      </c>
      <c r="B2156" s="6" t="s">
        <v>2366</v>
      </c>
      <c r="C2156" s="6" t="s">
        <v>2367</v>
      </c>
      <c r="D2156" s="6">
        <f t="shared" si="252"/>
        <v>0.5</v>
      </c>
      <c r="E2156" s="6" t="s">
        <v>19</v>
      </c>
      <c r="F2156" s="6" t="str">
        <f>MID(A2156,19,1)</f>
        <v>N</v>
      </c>
      <c r="G2156" s="6">
        <v>-22.88878274101123</v>
      </c>
      <c r="H2156" s="6">
        <v>-47.112595235987158</v>
      </c>
      <c r="I2156" s="9">
        <v>708.08</v>
      </c>
      <c r="K2156" s="6">
        <v>3.71</v>
      </c>
      <c r="L2156" s="6">
        <v>40</v>
      </c>
      <c r="N2156" s="1">
        <f t="shared" si="250"/>
        <v>0</v>
      </c>
      <c r="O2156" s="6" t="s">
        <v>20</v>
      </c>
      <c r="Q2156" s="6" t="s">
        <v>21</v>
      </c>
      <c r="R2156" s="6" t="s">
        <v>21</v>
      </c>
      <c r="S2156" s="6" t="s">
        <v>21</v>
      </c>
      <c r="T2156" s="6" t="s">
        <v>21</v>
      </c>
      <c r="U2156" s="6">
        <f t="shared" si="251"/>
        <v>283.23200000000003</v>
      </c>
      <c r="V2156" s="6">
        <f t="shared" si="249"/>
        <v>283.23200000000003</v>
      </c>
    </row>
    <row r="2157" spans="1:22" x14ac:dyDescent="0.35">
      <c r="A2157" s="6" t="s">
        <v>2375</v>
      </c>
      <c r="B2157" s="6" t="s">
        <v>2366</v>
      </c>
      <c r="C2157" s="6" t="s">
        <v>2367</v>
      </c>
      <c r="D2157" s="6">
        <f t="shared" si="252"/>
        <v>0.5</v>
      </c>
      <c r="E2157" s="6" t="s">
        <v>19</v>
      </c>
      <c r="F2157" s="6" t="str">
        <f>MID(A2157,19,1)</f>
        <v>N</v>
      </c>
      <c r="G2157" s="6">
        <v>-22.890737454883428</v>
      </c>
      <c r="H2157" s="6">
        <v>-47.112026687173987</v>
      </c>
      <c r="I2157" s="9">
        <v>990.02</v>
      </c>
      <c r="K2157" s="6">
        <v>3.41</v>
      </c>
      <c r="L2157" s="6">
        <v>40</v>
      </c>
      <c r="N2157" s="1">
        <f t="shared" si="250"/>
        <v>0</v>
      </c>
      <c r="O2157" s="6" t="s">
        <v>20</v>
      </c>
      <c r="Q2157" s="6" t="s">
        <v>21</v>
      </c>
      <c r="R2157" s="6" t="s">
        <v>21</v>
      </c>
      <c r="S2157" s="6" t="s">
        <v>21</v>
      </c>
      <c r="T2157" s="6" t="s">
        <v>21</v>
      </c>
      <c r="U2157" s="6">
        <f t="shared" si="251"/>
        <v>396.00800000000004</v>
      </c>
      <c r="V2157" s="6">
        <f t="shared" si="249"/>
        <v>396.00800000000004</v>
      </c>
    </row>
    <row r="2158" spans="1:22" hidden="1" x14ac:dyDescent="0.35">
      <c r="A2158" s="6" t="s">
        <v>2376</v>
      </c>
      <c r="B2158" s="6" t="s">
        <v>2366</v>
      </c>
      <c r="C2158" s="6" t="s">
        <v>2367</v>
      </c>
      <c r="D2158" s="6">
        <f t="shared" si="252"/>
        <v>0.5</v>
      </c>
      <c r="E2158" s="6" t="s">
        <v>23</v>
      </c>
      <c r="F2158" s="6" t="str">
        <f>MID(A2158,19,1)</f>
        <v>C</v>
      </c>
      <c r="G2158" s="6">
        <v>-22.912565889719328</v>
      </c>
      <c r="H2158" s="6">
        <v>-47.162724021695588</v>
      </c>
      <c r="I2158" s="9">
        <v>5987.65</v>
      </c>
      <c r="J2158" s="9">
        <f>I2158/500</f>
        <v>11.975299999999999</v>
      </c>
      <c r="K2158" s="6">
        <v>4.01</v>
      </c>
      <c r="L2158" s="6">
        <v>80</v>
      </c>
      <c r="N2158" s="1">
        <f t="shared" si="250"/>
        <v>0</v>
      </c>
      <c r="O2158" s="6" t="s">
        <v>20</v>
      </c>
      <c r="Q2158" s="6" t="s">
        <v>21</v>
      </c>
      <c r="R2158" s="6" t="s">
        <v>21</v>
      </c>
      <c r="S2158" s="6" t="s">
        <v>21</v>
      </c>
      <c r="T2158" s="6" t="s">
        <v>21</v>
      </c>
      <c r="U2158" s="6">
        <f t="shared" si="251"/>
        <v>4790.12</v>
      </c>
      <c r="V2158" s="6">
        <f t="shared" ref="V2158:V2171" si="254">(I2158*(L2158/100))</f>
        <v>4790.12</v>
      </c>
    </row>
    <row r="2159" spans="1:22" x14ac:dyDescent="0.35">
      <c r="A2159" s="6" t="s">
        <v>2377</v>
      </c>
      <c r="B2159" s="6" t="s">
        <v>2366</v>
      </c>
      <c r="C2159" s="6" t="s">
        <v>2367</v>
      </c>
      <c r="D2159" s="6">
        <f t="shared" si="252"/>
        <v>0.5</v>
      </c>
      <c r="E2159" s="6" t="s">
        <v>19</v>
      </c>
      <c r="F2159" s="6" t="str">
        <f>MID(A2159,19,1)</f>
        <v>N</v>
      </c>
      <c r="G2159" s="6">
        <v>-22.885696537491381</v>
      </c>
      <c r="H2159" s="6">
        <v>-47.113747924854323</v>
      </c>
      <c r="I2159" s="9">
        <v>903.15</v>
      </c>
      <c r="K2159" s="6">
        <v>3.6</v>
      </c>
      <c r="L2159" s="6">
        <v>0</v>
      </c>
      <c r="N2159" s="1">
        <f t="shared" si="250"/>
        <v>0</v>
      </c>
      <c r="Q2159" s="6" t="s">
        <v>21</v>
      </c>
      <c r="R2159" s="6" t="s">
        <v>21</v>
      </c>
      <c r="S2159" s="6" t="s">
        <v>21</v>
      </c>
      <c r="T2159" s="6" t="s">
        <v>21</v>
      </c>
      <c r="U2159" s="6">
        <f t="shared" si="251"/>
        <v>0</v>
      </c>
      <c r="V2159" s="6">
        <f t="shared" si="254"/>
        <v>0</v>
      </c>
    </row>
    <row r="2160" spans="1:22" hidden="1" x14ac:dyDescent="0.35">
      <c r="A2160" s="6" t="s">
        <v>2378</v>
      </c>
      <c r="B2160" s="6" t="s">
        <v>2366</v>
      </c>
      <c r="C2160" s="6" t="s">
        <v>2367</v>
      </c>
      <c r="D2160" s="6">
        <f t="shared" si="252"/>
        <v>0.5</v>
      </c>
      <c r="E2160" s="6" t="s">
        <v>19</v>
      </c>
      <c r="F2160" s="6" t="str">
        <f>MID(A2160,19,1)</f>
        <v>S</v>
      </c>
      <c r="G2160" s="6">
        <v>-22.889906521547982</v>
      </c>
      <c r="H2160" s="6">
        <v>-47.112789047045432</v>
      </c>
      <c r="I2160" s="9">
        <v>1725.6</v>
      </c>
      <c r="K2160" s="6">
        <v>3.82</v>
      </c>
      <c r="L2160" s="6">
        <v>50</v>
      </c>
      <c r="N2160" s="1">
        <f t="shared" si="250"/>
        <v>0</v>
      </c>
      <c r="O2160" s="6" t="s">
        <v>20</v>
      </c>
      <c r="Q2160" s="6" t="s">
        <v>21</v>
      </c>
      <c r="R2160" s="6" t="s">
        <v>21</v>
      </c>
      <c r="S2160" s="6" t="s">
        <v>21</v>
      </c>
      <c r="T2160" s="6" t="s">
        <v>21</v>
      </c>
      <c r="U2160" s="6">
        <f t="shared" si="251"/>
        <v>862.8</v>
      </c>
      <c r="V2160" s="6">
        <f t="shared" si="254"/>
        <v>862.8</v>
      </c>
    </row>
    <row r="2161" spans="1:22" hidden="1" x14ac:dyDescent="0.35">
      <c r="A2161" s="6" t="s">
        <v>2379</v>
      </c>
      <c r="B2161" s="6" t="s">
        <v>2366</v>
      </c>
      <c r="C2161" s="6" t="s">
        <v>2367</v>
      </c>
      <c r="D2161" s="6">
        <f t="shared" si="252"/>
        <v>0.5</v>
      </c>
      <c r="E2161" s="6" t="s">
        <v>19</v>
      </c>
      <c r="F2161" s="6" t="str">
        <f>MID(A2161,19,1)</f>
        <v>S</v>
      </c>
      <c r="G2161" s="6">
        <v>-22.887166767800139</v>
      </c>
      <c r="H2161" s="6">
        <v>-47.113688626467692</v>
      </c>
      <c r="I2161" s="9">
        <v>996.04</v>
      </c>
      <c r="K2161" s="6">
        <v>4.09</v>
      </c>
      <c r="L2161" s="6">
        <v>30</v>
      </c>
      <c r="N2161" s="1">
        <f t="shared" si="250"/>
        <v>0</v>
      </c>
      <c r="O2161" s="6" t="s">
        <v>20</v>
      </c>
      <c r="Q2161" s="6" t="s">
        <v>21</v>
      </c>
      <c r="R2161" s="6" t="s">
        <v>21</v>
      </c>
      <c r="S2161" s="6" t="s">
        <v>21</v>
      </c>
      <c r="T2161" s="6" t="s">
        <v>21</v>
      </c>
      <c r="U2161" s="6">
        <f t="shared" si="251"/>
        <v>298.81199999999995</v>
      </c>
      <c r="V2161" s="6">
        <f t="shared" si="254"/>
        <v>298.81199999999995</v>
      </c>
    </row>
    <row r="2162" spans="1:22" x14ac:dyDescent="0.35">
      <c r="A2162" s="6" t="s">
        <v>2380</v>
      </c>
      <c r="B2162" s="6" t="s">
        <v>2366</v>
      </c>
      <c r="C2162" s="6" t="s">
        <v>2367</v>
      </c>
      <c r="D2162" s="6">
        <f t="shared" si="252"/>
        <v>0.5</v>
      </c>
      <c r="E2162" s="6" t="s">
        <v>19</v>
      </c>
      <c r="F2162" s="6" t="str">
        <f>MID(A2162,19,1)</f>
        <v>N</v>
      </c>
      <c r="G2162" s="6">
        <v>-22.912382820766219</v>
      </c>
      <c r="H2162" s="6">
        <v>-47.162575495008923</v>
      </c>
      <c r="I2162" s="9">
        <v>2064.81</v>
      </c>
      <c r="K2162" s="6">
        <v>4.0999999999999996</v>
      </c>
      <c r="L2162" s="6">
        <v>50</v>
      </c>
      <c r="N2162" s="1">
        <f t="shared" si="250"/>
        <v>0</v>
      </c>
      <c r="O2162" s="6" t="s">
        <v>20</v>
      </c>
      <c r="Q2162" s="6" t="s">
        <v>21</v>
      </c>
      <c r="R2162" s="6" t="s">
        <v>21</v>
      </c>
      <c r="S2162" s="6" t="s">
        <v>21</v>
      </c>
      <c r="T2162" s="6" t="s">
        <v>21</v>
      </c>
      <c r="U2162" s="6">
        <f t="shared" si="251"/>
        <v>1032.405</v>
      </c>
      <c r="V2162" s="6">
        <f t="shared" si="254"/>
        <v>1032.405</v>
      </c>
    </row>
    <row r="2163" spans="1:22" hidden="1" x14ac:dyDescent="0.35">
      <c r="A2163" s="6" t="s">
        <v>2381</v>
      </c>
      <c r="B2163" s="6" t="s">
        <v>2366</v>
      </c>
      <c r="C2163" s="6" t="s">
        <v>2367</v>
      </c>
      <c r="D2163" s="6">
        <f t="shared" si="252"/>
        <v>0.5</v>
      </c>
      <c r="E2163" s="6" t="s">
        <v>19</v>
      </c>
      <c r="F2163" s="6" t="str">
        <f>MID(A2163,19,1)</f>
        <v>S</v>
      </c>
      <c r="G2163" s="6">
        <v>-22.915952154053869</v>
      </c>
      <c r="H2163" s="6">
        <v>-47.156872402398982</v>
      </c>
      <c r="I2163" s="9">
        <v>1933.3</v>
      </c>
      <c r="K2163" s="6">
        <v>2.74</v>
      </c>
      <c r="L2163" s="6">
        <v>70</v>
      </c>
      <c r="N2163" s="1">
        <f t="shared" si="250"/>
        <v>0</v>
      </c>
      <c r="O2163" s="6" t="s">
        <v>20</v>
      </c>
      <c r="Q2163" s="6" t="s">
        <v>21</v>
      </c>
      <c r="R2163" s="6" t="s">
        <v>21</v>
      </c>
      <c r="S2163" s="6" t="s">
        <v>21</v>
      </c>
      <c r="T2163" s="6" t="s">
        <v>21</v>
      </c>
      <c r="U2163" s="6">
        <f t="shared" si="251"/>
        <v>1353.31</v>
      </c>
      <c r="V2163" s="6">
        <f t="shared" si="254"/>
        <v>1353.31</v>
      </c>
    </row>
    <row r="2164" spans="1:22" hidden="1" x14ac:dyDescent="0.35">
      <c r="A2164" s="6" t="s">
        <v>2382</v>
      </c>
      <c r="B2164" s="6" t="s">
        <v>2366</v>
      </c>
      <c r="C2164" s="6" t="s">
        <v>2367</v>
      </c>
      <c r="D2164" s="6">
        <f t="shared" si="252"/>
        <v>0.5</v>
      </c>
      <c r="E2164" s="6" t="s">
        <v>19</v>
      </c>
      <c r="F2164" s="6" t="str">
        <f>MID(A2164,19,1)</f>
        <v>S</v>
      </c>
      <c r="G2164" s="6">
        <v>-22.88959337155887</v>
      </c>
      <c r="H2164" s="6">
        <v>-47.113010770067163</v>
      </c>
      <c r="I2164" s="9">
        <v>1463.67</v>
      </c>
      <c r="K2164" s="6">
        <v>4.82</v>
      </c>
      <c r="L2164" s="6">
        <v>50</v>
      </c>
      <c r="N2164" s="1">
        <f t="shared" si="250"/>
        <v>0</v>
      </c>
      <c r="O2164" s="6" t="s">
        <v>20</v>
      </c>
      <c r="Q2164" s="6" t="s">
        <v>21</v>
      </c>
      <c r="R2164" s="6" t="s">
        <v>21</v>
      </c>
      <c r="S2164" s="6" t="s">
        <v>21</v>
      </c>
      <c r="T2164" s="6" t="s">
        <v>21</v>
      </c>
      <c r="U2164" s="6">
        <f t="shared" si="251"/>
        <v>731.83500000000004</v>
      </c>
      <c r="V2164" s="6">
        <f t="shared" si="254"/>
        <v>731.83500000000004</v>
      </c>
    </row>
    <row r="2165" spans="1:22" hidden="1" x14ac:dyDescent="0.35">
      <c r="A2165" s="6" t="s">
        <v>2383</v>
      </c>
      <c r="B2165" s="6" t="s">
        <v>2366</v>
      </c>
      <c r="C2165" s="6" t="s">
        <v>2367</v>
      </c>
      <c r="D2165" s="6">
        <f t="shared" si="252"/>
        <v>0.5</v>
      </c>
      <c r="E2165" s="6" t="s">
        <v>19</v>
      </c>
      <c r="F2165" s="6" t="str">
        <f>MID(A2165,19,1)</f>
        <v>S</v>
      </c>
      <c r="G2165" s="6">
        <v>-22.916099533836569</v>
      </c>
      <c r="H2165" s="6">
        <v>-47.156969650395993</v>
      </c>
      <c r="I2165" s="9">
        <v>394.45</v>
      </c>
      <c r="K2165" s="6">
        <v>2.56</v>
      </c>
      <c r="L2165" s="6">
        <v>70</v>
      </c>
      <c r="N2165" s="1">
        <f t="shared" si="250"/>
        <v>0</v>
      </c>
      <c r="O2165" s="6" t="s">
        <v>20</v>
      </c>
      <c r="Q2165" s="6" t="s">
        <v>21</v>
      </c>
      <c r="R2165" s="6" t="s">
        <v>21</v>
      </c>
      <c r="S2165" s="6" t="s">
        <v>21</v>
      </c>
      <c r="T2165" s="6" t="s">
        <v>21</v>
      </c>
      <c r="U2165" s="6">
        <f t="shared" si="251"/>
        <v>276.11499999999995</v>
      </c>
      <c r="V2165" s="6">
        <f t="shared" si="254"/>
        <v>276.11499999999995</v>
      </c>
    </row>
    <row r="2166" spans="1:22" x14ac:dyDescent="0.35">
      <c r="A2166" s="6" t="s">
        <v>2384</v>
      </c>
      <c r="B2166" s="6" t="s">
        <v>2366</v>
      </c>
      <c r="C2166" s="6" t="s">
        <v>2367</v>
      </c>
      <c r="D2166" s="6">
        <f t="shared" si="252"/>
        <v>0.5</v>
      </c>
      <c r="E2166" s="6" t="s">
        <v>19</v>
      </c>
      <c r="F2166" s="6" t="str">
        <f>MID(A2166,19,1)</f>
        <v>N</v>
      </c>
      <c r="G2166" s="6">
        <v>-22.887417712074619</v>
      </c>
      <c r="H2166" s="6">
        <v>-47.113038890202077</v>
      </c>
      <c r="I2166" s="9">
        <v>452.21</v>
      </c>
      <c r="K2166" s="6">
        <v>2.7</v>
      </c>
      <c r="L2166" s="6">
        <v>0</v>
      </c>
      <c r="N2166" s="1">
        <f t="shared" si="250"/>
        <v>0</v>
      </c>
      <c r="Q2166" s="6" t="s">
        <v>21</v>
      </c>
      <c r="R2166" s="6" t="s">
        <v>21</v>
      </c>
      <c r="S2166" s="6" t="s">
        <v>21</v>
      </c>
      <c r="T2166" s="6" t="s">
        <v>21</v>
      </c>
      <c r="U2166" s="6">
        <f t="shared" si="251"/>
        <v>0</v>
      </c>
      <c r="V2166" s="6">
        <f t="shared" si="254"/>
        <v>0</v>
      </c>
    </row>
    <row r="2167" spans="1:22" hidden="1" x14ac:dyDescent="0.35">
      <c r="A2167" s="6" t="s">
        <v>2385</v>
      </c>
      <c r="B2167" s="6" t="s">
        <v>2366</v>
      </c>
      <c r="C2167" s="6" t="s">
        <v>2367</v>
      </c>
      <c r="D2167" s="6">
        <f t="shared" si="252"/>
        <v>0.5</v>
      </c>
      <c r="E2167" s="6" t="s">
        <v>23</v>
      </c>
      <c r="F2167" s="6" t="str">
        <f>MID(A2167,19,1)</f>
        <v>C</v>
      </c>
      <c r="G2167" s="6">
        <v>-22.885833870874251</v>
      </c>
      <c r="H2167" s="6">
        <v>-47.114078850871358</v>
      </c>
      <c r="I2167" s="9">
        <v>5877.72</v>
      </c>
      <c r="J2167" s="9">
        <f>I2167/500</f>
        <v>11.75544</v>
      </c>
      <c r="K2167" s="6">
        <v>2.81</v>
      </c>
      <c r="L2167" s="6">
        <v>80</v>
      </c>
      <c r="N2167" s="1">
        <f t="shared" si="250"/>
        <v>0</v>
      </c>
      <c r="O2167" s="6" t="s">
        <v>20</v>
      </c>
      <c r="Q2167" s="6" t="s">
        <v>21</v>
      </c>
      <c r="R2167" s="6" t="s">
        <v>21</v>
      </c>
      <c r="S2167" s="6" t="s">
        <v>21</v>
      </c>
      <c r="T2167" s="6" t="s">
        <v>21</v>
      </c>
      <c r="U2167" s="6">
        <f t="shared" si="251"/>
        <v>4702.1760000000004</v>
      </c>
      <c r="V2167" s="6">
        <f t="shared" si="254"/>
        <v>4702.1760000000004</v>
      </c>
    </row>
    <row r="2168" spans="1:22" x14ac:dyDescent="0.35">
      <c r="A2168" s="6" t="s">
        <v>2386</v>
      </c>
      <c r="B2168" s="6" t="s">
        <v>2366</v>
      </c>
      <c r="C2168" s="6" t="s">
        <v>2367</v>
      </c>
      <c r="D2168" s="6">
        <f t="shared" si="252"/>
        <v>0.5</v>
      </c>
      <c r="E2168" s="6" t="s">
        <v>19</v>
      </c>
      <c r="F2168" s="6" t="str">
        <f>MID(A2168,19,1)</f>
        <v>N</v>
      </c>
      <c r="G2168" s="6">
        <v>-22.91422506167806</v>
      </c>
      <c r="H2168" s="6">
        <v>-47.159027018911551</v>
      </c>
      <c r="I2168" s="9">
        <v>1305.19</v>
      </c>
      <c r="K2168" s="6">
        <v>6</v>
      </c>
      <c r="L2168" s="6">
        <v>70</v>
      </c>
      <c r="N2168" s="1">
        <f t="shared" si="250"/>
        <v>0</v>
      </c>
      <c r="O2168" s="6" t="s">
        <v>20</v>
      </c>
      <c r="Q2168" s="6" t="s">
        <v>21</v>
      </c>
      <c r="R2168" s="6" t="s">
        <v>21</v>
      </c>
      <c r="S2168" s="6" t="s">
        <v>21</v>
      </c>
      <c r="T2168" s="6" t="s">
        <v>21</v>
      </c>
      <c r="U2168" s="6">
        <f t="shared" si="251"/>
        <v>913.63299999999992</v>
      </c>
      <c r="V2168" s="6">
        <f t="shared" si="254"/>
        <v>913.63299999999992</v>
      </c>
    </row>
    <row r="2169" spans="1:22" hidden="1" x14ac:dyDescent="0.35">
      <c r="A2169" s="6" t="s">
        <v>2387</v>
      </c>
      <c r="B2169" s="6" t="s">
        <v>2366</v>
      </c>
      <c r="C2169" s="6" t="s">
        <v>2367</v>
      </c>
      <c r="D2169" s="6">
        <f t="shared" si="252"/>
        <v>0.5</v>
      </c>
      <c r="E2169" s="6" t="s">
        <v>19</v>
      </c>
      <c r="F2169" s="6" t="str">
        <f>MID(A2169,19,1)</f>
        <v>S</v>
      </c>
      <c r="G2169" s="6">
        <v>-22.885595739027611</v>
      </c>
      <c r="H2169" s="6">
        <v>-47.114549978756813</v>
      </c>
      <c r="I2169" s="9">
        <v>1390.13</v>
      </c>
      <c r="K2169" s="6">
        <v>3.53</v>
      </c>
      <c r="L2169" s="6">
        <v>30</v>
      </c>
      <c r="N2169" s="1">
        <f t="shared" si="250"/>
        <v>0</v>
      </c>
      <c r="O2169" s="6" t="s">
        <v>20</v>
      </c>
      <c r="Q2169" s="6" t="s">
        <v>21</v>
      </c>
      <c r="R2169" s="6" t="s">
        <v>21</v>
      </c>
      <c r="S2169" s="6" t="s">
        <v>21</v>
      </c>
      <c r="T2169" s="6" t="s">
        <v>21</v>
      </c>
      <c r="U2169" s="6">
        <f t="shared" si="251"/>
        <v>417.03900000000004</v>
      </c>
      <c r="V2169" s="6">
        <f t="shared" si="254"/>
        <v>417.03900000000004</v>
      </c>
    </row>
    <row r="2170" spans="1:22" x14ac:dyDescent="0.35">
      <c r="A2170" s="6" t="s">
        <v>2388</v>
      </c>
      <c r="B2170" s="6" t="s">
        <v>2366</v>
      </c>
      <c r="C2170" s="6" t="s">
        <v>2367</v>
      </c>
      <c r="D2170" s="6">
        <f t="shared" si="252"/>
        <v>0.5</v>
      </c>
      <c r="E2170" s="6" t="s">
        <v>19</v>
      </c>
      <c r="F2170" s="6" t="str">
        <f>MID(A2170,19,1)</f>
        <v>N</v>
      </c>
      <c r="G2170" s="6">
        <v>-22.883970355825952</v>
      </c>
      <c r="H2170" s="6">
        <v>-47.114736141765491</v>
      </c>
      <c r="I2170" s="9">
        <v>222.56</v>
      </c>
      <c r="K2170" s="6">
        <v>1.23</v>
      </c>
      <c r="L2170" s="6">
        <v>0</v>
      </c>
      <c r="N2170" s="1">
        <f t="shared" si="250"/>
        <v>0</v>
      </c>
      <c r="Q2170" s="6" t="s">
        <v>21</v>
      </c>
      <c r="R2170" s="6" t="s">
        <v>21</v>
      </c>
      <c r="S2170" s="6" t="s">
        <v>21</v>
      </c>
      <c r="T2170" s="6" t="s">
        <v>21</v>
      </c>
      <c r="U2170" s="6">
        <f t="shared" si="251"/>
        <v>0</v>
      </c>
      <c r="V2170" s="6">
        <f t="shared" si="254"/>
        <v>0</v>
      </c>
    </row>
    <row r="2171" spans="1:22" x14ac:dyDescent="0.35">
      <c r="A2171" s="6" t="s">
        <v>2389</v>
      </c>
      <c r="B2171" s="6" t="s">
        <v>2366</v>
      </c>
      <c r="C2171" s="6" t="s">
        <v>2367</v>
      </c>
      <c r="D2171" s="6">
        <f t="shared" si="252"/>
        <v>0.5</v>
      </c>
      <c r="E2171" s="6" t="s">
        <v>19</v>
      </c>
      <c r="F2171" s="6" t="str">
        <f>MID(A2171,19,1)</f>
        <v>N</v>
      </c>
      <c r="G2171" s="6">
        <v>-22.889636932650841</v>
      </c>
      <c r="H2171" s="6">
        <v>-47.112485796208929</v>
      </c>
      <c r="I2171" s="9">
        <v>2666.07</v>
      </c>
      <c r="K2171" s="6">
        <v>3.71</v>
      </c>
      <c r="L2171" s="6">
        <v>40</v>
      </c>
      <c r="N2171" s="1">
        <f t="shared" si="250"/>
        <v>0</v>
      </c>
      <c r="O2171" s="6" t="s">
        <v>20</v>
      </c>
      <c r="Q2171" s="6" t="s">
        <v>21</v>
      </c>
      <c r="R2171" s="6" t="s">
        <v>21</v>
      </c>
      <c r="S2171" s="6" t="s">
        <v>21</v>
      </c>
      <c r="T2171" s="6" t="s">
        <v>21</v>
      </c>
      <c r="U2171" s="6">
        <f t="shared" si="251"/>
        <v>1066.4280000000001</v>
      </c>
      <c r="V2171" s="6">
        <f t="shared" si="254"/>
        <v>1066.4280000000001</v>
      </c>
    </row>
    <row r="2172" spans="1:22" x14ac:dyDescent="0.35">
      <c r="A2172" s="8" t="s">
        <v>2390</v>
      </c>
      <c r="B2172" s="8" t="s">
        <v>2366</v>
      </c>
      <c r="C2172" s="8" t="s">
        <v>2367</v>
      </c>
      <c r="D2172" s="6">
        <f t="shared" si="252"/>
        <v>0.5</v>
      </c>
      <c r="E2172" s="8" t="s">
        <v>19</v>
      </c>
      <c r="F2172" s="6" t="str">
        <f>MID(A2172,19,1)</f>
        <v>N</v>
      </c>
      <c r="G2172" s="8">
        <v>-22.886112694846929</v>
      </c>
      <c r="H2172" s="8">
        <v>-47.113730190704807</v>
      </c>
      <c r="I2172" s="7">
        <v>3248.58</v>
      </c>
      <c r="J2172" s="7"/>
      <c r="K2172" s="8">
        <v>3.24</v>
      </c>
      <c r="L2172" s="8">
        <v>80</v>
      </c>
      <c r="M2172" s="8"/>
      <c r="N2172" s="11">
        <f t="shared" si="250"/>
        <v>2598.864</v>
      </c>
      <c r="O2172" s="8" t="s">
        <v>71</v>
      </c>
      <c r="P2172" s="8"/>
      <c r="Q2172" s="8" t="s">
        <v>21</v>
      </c>
      <c r="R2172" s="8" t="s">
        <v>21</v>
      </c>
      <c r="S2172" s="8" t="s">
        <v>21</v>
      </c>
      <c r="T2172" s="8" t="s">
        <v>26</v>
      </c>
      <c r="U2172" s="6">
        <f t="shared" si="251"/>
        <v>0</v>
      </c>
    </row>
    <row r="2173" spans="1:22" x14ac:dyDescent="0.35">
      <c r="A2173" s="6" t="s">
        <v>2391</v>
      </c>
      <c r="B2173" s="6" t="s">
        <v>2366</v>
      </c>
      <c r="C2173" s="6" t="s">
        <v>2367</v>
      </c>
      <c r="D2173" s="6">
        <f t="shared" si="252"/>
        <v>0.5</v>
      </c>
      <c r="E2173" s="6" t="s">
        <v>19</v>
      </c>
      <c r="F2173" s="6" t="str">
        <f>MID(A2173,19,1)</f>
        <v>N</v>
      </c>
      <c r="G2173" s="6">
        <v>-22.9154946001177</v>
      </c>
      <c r="H2173" s="6">
        <v>-47.156518010066748</v>
      </c>
      <c r="I2173" s="9">
        <v>1825.48</v>
      </c>
      <c r="K2173" s="6">
        <v>1.57</v>
      </c>
      <c r="L2173" s="6">
        <v>70</v>
      </c>
      <c r="N2173" s="1">
        <f t="shared" si="250"/>
        <v>0</v>
      </c>
      <c r="O2173" s="6" t="s">
        <v>20</v>
      </c>
      <c r="Q2173" s="6" t="s">
        <v>21</v>
      </c>
      <c r="R2173" s="6" t="s">
        <v>21</v>
      </c>
      <c r="S2173" s="6" t="s">
        <v>21</v>
      </c>
      <c r="T2173" s="6" t="s">
        <v>21</v>
      </c>
      <c r="U2173" s="6">
        <f t="shared" si="251"/>
        <v>1277.836</v>
      </c>
      <c r="V2173" s="6">
        <f t="shared" ref="V2173:V2236" si="255">(I2173*(L2173/100))</f>
        <v>1277.836</v>
      </c>
    </row>
    <row r="2174" spans="1:22" x14ac:dyDescent="0.35">
      <c r="A2174" s="6" t="s">
        <v>2392</v>
      </c>
      <c r="B2174" s="6" t="s">
        <v>2393</v>
      </c>
      <c r="C2174" s="6" t="s">
        <v>2394</v>
      </c>
      <c r="D2174" s="6">
        <f t="shared" si="252"/>
        <v>0.5</v>
      </c>
      <c r="E2174" s="6" t="s">
        <v>19</v>
      </c>
      <c r="F2174" s="6" t="str">
        <f>MID(A2174,19,1)</f>
        <v>N</v>
      </c>
      <c r="G2174" s="6">
        <v>-22.87865329411596</v>
      </c>
      <c r="H2174" s="6">
        <v>-47.119108572838513</v>
      </c>
      <c r="I2174" s="9">
        <v>2535.5300000000002</v>
      </c>
      <c r="K2174" s="6">
        <v>3.55</v>
      </c>
      <c r="L2174" s="6">
        <v>0</v>
      </c>
      <c r="N2174" s="1">
        <f t="shared" si="250"/>
        <v>0</v>
      </c>
      <c r="Q2174" s="6" t="s">
        <v>21</v>
      </c>
      <c r="R2174" s="6" t="s">
        <v>21</v>
      </c>
      <c r="S2174" s="6" t="s">
        <v>21</v>
      </c>
      <c r="T2174" s="6" t="s">
        <v>21</v>
      </c>
      <c r="U2174" s="6">
        <f t="shared" si="251"/>
        <v>0</v>
      </c>
      <c r="V2174" s="6">
        <f t="shared" si="255"/>
        <v>0</v>
      </c>
    </row>
    <row r="2175" spans="1:22" hidden="1" x14ac:dyDescent="0.35">
      <c r="A2175" s="6" t="s">
        <v>2395</v>
      </c>
      <c r="B2175" s="6" t="s">
        <v>2393</v>
      </c>
      <c r="C2175" s="6" t="s">
        <v>2394</v>
      </c>
      <c r="D2175" s="6">
        <f t="shared" si="252"/>
        <v>0.5</v>
      </c>
      <c r="E2175" s="6" t="s">
        <v>23</v>
      </c>
      <c r="F2175" s="6" t="str">
        <f>MID(A2175,19,1)</f>
        <v>C</v>
      </c>
      <c r="G2175" s="6">
        <v>-22.880567861728039</v>
      </c>
      <c r="H2175" s="6">
        <v>-47.117434476423739</v>
      </c>
      <c r="I2175" s="9">
        <v>52.29</v>
      </c>
      <c r="J2175" s="9">
        <f>I2175/500</f>
        <v>0.10457999999999999</v>
      </c>
      <c r="K2175" s="6">
        <v>2.56</v>
      </c>
      <c r="L2175" s="6">
        <v>0</v>
      </c>
      <c r="N2175" s="1">
        <f t="shared" si="250"/>
        <v>0</v>
      </c>
      <c r="Q2175" s="6" t="s">
        <v>21</v>
      </c>
      <c r="R2175" s="6" t="s">
        <v>21</v>
      </c>
      <c r="S2175" s="6" t="s">
        <v>21</v>
      </c>
      <c r="T2175" s="6" t="s">
        <v>21</v>
      </c>
      <c r="U2175" s="6">
        <f t="shared" si="251"/>
        <v>0</v>
      </c>
      <c r="V2175" s="6">
        <f t="shared" si="255"/>
        <v>0</v>
      </c>
    </row>
    <row r="2176" spans="1:22" x14ac:dyDescent="0.35">
      <c r="A2176" s="6" t="s">
        <v>2396</v>
      </c>
      <c r="B2176" s="6" t="s">
        <v>2393</v>
      </c>
      <c r="C2176" s="6" t="s">
        <v>2394</v>
      </c>
      <c r="D2176" s="6">
        <f t="shared" si="252"/>
        <v>0.5</v>
      </c>
      <c r="E2176" s="6" t="s">
        <v>19</v>
      </c>
      <c r="F2176" s="6" t="str">
        <f>MID(A2176,19,1)</f>
        <v>N</v>
      </c>
      <c r="G2176" s="6">
        <v>-22.911037634082319</v>
      </c>
      <c r="H2176" s="6">
        <v>-47.174104036389927</v>
      </c>
      <c r="I2176" s="9">
        <v>882.26</v>
      </c>
      <c r="K2176" s="6">
        <v>8.2899999999999991</v>
      </c>
      <c r="L2176" s="6">
        <v>50</v>
      </c>
      <c r="N2176" s="1">
        <f t="shared" si="250"/>
        <v>0</v>
      </c>
      <c r="O2176" s="6" t="s">
        <v>20</v>
      </c>
      <c r="Q2176" s="6" t="s">
        <v>21</v>
      </c>
      <c r="R2176" s="6" t="s">
        <v>21</v>
      </c>
      <c r="S2176" s="6" t="s">
        <v>21</v>
      </c>
      <c r="T2176" s="6" t="s">
        <v>21</v>
      </c>
      <c r="U2176" s="6">
        <f t="shared" si="251"/>
        <v>441.13</v>
      </c>
      <c r="V2176" s="6">
        <f t="shared" si="255"/>
        <v>441.13</v>
      </c>
    </row>
    <row r="2177" spans="1:22" hidden="1" x14ac:dyDescent="0.35">
      <c r="A2177" s="6" t="s">
        <v>2397</v>
      </c>
      <c r="B2177" s="6" t="s">
        <v>2393</v>
      </c>
      <c r="C2177" s="6" t="s">
        <v>2394</v>
      </c>
      <c r="D2177" s="6">
        <f t="shared" si="252"/>
        <v>0.5</v>
      </c>
      <c r="E2177" s="6" t="s">
        <v>23</v>
      </c>
      <c r="F2177" s="6" t="str">
        <f>MID(A2177,19,1)</f>
        <v>C</v>
      </c>
      <c r="G2177" s="6">
        <v>-22.91123378597635</v>
      </c>
      <c r="H2177" s="6">
        <v>-47.174012489657542</v>
      </c>
      <c r="I2177" s="9">
        <v>2827.2</v>
      </c>
      <c r="J2177" s="9">
        <f>I2177/500</f>
        <v>5.6543999999999999</v>
      </c>
      <c r="K2177" s="6">
        <v>7.58</v>
      </c>
      <c r="L2177" s="6">
        <v>80</v>
      </c>
      <c r="N2177" s="1">
        <f t="shared" si="250"/>
        <v>0</v>
      </c>
      <c r="O2177" s="6" t="s">
        <v>20</v>
      </c>
      <c r="Q2177" s="6" t="s">
        <v>21</v>
      </c>
      <c r="R2177" s="6" t="s">
        <v>21</v>
      </c>
      <c r="S2177" s="6" t="s">
        <v>21</v>
      </c>
      <c r="T2177" s="6" t="s">
        <v>21</v>
      </c>
      <c r="U2177" s="6">
        <f t="shared" si="251"/>
        <v>2261.7599999999998</v>
      </c>
      <c r="V2177" s="6">
        <f t="shared" si="255"/>
        <v>2261.7599999999998</v>
      </c>
    </row>
    <row r="2178" spans="1:22" x14ac:dyDescent="0.35">
      <c r="A2178" s="6" t="s">
        <v>2398</v>
      </c>
      <c r="B2178" s="6" t="s">
        <v>2393</v>
      </c>
      <c r="C2178" s="6" t="s">
        <v>2394</v>
      </c>
      <c r="D2178" s="6">
        <f t="shared" si="252"/>
        <v>0.5</v>
      </c>
      <c r="E2178" s="6" t="s">
        <v>19</v>
      </c>
      <c r="F2178" s="6" t="str">
        <f>MID(A2178,19,1)</f>
        <v>N</v>
      </c>
      <c r="G2178" s="6">
        <v>-22.91087413618683</v>
      </c>
      <c r="H2178" s="6">
        <v>-47.167380629236348</v>
      </c>
      <c r="I2178" s="9">
        <v>2140.6799999999998</v>
      </c>
      <c r="K2178" s="6">
        <v>8.58</v>
      </c>
      <c r="L2178" s="6">
        <v>50</v>
      </c>
      <c r="N2178" s="1">
        <f t="shared" ref="N2178:N2241" si="256">IF(OR(R2178="Sim",S2178="Sim",T2178="Sim"),(L2178/100)*I2178,0)</f>
        <v>0</v>
      </c>
      <c r="O2178" s="6" t="s">
        <v>20</v>
      </c>
      <c r="Q2178" s="6" t="s">
        <v>21</v>
      </c>
      <c r="R2178" s="6" t="s">
        <v>21</v>
      </c>
      <c r="S2178" s="6" t="s">
        <v>21</v>
      </c>
      <c r="T2178" s="6" t="s">
        <v>21</v>
      </c>
      <c r="U2178" s="6">
        <f t="shared" si="251"/>
        <v>1070.3399999999999</v>
      </c>
      <c r="V2178" s="6">
        <f t="shared" si="255"/>
        <v>1070.3399999999999</v>
      </c>
    </row>
    <row r="2179" spans="1:22" x14ac:dyDescent="0.35">
      <c r="A2179" s="6" t="s">
        <v>2399</v>
      </c>
      <c r="B2179" s="6" t="s">
        <v>2393</v>
      </c>
      <c r="C2179" s="6" t="s">
        <v>2394</v>
      </c>
      <c r="D2179" s="6">
        <f t="shared" si="252"/>
        <v>0.5</v>
      </c>
      <c r="E2179" s="6" t="s">
        <v>19</v>
      </c>
      <c r="F2179" s="6" t="str">
        <f>MID(A2179,19,1)</f>
        <v>N</v>
      </c>
      <c r="G2179" s="6">
        <v>-22.878481650850151</v>
      </c>
      <c r="H2179" s="6">
        <v>-47.119115607103147</v>
      </c>
      <c r="I2179" s="9">
        <v>2279.52</v>
      </c>
      <c r="K2179" s="6">
        <v>3.67</v>
      </c>
      <c r="L2179" s="6">
        <v>0</v>
      </c>
      <c r="N2179" s="1">
        <f t="shared" si="256"/>
        <v>0</v>
      </c>
      <c r="Q2179" s="6" t="s">
        <v>21</v>
      </c>
      <c r="R2179" s="6" t="s">
        <v>21</v>
      </c>
      <c r="S2179" s="6" t="s">
        <v>21</v>
      </c>
      <c r="T2179" s="6" t="s">
        <v>21</v>
      </c>
      <c r="U2179" s="6">
        <f t="shared" ref="U2179:U2242" si="257">IF(N2179=0,(I2179*(L2179/100)),0)</f>
        <v>0</v>
      </c>
      <c r="V2179" s="6">
        <f t="shared" si="255"/>
        <v>0</v>
      </c>
    </row>
    <row r="2180" spans="1:22" hidden="1" x14ac:dyDescent="0.35">
      <c r="A2180" s="6" t="s">
        <v>2400</v>
      </c>
      <c r="B2180" s="6" t="s">
        <v>2393</v>
      </c>
      <c r="C2180" s="6" t="s">
        <v>2394</v>
      </c>
      <c r="D2180" s="6">
        <f t="shared" si="252"/>
        <v>0.5</v>
      </c>
      <c r="E2180" s="6" t="s">
        <v>23</v>
      </c>
      <c r="F2180" s="6" t="str">
        <f>MID(A2180,19,1)</f>
        <v>C</v>
      </c>
      <c r="G2180" s="6">
        <v>-22.91106357305096</v>
      </c>
      <c r="H2180" s="6">
        <v>-47.167443279636423</v>
      </c>
      <c r="I2180" s="9">
        <v>6161.64</v>
      </c>
      <c r="J2180" s="9">
        <f>I2180/500</f>
        <v>12.32328</v>
      </c>
      <c r="K2180" s="6">
        <v>8.73</v>
      </c>
      <c r="L2180" s="6">
        <v>80</v>
      </c>
      <c r="N2180" s="1">
        <f t="shared" si="256"/>
        <v>0</v>
      </c>
      <c r="O2180" s="6" t="s">
        <v>20</v>
      </c>
      <c r="Q2180" s="6" t="s">
        <v>21</v>
      </c>
      <c r="R2180" s="6" t="s">
        <v>21</v>
      </c>
      <c r="S2180" s="6" t="s">
        <v>21</v>
      </c>
      <c r="T2180" s="6" t="s">
        <v>21</v>
      </c>
      <c r="U2180" s="6">
        <f t="shared" si="257"/>
        <v>4929.3120000000008</v>
      </c>
      <c r="V2180" s="6">
        <f t="shared" si="255"/>
        <v>4929.3120000000008</v>
      </c>
    </row>
    <row r="2181" spans="1:22" hidden="1" x14ac:dyDescent="0.35">
      <c r="A2181" s="6" t="s">
        <v>2401</v>
      </c>
      <c r="B2181" s="6" t="s">
        <v>2393</v>
      </c>
      <c r="C2181" s="6" t="s">
        <v>2394</v>
      </c>
      <c r="D2181" s="6">
        <f t="shared" si="252"/>
        <v>0.5</v>
      </c>
      <c r="E2181" s="6" t="s">
        <v>19</v>
      </c>
      <c r="F2181" s="6" t="str">
        <f>MID(A2181,19,1)</f>
        <v>S</v>
      </c>
      <c r="G2181" s="6">
        <v>-22.87957886457642</v>
      </c>
      <c r="H2181" s="6">
        <v>-47.118818404839153</v>
      </c>
      <c r="I2181" s="9">
        <v>1359.63</v>
      </c>
      <c r="K2181" s="6">
        <v>2.78</v>
      </c>
      <c r="L2181" s="6">
        <v>20</v>
      </c>
      <c r="N2181" s="1">
        <f t="shared" si="256"/>
        <v>0</v>
      </c>
      <c r="O2181" s="6" t="s">
        <v>20</v>
      </c>
      <c r="Q2181" s="6" t="s">
        <v>21</v>
      </c>
      <c r="R2181" s="6" t="s">
        <v>21</v>
      </c>
      <c r="S2181" s="6" t="s">
        <v>21</v>
      </c>
      <c r="T2181" s="6" t="s">
        <v>21</v>
      </c>
      <c r="U2181" s="6">
        <f t="shared" si="257"/>
        <v>271.92600000000004</v>
      </c>
      <c r="V2181" s="6">
        <f t="shared" si="255"/>
        <v>271.92600000000004</v>
      </c>
    </row>
    <row r="2182" spans="1:22" hidden="1" x14ac:dyDescent="0.35">
      <c r="A2182" s="6" t="s">
        <v>2402</v>
      </c>
      <c r="B2182" s="6" t="s">
        <v>2393</v>
      </c>
      <c r="C2182" s="6" t="s">
        <v>2394</v>
      </c>
      <c r="D2182" s="6">
        <f t="shared" si="252"/>
        <v>0.5</v>
      </c>
      <c r="E2182" s="6" t="s">
        <v>23</v>
      </c>
      <c r="F2182" s="6" t="str">
        <f>MID(A2182,19,1)</f>
        <v>C</v>
      </c>
      <c r="G2182" s="6">
        <v>-22.91090842847543</v>
      </c>
      <c r="H2182" s="6">
        <v>-47.171418337338388</v>
      </c>
      <c r="I2182" s="9">
        <v>3630.75</v>
      </c>
      <c r="J2182" s="9">
        <f>I2182/500</f>
        <v>7.2614999999999998</v>
      </c>
      <c r="K2182" s="6">
        <v>8.93</v>
      </c>
      <c r="L2182" s="6">
        <v>80</v>
      </c>
      <c r="N2182" s="1">
        <f t="shared" si="256"/>
        <v>0</v>
      </c>
      <c r="O2182" s="6" t="s">
        <v>20</v>
      </c>
      <c r="Q2182" s="6" t="s">
        <v>21</v>
      </c>
      <c r="R2182" s="6" t="s">
        <v>21</v>
      </c>
      <c r="S2182" s="6" t="s">
        <v>21</v>
      </c>
      <c r="T2182" s="6" t="s">
        <v>21</v>
      </c>
      <c r="U2182" s="6">
        <f t="shared" si="257"/>
        <v>2904.6000000000004</v>
      </c>
      <c r="V2182" s="6">
        <f t="shared" si="255"/>
        <v>2904.6000000000004</v>
      </c>
    </row>
    <row r="2183" spans="1:22" hidden="1" x14ac:dyDescent="0.35">
      <c r="A2183" s="6" t="s">
        <v>2403</v>
      </c>
      <c r="B2183" s="6" t="s">
        <v>2393</v>
      </c>
      <c r="C2183" s="6" t="s">
        <v>2394</v>
      </c>
      <c r="D2183" s="6">
        <f t="shared" si="252"/>
        <v>0.5</v>
      </c>
      <c r="E2183" s="6" t="s">
        <v>19</v>
      </c>
      <c r="F2183" s="6" t="str">
        <f>MID(A2183,19,1)</f>
        <v>S</v>
      </c>
      <c r="G2183" s="6">
        <v>-22.911114921183572</v>
      </c>
      <c r="H2183" s="6">
        <v>-47.171404846188352</v>
      </c>
      <c r="I2183" s="9">
        <v>1209.47</v>
      </c>
      <c r="K2183" s="6">
        <v>5.83</v>
      </c>
      <c r="L2183" s="6">
        <v>50</v>
      </c>
      <c r="N2183" s="1">
        <f t="shared" si="256"/>
        <v>0</v>
      </c>
      <c r="O2183" s="6" t="s">
        <v>20</v>
      </c>
      <c r="Q2183" s="6" t="s">
        <v>21</v>
      </c>
      <c r="R2183" s="6" t="s">
        <v>21</v>
      </c>
      <c r="S2183" s="6" t="s">
        <v>21</v>
      </c>
      <c r="T2183" s="6" t="s">
        <v>21</v>
      </c>
      <c r="U2183" s="6">
        <f t="shared" si="257"/>
        <v>604.73500000000001</v>
      </c>
      <c r="V2183" s="6">
        <f t="shared" si="255"/>
        <v>604.73500000000001</v>
      </c>
    </row>
    <row r="2184" spans="1:22" hidden="1" x14ac:dyDescent="0.35">
      <c r="A2184" s="6" t="s">
        <v>2404</v>
      </c>
      <c r="B2184" s="6" t="s">
        <v>2393</v>
      </c>
      <c r="C2184" s="6" t="s">
        <v>2394</v>
      </c>
      <c r="D2184" s="6">
        <f t="shared" si="252"/>
        <v>0.5</v>
      </c>
      <c r="E2184" s="6" t="s">
        <v>19</v>
      </c>
      <c r="F2184" s="6" t="str">
        <f>MID(A2184,19,1)</f>
        <v>S</v>
      </c>
      <c r="G2184" s="6">
        <v>-22.880674123673209</v>
      </c>
      <c r="H2184" s="6">
        <v>-47.117594985972289</v>
      </c>
      <c r="I2184" s="9">
        <v>11.46</v>
      </c>
      <c r="K2184" s="6">
        <v>3.96</v>
      </c>
      <c r="L2184" s="6">
        <v>0</v>
      </c>
      <c r="N2184" s="1">
        <f t="shared" si="256"/>
        <v>0</v>
      </c>
      <c r="Q2184" s="6" t="s">
        <v>21</v>
      </c>
      <c r="R2184" s="6" t="s">
        <v>21</v>
      </c>
      <c r="S2184" s="6" t="s">
        <v>21</v>
      </c>
      <c r="T2184" s="6" t="s">
        <v>21</v>
      </c>
      <c r="U2184" s="6">
        <f t="shared" si="257"/>
        <v>0</v>
      </c>
      <c r="V2184" s="6">
        <f t="shared" si="255"/>
        <v>0</v>
      </c>
    </row>
    <row r="2185" spans="1:22" hidden="1" x14ac:dyDescent="0.35">
      <c r="A2185" s="6" t="s">
        <v>2405</v>
      </c>
      <c r="B2185" s="6" t="s">
        <v>2393</v>
      </c>
      <c r="C2185" s="6" t="s">
        <v>2394</v>
      </c>
      <c r="D2185" s="6">
        <f t="shared" si="252"/>
        <v>0.5</v>
      </c>
      <c r="E2185" s="6" t="s">
        <v>19</v>
      </c>
      <c r="F2185" s="6" t="str">
        <f>MID(A2185,19,1)</f>
        <v>S</v>
      </c>
      <c r="G2185" s="6">
        <v>-22.91126525894019</v>
      </c>
      <c r="H2185" s="6">
        <v>-47.167492463495073</v>
      </c>
      <c r="I2185" s="9">
        <v>2025.98</v>
      </c>
      <c r="K2185" s="6">
        <v>7.54</v>
      </c>
      <c r="L2185" s="6">
        <v>50</v>
      </c>
      <c r="N2185" s="1">
        <f t="shared" si="256"/>
        <v>0</v>
      </c>
      <c r="O2185" s="6" t="s">
        <v>20</v>
      </c>
      <c r="Q2185" s="6" t="s">
        <v>21</v>
      </c>
      <c r="R2185" s="6" t="s">
        <v>21</v>
      </c>
      <c r="S2185" s="6" t="s">
        <v>21</v>
      </c>
      <c r="T2185" s="6" t="s">
        <v>21</v>
      </c>
      <c r="U2185" s="6">
        <f t="shared" si="257"/>
        <v>1012.99</v>
      </c>
      <c r="V2185" s="6">
        <f t="shared" si="255"/>
        <v>1012.99</v>
      </c>
    </row>
    <row r="2186" spans="1:22" hidden="1" x14ac:dyDescent="0.35">
      <c r="A2186" s="6" t="s">
        <v>2406</v>
      </c>
      <c r="B2186" s="6" t="s">
        <v>2393</v>
      </c>
      <c r="C2186" s="6" t="s">
        <v>2394</v>
      </c>
      <c r="D2186" s="6">
        <f t="shared" si="252"/>
        <v>0.5</v>
      </c>
      <c r="E2186" s="6" t="s">
        <v>19</v>
      </c>
      <c r="F2186" s="6" t="str">
        <f>MID(A2186,19,1)</f>
        <v>S</v>
      </c>
      <c r="G2186" s="6">
        <v>-22.877630567151929</v>
      </c>
      <c r="H2186" s="6">
        <v>-47.120929785827862</v>
      </c>
      <c r="I2186" s="9">
        <v>866.95</v>
      </c>
      <c r="K2186" s="6">
        <v>3.04</v>
      </c>
      <c r="L2186" s="6">
        <v>20</v>
      </c>
      <c r="N2186" s="1">
        <f t="shared" si="256"/>
        <v>0</v>
      </c>
      <c r="O2186" s="6" t="s">
        <v>20</v>
      </c>
      <c r="Q2186" s="6" t="s">
        <v>21</v>
      </c>
      <c r="R2186" s="6" t="s">
        <v>21</v>
      </c>
      <c r="S2186" s="6" t="s">
        <v>21</v>
      </c>
      <c r="T2186" s="6" t="s">
        <v>21</v>
      </c>
      <c r="U2186" s="6">
        <f t="shared" si="257"/>
        <v>173.39000000000001</v>
      </c>
      <c r="V2186" s="6">
        <f t="shared" si="255"/>
        <v>173.39000000000001</v>
      </c>
    </row>
    <row r="2187" spans="1:22" hidden="1" x14ac:dyDescent="0.35">
      <c r="A2187" s="6" t="s">
        <v>2407</v>
      </c>
      <c r="B2187" s="6" t="s">
        <v>2393</v>
      </c>
      <c r="C2187" s="6" t="s">
        <v>2394</v>
      </c>
      <c r="D2187" s="6">
        <f t="shared" si="252"/>
        <v>0.5</v>
      </c>
      <c r="E2187" s="6" t="s">
        <v>23</v>
      </c>
      <c r="F2187" s="6" t="str">
        <f>MID(A2187,19,1)</f>
        <v>C</v>
      </c>
      <c r="G2187" s="6">
        <v>-22.882187994565481</v>
      </c>
      <c r="H2187" s="6">
        <v>-47.116192950448792</v>
      </c>
      <c r="I2187" s="9">
        <v>5429.35</v>
      </c>
      <c r="J2187" s="9">
        <f>I2187/500</f>
        <v>10.858700000000001</v>
      </c>
      <c r="K2187" s="6">
        <v>2.4500000000000002</v>
      </c>
      <c r="L2187" s="6">
        <v>80</v>
      </c>
      <c r="N2187" s="1">
        <f t="shared" si="256"/>
        <v>0</v>
      </c>
      <c r="O2187" s="6" t="s">
        <v>20</v>
      </c>
      <c r="Q2187" s="6" t="s">
        <v>21</v>
      </c>
      <c r="R2187" s="6" t="s">
        <v>21</v>
      </c>
      <c r="S2187" s="6" t="s">
        <v>21</v>
      </c>
      <c r="T2187" s="6" t="s">
        <v>21</v>
      </c>
      <c r="U2187" s="6">
        <f t="shared" si="257"/>
        <v>4343.4800000000005</v>
      </c>
      <c r="V2187" s="6">
        <f t="shared" si="255"/>
        <v>4343.4800000000005</v>
      </c>
    </row>
    <row r="2188" spans="1:22" hidden="1" x14ac:dyDescent="0.35">
      <c r="A2188" s="6" t="s">
        <v>2408</v>
      </c>
      <c r="B2188" s="6" t="s">
        <v>2393</v>
      </c>
      <c r="C2188" s="6" t="s">
        <v>2394</v>
      </c>
      <c r="D2188" s="6">
        <f t="shared" si="252"/>
        <v>0.5</v>
      </c>
      <c r="E2188" s="6" t="s">
        <v>19</v>
      </c>
      <c r="F2188" s="6" t="str">
        <f>MID(A2188,19,1)</f>
        <v>S</v>
      </c>
      <c r="G2188" s="6">
        <v>-22.8824267053071</v>
      </c>
      <c r="H2188" s="6">
        <v>-47.11639007785412</v>
      </c>
      <c r="I2188" s="9">
        <v>1500.32</v>
      </c>
      <c r="K2188" s="6">
        <v>2.78</v>
      </c>
      <c r="L2188" s="6">
        <v>30</v>
      </c>
      <c r="N2188" s="1">
        <f t="shared" si="256"/>
        <v>0</v>
      </c>
      <c r="O2188" s="6" t="s">
        <v>20</v>
      </c>
      <c r="Q2188" s="6" t="s">
        <v>21</v>
      </c>
      <c r="R2188" s="6" t="s">
        <v>21</v>
      </c>
      <c r="S2188" s="6" t="s">
        <v>21</v>
      </c>
      <c r="T2188" s="6" t="s">
        <v>21</v>
      </c>
      <c r="U2188" s="6">
        <f t="shared" si="257"/>
        <v>450.09599999999995</v>
      </c>
      <c r="V2188" s="6">
        <f t="shared" si="255"/>
        <v>450.09599999999995</v>
      </c>
    </row>
    <row r="2189" spans="1:22" hidden="1" x14ac:dyDescent="0.35">
      <c r="A2189" s="6" t="s">
        <v>2409</v>
      </c>
      <c r="B2189" s="6" t="s">
        <v>2393</v>
      </c>
      <c r="C2189" s="6" t="s">
        <v>2394</v>
      </c>
      <c r="D2189" s="6">
        <f t="shared" si="252"/>
        <v>0.5</v>
      </c>
      <c r="E2189" s="6" t="s">
        <v>19</v>
      </c>
      <c r="F2189" s="6" t="str">
        <f>MID(A2189,19,1)</f>
        <v>S</v>
      </c>
      <c r="G2189" s="6">
        <v>-22.879351945419121</v>
      </c>
      <c r="H2189" s="6">
        <v>-47.118880856020162</v>
      </c>
      <c r="I2189" s="9">
        <v>1851.78</v>
      </c>
      <c r="K2189" s="6">
        <v>2.5099999999999998</v>
      </c>
      <c r="L2189" s="6">
        <v>20</v>
      </c>
      <c r="N2189" s="1">
        <f t="shared" si="256"/>
        <v>0</v>
      </c>
      <c r="O2189" s="6" t="s">
        <v>20</v>
      </c>
      <c r="Q2189" s="6" t="s">
        <v>21</v>
      </c>
      <c r="R2189" s="6" t="s">
        <v>21</v>
      </c>
      <c r="S2189" s="6" t="s">
        <v>21</v>
      </c>
      <c r="T2189" s="6" t="s">
        <v>21</v>
      </c>
      <c r="U2189" s="6">
        <f t="shared" si="257"/>
        <v>370.35599999999999</v>
      </c>
      <c r="V2189" s="6">
        <f t="shared" si="255"/>
        <v>370.35599999999999</v>
      </c>
    </row>
    <row r="2190" spans="1:22" x14ac:dyDescent="0.35">
      <c r="A2190" s="6" t="s">
        <v>2410</v>
      </c>
      <c r="B2190" s="6" t="s">
        <v>2393</v>
      </c>
      <c r="C2190" s="6" t="s">
        <v>2394</v>
      </c>
      <c r="D2190" s="6">
        <f t="shared" ref="D2190:D2253" si="258">C2190-B2190</f>
        <v>0.5</v>
      </c>
      <c r="E2190" s="6" t="s">
        <v>19</v>
      </c>
      <c r="F2190" s="6" t="str">
        <f>MID(A2190,19,1)</f>
        <v>N</v>
      </c>
      <c r="G2190" s="6">
        <v>-22.88236300235501</v>
      </c>
      <c r="H2190" s="6">
        <v>-47.115673322033537</v>
      </c>
      <c r="I2190" s="9">
        <v>1186.73</v>
      </c>
      <c r="K2190" s="6">
        <v>2.21</v>
      </c>
      <c r="L2190" s="6">
        <v>0</v>
      </c>
      <c r="N2190" s="1">
        <f t="shared" si="256"/>
        <v>0</v>
      </c>
      <c r="Q2190" s="6" t="s">
        <v>21</v>
      </c>
      <c r="R2190" s="6" t="s">
        <v>21</v>
      </c>
      <c r="S2190" s="6" t="s">
        <v>21</v>
      </c>
      <c r="T2190" s="6" t="s">
        <v>21</v>
      </c>
      <c r="U2190" s="6">
        <f t="shared" si="257"/>
        <v>0</v>
      </c>
      <c r="V2190" s="6">
        <f t="shared" si="255"/>
        <v>0</v>
      </c>
    </row>
    <row r="2191" spans="1:22" hidden="1" x14ac:dyDescent="0.35">
      <c r="A2191" s="6" t="s">
        <v>2411</v>
      </c>
      <c r="B2191" s="6" t="s">
        <v>2393</v>
      </c>
      <c r="C2191" s="6" t="s">
        <v>2394</v>
      </c>
      <c r="D2191" s="6">
        <f t="shared" si="258"/>
        <v>0.5</v>
      </c>
      <c r="E2191" s="6" t="s">
        <v>19</v>
      </c>
      <c r="F2191" s="6" t="str">
        <f>MID(A2191,19,1)</f>
        <v>S</v>
      </c>
      <c r="G2191" s="6">
        <v>-22.91143652848643</v>
      </c>
      <c r="H2191" s="6">
        <v>-47.173968386403637</v>
      </c>
      <c r="I2191" s="9">
        <v>951.07</v>
      </c>
      <c r="K2191" s="6">
        <v>5.77</v>
      </c>
      <c r="L2191" s="6">
        <v>50</v>
      </c>
      <c r="N2191" s="1">
        <f t="shared" si="256"/>
        <v>0</v>
      </c>
      <c r="O2191" s="6" t="s">
        <v>20</v>
      </c>
      <c r="Q2191" s="6" t="s">
        <v>21</v>
      </c>
      <c r="R2191" s="6" t="s">
        <v>21</v>
      </c>
      <c r="S2191" s="6" t="s">
        <v>21</v>
      </c>
      <c r="T2191" s="6" t="s">
        <v>21</v>
      </c>
      <c r="U2191" s="6">
        <f t="shared" si="257"/>
        <v>475.53500000000003</v>
      </c>
      <c r="V2191" s="6">
        <f t="shared" si="255"/>
        <v>475.53500000000003</v>
      </c>
    </row>
    <row r="2192" spans="1:22" hidden="1" x14ac:dyDescent="0.35">
      <c r="A2192" s="6" t="s">
        <v>2412</v>
      </c>
      <c r="B2192" s="6" t="s">
        <v>2393</v>
      </c>
      <c r="C2192" s="6" t="s">
        <v>2394</v>
      </c>
      <c r="D2192" s="6">
        <f t="shared" si="258"/>
        <v>0.5</v>
      </c>
      <c r="E2192" s="6" t="s">
        <v>19</v>
      </c>
      <c r="F2192" s="6" t="str">
        <f>MID(A2192,19,1)</f>
        <v>S</v>
      </c>
      <c r="G2192" s="6">
        <v>-22.877341919018551</v>
      </c>
      <c r="H2192" s="6">
        <v>-47.121082722047568</v>
      </c>
      <c r="I2192" s="9">
        <v>574.57000000000005</v>
      </c>
      <c r="K2192" s="6">
        <v>3.36</v>
      </c>
      <c r="L2192" s="6">
        <v>20</v>
      </c>
      <c r="N2192" s="1">
        <f t="shared" si="256"/>
        <v>0</v>
      </c>
      <c r="O2192" s="6" t="s">
        <v>20</v>
      </c>
      <c r="Q2192" s="6" t="s">
        <v>21</v>
      </c>
      <c r="R2192" s="6" t="s">
        <v>21</v>
      </c>
      <c r="S2192" s="6" t="s">
        <v>21</v>
      </c>
      <c r="T2192" s="6" t="s">
        <v>21</v>
      </c>
      <c r="U2192" s="6">
        <f t="shared" si="257"/>
        <v>114.91400000000002</v>
      </c>
      <c r="V2192" s="6">
        <f t="shared" si="255"/>
        <v>114.91400000000002</v>
      </c>
    </row>
    <row r="2193" spans="1:22" hidden="1" x14ac:dyDescent="0.35">
      <c r="A2193" s="6" t="s">
        <v>2413</v>
      </c>
      <c r="B2193" s="6" t="s">
        <v>2393</v>
      </c>
      <c r="C2193" s="6" t="s">
        <v>2394</v>
      </c>
      <c r="D2193" s="6">
        <f t="shared" si="258"/>
        <v>0.5</v>
      </c>
      <c r="E2193" s="6" t="s">
        <v>19</v>
      </c>
      <c r="F2193" s="6" t="str">
        <f>MID(A2193,19,1)</f>
        <v>S</v>
      </c>
      <c r="G2193" s="6">
        <v>-22.882141186383571</v>
      </c>
      <c r="H2193" s="6">
        <v>-47.116456490568083</v>
      </c>
      <c r="I2193" s="9">
        <v>1937.5</v>
      </c>
      <c r="K2193" s="6">
        <v>2.78</v>
      </c>
      <c r="L2193" s="6">
        <v>30</v>
      </c>
      <c r="N2193" s="1">
        <f t="shared" si="256"/>
        <v>0</v>
      </c>
      <c r="O2193" s="6" t="s">
        <v>20</v>
      </c>
      <c r="Q2193" s="6" t="s">
        <v>21</v>
      </c>
      <c r="R2193" s="6" t="s">
        <v>21</v>
      </c>
      <c r="S2193" s="6" t="s">
        <v>21</v>
      </c>
      <c r="T2193" s="6" t="s">
        <v>21</v>
      </c>
      <c r="U2193" s="6">
        <f t="shared" si="257"/>
        <v>581.25</v>
      </c>
      <c r="V2193" s="6">
        <f t="shared" si="255"/>
        <v>581.25</v>
      </c>
    </row>
    <row r="2194" spans="1:22" x14ac:dyDescent="0.35">
      <c r="A2194" s="6" t="s">
        <v>2414</v>
      </c>
      <c r="B2194" s="6" t="s">
        <v>2393</v>
      </c>
      <c r="C2194" s="6" t="s">
        <v>2394</v>
      </c>
      <c r="D2194" s="6">
        <f t="shared" si="258"/>
        <v>0.5</v>
      </c>
      <c r="E2194" s="6" t="s">
        <v>19</v>
      </c>
      <c r="F2194" s="6" t="str">
        <f>MID(A2194,19,1)</f>
        <v>N</v>
      </c>
      <c r="G2194" s="6">
        <v>-22.880468595613142</v>
      </c>
      <c r="H2194" s="6">
        <v>-47.117279519973259</v>
      </c>
      <c r="I2194" s="9">
        <v>31.25</v>
      </c>
      <c r="K2194" s="6">
        <v>1.47</v>
      </c>
      <c r="L2194" s="6">
        <v>0</v>
      </c>
      <c r="N2194" s="1">
        <f t="shared" si="256"/>
        <v>0</v>
      </c>
      <c r="Q2194" s="6" t="s">
        <v>21</v>
      </c>
      <c r="R2194" s="6" t="s">
        <v>21</v>
      </c>
      <c r="S2194" s="6" t="s">
        <v>21</v>
      </c>
      <c r="T2194" s="6" t="s">
        <v>21</v>
      </c>
      <c r="U2194" s="6">
        <f t="shared" si="257"/>
        <v>0</v>
      </c>
      <c r="V2194" s="6">
        <f t="shared" si="255"/>
        <v>0</v>
      </c>
    </row>
    <row r="2195" spans="1:22" hidden="1" x14ac:dyDescent="0.35">
      <c r="A2195" s="6" t="s">
        <v>2415</v>
      </c>
      <c r="B2195" s="6" t="s">
        <v>2393</v>
      </c>
      <c r="C2195" s="6" t="s">
        <v>2394</v>
      </c>
      <c r="D2195" s="6">
        <f t="shared" si="258"/>
        <v>0.5</v>
      </c>
      <c r="E2195" s="6" t="s">
        <v>23</v>
      </c>
      <c r="F2195" s="6" t="str">
        <f>MID(A2195,19,1)</f>
        <v>C</v>
      </c>
      <c r="G2195" s="6">
        <v>-22.878632196683739</v>
      </c>
      <c r="H2195" s="6">
        <v>-47.119388525469347</v>
      </c>
      <c r="I2195" s="9">
        <v>7172.27</v>
      </c>
      <c r="J2195" s="9">
        <f>I2195/500</f>
        <v>14.34454</v>
      </c>
      <c r="K2195" s="6">
        <v>3.32</v>
      </c>
      <c r="L2195" s="6">
        <v>80</v>
      </c>
      <c r="N2195" s="1">
        <f t="shared" si="256"/>
        <v>0</v>
      </c>
      <c r="O2195" s="6" t="s">
        <v>20</v>
      </c>
      <c r="Q2195" s="6" t="s">
        <v>21</v>
      </c>
      <c r="R2195" s="6" t="s">
        <v>21</v>
      </c>
      <c r="S2195" s="6" t="s">
        <v>21</v>
      </c>
      <c r="T2195" s="6" t="s">
        <v>21</v>
      </c>
      <c r="U2195" s="6">
        <f t="shared" si="257"/>
        <v>5737.8160000000007</v>
      </c>
      <c r="V2195" s="6">
        <f t="shared" si="255"/>
        <v>5737.8160000000007</v>
      </c>
    </row>
    <row r="2196" spans="1:22" x14ac:dyDescent="0.35">
      <c r="A2196" s="6" t="s">
        <v>2416</v>
      </c>
      <c r="B2196" s="6" t="s">
        <v>2393</v>
      </c>
      <c r="C2196" s="6" t="s">
        <v>2394</v>
      </c>
      <c r="D2196" s="6">
        <f t="shared" si="258"/>
        <v>0.5</v>
      </c>
      <c r="E2196" s="6" t="s">
        <v>19</v>
      </c>
      <c r="F2196" s="6" t="str">
        <f>MID(A2196,19,1)</f>
        <v>N</v>
      </c>
      <c r="G2196" s="6">
        <v>-22.910708333883129</v>
      </c>
      <c r="H2196" s="6">
        <v>-47.171401190372222</v>
      </c>
      <c r="I2196" s="9">
        <v>1184.23</v>
      </c>
      <c r="K2196" s="6">
        <v>9.93</v>
      </c>
      <c r="L2196" s="6">
        <v>50</v>
      </c>
      <c r="N2196" s="1">
        <f t="shared" si="256"/>
        <v>0</v>
      </c>
      <c r="O2196" s="6" t="s">
        <v>20</v>
      </c>
      <c r="Q2196" s="6" t="s">
        <v>21</v>
      </c>
      <c r="R2196" s="6" t="s">
        <v>21</v>
      </c>
      <c r="S2196" s="6" t="s">
        <v>21</v>
      </c>
      <c r="T2196" s="6" t="s">
        <v>21</v>
      </c>
      <c r="U2196" s="6">
        <f t="shared" si="257"/>
        <v>592.11500000000001</v>
      </c>
      <c r="V2196" s="6">
        <f t="shared" si="255"/>
        <v>592.11500000000001</v>
      </c>
    </row>
    <row r="2197" spans="1:22" x14ac:dyDescent="0.35">
      <c r="A2197" s="6" t="s">
        <v>2417</v>
      </c>
      <c r="B2197" s="6" t="s">
        <v>2393</v>
      </c>
      <c r="C2197" s="6" t="s">
        <v>2394</v>
      </c>
      <c r="D2197" s="6">
        <f t="shared" si="258"/>
        <v>0.5</v>
      </c>
      <c r="E2197" s="6" t="s">
        <v>19</v>
      </c>
      <c r="F2197" s="6" t="str">
        <f>MID(A2197,19,1)</f>
        <v>N</v>
      </c>
      <c r="G2197" s="6">
        <v>-22.910866089439601</v>
      </c>
      <c r="H2197" s="6">
        <v>-47.172835057196181</v>
      </c>
      <c r="I2197" s="9">
        <v>2.1800000000000002</v>
      </c>
      <c r="K2197" s="6">
        <v>6.31</v>
      </c>
      <c r="N2197" s="1">
        <f t="shared" si="256"/>
        <v>0</v>
      </c>
      <c r="Q2197" s="6" t="s">
        <v>21</v>
      </c>
      <c r="R2197" s="6" t="s">
        <v>21</v>
      </c>
      <c r="S2197" s="6" t="s">
        <v>21</v>
      </c>
      <c r="T2197" s="6" t="s">
        <v>21</v>
      </c>
      <c r="U2197" s="6">
        <f t="shared" si="257"/>
        <v>0</v>
      </c>
      <c r="V2197" s="6">
        <f t="shared" si="255"/>
        <v>0</v>
      </c>
    </row>
    <row r="2198" spans="1:22" x14ac:dyDescent="0.35">
      <c r="A2198" s="6" t="s">
        <v>2418</v>
      </c>
      <c r="B2198" s="6" t="s">
        <v>2393</v>
      </c>
      <c r="C2198" s="6" t="s">
        <v>2394</v>
      </c>
      <c r="D2198" s="6">
        <f t="shared" si="258"/>
        <v>0.5</v>
      </c>
      <c r="E2198" s="6" t="s">
        <v>19</v>
      </c>
      <c r="F2198" s="6" t="str">
        <f>MID(A2198,19,1)</f>
        <v>N</v>
      </c>
      <c r="G2198" s="6">
        <v>-22.882199463572451</v>
      </c>
      <c r="H2198" s="6">
        <v>-47.115954366786262</v>
      </c>
      <c r="I2198" s="9">
        <v>2612.4499999999998</v>
      </c>
      <c r="K2198" s="6">
        <v>2.14</v>
      </c>
      <c r="L2198" s="6">
        <v>0</v>
      </c>
      <c r="N2198" s="1">
        <f t="shared" si="256"/>
        <v>0</v>
      </c>
      <c r="Q2198" s="6" t="s">
        <v>21</v>
      </c>
      <c r="R2198" s="6" t="s">
        <v>21</v>
      </c>
      <c r="S2198" s="6" t="s">
        <v>21</v>
      </c>
      <c r="T2198" s="6" t="s">
        <v>21</v>
      </c>
      <c r="U2198" s="6">
        <f t="shared" si="257"/>
        <v>0</v>
      </c>
      <c r="V2198" s="6">
        <f t="shared" si="255"/>
        <v>0</v>
      </c>
    </row>
    <row r="2199" spans="1:22" x14ac:dyDescent="0.35">
      <c r="A2199" s="6" t="s">
        <v>2419</v>
      </c>
      <c r="B2199" s="6" t="s">
        <v>2393</v>
      </c>
      <c r="C2199" s="6" t="s">
        <v>2394</v>
      </c>
      <c r="D2199" s="6">
        <f t="shared" si="258"/>
        <v>0.5</v>
      </c>
      <c r="E2199" s="6" t="s">
        <v>19</v>
      </c>
      <c r="F2199" s="6" t="str">
        <f>MID(A2199,19,1)</f>
        <v>N</v>
      </c>
      <c r="G2199" s="6">
        <v>-22.910708331288621</v>
      </c>
      <c r="H2199" s="6">
        <v>-47.171401169939813</v>
      </c>
      <c r="I2199" s="9">
        <v>1184.22</v>
      </c>
      <c r="K2199" s="6">
        <v>9.93</v>
      </c>
      <c r="L2199" s="6">
        <v>50</v>
      </c>
      <c r="N2199" s="1">
        <f t="shared" si="256"/>
        <v>0</v>
      </c>
      <c r="O2199" s="6" t="s">
        <v>20</v>
      </c>
      <c r="Q2199" s="6" t="s">
        <v>21</v>
      </c>
      <c r="R2199" s="6" t="s">
        <v>21</v>
      </c>
      <c r="S2199" s="6" t="s">
        <v>21</v>
      </c>
      <c r="T2199" s="6" t="s">
        <v>21</v>
      </c>
      <c r="U2199" s="6">
        <f t="shared" si="257"/>
        <v>592.11</v>
      </c>
      <c r="V2199" s="6">
        <f t="shared" si="255"/>
        <v>592.11</v>
      </c>
    </row>
    <row r="2200" spans="1:22" x14ac:dyDescent="0.35">
      <c r="A2200" s="6" t="s">
        <v>2420</v>
      </c>
      <c r="B2200" s="6" t="s">
        <v>2421</v>
      </c>
      <c r="C2200" s="6" t="s">
        <v>2422</v>
      </c>
      <c r="D2200" s="6">
        <f t="shared" si="258"/>
        <v>0.5</v>
      </c>
      <c r="E2200" s="6" t="s">
        <v>19</v>
      </c>
      <c r="F2200" s="6" t="str">
        <f>MID(A2200,19,1)</f>
        <v>N</v>
      </c>
      <c r="G2200" s="6">
        <v>-22.87167185772023</v>
      </c>
      <c r="H2200" s="6">
        <v>-47.127041221751043</v>
      </c>
      <c r="I2200" s="9">
        <v>1240.67</v>
      </c>
      <c r="K2200" s="6">
        <v>4.29</v>
      </c>
      <c r="L2200" s="6">
        <v>0</v>
      </c>
      <c r="N2200" s="1">
        <f t="shared" si="256"/>
        <v>0</v>
      </c>
      <c r="Q2200" s="6" t="s">
        <v>21</v>
      </c>
      <c r="R2200" s="6" t="s">
        <v>21</v>
      </c>
      <c r="S2200" s="6" t="s">
        <v>21</v>
      </c>
      <c r="T2200" s="6" t="s">
        <v>21</v>
      </c>
      <c r="U2200" s="6">
        <f t="shared" si="257"/>
        <v>0</v>
      </c>
      <c r="V2200" s="6">
        <f t="shared" si="255"/>
        <v>0</v>
      </c>
    </row>
    <row r="2201" spans="1:22" hidden="1" x14ac:dyDescent="0.35">
      <c r="A2201" s="6" t="s">
        <v>2423</v>
      </c>
      <c r="B2201" s="6" t="s">
        <v>2421</v>
      </c>
      <c r="C2201" s="6" t="s">
        <v>2422</v>
      </c>
      <c r="D2201" s="6">
        <f t="shared" si="258"/>
        <v>0.5</v>
      </c>
      <c r="E2201" s="6" t="s">
        <v>19</v>
      </c>
      <c r="F2201" s="6" t="str">
        <f>MID(A2201,19,1)</f>
        <v>S</v>
      </c>
      <c r="G2201" s="6">
        <v>-22.873579951988621</v>
      </c>
      <c r="H2201" s="6">
        <v>-47.125382959216488</v>
      </c>
      <c r="I2201" s="9">
        <v>607.87</v>
      </c>
      <c r="K2201" s="6">
        <v>1.85</v>
      </c>
      <c r="L2201" s="6">
        <v>0</v>
      </c>
      <c r="N2201" s="1">
        <f t="shared" si="256"/>
        <v>0</v>
      </c>
      <c r="Q2201" s="6" t="s">
        <v>21</v>
      </c>
      <c r="R2201" s="6" t="s">
        <v>21</v>
      </c>
      <c r="S2201" s="6" t="s">
        <v>21</v>
      </c>
      <c r="T2201" s="6" t="s">
        <v>21</v>
      </c>
      <c r="U2201" s="6">
        <f t="shared" si="257"/>
        <v>0</v>
      </c>
      <c r="V2201" s="6">
        <f t="shared" si="255"/>
        <v>0</v>
      </c>
    </row>
    <row r="2202" spans="1:22" hidden="1" x14ac:dyDescent="0.35">
      <c r="A2202" s="6" t="s">
        <v>2424</v>
      </c>
      <c r="B2202" s="6" t="s">
        <v>2421</v>
      </c>
      <c r="C2202" s="6" t="s">
        <v>2422</v>
      </c>
      <c r="D2202" s="6">
        <f t="shared" si="258"/>
        <v>0.5</v>
      </c>
      <c r="E2202" s="6" t="s">
        <v>19</v>
      </c>
      <c r="F2202" s="6" t="str">
        <f>MID(A2202,19,1)</f>
        <v>S</v>
      </c>
      <c r="G2202" s="6">
        <v>-22.912699381608618</v>
      </c>
      <c r="H2202" s="6">
        <v>-47.183056974569823</v>
      </c>
      <c r="I2202" s="9">
        <v>1097.5899999999999</v>
      </c>
      <c r="K2202" s="6">
        <v>4.6399999999999997</v>
      </c>
      <c r="L2202" s="6">
        <v>70</v>
      </c>
      <c r="N2202" s="1">
        <f t="shared" si="256"/>
        <v>0</v>
      </c>
      <c r="O2202" s="6" t="s">
        <v>20</v>
      </c>
      <c r="Q2202" s="6" t="s">
        <v>21</v>
      </c>
      <c r="R2202" s="6" t="s">
        <v>21</v>
      </c>
      <c r="S2202" s="6" t="s">
        <v>21</v>
      </c>
      <c r="T2202" s="6" t="s">
        <v>21</v>
      </c>
      <c r="U2202" s="6">
        <f t="shared" si="257"/>
        <v>768.31299999999987</v>
      </c>
      <c r="V2202" s="6">
        <f t="shared" si="255"/>
        <v>768.31299999999987</v>
      </c>
    </row>
    <row r="2203" spans="1:22" hidden="1" x14ac:dyDescent="0.35">
      <c r="A2203" s="6" t="s">
        <v>2425</v>
      </c>
      <c r="B2203" s="6" t="s">
        <v>2421</v>
      </c>
      <c r="C2203" s="6" t="s">
        <v>2422</v>
      </c>
      <c r="D2203" s="6">
        <f t="shared" si="258"/>
        <v>0.5</v>
      </c>
      <c r="E2203" s="6" t="s">
        <v>19</v>
      </c>
      <c r="F2203" s="6" t="str">
        <f>MID(A2203,19,1)</f>
        <v>S</v>
      </c>
      <c r="G2203" s="6">
        <v>-22.91190197639553</v>
      </c>
      <c r="H2203" s="6">
        <v>-47.17730844156732</v>
      </c>
      <c r="I2203" s="9">
        <v>1822.14</v>
      </c>
      <c r="K2203" s="6">
        <v>4.6500000000000004</v>
      </c>
      <c r="L2203" s="6">
        <v>50</v>
      </c>
      <c r="N2203" s="1">
        <f t="shared" si="256"/>
        <v>0</v>
      </c>
      <c r="O2203" s="6" t="s">
        <v>20</v>
      </c>
      <c r="Q2203" s="6" t="s">
        <v>21</v>
      </c>
      <c r="R2203" s="6" t="s">
        <v>21</v>
      </c>
      <c r="S2203" s="6" t="s">
        <v>21</v>
      </c>
      <c r="T2203" s="6" t="s">
        <v>21</v>
      </c>
      <c r="U2203" s="6">
        <f t="shared" si="257"/>
        <v>911.07</v>
      </c>
      <c r="V2203" s="6">
        <f t="shared" si="255"/>
        <v>911.07</v>
      </c>
    </row>
    <row r="2204" spans="1:22" x14ac:dyDescent="0.35">
      <c r="A2204" s="6" t="s">
        <v>2426</v>
      </c>
      <c r="B2204" s="6" t="s">
        <v>2421</v>
      </c>
      <c r="C2204" s="6" t="s">
        <v>2422</v>
      </c>
      <c r="D2204" s="6">
        <f t="shared" si="258"/>
        <v>0.5</v>
      </c>
      <c r="E2204" s="6" t="s">
        <v>19</v>
      </c>
      <c r="F2204" s="6" t="str">
        <f>MID(A2204,19,1)</f>
        <v>N</v>
      </c>
      <c r="G2204" s="6">
        <v>-22.873660912750172</v>
      </c>
      <c r="H2204" s="6">
        <v>-47.124764130472641</v>
      </c>
      <c r="I2204" s="9">
        <v>386.6</v>
      </c>
      <c r="K2204" s="6">
        <v>2.14</v>
      </c>
      <c r="L2204" s="6">
        <v>0</v>
      </c>
      <c r="N2204" s="1">
        <f t="shared" si="256"/>
        <v>0</v>
      </c>
      <c r="Q2204" s="6" t="s">
        <v>21</v>
      </c>
      <c r="R2204" s="6" t="s">
        <v>21</v>
      </c>
      <c r="S2204" s="6" t="s">
        <v>21</v>
      </c>
      <c r="T2204" s="6" t="s">
        <v>21</v>
      </c>
      <c r="U2204" s="6">
        <f t="shared" si="257"/>
        <v>0</v>
      </c>
      <c r="V2204" s="6">
        <f t="shared" si="255"/>
        <v>0</v>
      </c>
    </row>
    <row r="2205" spans="1:22" x14ac:dyDescent="0.35">
      <c r="A2205" s="6" t="s">
        <v>2427</v>
      </c>
      <c r="B2205" s="6" t="s">
        <v>2421</v>
      </c>
      <c r="C2205" s="6" t="s">
        <v>2422</v>
      </c>
      <c r="D2205" s="6">
        <f t="shared" si="258"/>
        <v>0.5</v>
      </c>
      <c r="E2205" s="6" t="s">
        <v>19</v>
      </c>
      <c r="F2205" s="6" t="str">
        <f>MID(A2205,19,1)</f>
        <v>N</v>
      </c>
      <c r="G2205" s="6">
        <v>-22.873157183929351</v>
      </c>
      <c r="H2205" s="6">
        <v>-47.124855868608797</v>
      </c>
      <c r="I2205" s="9">
        <v>863.25</v>
      </c>
      <c r="K2205" s="6">
        <v>3.9</v>
      </c>
      <c r="L2205" s="6">
        <v>0</v>
      </c>
      <c r="N2205" s="1">
        <f t="shared" si="256"/>
        <v>0</v>
      </c>
      <c r="Q2205" s="6" t="s">
        <v>21</v>
      </c>
      <c r="R2205" s="6" t="s">
        <v>21</v>
      </c>
      <c r="S2205" s="6" t="s">
        <v>21</v>
      </c>
      <c r="T2205" s="6" t="s">
        <v>21</v>
      </c>
      <c r="U2205" s="6">
        <f t="shared" si="257"/>
        <v>0</v>
      </c>
      <c r="V2205" s="6">
        <f t="shared" si="255"/>
        <v>0</v>
      </c>
    </row>
    <row r="2206" spans="1:22" hidden="1" x14ac:dyDescent="0.35">
      <c r="A2206" s="6" t="s">
        <v>2428</v>
      </c>
      <c r="B2206" s="6" t="s">
        <v>2421</v>
      </c>
      <c r="C2206" s="6" t="s">
        <v>2422</v>
      </c>
      <c r="D2206" s="6">
        <f t="shared" si="258"/>
        <v>0.5</v>
      </c>
      <c r="E2206" s="6" t="s">
        <v>23</v>
      </c>
      <c r="F2206" s="6" t="str">
        <f>MID(A2206,19,1)</f>
        <v>C</v>
      </c>
      <c r="G2206" s="6">
        <v>-22.87347630423497</v>
      </c>
      <c r="H2206" s="6">
        <v>-47.125210602470183</v>
      </c>
      <c r="I2206" s="9">
        <v>1757.46</v>
      </c>
      <c r="J2206" s="9">
        <f>I2206/500</f>
        <v>3.51492</v>
      </c>
      <c r="K2206" s="6">
        <v>2.2599999999999998</v>
      </c>
      <c r="L2206" s="6">
        <v>80</v>
      </c>
      <c r="N2206" s="1">
        <f t="shared" si="256"/>
        <v>0</v>
      </c>
      <c r="O2206" s="6" t="s">
        <v>20</v>
      </c>
      <c r="Q2206" s="6" t="s">
        <v>21</v>
      </c>
      <c r="R2206" s="6" t="s">
        <v>21</v>
      </c>
      <c r="S2206" s="6" t="s">
        <v>21</v>
      </c>
      <c r="T2206" s="6" t="s">
        <v>21</v>
      </c>
      <c r="U2206" s="6">
        <f t="shared" si="257"/>
        <v>1405.9680000000001</v>
      </c>
      <c r="V2206" s="6">
        <f t="shared" si="255"/>
        <v>1405.9680000000001</v>
      </c>
    </row>
    <row r="2207" spans="1:22" hidden="1" x14ac:dyDescent="0.35">
      <c r="A2207" s="6" t="s">
        <v>2429</v>
      </c>
      <c r="B2207" s="6" t="s">
        <v>2421</v>
      </c>
      <c r="C2207" s="6" t="s">
        <v>2422</v>
      </c>
      <c r="D2207" s="6">
        <f t="shared" si="258"/>
        <v>0.5</v>
      </c>
      <c r="E2207" s="6" t="s">
        <v>19</v>
      </c>
      <c r="F2207" s="6" t="str">
        <f>MID(A2207,19,1)</f>
        <v>S</v>
      </c>
      <c r="G2207" s="6">
        <v>-22.876819993810621</v>
      </c>
      <c r="H2207" s="6">
        <v>-47.121857109184177</v>
      </c>
      <c r="I2207" s="9">
        <v>269.29000000000002</v>
      </c>
      <c r="K2207" s="6">
        <v>3.16</v>
      </c>
      <c r="L2207" s="6">
        <v>20</v>
      </c>
      <c r="N2207" s="1">
        <f t="shared" si="256"/>
        <v>0</v>
      </c>
      <c r="O2207" s="6" t="s">
        <v>20</v>
      </c>
      <c r="Q2207" s="6" t="s">
        <v>21</v>
      </c>
      <c r="R2207" s="6" t="s">
        <v>21</v>
      </c>
      <c r="S2207" s="6" t="s">
        <v>21</v>
      </c>
      <c r="T2207" s="6" t="s">
        <v>21</v>
      </c>
      <c r="U2207" s="6">
        <f t="shared" si="257"/>
        <v>53.858000000000004</v>
      </c>
      <c r="V2207" s="6">
        <f t="shared" si="255"/>
        <v>53.858000000000004</v>
      </c>
    </row>
    <row r="2208" spans="1:22" hidden="1" x14ac:dyDescent="0.35">
      <c r="A2208" s="6" t="s">
        <v>2430</v>
      </c>
      <c r="B2208" s="6" t="s">
        <v>2421</v>
      </c>
      <c r="C2208" s="6" t="s">
        <v>2422</v>
      </c>
      <c r="D2208" s="6">
        <f t="shared" si="258"/>
        <v>0.5</v>
      </c>
      <c r="E2208" s="6" t="s">
        <v>23</v>
      </c>
      <c r="F2208" s="6" t="str">
        <f>MID(A2208,19,1)</f>
        <v>C</v>
      </c>
      <c r="G2208" s="6">
        <v>-22.875530205070351</v>
      </c>
      <c r="H2208" s="6">
        <v>-47.122880615933767</v>
      </c>
      <c r="I2208" s="9">
        <v>5209.63</v>
      </c>
      <c r="J2208" s="9">
        <f t="shared" ref="J2208:J2209" si="259">I2208/500</f>
        <v>10.41926</v>
      </c>
      <c r="K2208" s="6">
        <v>2.64</v>
      </c>
      <c r="L2208" s="6">
        <v>80</v>
      </c>
      <c r="N2208" s="1">
        <f t="shared" si="256"/>
        <v>0</v>
      </c>
      <c r="O2208" s="6" t="s">
        <v>20</v>
      </c>
      <c r="Q2208" s="6" t="s">
        <v>21</v>
      </c>
      <c r="R2208" s="6" t="s">
        <v>21</v>
      </c>
      <c r="S2208" s="6" t="s">
        <v>21</v>
      </c>
      <c r="T2208" s="6" t="s">
        <v>21</v>
      </c>
      <c r="U2208" s="6">
        <f t="shared" si="257"/>
        <v>4167.7040000000006</v>
      </c>
      <c r="V2208" s="6">
        <f t="shared" si="255"/>
        <v>4167.7040000000006</v>
      </c>
    </row>
    <row r="2209" spans="1:22" hidden="1" x14ac:dyDescent="0.35">
      <c r="A2209" s="6" t="s">
        <v>2431</v>
      </c>
      <c r="B2209" s="6" t="s">
        <v>2421</v>
      </c>
      <c r="C2209" s="6" t="s">
        <v>2422</v>
      </c>
      <c r="D2209" s="6">
        <f t="shared" si="258"/>
        <v>0.5</v>
      </c>
      <c r="E2209" s="6" t="s">
        <v>23</v>
      </c>
      <c r="F2209" s="6" t="str">
        <f>MID(A2209,19,1)</f>
        <v>C</v>
      </c>
      <c r="G2209" s="6">
        <v>-22.912127322451411</v>
      </c>
      <c r="H2209" s="6">
        <v>-47.180409353358023</v>
      </c>
      <c r="I2209" s="9">
        <v>2193.04</v>
      </c>
      <c r="J2209" s="9">
        <f t="shared" si="259"/>
        <v>4.3860799999999998</v>
      </c>
      <c r="K2209" s="6">
        <v>1.31</v>
      </c>
      <c r="L2209" s="6">
        <v>80</v>
      </c>
      <c r="N2209" s="1">
        <f t="shared" si="256"/>
        <v>0</v>
      </c>
      <c r="O2209" s="6" t="s">
        <v>20</v>
      </c>
      <c r="Q2209" s="6" t="s">
        <v>21</v>
      </c>
      <c r="R2209" s="6" t="s">
        <v>21</v>
      </c>
      <c r="S2209" s="6" t="s">
        <v>21</v>
      </c>
      <c r="T2209" s="6" t="s">
        <v>21</v>
      </c>
      <c r="U2209" s="6">
        <f t="shared" si="257"/>
        <v>1754.432</v>
      </c>
      <c r="V2209" s="6">
        <f t="shared" si="255"/>
        <v>1754.432</v>
      </c>
    </row>
    <row r="2210" spans="1:22" hidden="1" x14ac:dyDescent="0.35">
      <c r="A2210" s="6" t="s">
        <v>2432</v>
      </c>
      <c r="B2210" s="6" t="s">
        <v>2421</v>
      </c>
      <c r="C2210" s="6" t="s">
        <v>2422</v>
      </c>
      <c r="D2210" s="6">
        <f t="shared" si="258"/>
        <v>0.5</v>
      </c>
      <c r="E2210" s="6" t="s">
        <v>19</v>
      </c>
      <c r="F2210" s="6" t="str">
        <f>MID(A2210,19,1)</f>
        <v>S</v>
      </c>
      <c r="G2210" s="6">
        <v>-22.872783296795191</v>
      </c>
      <c r="H2210" s="6">
        <v>-47.126777666165331</v>
      </c>
      <c r="I2210" s="9">
        <v>2084.14</v>
      </c>
      <c r="K2210" s="6">
        <v>2.6</v>
      </c>
      <c r="L2210" s="6">
        <v>0</v>
      </c>
      <c r="N2210" s="1">
        <f t="shared" si="256"/>
        <v>0</v>
      </c>
      <c r="Q2210" s="6" t="s">
        <v>21</v>
      </c>
      <c r="R2210" s="6" t="s">
        <v>21</v>
      </c>
      <c r="S2210" s="6" t="s">
        <v>21</v>
      </c>
      <c r="T2210" s="6" t="s">
        <v>21</v>
      </c>
      <c r="U2210" s="6">
        <f t="shared" si="257"/>
        <v>0</v>
      </c>
      <c r="V2210" s="6">
        <f t="shared" si="255"/>
        <v>0</v>
      </c>
    </row>
    <row r="2211" spans="1:22" hidden="1" x14ac:dyDescent="0.35">
      <c r="A2211" s="6" t="s">
        <v>2433</v>
      </c>
      <c r="B2211" s="6" t="s">
        <v>2421</v>
      </c>
      <c r="C2211" s="6" t="s">
        <v>2422</v>
      </c>
      <c r="D2211" s="6">
        <f t="shared" si="258"/>
        <v>0.5</v>
      </c>
      <c r="E2211" s="6" t="s">
        <v>19</v>
      </c>
      <c r="F2211" s="6" t="str">
        <f>MID(A2211,19,1)</f>
        <v>S</v>
      </c>
      <c r="G2211" s="6">
        <v>-22.871932783795611</v>
      </c>
      <c r="H2211" s="6">
        <v>-47.127272202053383</v>
      </c>
      <c r="I2211" s="9">
        <v>945.91</v>
      </c>
      <c r="K2211" s="6">
        <v>2.34</v>
      </c>
      <c r="L2211" s="6">
        <v>0</v>
      </c>
      <c r="N2211" s="1">
        <f t="shared" si="256"/>
        <v>0</v>
      </c>
      <c r="Q2211" s="6" t="s">
        <v>21</v>
      </c>
      <c r="R2211" s="6" t="s">
        <v>21</v>
      </c>
      <c r="S2211" s="6" t="s">
        <v>21</v>
      </c>
      <c r="T2211" s="6" t="s">
        <v>21</v>
      </c>
      <c r="U2211" s="6">
        <f t="shared" si="257"/>
        <v>0</v>
      </c>
      <c r="V2211" s="6">
        <f t="shared" si="255"/>
        <v>0</v>
      </c>
    </row>
    <row r="2212" spans="1:22" hidden="1" x14ac:dyDescent="0.35">
      <c r="A2212" s="6" t="s">
        <v>2434</v>
      </c>
      <c r="B2212" s="6" t="s">
        <v>2421</v>
      </c>
      <c r="C2212" s="6" t="s">
        <v>2422</v>
      </c>
      <c r="D2212" s="6">
        <f t="shared" si="258"/>
        <v>0.5</v>
      </c>
      <c r="E2212" s="6" t="s">
        <v>23</v>
      </c>
      <c r="F2212" s="6" t="str">
        <f>MID(A2212,19,1)</f>
        <v>C</v>
      </c>
      <c r="G2212" s="6">
        <v>-22.871777158489181</v>
      </c>
      <c r="H2212" s="6">
        <v>-47.127160579659737</v>
      </c>
      <c r="I2212" s="9">
        <v>2804.57</v>
      </c>
      <c r="J2212" s="9">
        <f>I2212/500</f>
        <v>5.60914</v>
      </c>
      <c r="K2212" s="6">
        <v>3.06</v>
      </c>
      <c r="L2212" s="6">
        <v>80</v>
      </c>
      <c r="N2212" s="1">
        <f t="shared" si="256"/>
        <v>0</v>
      </c>
      <c r="O2212" s="6" t="s">
        <v>20</v>
      </c>
      <c r="Q2212" s="6" t="s">
        <v>21</v>
      </c>
      <c r="R2212" s="6" t="s">
        <v>21</v>
      </c>
      <c r="S2212" s="6" t="s">
        <v>21</v>
      </c>
      <c r="T2212" s="6" t="s">
        <v>21</v>
      </c>
      <c r="U2212" s="6">
        <f t="shared" si="257"/>
        <v>2243.6560000000004</v>
      </c>
      <c r="V2212" s="6">
        <f t="shared" si="255"/>
        <v>2243.6560000000004</v>
      </c>
    </row>
    <row r="2213" spans="1:22" hidden="1" x14ac:dyDescent="0.35">
      <c r="A2213" s="6" t="s">
        <v>2435</v>
      </c>
      <c r="B2213" s="6" t="s">
        <v>2421</v>
      </c>
      <c r="C2213" s="6" t="s">
        <v>2422</v>
      </c>
      <c r="D2213" s="6">
        <f t="shared" si="258"/>
        <v>0.5</v>
      </c>
      <c r="E2213" s="6" t="s">
        <v>19</v>
      </c>
      <c r="F2213" s="6" t="str">
        <f>MID(A2213,19,1)</f>
        <v>S</v>
      </c>
      <c r="G2213" s="6">
        <v>-22.87430032227812</v>
      </c>
      <c r="H2213" s="6">
        <v>-47.124754555691837</v>
      </c>
      <c r="I2213" s="9">
        <v>42</v>
      </c>
      <c r="K2213" s="6">
        <v>2.09</v>
      </c>
      <c r="L2213" s="6">
        <v>20</v>
      </c>
      <c r="N2213" s="1">
        <f t="shared" si="256"/>
        <v>0</v>
      </c>
      <c r="O2213" s="6" t="s">
        <v>20</v>
      </c>
      <c r="Q2213" s="6" t="s">
        <v>21</v>
      </c>
      <c r="R2213" s="6" t="s">
        <v>21</v>
      </c>
      <c r="S2213" s="6" t="s">
        <v>21</v>
      </c>
      <c r="T2213" s="6" t="s">
        <v>21</v>
      </c>
      <c r="U2213" s="6">
        <f t="shared" si="257"/>
        <v>8.4</v>
      </c>
      <c r="V2213" s="6">
        <f t="shared" si="255"/>
        <v>8.4</v>
      </c>
    </row>
    <row r="2214" spans="1:22" x14ac:dyDescent="0.35">
      <c r="A2214" s="6" t="s">
        <v>2436</v>
      </c>
      <c r="B2214" s="6" t="s">
        <v>2421</v>
      </c>
      <c r="C2214" s="6" t="s">
        <v>2422</v>
      </c>
      <c r="D2214" s="6">
        <f t="shared" si="258"/>
        <v>0.5</v>
      </c>
      <c r="E2214" s="6" t="s">
        <v>19</v>
      </c>
      <c r="F2214" s="6" t="str">
        <f>MID(A2214,19,1)</f>
        <v>N</v>
      </c>
      <c r="G2214" s="6">
        <v>-22.912285578078009</v>
      </c>
      <c r="H2214" s="6">
        <v>-47.183036432661282</v>
      </c>
      <c r="I2214" s="9">
        <v>1140.8499999999999</v>
      </c>
      <c r="K2214" s="6">
        <v>3.59</v>
      </c>
      <c r="L2214" s="6">
        <v>70</v>
      </c>
      <c r="N2214" s="1">
        <f t="shared" si="256"/>
        <v>0</v>
      </c>
      <c r="O2214" s="6" t="s">
        <v>20</v>
      </c>
      <c r="Q2214" s="6" t="s">
        <v>21</v>
      </c>
      <c r="R2214" s="6" t="s">
        <v>21</v>
      </c>
      <c r="S2214" s="6" t="s">
        <v>21</v>
      </c>
      <c r="T2214" s="6" t="s">
        <v>21</v>
      </c>
      <c r="U2214" s="6">
        <f t="shared" si="257"/>
        <v>798.59499999999991</v>
      </c>
      <c r="V2214" s="6">
        <f t="shared" si="255"/>
        <v>798.59499999999991</v>
      </c>
    </row>
    <row r="2215" spans="1:22" x14ac:dyDescent="0.35">
      <c r="A2215" s="6" t="s">
        <v>2437</v>
      </c>
      <c r="B2215" s="6" t="s">
        <v>2421</v>
      </c>
      <c r="C2215" s="6" t="s">
        <v>2422</v>
      </c>
      <c r="D2215" s="6">
        <f t="shared" si="258"/>
        <v>0.5</v>
      </c>
      <c r="E2215" s="6" t="s">
        <v>19</v>
      </c>
      <c r="F2215" s="6" t="str">
        <f>MID(A2215,19,1)</f>
        <v>N</v>
      </c>
      <c r="G2215" s="6">
        <v>-22.911491854458951</v>
      </c>
      <c r="H2215" s="6">
        <v>-47.177348273979</v>
      </c>
      <c r="I2215" s="9">
        <v>1811.87</v>
      </c>
      <c r="K2215" s="6">
        <v>4.72</v>
      </c>
      <c r="L2215" s="6">
        <v>50</v>
      </c>
      <c r="N2215" s="1">
        <f t="shared" si="256"/>
        <v>0</v>
      </c>
      <c r="O2215" s="6" t="s">
        <v>20</v>
      </c>
      <c r="Q2215" s="6" t="s">
        <v>21</v>
      </c>
      <c r="R2215" s="6" t="s">
        <v>21</v>
      </c>
      <c r="S2215" s="6" t="s">
        <v>21</v>
      </c>
      <c r="T2215" s="6" t="s">
        <v>21</v>
      </c>
      <c r="U2215" s="6">
        <f t="shared" si="257"/>
        <v>905.93499999999995</v>
      </c>
      <c r="V2215" s="6">
        <f t="shared" si="255"/>
        <v>905.93499999999995</v>
      </c>
    </row>
    <row r="2216" spans="1:22" x14ac:dyDescent="0.35">
      <c r="A2216" s="6" t="s">
        <v>2438</v>
      </c>
      <c r="B2216" s="6" t="s">
        <v>2421</v>
      </c>
      <c r="C2216" s="6" t="s">
        <v>2422</v>
      </c>
      <c r="D2216" s="6">
        <f t="shared" si="258"/>
        <v>0.5</v>
      </c>
      <c r="E2216" s="6" t="s">
        <v>19</v>
      </c>
      <c r="F2216" s="6" t="str">
        <f>MID(A2216,19,1)</f>
        <v>N</v>
      </c>
      <c r="G2216" s="6">
        <v>-22.87191701528694</v>
      </c>
      <c r="H2216" s="6">
        <v>-47.126499626812233</v>
      </c>
      <c r="I2216" s="9">
        <v>3832.68</v>
      </c>
      <c r="K2216" s="6">
        <v>5.04</v>
      </c>
      <c r="L2216" s="6">
        <v>0</v>
      </c>
      <c r="N2216" s="1">
        <f t="shared" si="256"/>
        <v>0</v>
      </c>
      <c r="Q2216" s="6" t="s">
        <v>21</v>
      </c>
      <c r="R2216" s="6" t="s">
        <v>21</v>
      </c>
      <c r="S2216" s="6" t="s">
        <v>21</v>
      </c>
      <c r="T2216" s="6" t="s">
        <v>21</v>
      </c>
      <c r="U2216" s="6">
        <f t="shared" si="257"/>
        <v>0</v>
      </c>
      <c r="V2216" s="6">
        <f t="shared" si="255"/>
        <v>0</v>
      </c>
    </row>
    <row r="2217" spans="1:22" hidden="1" x14ac:dyDescent="0.35">
      <c r="A2217" s="6" t="s">
        <v>2439</v>
      </c>
      <c r="B2217" s="6" t="s">
        <v>2421</v>
      </c>
      <c r="C2217" s="6" t="s">
        <v>2422</v>
      </c>
      <c r="D2217" s="6">
        <f t="shared" si="258"/>
        <v>0.5</v>
      </c>
      <c r="E2217" s="6" t="s">
        <v>23</v>
      </c>
      <c r="F2217" s="6" t="str">
        <f>MID(A2217,19,1)</f>
        <v>C</v>
      </c>
      <c r="G2217" s="6">
        <v>-22.912486917506641</v>
      </c>
      <c r="H2217" s="6">
        <v>-47.183008043585907</v>
      </c>
      <c r="I2217" s="9">
        <v>3328.34</v>
      </c>
      <c r="J2217" s="9">
        <f t="shared" ref="J2217:J2218" si="260">I2217/500</f>
        <v>6.6566800000000006</v>
      </c>
      <c r="K2217" s="6">
        <v>4.5</v>
      </c>
      <c r="L2217" s="6">
        <v>80</v>
      </c>
      <c r="N2217" s="1">
        <f t="shared" si="256"/>
        <v>0</v>
      </c>
      <c r="O2217" s="6" t="s">
        <v>20</v>
      </c>
      <c r="Q2217" s="6" t="s">
        <v>21</v>
      </c>
      <c r="R2217" s="6" t="s">
        <v>21</v>
      </c>
      <c r="S2217" s="6" t="s">
        <v>21</v>
      </c>
      <c r="T2217" s="6" t="s">
        <v>21</v>
      </c>
      <c r="U2217" s="6">
        <f t="shared" si="257"/>
        <v>2662.6720000000005</v>
      </c>
      <c r="V2217" s="6">
        <f t="shared" si="255"/>
        <v>2662.6720000000005</v>
      </c>
    </row>
    <row r="2218" spans="1:22" hidden="1" x14ac:dyDescent="0.35">
      <c r="A2218" s="6" t="s">
        <v>2440</v>
      </c>
      <c r="B2218" s="6" t="s">
        <v>2421</v>
      </c>
      <c r="C2218" s="6" t="s">
        <v>2422</v>
      </c>
      <c r="D2218" s="6">
        <f t="shared" si="258"/>
        <v>0.5</v>
      </c>
      <c r="E2218" s="6" t="s">
        <v>23</v>
      </c>
      <c r="F2218" s="6" t="str">
        <f>MID(A2218,19,1)</f>
        <v>C</v>
      </c>
      <c r="G2218" s="6">
        <v>-22.911697190748441</v>
      </c>
      <c r="H2218" s="6">
        <v>-47.177326037935238</v>
      </c>
      <c r="I2218" s="9">
        <v>5424.31</v>
      </c>
      <c r="J2218" s="9">
        <f t="shared" si="260"/>
        <v>10.84862</v>
      </c>
      <c r="K2218" s="6">
        <v>4.92</v>
      </c>
      <c r="L2218" s="6">
        <v>80</v>
      </c>
      <c r="N2218" s="1">
        <f t="shared" si="256"/>
        <v>0</v>
      </c>
      <c r="O2218" s="6" t="s">
        <v>20</v>
      </c>
      <c r="Q2218" s="6" t="s">
        <v>21</v>
      </c>
      <c r="R2218" s="6" t="s">
        <v>21</v>
      </c>
      <c r="S2218" s="6" t="s">
        <v>21</v>
      </c>
      <c r="T2218" s="6" t="s">
        <v>21</v>
      </c>
      <c r="U2218" s="6">
        <f t="shared" si="257"/>
        <v>4339.4480000000003</v>
      </c>
      <c r="V2218" s="6">
        <f t="shared" si="255"/>
        <v>4339.4480000000003</v>
      </c>
    </row>
    <row r="2219" spans="1:22" x14ac:dyDescent="0.35">
      <c r="A2219" s="6" t="s">
        <v>2441</v>
      </c>
      <c r="B2219" s="6" t="s">
        <v>2421</v>
      </c>
      <c r="C2219" s="6" t="s">
        <v>2422</v>
      </c>
      <c r="D2219" s="6">
        <f t="shared" si="258"/>
        <v>0.5</v>
      </c>
      <c r="E2219" s="6" t="s">
        <v>19</v>
      </c>
      <c r="F2219" s="6" t="str">
        <f>MID(A2219,19,1)</f>
        <v>N</v>
      </c>
      <c r="G2219" s="6">
        <v>-22.91192356282664</v>
      </c>
      <c r="H2219" s="6">
        <v>-47.180385992762083</v>
      </c>
      <c r="I2219" s="9">
        <v>712.17</v>
      </c>
      <c r="K2219" s="6">
        <v>1.28</v>
      </c>
      <c r="L2219" s="6">
        <v>70</v>
      </c>
      <c r="N2219" s="1">
        <f t="shared" si="256"/>
        <v>0</v>
      </c>
      <c r="O2219" s="6" t="s">
        <v>20</v>
      </c>
      <c r="Q2219" s="6" t="s">
        <v>21</v>
      </c>
      <c r="R2219" s="6" t="s">
        <v>21</v>
      </c>
      <c r="S2219" s="6" t="s">
        <v>21</v>
      </c>
      <c r="T2219" s="6" t="s">
        <v>21</v>
      </c>
      <c r="U2219" s="6">
        <f t="shared" si="257"/>
        <v>498.51899999999995</v>
      </c>
      <c r="V2219" s="6">
        <f t="shared" si="255"/>
        <v>498.51899999999995</v>
      </c>
    </row>
    <row r="2220" spans="1:22" hidden="1" x14ac:dyDescent="0.35">
      <c r="A2220" s="6" t="s">
        <v>2442</v>
      </c>
      <c r="B2220" s="6" t="s">
        <v>2421</v>
      </c>
      <c r="C2220" s="6" t="s">
        <v>2422</v>
      </c>
      <c r="D2220" s="6">
        <f t="shared" si="258"/>
        <v>0.5</v>
      </c>
      <c r="E2220" s="6" t="s">
        <v>19</v>
      </c>
      <c r="F2220" s="6" t="str">
        <f>MID(A2220,19,1)</f>
        <v>S</v>
      </c>
      <c r="G2220" s="6">
        <v>-22.875615356990171</v>
      </c>
      <c r="H2220" s="6">
        <v>-47.123056320717197</v>
      </c>
      <c r="I2220" s="9">
        <v>1268.51</v>
      </c>
      <c r="K2220" s="6">
        <v>2.13</v>
      </c>
      <c r="L2220" s="6">
        <v>20</v>
      </c>
      <c r="N2220" s="1">
        <f t="shared" si="256"/>
        <v>0</v>
      </c>
      <c r="O2220" s="6" t="s">
        <v>20</v>
      </c>
      <c r="Q2220" s="6" t="s">
        <v>21</v>
      </c>
      <c r="R2220" s="6" t="s">
        <v>21</v>
      </c>
      <c r="S2220" s="6" t="s">
        <v>21</v>
      </c>
      <c r="T2220" s="6" t="s">
        <v>21</v>
      </c>
      <c r="U2220" s="6">
        <f t="shared" si="257"/>
        <v>253.702</v>
      </c>
      <c r="V2220" s="6">
        <f t="shared" si="255"/>
        <v>253.702</v>
      </c>
    </row>
    <row r="2221" spans="1:22" x14ac:dyDescent="0.35">
      <c r="A2221" s="6" t="s">
        <v>2443</v>
      </c>
      <c r="B2221" s="6" t="s">
        <v>2421</v>
      </c>
      <c r="C2221" s="6" t="s">
        <v>2422</v>
      </c>
      <c r="D2221" s="6">
        <f t="shared" si="258"/>
        <v>0.5</v>
      </c>
      <c r="E2221" s="6" t="s">
        <v>19</v>
      </c>
      <c r="F2221" s="6" t="str">
        <f>MID(A2221,19,1)</f>
        <v>N</v>
      </c>
      <c r="G2221" s="6">
        <v>-22.87147959091055</v>
      </c>
      <c r="H2221" s="6">
        <v>-47.126816736142871</v>
      </c>
      <c r="I2221" s="9">
        <v>1340.93</v>
      </c>
      <c r="K2221" s="6">
        <v>4.99</v>
      </c>
      <c r="L2221" s="6">
        <v>0</v>
      </c>
      <c r="N2221" s="1">
        <f t="shared" si="256"/>
        <v>0</v>
      </c>
      <c r="Q2221" s="6" t="s">
        <v>21</v>
      </c>
      <c r="R2221" s="6" t="s">
        <v>21</v>
      </c>
      <c r="S2221" s="6" t="s">
        <v>21</v>
      </c>
      <c r="T2221" s="6" t="s">
        <v>21</v>
      </c>
      <c r="U2221" s="6">
        <f t="shared" si="257"/>
        <v>0</v>
      </c>
      <c r="V2221" s="6">
        <f t="shared" si="255"/>
        <v>0</v>
      </c>
    </row>
    <row r="2222" spans="1:22" hidden="1" x14ac:dyDescent="0.35">
      <c r="A2222" s="6" t="s">
        <v>2444</v>
      </c>
      <c r="B2222" s="6" t="s">
        <v>2421</v>
      </c>
      <c r="C2222" s="6" t="s">
        <v>2422</v>
      </c>
      <c r="D2222" s="6">
        <f t="shared" si="258"/>
        <v>0.5</v>
      </c>
      <c r="E2222" s="6" t="s">
        <v>19</v>
      </c>
      <c r="F2222" s="6" t="str">
        <f>MID(A2222,19,1)</f>
        <v>S</v>
      </c>
      <c r="G2222" s="6">
        <v>-22.873573811702819</v>
      </c>
      <c r="H2222" s="6">
        <v>-47.125669447644547</v>
      </c>
      <c r="I2222" s="9">
        <v>3356.01</v>
      </c>
      <c r="K2222" s="6">
        <v>2.2799999999999998</v>
      </c>
      <c r="L2222" s="6">
        <v>0</v>
      </c>
      <c r="N2222" s="1">
        <f t="shared" si="256"/>
        <v>0</v>
      </c>
      <c r="Q2222" s="6" t="s">
        <v>21</v>
      </c>
      <c r="R2222" s="6" t="s">
        <v>21</v>
      </c>
      <c r="S2222" s="6" t="s">
        <v>21</v>
      </c>
      <c r="T2222" s="6" t="s">
        <v>21</v>
      </c>
      <c r="U2222" s="6">
        <f t="shared" si="257"/>
        <v>0</v>
      </c>
      <c r="V2222" s="6">
        <f t="shared" si="255"/>
        <v>0</v>
      </c>
    </row>
    <row r="2223" spans="1:22" hidden="1" x14ac:dyDescent="0.35">
      <c r="A2223" s="6" t="s">
        <v>2445</v>
      </c>
      <c r="B2223" s="6" t="s">
        <v>2421</v>
      </c>
      <c r="C2223" s="6" t="s">
        <v>2422</v>
      </c>
      <c r="D2223" s="6">
        <f t="shared" si="258"/>
        <v>0.5</v>
      </c>
      <c r="E2223" s="6" t="s">
        <v>19</v>
      </c>
      <c r="F2223" s="6" t="str">
        <f>MID(A2223,19,1)</f>
        <v>S</v>
      </c>
      <c r="G2223" s="6">
        <v>-22.8725554584565</v>
      </c>
      <c r="H2223" s="6">
        <v>-47.126830891719877</v>
      </c>
      <c r="I2223" s="9">
        <v>3110.17</v>
      </c>
      <c r="K2223" s="6">
        <v>2.0699999999999998</v>
      </c>
      <c r="L2223" s="6">
        <v>0</v>
      </c>
      <c r="N2223" s="1">
        <f t="shared" si="256"/>
        <v>0</v>
      </c>
      <c r="Q2223" s="6" t="s">
        <v>21</v>
      </c>
      <c r="R2223" s="6" t="s">
        <v>21</v>
      </c>
      <c r="S2223" s="6" t="s">
        <v>21</v>
      </c>
      <c r="T2223" s="6" t="s">
        <v>21</v>
      </c>
      <c r="U2223" s="6">
        <f t="shared" si="257"/>
        <v>0</v>
      </c>
      <c r="V2223" s="6">
        <f t="shared" si="255"/>
        <v>0</v>
      </c>
    </row>
    <row r="2224" spans="1:22" hidden="1" x14ac:dyDescent="0.35">
      <c r="A2224" s="6" t="s">
        <v>2446</v>
      </c>
      <c r="B2224" s="6" t="s">
        <v>2421</v>
      </c>
      <c r="C2224" s="6" t="s">
        <v>2422</v>
      </c>
      <c r="D2224" s="6">
        <f t="shared" si="258"/>
        <v>0.5</v>
      </c>
      <c r="E2224" s="6" t="s">
        <v>19</v>
      </c>
      <c r="F2224" s="6" t="str">
        <f>MID(A2224,19,1)</f>
        <v>S</v>
      </c>
      <c r="G2224" s="6">
        <v>-22.875401567755379</v>
      </c>
      <c r="H2224" s="6">
        <v>-47.123504070658377</v>
      </c>
      <c r="I2224" s="9">
        <v>1512.13</v>
      </c>
      <c r="K2224" s="6">
        <v>2.1</v>
      </c>
      <c r="L2224" s="6">
        <v>20</v>
      </c>
      <c r="N2224" s="1">
        <f t="shared" si="256"/>
        <v>0</v>
      </c>
      <c r="O2224" s="6" t="s">
        <v>20</v>
      </c>
      <c r="Q2224" s="6" t="s">
        <v>21</v>
      </c>
      <c r="R2224" s="6" t="s">
        <v>21</v>
      </c>
      <c r="S2224" s="6" t="s">
        <v>21</v>
      </c>
      <c r="T2224" s="6" t="s">
        <v>21</v>
      </c>
      <c r="U2224" s="6">
        <f t="shared" si="257"/>
        <v>302.42600000000004</v>
      </c>
      <c r="V2224" s="6">
        <f t="shared" si="255"/>
        <v>302.42600000000004</v>
      </c>
    </row>
    <row r="2225" spans="1:22" x14ac:dyDescent="0.35">
      <c r="A2225" s="6" t="s">
        <v>2447</v>
      </c>
      <c r="B2225" s="6" t="s">
        <v>2421</v>
      </c>
      <c r="C2225" s="6" t="s">
        <v>2422</v>
      </c>
      <c r="D2225" s="6">
        <f t="shared" si="258"/>
        <v>0.5</v>
      </c>
      <c r="E2225" s="6" t="s">
        <v>19</v>
      </c>
      <c r="F2225" s="6" t="str">
        <f>MID(A2225,19,1)</f>
        <v>N</v>
      </c>
      <c r="G2225" s="6">
        <v>-22.875392557489931</v>
      </c>
      <c r="H2225" s="6">
        <v>-47.122779911679878</v>
      </c>
      <c r="I2225" s="9">
        <v>1544.68</v>
      </c>
      <c r="K2225" s="6">
        <v>3.09</v>
      </c>
      <c r="L2225" s="6">
        <v>0</v>
      </c>
      <c r="N2225" s="1">
        <f t="shared" si="256"/>
        <v>0</v>
      </c>
      <c r="Q2225" s="6" t="s">
        <v>21</v>
      </c>
      <c r="R2225" s="6" t="s">
        <v>21</v>
      </c>
      <c r="S2225" s="6" t="s">
        <v>21</v>
      </c>
      <c r="T2225" s="6" t="s">
        <v>21</v>
      </c>
      <c r="U2225" s="6">
        <f t="shared" si="257"/>
        <v>0</v>
      </c>
      <c r="V2225" s="6">
        <f t="shared" si="255"/>
        <v>0</v>
      </c>
    </row>
    <row r="2226" spans="1:22" x14ac:dyDescent="0.35">
      <c r="A2226" s="6" t="s">
        <v>2448</v>
      </c>
      <c r="B2226" s="6" t="s">
        <v>2421</v>
      </c>
      <c r="C2226" s="6" t="s">
        <v>2422</v>
      </c>
      <c r="D2226" s="6">
        <f t="shared" si="258"/>
        <v>0.5</v>
      </c>
      <c r="E2226" s="6" t="s">
        <v>19</v>
      </c>
      <c r="F2226" s="6" t="str">
        <f>MID(A2226,19,1)</f>
        <v>N</v>
      </c>
      <c r="G2226" s="6">
        <v>-22.87305127845152</v>
      </c>
      <c r="H2226" s="6">
        <v>-47.125187626341628</v>
      </c>
      <c r="I2226" s="9">
        <v>2740.7</v>
      </c>
      <c r="K2226" s="6">
        <v>3.7</v>
      </c>
      <c r="L2226" s="6">
        <v>0</v>
      </c>
      <c r="N2226" s="1">
        <f t="shared" si="256"/>
        <v>0</v>
      </c>
      <c r="Q2226" s="6" t="s">
        <v>21</v>
      </c>
      <c r="R2226" s="6" t="s">
        <v>21</v>
      </c>
      <c r="S2226" s="6" t="s">
        <v>21</v>
      </c>
      <c r="T2226" s="6" t="s">
        <v>21</v>
      </c>
      <c r="U2226" s="6">
        <f t="shared" si="257"/>
        <v>0</v>
      </c>
      <c r="V2226" s="6">
        <f t="shared" si="255"/>
        <v>0</v>
      </c>
    </row>
    <row r="2227" spans="1:22" x14ac:dyDescent="0.35">
      <c r="A2227" s="6" t="s">
        <v>2449</v>
      </c>
      <c r="B2227" s="6" t="s">
        <v>2421</v>
      </c>
      <c r="C2227" s="6" t="s">
        <v>2422</v>
      </c>
      <c r="D2227" s="6">
        <f t="shared" si="258"/>
        <v>0.5</v>
      </c>
      <c r="E2227" s="6" t="s">
        <v>19</v>
      </c>
      <c r="F2227" s="6" t="str">
        <f>MID(A2227,19,1)</f>
        <v>N</v>
      </c>
      <c r="G2227" s="6">
        <v>-22.875261029893689</v>
      </c>
      <c r="H2227" s="6">
        <v>-47.122738294217093</v>
      </c>
      <c r="I2227" s="9">
        <v>1682.8</v>
      </c>
      <c r="K2227" s="6">
        <v>3.68</v>
      </c>
      <c r="L2227" s="6">
        <v>0</v>
      </c>
      <c r="N2227" s="1">
        <f t="shared" si="256"/>
        <v>0</v>
      </c>
      <c r="Q2227" s="6" t="s">
        <v>21</v>
      </c>
      <c r="R2227" s="6" t="s">
        <v>21</v>
      </c>
      <c r="S2227" s="6" t="s">
        <v>21</v>
      </c>
      <c r="T2227" s="6" t="s">
        <v>21</v>
      </c>
      <c r="U2227" s="6">
        <f t="shared" si="257"/>
        <v>0</v>
      </c>
      <c r="V2227" s="6">
        <f t="shared" si="255"/>
        <v>0</v>
      </c>
    </row>
    <row r="2228" spans="1:22" hidden="1" x14ac:dyDescent="0.35">
      <c r="A2228" s="6" t="s">
        <v>2450</v>
      </c>
      <c r="B2228" s="6" t="s">
        <v>2421</v>
      </c>
      <c r="C2228" s="6" t="s">
        <v>2422</v>
      </c>
      <c r="D2228" s="6">
        <f t="shared" si="258"/>
        <v>0.5</v>
      </c>
      <c r="E2228" s="6" t="s">
        <v>19</v>
      </c>
      <c r="F2228" s="6" t="str">
        <f>MID(A2228,19,1)</f>
        <v>S</v>
      </c>
      <c r="G2228" s="6">
        <v>-22.91232900821106</v>
      </c>
      <c r="H2228" s="6">
        <v>-47.180356008926552</v>
      </c>
      <c r="I2228" s="9">
        <v>708.13</v>
      </c>
      <c r="K2228" s="6">
        <v>1.85</v>
      </c>
      <c r="L2228" s="6">
        <v>70</v>
      </c>
      <c r="N2228" s="1">
        <f t="shared" si="256"/>
        <v>0</v>
      </c>
      <c r="O2228" s="6" t="s">
        <v>20</v>
      </c>
      <c r="Q2228" s="6" t="s">
        <v>21</v>
      </c>
      <c r="R2228" s="6" t="s">
        <v>21</v>
      </c>
      <c r="S2228" s="6" t="s">
        <v>21</v>
      </c>
      <c r="T2228" s="6" t="s">
        <v>21</v>
      </c>
      <c r="U2228" s="6">
        <f t="shared" si="257"/>
        <v>495.69099999999997</v>
      </c>
      <c r="V2228" s="6">
        <f t="shared" si="255"/>
        <v>495.69099999999997</v>
      </c>
    </row>
    <row r="2229" spans="1:22" x14ac:dyDescent="0.35">
      <c r="A2229" s="6" t="s">
        <v>2451</v>
      </c>
      <c r="B2229" s="6" t="s">
        <v>2452</v>
      </c>
      <c r="C2229" s="6" t="s">
        <v>2453</v>
      </c>
      <c r="D2229" s="6">
        <f t="shared" si="258"/>
        <v>0.5</v>
      </c>
      <c r="E2229" s="6" t="s">
        <v>19</v>
      </c>
      <c r="F2229" s="6" t="str">
        <f>MID(A2229,19,1)</f>
        <v>N</v>
      </c>
      <c r="G2229" s="6">
        <v>-22.866082622368641</v>
      </c>
      <c r="H2229" s="6">
        <v>-47.133088787950761</v>
      </c>
      <c r="I2229" s="9">
        <v>4075.29</v>
      </c>
      <c r="K2229" s="6">
        <v>4.76</v>
      </c>
      <c r="L2229" s="6">
        <v>40</v>
      </c>
      <c r="N2229" s="1">
        <f t="shared" si="256"/>
        <v>0</v>
      </c>
      <c r="O2229" s="6" t="s">
        <v>20</v>
      </c>
      <c r="Q2229" s="6" t="s">
        <v>21</v>
      </c>
      <c r="R2229" s="6" t="s">
        <v>21</v>
      </c>
      <c r="S2229" s="6" t="s">
        <v>21</v>
      </c>
      <c r="T2229" s="6" t="s">
        <v>21</v>
      </c>
      <c r="U2229" s="6">
        <f t="shared" si="257"/>
        <v>1630.116</v>
      </c>
      <c r="V2229" s="6">
        <f t="shared" si="255"/>
        <v>1630.116</v>
      </c>
    </row>
    <row r="2230" spans="1:22" hidden="1" x14ac:dyDescent="0.35">
      <c r="A2230" s="6" t="s">
        <v>2454</v>
      </c>
      <c r="B2230" s="6" t="s">
        <v>2452</v>
      </c>
      <c r="C2230" s="6" t="s">
        <v>2453</v>
      </c>
      <c r="D2230" s="6">
        <f t="shared" si="258"/>
        <v>0.5</v>
      </c>
      <c r="E2230" s="6" t="s">
        <v>19</v>
      </c>
      <c r="F2230" s="6" t="str">
        <f>MID(A2230,19,1)</f>
        <v>S</v>
      </c>
      <c r="G2230" s="6">
        <v>-22.868530054729931</v>
      </c>
      <c r="H2230" s="6">
        <v>-47.132156389401509</v>
      </c>
      <c r="I2230" s="9">
        <v>269.89</v>
      </c>
      <c r="K2230" s="6">
        <v>2.98</v>
      </c>
      <c r="L2230" s="6">
        <v>0</v>
      </c>
      <c r="N2230" s="1">
        <f t="shared" si="256"/>
        <v>0</v>
      </c>
      <c r="Q2230" s="6" t="s">
        <v>21</v>
      </c>
      <c r="R2230" s="6" t="s">
        <v>21</v>
      </c>
      <c r="S2230" s="6" t="s">
        <v>21</v>
      </c>
      <c r="T2230" s="6" t="s">
        <v>21</v>
      </c>
      <c r="U2230" s="6">
        <f t="shared" si="257"/>
        <v>0</v>
      </c>
      <c r="V2230" s="6">
        <f t="shared" si="255"/>
        <v>0</v>
      </c>
    </row>
    <row r="2231" spans="1:22" hidden="1" x14ac:dyDescent="0.35">
      <c r="A2231" s="6" t="s">
        <v>2455</v>
      </c>
      <c r="B2231" s="6" t="s">
        <v>2452</v>
      </c>
      <c r="C2231" s="6" t="s">
        <v>2453</v>
      </c>
      <c r="D2231" s="6">
        <f t="shared" si="258"/>
        <v>0.5</v>
      </c>
      <c r="E2231" s="6" t="s">
        <v>19</v>
      </c>
      <c r="F2231" s="6" t="str">
        <f>MID(A2231,19,1)</f>
        <v>S</v>
      </c>
      <c r="G2231" s="6">
        <v>-22.912803975492029</v>
      </c>
      <c r="H2231" s="6">
        <v>-47.187114178421247</v>
      </c>
      <c r="I2231" s="9">
        <v>2251.73</v>
      </c>
      <c r="K2231" s="6">
        <v>4.5</v>
      </c>
      <c r="L2231" s="6">
        <v>70</v>
      </c>
      <c r="N2231" s="1">
        <f t="shared" si="256"/>
        <v>0</v>
      </c>
      <c r="O2231" s="6" t="s">
        <v>20</v>
      </c>
      <c r="Q2231" s="6" t="s">
        <v>21</v>
      </c>
      <c r="R2231" s="6" t="s">
        <v>21</v>
      </c>
      <c r="S2231" s="6" t="s">
        <v>21</v>
      </c>
      <c r="T2231" s="6" t="s">
        <v>21</v>
      </c>
      <c r="U2231" s="6">
        <f t="shared" si="257"/>
        <v>1576.211</v>
      </c>
      <c r="V2231" s="6">
        <f t="shared" si="255"/>
        <v>1576.211</v>
      </c>
    </row>
    <row r="2232" spans="1:22" hidden="1" x14ac:dyDescent="0.35">
      <c r="A2232" s="6" t="s">
        <v>2456</v>
      </c>
      <c r="B2232" s="6" t="s">
        <v>2452</v>
      </c>
      <c r="C2232" s="6" t="s">
        <v>2453</v>
      </c>
      <c r="D2232" s="6">
        <f t="shared" si="258"/>
        <v>0.5</v>
      </c>
      <c r="E2232" s="6" t="s">
        <v>19</v>
      </c>
      <c r="F2232" s="6" t="str">
        <f>MID(A2232,19,1)</f>
        <v>S</v>
      </c>
      <c r="G2232" s="6">
        <v>-22.86814987283708</v>
      </c>
      <c r="H2232" s="6">
        <v>-47.132870345935572</v>
      </c>
      <c r="I2232" s="9">
        <v>608.29999999999995</v>
      </c>
      <c r="K2232" s="6">
        <v>5.62</v>
      </c>
      <c r="L2232" s="6">
        <v>40</v>
      </c>
      <c r="N2232" s="1">
        <f t="shared" si="256"/>
        <v>0</v>
      </c>
      <c r="O2232" s="6" t="s">
        <v>20</v>
      </c>
      <c r="Q2232" s="6" t="s">
        <v>21</v>
      </c>
      <c r="R2232" s="6" t="s">
        <v>21</v>
      </c>
      <c r="S2232" s="6" t="s">
        <v>21</v>
      </c>
      <c r="T2232" s="6" t="s">
        <v>21</v>
      </c>
      <c r="U2232" s="6">
        <f t="shared" si="257"/>
        <v>243.32</v>
      </c>
      <c r="V2232" s="6">
        <f t="shared" si="255"/>
        <v>243.32</v>
      </c>
    </row>
    <row r="2233" spans="1:22" hidden="1" x14ac:dyDescent="0.35">
      <c r="A2233" s="6" t="s">
        <v>2457</v>
      </c>
      <c r="B2233" s="6" t="s">
        <v>2452</v>
      </c>
      <c r="C2233" s="6" t="s">
        <v>2453</v>
      </c>
      <c r="D2233" s="6">
        <f t="shared" si="258"/>
        <v>0.5</v>
      </c>
      <c r="E2233" s="6" t="s">
        <v>19</v>
      </c>
      <c r="F2233" s="6" t="str">
        <f>MID(A2233,19,1)</f>
        <v>S</v>
      </c>
      <c r="G2233" s="6">
        <v>-22.86593719182272</v>
      </c>
      <c r="H2233" s="6">
        <v>-47.134666617465918</v>
      </c>
      <c r="I2233" s="9">
        <v>43.82</v>
      </c>
      <c r="K2233" s="6">
        <v>1.67</v>
      </c>
      <c r="L2233" s="6">
        <v>0</v>
      </c>
      <c r="N2233" s="1">
        <f t="shared" si="256"/>
        <v>0</v>
      </c>
      <c r="Q2233" s="6" t="s">
        <v>21</v>
      </c>
      <c r="R2233" s="6" t="s">
        <v>21</v>
      </c>
      <c r="S2233" s="6" t="s">
        <v>21</v>
      </c>
      <c r="T2233" s="6" t="s">
        <v>21</v>
      </c>
      <c r="U2233" s="6">
        <f t="shared" si="257"/>
        <v>0</v>
      </c>
      <c r="V2233" s="6">
        <f t="shared" si="255"/>
        <v>0</v>
      </c>
    </row>
    <row r="2234" spans="1:22" hidden="1" x14ac:dyDescent="0.35">
      <c r="A2234" s="6" t="s">
        <v>2458</v>
      </c>
      <c r="B2234" s="6" t="s">
        <v>2452</v>
      </c>
      <c r="C2234" s="6" t="s">
        <v>2453</v>
      </c>
      <c r="D2234" s="6">
        <f t="shared" si="258"/>
        <v>0.5</v>
      </c>
      <c r="E2234" s="6" t="s">
        <v>23</v>
      </c>
      <c r="F2234" s="6" t="str">
        <f>MID(A2234,19,1)</f>
        <v>C</v>
      </c>
      <c r="G2234" s="6">
        <v>-22.868756519829649</v>
      </c>
      <c r="H2234" s="6">
        <v>-47.130832428847327</v>
      </c>
      <c r="I2234" s="9">
        <v>11828.63</v>
      </c>
      <c r="J2234" s="9">
        <f>I2234/500</f>
        <v>23.657259999999997</v>
      </c>
      <c r="K2234" s="6">
        <v>3.7</v>
      </c>
      <c r="L2234" s="6">
        <v>80</v>
      </c>
      <c r="N2234" s="1">
        <f t="shared" si="256"/>
        <v>0</v>
      </c>
      <c r="O2234" s="6" t="s">
        <v>20</v>
      </c>
      <c r="Q2234" s="6" t="s">
        <v>21</v>
      </c>
      <c r="R2234" s="6" t="s">
        <v>21</v>
      </c>
      <c r="S2234" s="6" t="s">
        <v>21</v>
      </c>
      <c r="T2234" s="6" t="s">
        <v>21</v>
      </c>
      <c r="U2234" s="6">
        <f t="shared" si="257"/>
        <v>9462.9040000000005</v>
      </c>
      <c r="V2234" s="6">
        <f t="shared" si="255"/>
        <v>9462.9040000000005</v>
      </c>
    </row>
    <row r="2235" spans="1:22" hidden="1" x14ac:dyDescent="0.35">
      <c r="A2235" s="6" t="s">
        <v>2459</v>
      </c>
      <c r="B2235" s="6" t="s">
        <v>2452</v>
      </c>
      <c r="C2235" s="6" t="s">
        <v>2453</v>
      </c>
      <c r="D2235" s="6">
        <f t="shared" si="258"/>
        <v>0.5</v>
      </c>
      <c r="E2235" s="6" t="s">
        <v>19</v>
      </c>
      <c r="F2235" s="6" t="str">
        <f>MID(A2235,19,1)</f>
        <v>S</v>
      </c>
      <c r="G2235" s="6">
        <v>-22.868453234513591</v>
      </c>
      <c r="H2235" s="6">
        <v>-47.132307487536281</v>
      </c>
      <c r="I2235" s="9">
        <v>193</v>
      </c>
      <c r="K2235" s="6">
        <v>3.8</v>
      </c>
      <c r="L2235" s="6">
        <v>0</v>
      </c>
      <c r="N2235" s="1">
        <f t="shared" si="256"/>
        <v>0</v>
      </c>
      <c r="Q2235" s="6" t="s">
        <v>21</v>
      </c>
      <c r="R2235" s="6" t="s">
        <v>21</v>
      </c>
      <c r="S2235" s="6" t="s">
        <v>21</v>
      </c>
      <c r="T2235" s="6" t="s">
        <v>21</v>
      </c>
      <c r="U2235" s="6">
        <f t="shared" si="257"/>
        <v>0</v>
      </c>
      <c r="V2235" s="6">
        <f t="shared" si="255"/>
        <v>0</v>
      </c>
    </row>
    <row r="2236" spans="1:22" hidden="1" x14ac:dyDescent="0.35">
      <c r="A2236" s="6" t="s">
        <v>2460</v>
      </c>
      <c r="B2236" s="6" t="s">
        <v>2452</v>
      </c>
      <c r="C2236" s="6" t="s">
        <v>2453</v>
      </c>
      <c r="D2236" s="6">
        <f t="shared" si="258"/>
        <v>0.5</v>
      </c>
      <c r="E2236" s="6" t="s">
        <v>23</v>
      </c>
      <c r="F2236" s="6" t="str">
        <f>MID(A2236,19,1)</f>
        <v>C</v>
      </c>
      <c r="G2236" s="6">
        <v>-22.866519006436679</v>
      </c>
      <c r="H2236" s="6">
        <v>-47.133438497019007</v>
      </c>
      <c r="I2236" s="9">
        <v>10203.61</v>
      </c>
      <c r="J2236" s="9">
        <f>I2236/500</f>
        <v>20.407220000000002</v>
      </c>
      <c r="K2236" s="6">
        <v>3.3</v>
      </c>
      <c r="L2236" s="6">
        <v>80</v>
      </c>
      <c r="N2236" s="1">
        <f t="shared" si="256"/>
        <v>0</v>
      </c>
      <c r="O2236" s="6" t="s">
        <v>20</v>
      </c>
      <c r="Q2236" s="6" t="s">
        <v>21</v>
      </c>
      <c r="R2236" s="6" t="s">
        <v>21</v>
      </c>
      <c r="S2236" s="6" t="s">
        <v>21</v>
      </c>
      <c r="T2236" s="6" t="s">
        <v>21</v>
      </c>
      <c r="U2236" s="6">
        <f t="shared" si="257"/>
        <v>8162.8880000000008</v>
      </c>
      <c r="V2236" s="6">
        <f t="shared" si="255"/>
        <v>8162.8880000000008</v>
      </c>
    </row>
    <row r="2237" spans="1:22" hidden="1" x14ac:dyDescent="0.35">
      <c r="A2237" s="6" t="s">
        <v>2461</v>
      </c>
      <c r="B2237" s="6" t="s">
        <v>2452</v>
      </c>
      <c r="C2237" s="6" t="s">
        <v>2453</v>
      </c>
      <c r="D2237" s="6">
        <f t="shared" si="258"/>
        <v>0.5</v>
      </c>
      <c r="E2237" s="6" t="s">
        <v>19</v>
      </c>
      <c r="F2237" s="6" t="str">
        <f>MID(A2237,19,1)</f>
        <v>S</v>
      </c>
      <c r="G2237" s="6">
        <v>-22.911176134236129</v>
      </c>
      <c r="H2237" s="6">
        <v>-47.193059085003469</v>
      </c>
      <c r="I2237" s="9">
        <v>2910.27</v>
      </c>
      <c r="K2237" s="6">
        <v>3.81</v>
      </c>
      <c r="L2237" s="6">
        <v>70</v>
      </c>
      <c r="N2237" s="1">
        <f t="shared" si="256"/>
        <v>0</v>
      </c>
      <c r="O2237" s="6" t="s">
        <v>20</v>
      </c>
      <c r="Q2237" s="6" t="s">
        <v>21</v>
      </c>
      <c r="R2237" s="6" t="s">
        <v>21</v>
      </c>
      <c r="S2237" s="6" t="s">
        <v>21</v>
      </c>
      <c r="T2237" s="6" t="s">
        <v>21</v>
      </c>
      <c r="U2237" s="6">
        <f t="shared" si="257"/>
        <v>2037.1889999999999</v>
      </c>
      <c r="V2237" s="6">
        <f t="shared" ref="V2237:V2300" si="261">(I2237*(L2237/100))</f>
        <v>2037.1889999999999</v>
      </c>
    </row>
    <row r="2238" spans="1:22" x14ac:dyDescent="0.35">
      <c r="A2238" s="6" t="s">
        <v>2462</v>
      </c>
      <c r="B2238" s="6" t="s">
        <v>2452</v>
      </c>
      <c r="C2238" s="6" t="s">
        <v>2453</v>
      </c>
      <c r="D2238" s="6">
        <f t="shared" si="258"/>
        <v>0.5</v>
      </c>
      <c r="E2238" s="6" t="s">
        <v>19</v>
      </c>
      <c r="F2238" s="6" t="str">
        <f>MID(A2238,19,1)</f>
        <v>N</v>
      </c>
      <c r="G2238" s="6">
        <v>-22.869674770600231</v>
      </c>
      <c r="H2238" s="6">
        <v>-47.129328683964978</v>
      </c>
      <c r="I2238" s="9">
        <v>1230.3800000000001</v>
      </c>
      <c r="K2238" s="6">
        <v>4.6399999999999997</v>
      </c>
      <c r="L2238" s="6">
        <v>0</v>
      </c>
      <c r="N2238" s="1">
        <f t="shared" si="256"/>
        <v>0</v>
      </c>
      <c r="Q2238" s="6" t="s">
        <v>21</v>
      </c>
      <c r="R2238" s="6" t="s">
        <v>21</v>
      </c>
      <c r="S2238" s="6" t="s">
        <v>21</v>
      </c>
      <c r="T2238" s="6" t="s">
        <v>21</v>
      </c>
      <c r="U2238" s="6">
        <f t="shared" si="257"/>
        <v>0</v>
      </c>
      <c r="V2238" s="6">
        <f t="shared" si="261"/>
        <v>0</v>
      </c>
    </row>
    <row r="2239" spans="1:22" x14ac:dyDescent="0.35">
      <c r="A2239" s="6" t="s">
        <v>2463</v>
      </c>
      <c r="B2239" s="6" t="s">
        <v>2452</v>
      </c>
      <c r="C2239" s="6" t="s">
        <v>2453</v>
      </c>
      <c r="D2239" s="6">
        <f t="shared" si="258"/>
        <v>0.5</v>
      </c>
      <c r="E2239" s="6" t="s">
        <v>19</v>
      </c>
      <c r="F2239" s="6" t="str">
        <f>MID(A2239,19,1)</f>
        <v>N</v>
      </c>
      <c r="G2239" s="6">
        <v>-22.865838029141241</v>
      </c>
      <c r="H2239" s="6">
        <v>-47.133145591469628</v>
      </c>
      <c r="I2239" s="9">
        <v>1936.34</v>
      </c>
      <c r="K2239" s="6">
        <v>4.59</v>
      </c>
      <c r="L2239" s="6">
        <v>40</v>
      </c>
      <c r="N2239" s="1">
        <f t="shared" si="256"/>
        <v>0</v>
      </c>
      <c r="O2239" s="6" t="s">
        <v>20</v>
      </c>
      <c r="Q2239" s="6" t="s">
        <v>21</v>
      </c>
      <c r="R2239" s="6" t="s">
        <v>21</v>
      </c>
      <c r="S2239" s="6" t="s">
        <v>21</v>
      </c>
      <c r="T2239" s="6" t="s">
        <v>21</v>
      </c>
      <c r="U2239" s="6">
        <f t="shared" si="257"/>
        <v>774.53600000000006</v>
      </c>
      <c r="V2239" s="6">
        <f t="shared" si="261"/>
        <v>774.53600000000006</v>
      </c>
    </row>
    <row r="2240" spans="1:22" hidden="1" x14ac:dyDescent="0.35">
      <c r="A2240" s="6" t="s">
        <v>2464</v>
      </c>
      <c r="B2240" s="6" t="s">
        <v>2452</v>
      </c>
      <c r="C2240" s="6" t="s">
        <v>2453</v>
      </c>
      <c r="D2240" s="6">
        <f t="shared" si="258"/>
        <v>0.5</v>
      </c>
      <c r="E2240" s="6" t="s">
        <v>23</v>
      </c>
      <c r="F2240" s="6" t="str">
        <f>MID(A2240,19,1)</f>
        <v>C</v>
      </c>
      <c r="G2240" s="6">
        <v>-22.911072777003309</v>
      </c>
      <c r="H2240" s="6">
        <v>-47.192802561614528</v>
      </c>
      <c r="I2240" s="9">
        <v>8009.22</v>
      </c>
      <c r="J2240" s="9">
        <f t="shared" ref="J2240:J2243" si="262">I2240/500</f>
        <v>16.018440000000002</v>
      </c>
      <c r="K2240" s="6">
        <v>4.26</v>
      </c>
      <c r="L2240" s="6">
        <v>80</v>
      </c>
      <c r="N2240" s="1">
        <f t="shared" si="256"/>
        <v>0</v>
      </c>
      <c r="O2240" s="6" t="s">
        <v>20</v>
      </c>
      <c r="Q2240" s="6" t="s">
        <v>21</v>
      </c>
      <c r="R2240" s="6" t="s">
        <v>21</v>
      </c>
      <c r="S2240" s="6" t="s">
        <v>21</v>
      </c>
      <c r="T2240" s="6" t="s">
        <v>21</v>
      </c>
      <c r="U2240" s="6">
        <f t="shared" si="257"/>
        <v>6407.3760000000002</v>
      </c>
      <c r="V2240" s="6">
        <f t="shared" si="261"/>
        <v>6407.3760000000002</v>
      </c>
    </row>
    <row r="2241" spans="1:22" hidden="1" x14ac:dyDescent="0.35">
      <c r="A2241" s="6" t="s">
        <v>2465</v>
      </c>
      <c r="B2241" s="6" t="s">
        <v>2452</v>
      </c>
      <c r="C2241" s="6" t="s">
        <v>2453</v>
      </c>
      <c r="D2241" s="6">
        <f t="shared" si="258"/>
        <v>0.5</v>
      </c>
      <c r="E2241" s="6" t="s">
        <v>23</v>
      </c>
      <c r="F2241" s="6" t="str">
        <f>MID(A2241,19,1)</f>
        <v>C</v>
      </c>
      <c r="G2241" s="6">
        <v>-22.912599273391031</v>
      </c>
      <c r="H2241" s="6">
        <v>-47.187061185858958</v>
      </c>
      <c r="I2241" s="9">
        <v>6321.75</v>
      </c>
      <c r="J2241" s="9">
        <f t="shared" si="262"/>
        <v>12.6435</v>
      </c>
      <c r="K2241" s="6">
        <v>4.46</v>
      </c>
      <c r="L2241" s="6">
        <v>80</v>
      </c>
      <c r="N2241" s="1">
        <f t="shared" si="256"/>
        <v>0</v>
      </c>
      <c r="O2241" s="6" t="s">
        <v>20</v>
      </c>
      <c r="Q2241" s="6" t="s">
        <v>21</v>
      </c>
      <c r="R2241" s="6" t="s">
        <v>21</v>
      </c>
      <c r="S2241" s="6" t="s">
        <v>21</v>
      </c>
      <c r="T2241" s="6" t="s">
        <v>21</v>
      </c>
      <c r="U2241" s="6">
        <f t="shared" si="257"/>
        <v>5057.4000000000005</v>
      </c>
      <c r="V2241" s="6">
        <f t="shared" si="261"/>
        <v>5057.4000000000005</v>
      </c>
    </row>
    <row r="2242" spans="1:22" hidden="1" x14ac:dyDescent="0.35">
      <c r="A2242" s="6" t="s">
        <v>2466</v>
      </c>
      <c r="B2242" s="6" t="s">
        <v>2452</v>
      </c>
      <c r="C2242" s="6" t="s">
        <v>2453</v>
      </c>
      <c r="D2242" s="6">
        <f t="shared" si="258"/>
        <v>0.5</v>
      </c>
      <c r="E2242" s="6" t="s">
        <v>23</v>
      </c>
      <c r="F2242" s="6" t="str">
        <f>MID(A2242,19,1)</f>
        <v>C</v>
      </c>
      <c r="G2242" s="6">
        <v>-22.86713605385318</v>
      </c>
      <c r="H2242" s="6">
        <v>-47.132475640338157</v>
      </c>
      <c r="I2242" s="9">
        <v>7140.16</v>
      </c>
      <c r="J2242" s="9">
        <f t="shared" si="262"/>
        <v>14.28032</v>
      </c>
      <c r="K2242" s="6">
        <v>4.0999999999999996</v>
      </c>
      <c r="L2242" s="6">
        <v>40</v>
      </c>
      <c r="N2242" s="1">
        <f t="shared" ref="N2242:N2305" si="263">IF(OR(R2242="Sim",S2242="Sim",T2242="Sim"),(L2242/100)*I2242,0)</f>
        <v>0</v>
      </c>
      <c r="O2242" s="6" t="s">
        <v>20</v>
      </c>
      <c r="Q2242" s="6" t="s">
        <v>21</v>
      </c>
      <c r="R2242" s="6" t="s">
        <v>21</v>
      </c>
      <c r="S2242" s="6" t="s">
        <v>21</v>
      </c>
      <c r="T2242" s="6" t="s">
        <v>21</v>
      </c>
      <c r="U2242" s="6">
        <f t="shared" si="257"/>
        <v>2856.0640000000003</v>
      </c>
      <c r="V2242" s="6">
        <f t="shared" si="261"/>
        <v>2856.0640000000003</v>
      </c>
    </row>
    <row r="2243" spans="1:22" hidden="1" x14ac:dyDescent="0.35">
      <c r="A2243" s="6" t="s">
        <v>2467</v>
      </c>
      <c r="B2243" s="6" t="s">
        <v>2452</v>
      </c>
      <c r="C2243" s="6" t="s">
        <v>2453</v>
      </c>
      <c r="D2243" s="6">
        <f t="shared" si="258"/>
        <v>0.5</v>
      </c>
      <c r="E2243" s="6" t="s">
        <v>23</v>
      </c>
      <c r="F2243" s="6" t="str">
        <f>MID(A2243,19,1)</f>
        <v>C</v>
      </c>
      <c r="G2243" s="6">
        <v>-22.869449541564311</v>
      </c>
      <c r="H2243" s="6">
        <v>-47.130373254562663</v>
      </c>
      <c r="I2243" s="9">
        <v>1790.88</v>
      </c>
      <c r="J2243" s="9">
        <f t="shared" si="262"/>
        <v>3.5817600000000001</v>
      </c>
      <c r="K2243" s="6">
        <v>3.79</v>
      </c>
      <c r="L2243" s="6">
        <v>0</v>
      </c>
      <c r="N2243" s="1">
        <f t="shared" si="263"/>
        <v>0</v>
      </c>
      <c r="Q2243" s="6" t="s">
        <v>21</v>
      </c>
      <c r="R2243" s="6" t="s">
        <v>21</v>
      </c>
      <c r="S2243" s="6" t="s">
        <v>21</v>
      </c>
      <c r="T2243" s="6" t="s">
        <v>21</v>
      </c>
      <c r="U2243" s="6">
        <f t="shared" ref="U2243:U2306" si="264">IF(N2243=0,(I2243*(L2243/100)),0)</f>
        <v>0</v>
      </c>
      <c r="V2243" s="6">
        <f t="shared" si="261"/>
        <v>0</v>
      </c>
    </row>
    <row r="2244" spans="1:22" x14ac:dyDescent="0.35">
      <c r="A2244" s="6" t="s">
        <v>2468</v>
      </c>
      <c r="B2244" s="6" t="s">
        <v>2452</v>
      </c>
      <c r="C2244" s="6" t="s">
        <v>2453</v>
      </c>
      <c r="D2244" s="6">
        <f t="shared" si="258"/>
        <v>0.5</v>
      </c>
      <c r="E2244" s="6" t="s">
        <v>19</v>
      </c>
      <c r="F2244" s="6" t="str">
        <f>MID(A2244,19,1)</f>
        <v>N</v>
      </c>
      <c r="G2244" s="6">
        <v>-22.912396803361819</v>
      </c>
      <c r="H2244" s="6">
        <v>-47.187069766868838</v>
      </c>
      <c r="I2244" s="9">
        <v>2193.71</v>
      </c>
      <c r="K2244" s="6">
        <v>4</v>
      </c>
      <c r="L2244" s="6">
        <v>70</v>
      </c>
      <c r="N2244" s="1">
        <f t="shared" si="263"/>
        <v>0</v>
      </c>
      <c r="O2244" s="6" t="s">
        <v>20</v>
      </c>
      <c r="Q2244" s="6" t="s">
        <v>21</v>
      </c>
      <c r="R2244" s="6" t="s">
        <v>21</v>
      </c>
      <c r="S2244" s="6" t="s">
        <v>21</v>
      </c>
      <c r="T2244" s="6" t="s">
        <v>21</v>
      </c>
      <c r="U2244" s="6">
        <f t="shared" si="264"/>
        <v>1535.597</v>
      </c>
      <c r="V2244" s="6">
        <f t="shared" si="261"/>
        <v>1535.597</v>
      </c>
    </row>
    <row r="2245" spans="1:22" hidden="1" x14ac:dyDescent="0.35">
      <c r="A2245" s="6" t="s">
        <v>2469</v>
      </c>
      <c r="B2245" s="6" t="s">
        <v>2452</v>
      </c>
      <c r="C2245" s="6" t="s">
        <v>2453</v>
      </c>
      <c r="D2245" s="6">
        <f t="shared" si="258"/>
        <v>0.5</v>
      </c>
      <c r="E2245" s="6" t="s">
        <v>19</v>
      </c>
      <c r="F2245" s="6" t="str">
        <f>MID(A2245,19,1)</f>
        <v>S</v>
      </c>
      <c r="G2245" s="6">
        <v>-22.866783815619289</v>
      </c>
      <c r="H2245" s="6">
        <v>-47.133649597308839</v>
      </c>
      <c r="I2245" s="9">
        <v>8572.1</v>
      </c>
      <c r="K2245" s="6">
        <v>4.3</v>
      </c>
      <c r="L2245" s="6">
        <v>40</v>
      </c>
      <c r="N2245" s="1">
        <f t="shared" si="263"/>
        <v>0</v>
      </c>
      <c r="O2245" s="6" t="s">
        <v>20</v>
      </c>
      <c r="Q2245" s="6" t="s">
        <v>21</v>
      </c>
      <c r="R2245" s="6" t="s">
        <v>21</v>
      </c>
      <c r="S2245" s="6" t="s">
        <v>21</v>
      </c>
      <c r="T2245" s="6" t="s">
        <v>21</v>
      </c>
      <c r="U2245" s="6">
        <f t="shared" si="264"/>
        <v>3428.84</v>
      </c>
      <c r="V2245" s="6">
        <f t="shared" si="261"/>
        <v>3428.84</v>
      </c>
    </row>
    <row r="2246" spans="1:22" x14ac:dyDescent="0.35">
      <c r="A2246" s="6" t="s">
        <v>2470</v>
      </c>
      <c r="B2246" s="6" t="s">
        <v>2452</v>
      </c>
      <c r="C2246" s="6" t="s">
        <v>2453</v>
      </c>
      <c r="D2246" s="6">
        <f t="shared" si="258"/>
        <v>0.5</v>
      </c>
      <c r="E2246" s="6" t="s">
        <v>19</v>
      </c>
      <c r="F2246" s="6" t="str">
        <f>MID(A2246,19,1)</f>
        <v>N</v>
      </c>
      <c r="G2246" s="6">
        <v>-22.910797126617741</v>
      </c>
      <c r="H2246" s="6">
        <v>-47.192857943524508</v>
      </c>
      <c r="I2246" s="9">
        <v>2843.55</v>
      </c>
      <c r="K2246" s="6">
        <v>4.21</v>
      </c>
      <c r="L2246" s="6">
        <v>70</v>
      </c>
      <c r="N2246" s="1">
        <f t="shared" si="263"/>
        <v>0</v>
      </c>
      <c r="O2246" s="6" t="s">
        <v>20</v>
      </c>
      <c r="Q2246" s="6" t="s">
        <v>21</v>
      </c>
      <c r="R2246" s="6" t="s">
        <v>21</v>
      </c>
      <c r="S2246" s="6" t="s">
        <v>21</v>
      </c>
      <c r="T2246" s="6" t="s">
        <v>21</v>
      </c>
      <c r="U2246" s="6">
        <f t="shared" si="264"/>
        <v>1990.4849999999999</v>
      </c>
      <c r="V2246" s="6">
        <f t="shared" si="261"/>
        <v>1990.4849999999999</v>
      </c>
    </row>
    <row r="2247" spans="1:22" hidden="1" x14ac:dyDescent="0.35">
      <c r="A2247" s="6" t="s">
        <v>2471</v>
      </c>
      <c r="B2247" s="6" t="s">
        <v>2452</v>
      </c>
      <c r="C2247" s="6" t="s">
        <v>2453</v>
      </c>
      <c r="D2247" s="6">
        <f t="shared" si="258"/>
        <v>0.5</v>
      </c>
      <c r="E2247" s="6" t="s">
        <v>19</v>
      </c>
      <c r="F2247" s="6" t="str">
        <f>MID(A2247,19,1)</f>
        <v>S</v>
      </c>
      <c r="G2247" s="6">
        <v>-22.86548778901075</v>
      </c>
      <c r="H2247" s="6">
        <v>-47.135037625541308</v>
      </c>
      <c r="I2247" s="9">
        <v>437.46</v>
      </c>
      <c r="K2247" s="6">
        <v>1.18</v>
      </c>
      <c r="L2247" s="6">
        <v>40</v>
      </c>
      <c r="N2247" s="1">
        <f t="shared" si="263"/>
        <v>0</v>
      </c>
      <c r="O2247" s="6" t="s">
        <v>20</v>
      </c>
      <c r="Q2247" s="6" t="s">
        <v>21</v>
      </c>
      <c r="R2247" s="6" t="s">
        <v>21</v>
      </c>
      <c r="S2247" s="6" t="s">
        <v>21</v>
      </c>
      <c r="T2247" s="6" t="s">
        <v>21</v>
      </c>
      <c r="U2247" s="6">
        <f t="shared" si="264"/>
        <v>174.98400000000001</v>
      </c>
      <c r="V2247" s="6">
        <f t="shared" si="261"/>
        <v>174.98400000000001</v>
      </c>
    </row>
    <row r="2248" spans="1:22" hidden="1" x14ac:dyDescent="0.35">
      <c r="A2248" s="6" t="s">
        <v>2472</v>
      </c>
      <c r="B2248" s="6" t="s">
        <v>2452</v>
      </c>
      <c r="C2248" s="6" t="s">
        <v>2453</v>
      </c>
      <c r="D2248" s="6">
        <f t="shared" si="258"/>
        <v>0.5</v>
      </c>
      <c r="E2248" s="6" t="s">
        <v>19</v>
      </c>
      <c r="F2248" s="6" t="str">
        <f>MID(A2248,19,1)</f>
        <v>S</v>
      </c>
      <c r="G2248" s="6">
        <v>-22.867351642611929</v>
      </c>
      <c r="H2248" s="6">
        <v>-47.133715694379617</v>
      </c>
      <c r="I2248" s="9">
        <v>1434.5</v>
      </c>
      <c r="K2248" s="6">
        <v>4.7300000000000004</v>
      </c>
      <c r="L2248" s="6">
        <v>40</v>
      </c>
      <c r="N2248" s="1">
        <f t="shared" si="263"/>
        <v>0</v>
      </c>
      <c r="O2248" s="6" t="s">
        <v>20</v>
      </c>
      <c r="Q2248" s="6" t="s">
        <v>21</v>
      </c>
      <c r="R2248" s="6" t="s">
        <v>21</v>
      </c>
      <c r="S2248" s="6" t="s">
        <v>21</v>
      </c>
      <c r="T2248" s="6" t="s">
        <v>21</v>
      </c>
      <c r="U2248" s="6">
        <f t="shared" si="264"/>
        <v>573.80000000000007</v>
      </c>
      <c r="V2248" s="6">
        <f t="shared" si="261"/>
        <v>573.80000000000007</v>
      </c>
    </row>
    <row r="2249" spans="1:22" x14ac:dyDescent="0.35">
      <c r="A2249" s="6" t="s">
        <v>2473</v>
      </c>
      <c r="B2249" s="6" t="s">
        <v>2452</v>
      </c>
      <c r="C2249" s="6" t="s">
        <v>2453</v>
      </c>
      <c r="D2249" s="6">
        <f t="shared" si="258"/>
        <v>0.5</v>
      </c>
      <c r="E2249" s="6" t="s">
        <v>19</v>
      </c>
      <c r="F2249" s="6" t="str">
        <f>MID(A2249,19,1)</f>
        <v>N</v>
      </c>
      <c r="G2249" s="6">
        <v>-22.868036530688361</v>
      </c>
      <c r="H2249" s="6">
        <v>-47.131075959598782</v>
      </c>
      <c r="I2249" s="9">
        <v>1422.21</v>
      </c>
      <c r="K2249" s="6">
        <v>2.9</v>
      </c>
      <c r="L2249" s="6">
        <v>0</v>
      </c>
      <c r="N2249" s="1">
        <f t="shared" si="263"/>
        <v>0</v>
      </c>
      <c r="Q2249" s="6" t="s">
        <v>21</v>
      </c>
      <c r="R2249" s="6" t="s">
        <v>21</v>
      </c>
      <c r="S2249" s="6" t="s">
        <v>21</v>
      </c>
      <c r="T2249" s="6" t="s">
        <v>21</v>
      </c>
      <c r="U2249" s="6">
        <f t="shared" si="264"/>
        <v>0</v>
      </c>
      <c r="V2249" s="6">
        <f t="shared" si="261"/>
        <v>0</v>
      </c>
    </row>
    <row r="2250" spans="1:22" x14ac:dyDescent="0.35">
      <c r="A2250" s="6" t="s">
        <v>2474</v>
      </c>
      <c r="B2250" s="6" t="s">
        <v>2452</v>
      </c>
      <c r="C2250" s="6" t="s">
        <v>2453</v>
      </c>
      <c r="D2250" s="6">
        <f t="shared" si="258"/>
        <v>0.5</v>
      </c>
      <c r="E2250" s="6" t="s">
        <v>19</v>
      </c>
      <c r="F2250" s="6" t="str">
        <f>MID(A2250,19,1)</f>
        <v>N</v>
      </c>
      <c r="G2250" s="6">
        <v>-22.869066064821439</v>
      </c>
      <c r="H2250" s="6">
        <v>-47.129776704177523</v>
      </c>
      <c r="I2250" s="9">
        <v>1869.52</v>
      </c>
      <c r="K2250" s="6">
        <v>4.37</v>
      </c>
      <c r="L2250" s="6">
        <v>0</v>
      </c>
      <c r="N2250" s="1">
        <f t="shared" si="263"/>
        <v>0</v>
      </c>
      <c r="Q2250" s="6" t="s">
        <v>21</v>
      </c>
      <c r="R2250" s="6" t="s">
        <v>21</v>
      </c>
      <c r="S2250" s="6" t="s">
        <v>21</v>
      </c>
      <c r="T2250" s="6" t="s">
        <v>21</v>
      </c>
      <c r="U2250" s="6">
        <f t="shared" si="264"/>
        <v>0</v>
      </c>
      <c r="V2250" s="6">
        <f t="shared" si="261"/>
        <v>0</v>
      </c>
    </row>
    <row r="2251" spans="1:22" hidden="1" x14ac:dyDescent="0.35">
      <c r="A2251" s="6" t="s">
        <v>2475</v>
      </c>
      <c r="B2251" s="6" t="s">
        <v>2452</v>
      </c>
      <c r="C2251" s="6" t="s">
        <v>2453</v>
      </c>
      <c r="D2251" s="6">
        <f t="shared" si="258"/>
        <v>0.5</v>
      </c>
      <c r="E2251" s="6" t="s">
        <v>19</v>
      </c>
      <c r="F2251" s="6" t="str">
        <f>MID(A2251,19,1)</f>
        <v>S</v>
      </c>
      <c r="G2251" s="6">
        <v>-22.870029640575648</v>
      </c>
      <c r="H2251" s="6">
        <v>-47.12967197122537</v>
      </c>
      <c r="I2251" s="9">
        <v>1344.49</v>
      </c>
      <c r="K2251" s="6">
        <v>3.47</v>
      </c>
      <c r="L2251" s="6">
        <v>0</v>
      </c>
      <c r="N2251" s="1">
        <f t="shared" si="263"/>
        <v>0</v>
      </c>
      <c r="Q2251" s="6" t="s">
        <v>21</v>
      </c>
      <c r="R2251" s="6" t="s">
        <v>21</v>
      </c>
      <c r="S2251" s="6" t="s">
        <v>21</v>
      </c>
      <c r="T2251" s="6" t="s">
        <v>21</v>
      </c>
      <c r="U2251" s="6">
        <f t="shared" si="264"/>
        <v>0</v>
      </c>
      <c r="V2251" s="6">
        <f t="shared" si="261"/>
        <v>0</v>
      </c>
    </row>
    <row r="2252" spans="1:22" x14ac:dyDescent="0.35">
      <c r="A2252" s="6" t="s">
        <v>2476</v>
      </c>
      <c r="B2252" s="6" t="s">
        <v>2477</v>
      </c>
      <c r="C2252" s="6" t="s">
        <v>2478</v>
      </c>
      <c r="D2252" s="6">
        <f t="shared" si="258"/>
        <v>0.5</v>
      </c>
      <c r="E2252" s="6" t="s">
        <v>19</v>
      </c>
      <c r="F2252" s="6" t="str">
        <f>MID(A2252,19,1)</f>
        <v>N</v>
      </c>
      <c r="G2252" s="6">
        <v>-22.86246733850242</v>
      </c>
      <c r="H2252" s="6">
        <v>-47.137894348779739</v>
      </c>
      <c r="I2252" s="9">
        <v>489.2</v>
      </c>
      <c r="K2252" s="6">
        <v>2</v>
      </c>
      <c r="L2252" s="6">
        <v>40</v>
      </c>
      <c r="N2252" s="1">
        <f t="shared" si="263"/>
        <v>0</v>
      </c>
      <c r="O2252" s="6" t="s">
        <v>20</v>
      </c>
      <c r="Q2252" s="6" t="s">
        <v>21</v>
      </c>
      <c r="R2252" s="6" t="s">
        <v>21</v>
      </c>
      <c r="S2252" s="6" t="s">
        <v>21</v>
      </c>
      <c r="T2252" s="6" t="s">
        <v>21</v>
      </c>
      <c r="U2252" s="6">
        <f t="shared" si="264"/>
        <v>195.68</v>
      </c>
      <c r="V2252" s="6">
        <f t="shared" si="261"/>
        <v>195.68</v>
      </c>
    </row>
    <row r="2253" spans="1:22" hidden="1" x14ac:dyDescent="0.35">
      <c r="A2253" s="6" t="s">
        <v>2479</v>
      </c>
      <c r="B2253" s="6" t="s">
        <v>2477</v>
      </c>
      <c r="C2253" s="6" t="s">
        <v>2478</v>
      </c>
      <c r="D2253" s="6">
        <f t="shared" si="258"/>
        <v>0.5</v>
      </c>
      <c r="E2253" s="6" t="s">
        <v>19</v>
      </c>
      <c r="F2253" s="6" t="str">
        <f>MID(A2253,19,1)</f>
        <v>S</v>
      </c>
      <c r="G2253" s="6">
        <v>-22.860731920100761</v>
      </c>
      <c r="H2253" s="6">
        <v>-47.142691894353227</v>
      </c>
      <c r="I2253" s="9">
        <v>837.35</v>
      </c>
      <c r="K2253" s="6">
        <v>2.85</v>
      </c>
      <c r="L2253" s="6">
        <v>30</v>
      </c>
      <c r="N2253" s="1">
        <f t="shared" si="263"/>
        <v>0</v>
      </c>
      <c r="O2253" s="6" t="s">
        <v>20</v>
      </c>
      <c r="Q2253" s="6" t="s">
        <v>21</v>
      </c>
      <c r="R2253" s="6" t="s">
        <v>21</v>
      </c>
      <c r="S2253" s="6" t="s">
        <v>21</v>
      </c>
      <c r="T2253" s="6" t="s">
        <v>21</v>
      </c>
      <c r="U2253" s="6">
        <f t="shared" si="264"/>
        <v>251.20499999999998</v>
      </c>
      <c r="V2253" s="6">
        <f t="shared" si="261"/>
        <v>251.20499999999998</v>
      </c>
    </row>
    <row r="2254" spans="1:22" x14ac:dyDescent="0.35">
      <c r="A2254" s="6" t="s">
        <v>2480</v>
      </c>
      <c r="B2254" s="6" t="s">
        <v>2477</v>
      </c>
      <c r="C2254" s="6" t="s">
        <v>2478</v>
      </c>
      <c r="D2254" s="6">
        <f t="shared" ref="D2254:D2317" si="265">C2254-B2254</f>
        <v>0.5</v>
      </c>
      <c r="E2254" s="6" t="s">
        <v>19</v>
      </c>
      <c r="F2254" s="6" t="str">
        <f>MID(A2254,19,1)</f>
        <v>N</v>
      </c>
      <c r="G2254" s="6">
        <v>-22.90863696817496</v>
      </c>
      <c r="H2254" s="6">
        <v>-47.19650444371949</v>
      </c>
      <c r="I2254" s="9">
        <v>1211.3699999999999</v>
      </c>
      <c r="K2254" s="6">
        <v>4.43</v>
      </c>
      <c r="L2254" s="6">
        <v>70</v>
      </c>
      <c r="N2254" s="1">
        <f t="shared" si="263"/>
        <v>0</v>
      </c>
      <c r="O2254" s="6" t="s">
        <v>20</v>
      </c>
      <c r="Q2254" s="6" t="s">
        <v>21</v>
      </c>
      <c r="R2254" s="6" t="s">
        <v>21</v>
      </c>
      <c r="S2254" s="6" t="s">
        <v>21</v>
      </c>
      <c r="T2254" s="6" t="s">
        <v>21</v>
      </c>
      <c r="U2254" s="6">
        <f t="shared" si="264"/>
        <v>847.95899999999983</v>
      </c>
      <c r="V2254" s="6">
        <f t="shared" si="261"/>
        <v>847.95899999999983</v>
      </c>
    </row>
    <row r="2255" spans="1:22" hidden="1" x14ac:dyDescent="0.35">
      <c r="A2255" s="6" t="s">
        <v>2481</v>
      </c>
      <c r="B2255" s="6" t="s">
        <v>2477</v>
      </c>
      <c r="C2255" s="6" t="s">
        <v>2478</v>
      </c>
      <c r="D2255" s="6">
        <f t="shared" si="265"/>
        <v>0.5</v>
      </c>
      <c r="E2255" s="6" t="s">
        <v>19</v>
      </c>
      <c r="F2255" s="6" t="str">
        <f>MID(A2255,19,1)</f>
        <v>S</v>
      </c>
      <c r="G2255" s="6">
        <v>-22.862499524701089</v>
      </c>
      <c r="H2255" s="6">
        <v>-47.139429242884731</v>
      </c>
      <c r="I2255" s="9">
        <v>2.33</v>
      </c>
      <c r="K2255" s="6">
        <v>3.28</v>
      </c>
      <c r="N2255" s="1">
        <f t="shared" si="263"/>
        <v>0</v>
      </c>
      <c r="Q2255" s="6" t="s">
        <v>21</v>
      </c>
      <c r="R2255" s="6" t="s">
        <v>21</v>
      </c>
      <c r="S2255" s="6" t="s">
        <v>21</v>
      </c>
      <c r="T2255" s="6" t="s">
        <v>21</v>
      </c>
      <c r="U2255" s="6">
        <f t="shared" si="264"/>
        <v>0</v>
      </c>
      <c r="V2255" s="6">
        <f t="shared" si="261"/>
        <v>0</v>
      </c>
    </row>
    <row r="2256" spans="1:22" x14ac:dyDescent="0.35">
      <c r="A2256" s="6" t="s">
        <v>2482</v>
      </c>
      <c r="B2256" s="6" t="s">
        <v>2477</v>
      </c>
      <c r="C2256" s="6" t="s">
        <v>2478</v>
      </c>
      <c r="D2256" s="6">
        <f t="shared" si="265"/>
        <v>0.5</v>
      </c>
      <c r="E2256" s="6" t="s">
        <v>19</v>
      </c>
      <c r="F2256" s="6" t="str">
        <f>MID(A2256,19,1)</f>
        <v>N</v>
      </c>
      <c r="G2256" s="6">
        <v>-22.859935583406571</v>
      </c>
      <c r="H2256" s="6">
        <v>-47.142842588210137</v>
      </c>
      <c r="I2256" s="9">
        <v>953.98</v>
      </c>
      <c r="K2256" s="6">
        <v>2.0299999999999998</v>
      </c>
      <c r="L2256" s="6">
        <v>60</v>
      </c>
      <c r="N2256" s="1">
        <f t="shared" si="263"/>
        <v>0</v>
      </c>
      <c r="O2256" s="6" t="s">
        <v>185</v>
      </c>
      <c r="Q2256" s="6" t="s">
        <v>21</v>
      </c>
      <c r="R2256" s="6" t="s">
        <v>21</v>
      </c>
      <c r="S2256" s="6" t="s">
        <v>21</v>
      </c>
      <c r="T2256" s="6" t="s">
        <v>21</v>
      </c>
      <c r="U2256" s="6">
        <f t="shared" si="264"/>
        <v>572.38800000000003</v>
      </c>
      <c r="V2256" s="6">
        <f t="shared" si="261"/>
        <v>572.38800000000003</v>
      </c>
    </row>
    <row r="2257" spans="1:22" hidden="1" x14ac:dyDescent="0.35">
      <c r="A2257" s="6" t="s">
        <v>2483</v>
      </c>
      <c r="B2257" s="6" t="s">
        <v>2477</v>
      </c>
      <c r="C2257" s="6" t="s">
        <v>2478</v>
      </c>
      <c r="D2257" s="6">
        <f t="shared" si="265"/>
        <v>0.5</v>
      </c>
      <c r="E2257" s="6" t="s">
        <v>19</v>
      </c>
      <c r="F2257" s="6" t="str">
        <f>MID(A2257,19,1)</f>
        <v>S</v>
      </c>
      <c r="G2257" s="6">
        <v>-22.864938020074732</v>
      </c>
      <c r="H2257" s="6">
        <v>-47.135627080425152</v>
      </c>
      <c r="I2257" s="9">
        <v>264.22000000000003</v>
      </c>
      <c r="K2257" s="6">
        <v>2.04</v>
      </c>
      <c r="L2257" s="6">
        <v>40</v>
      </c>
      <c r="N2257" s="1">
        <f t="shared" si="263"/>
        <v>0</v>
      </c>
      <c r="O2257" s="6" t="s">
        <v>20</v>
      </c>
      <c r="Q2257" s="6" t="s">
        <v>21</v>
      </c>
      <c r="R2257" s="6" t="s">
        <v>21</v>
      </c>
      <c r="S2257" s="6" t="s">
        <v>21</v>
      </c>
      <c r="T2257" s="6" t="s">
        <v>21</v>
      </c>
      <c r="U2257" s="6">
        <f t="shared" si="264"/>
        <v>105.68800000000002</v>
      </c>
      <c r="V2257" s="6">
        <f t="shared" si="261"/>
        <v>105.68800000000002</v>
      </c>
    </row>
    <row r="2258" spans="1:22" hidden="1" x14ac:dyDescent="0.35">
      <c r="A2258" s="6" t="s">
        <v>2484</v>
      </c>
      <c r="B2258" s="6" t="s">
        <v>2477</v>
      </c>
      <c r="C2258" s="6" t="s">
        <v>2478</v>
      </c>
      <c r="D2258" s="6">
        <f t="shared" si="265"/>
        <v>0.5</v>
      </c>
      <c r="E2258" s="6" t="s">
        <v>23</v>
      </c>
      <c r="F2258" s="6" t="str">
        <f>MID(A2258,19,1)</f>
        <v>C</v>
      </c>
      <c r="G2258" s="6">
        <v>-22.860379167294649</v>
      </c>
      <c r="H2258" s="6">
        <v>-47.142618101127347</v>
      </c>
      <c r="I2258" s="9">
        <v>1090.6500000000001</v>
      </c>
      <c r="J2258" s="9">
        <f t="shared" ref="J2258:J2259" si="266">I2258/500</f>
        <v>2.1813000000000002</v>
      </c>
      <c r="K2258" s="6">
        <v>2.54</v>
      </c>
      <c r="L2258" s="6">
        <v>50</v>
      </c>
      <c r="N2258" s="1">
        <f t="shared" si="263"/>
        <v>0</v>
      </c>
      <c r="O2258" s="6" t="s">
        <v>20</v>
      </c>
      <c r="Q2258" s="6" t="s">
        <v>21</v>
      </c>
      <c r="R2258" s="6" t="s">
        <v>21</v>
      </c>
      <c r="S2258" s="6" t="s">
        <v>21</v>
      </c>
      <c r="T2258" s="6" t="s">
        <v>21</v>
      </c>
      <c r="U2258" s="6">
        <f t="shared" si="264"/>
        <v>545.32500000000005</v>
      </c>
      <c r="V2258" s="6">
        <f t="shared" si="261"/>
        <v>545.32500000000005</v>
      </c>
    </row>
    <row r="2259" spans="1:22" hidden="1" x14ac:dyDescent="0.35">
      <c r="A2259" s="6" t="s">
        <v>2485</v>
      </c>
      <c r="B2259" s="6" t="s">
        <v>2477</v>
      </c>
      <c r="C2259" s="6" t="s">
        <v>2478</v>
      </c>
      <c r="D2259" s="6">
        <f t="shared" si="265"/>
        <v>0.5</v>
      </c>
      <c r="E2259" s="6" t="s">
        <v>23</v>
      </c>
      <c r="F2259" s="6" t="str">
        <f>MID(A2259,19,1)</f>
        <v>C</v>
      </c>
      <c r="G2259" s="6">
        <v>-22.9058545245509</v>
      </c>
      <c r="H2259" s="6">
        <v>-47.200957989522657</v>
      </c>
      <c r="I2259" s="9">
        <v>9870.74</v>
      </c>
      <c r="J2259" s="9">
        <f t="shared" si="266"/>
        <v>19.741479999999999</v>
      </c>
      <c r="K2259" s="6">
        <v>4.0599999999999996</v>
      </c>
      <c r="L2259" s="6">
        <v>80</v>
      </c>
      <c r="N2259" s="1">
        <f t="shared" si="263"/>
        <v>0</v>
      </c>
      <c r="O2259" s="6" t="s">
        <v>20</v>
      </c>
      <c r="Q2259" s="6" t="s">
        <v>21</v>
      </c>
      <c r="R2259" s="6" t="s">
        <v>21</v>
      </c>
      <c r="S2259" s="6" t="s">
        <v>21</v>
      </c>
      <c r="T2259" s="6" t="s">
        <v>21</v>
      </c>
      <c r="U2259" s="6">
        <f t="shared" si="264"/>
        <v>7896.5920000000006</v>
      </c>
      <c r="V2259" s="6">
        <f t="shared" si="261"/>
        <v>7896.5920000000006</v>
      </c>
    </row>
    <row r="2260" spans="1:22" hidden="1" x14ac:dyDescent="0.35">
      <c r="A2260" s="6" t="s">
        <v>2486</v>
      </c>
      <c r="B2260" s="6" t="s">
        <v>2477</v>
      </c>
      <c r="C2260" s="6" t="s">
        <v>2478</v>
      </c>
      <c r="D2260" s="6">
        <f t="shared" si="265"/>
        <v>0.5</v>
      </c>
      <c r="E2260" s="6" t="s">
        <v>19</v>
      </c>
      <c r="F2260" s="6" t="str">
        <f>MID(A2260,19,1)</f>
        <v>S</v>
      </c>
      <c r="G2260" s="6">
        <v>-22.909026468226521</v>
      </c>
      <c r="H2260" s="6">
        <v>-47.196772506276083</v>
      </c>
      <c r="I2260" s="9">
        <v>1216.42</v>
      </c>
      <c r="K2260" s="6">
        <v>3.06</v>
      </c>
      <c r="L2260" s="6">
        <v>70</v>
      </c>
      <c r="N2260" s="1">
        <f t="shared" si="263"/>
        <v>0</v>
      </c>
      <c r="O2260" s="6" t="s">
        <v>20</v>
      </c>
      <c r="Q2260" s="6" t="s">
        <v>21</v>
      </c>
      <c r="R2260" s="6" t="s">
        <v>21</v>
      </c>
      <c r="S2260" s="6" t="s">
        <v>21</v>
      </c>
      <c r="T2260" s="6" t="s">
        <v>21</v>
      </c>
      <c r="U2260" s="6">
        <f t="shared" si="264"/>
        <v>851.49400000000003</v>
      </c>
      <c r="V2260" s="6">
        <f t="shared" si="261"/>
        <v>851.49400000000003</v>
      </c>
    </row>
    <row r="2261" spans="1:22" hidden="1" x14ac:dyDescent="0.35">
      <c r="A2261" s="6" t="s">
        <v>2487</v>
      </c>
      <c r="B2261" s="6" t="s">
        <v>2477</v>
      </c>
      <c r="C2261" s="6" t="s">
        <v>2478</v>
      </c>
      <c r="D2261" s="6">
        <f t="shared" si="265"/>
        <v>0.5</v>
      </c>
      <c r="E2261" s="6" t="s">
        <v>23</v>
      </c>
      <c r="F2261" s="6" t="str">
        <f>MID(A2261,19,1)</f>
        <v>C</v>
      </c>
      <c r="G2261" s="6">
        <v>-22.86240355627535</v>
      </c>
      <c r="H2261" s="6">
        <v>-47.139139902007109</v>
      </c>
      <c r="I2261" s="9">
        <v>464.22</v>
      </c>
      <c r="J2261" s="9">
        <f>I2261/500</f>
        <v>0.92844000000000004</v>
      </c>
      <c r="K2261" s="6">
        <v>3.36</v>
      </c>
      <c r="L2261" s="6">
        <v>80</v>
      </c>
      <c r="N2261" s="1">
        <f t="shared" si="263"/>
        <v>0</v>
      </c>
      <c r="O2261" s="6" t="s">
        <v>20</v>
      </c>
      <c r="Q2261" s="6" t="s">
        <v>21</v>
      </c>
      <c r="R2261" s="6" t="s">
        <v>21</v>
      </c>
      <c r="S2261" s="6" t="s">
        <v>21</v>
      </c>
      <c r="T2261" s="6" t="s">
        <v>21</v>
      </c>
      <c r="U2261" s="6">
        <f t="shared" si="264"/>
        <v>371.37600000000003</v>
      </c>
      <c r="V2261" s="6">
        <f t="shared" si="261"/>
        <v>371.37600000000003</v>
      </c>
    </row>
    <row r="2262" spans="1:22" x14ac:dyDescent="0.35">
      <c r="A2262" s="6" t="s">
        <v>2488</v>
      </c>
      <c r="B2262" s="6" t="s">
        <v>2477</v>
      </c>
      <c r="C2262" s="6" t="s">
        <v>2478</v>
      </c>
      <c r="D2262" s="6">
        <f t="shared" si="265"/>
        <v>0.5</v>
      </c>
      <c r="E2262" s="6" t="s">
        <v>19</v>
      </c>
      <c r="F2262" s="6" t="str">
        <f>MID(A2262,19,1)</f>
        <v>N</v>
      </c>
      <c r="G2262" s="6">
        <v>-22.85976209269489</v>
      </c>
      <c r="H2262" s="6">
        <v>-47.142746106374133</v>
      </c>
      <c r="I2262" s="9">
        <v>405.23</v>
      </c>
      <c r="K2262" s="6">
        <v>2.2999999999999998</v>
      </c>
      <c r="L2262" s="6">
        <v>30</v>
      </c>
      <c r="N2262" s="1">
        <f t="shared" si="263"/>
        <v>0</v>
      </c>
      <c r="O2262" s="6" t="s">
        <v>20</v>
      </c>
      <c r="Q2262" s="6" t="s">
        <v>21</v>
      </c>
      <c r="R2262" s="6" t="s">
        <v>21</v>
      </c>
      <c r="S2262" s="6" t="s">
        <v>21</v>
      </c>
      <c r="T2262" s="6" t="s">
        <v>21</v>
      </c>
      <c r="U2262" s="6">
        <f t="shared" si="264"/>
        <v>121.569</v>
      </c>
      <c r="V2262" s="6">
        <f t="shared" si="261"/>
        <v>121.569</v>
      </c>
    </row>
    <row r="2263" spans="1:22" x14ac:dyDescent="0.35">
      <c r="A2263" s="6" t="s">
        <v>2489</v>
      </c>
      <c r="B2263" s="6" t="s">
        <v>2477</v>
      </c>
      <c r="C2263" s="6" t="s">
        <v>2478</v>
      </c>
      <c r="D2263" s="6">
        <f t="shared" si="265"/>
        <v>0.5</v>
      </c>
      <c r="E2263" s="6" t="s">
        <v>19</v>
      </c>
      <c r="F2263" s="6" t="str">
        <f>MID(A2263,19,1)</f>
        <v>N</v>
      </c>
      <c r="G2263" s="6">
        <v>-22.86169777673112</v>
      </c>
      <c r="H2263" s="6">
        <v>-47.139867730022146</v>
      </c>
      <c r="I2263" s="9">
        <v>513.16999999999996</v>
      </c>
      <c r="K2263" s="6">
        <v>2.23</v>
      </c>
      <c r="L2263" s="6">
        <v>30</v>
      </c>
      <c r="N2263" s="1">
        <f t="shared" si="263"/>
        <v>0</v>
      </c>
      <c r="O2263" s="6" t="s">
        <v>20</v>
      </c>
      <c r="Q2263" s="6" t="s">
        <v>21</v>
      </c>
      <c r="R2263" s="6" t="s">
        <v>21</v>
      </c>
      <c r="S2263" s="6" t="s">
        <v>21</v>
      </c>
      <c r="T2263" s="6" t="s">
        <v>21</v>
      </c>
      <c r="U2263" s="6">
        <f t="shared" si="264"/>
        <v>153.95099999999999</v>
      </c>
      <c r="V2263" s="6">
        <f t="shared" si="261"/>
        <v>153.95099999999999</v>
      </c>
    </row>
    <row r="2264" spans="1:22" hidden="1" x14ac:dyDescent="0.35">
      <c r="A2264" s="6" t="s">
        <v>2490</v>
      </c>
      <c r="B2264" s="6" t="s">
        <v>2477</v>
      </c>
      <c r="C2264" s="6" t="s">
        <v>2478</v>
      </c>
      <c r="D2264" s="6">
        <f t="shared" si="265"/>
        <v>0.5</v>
      </c>
      <c r="E2264" s="6" t="s">
        <v>19</v>
      </c>
      <c r="F2264" s="6" t="str">
        <f>MID(A2264,19,1)</f>
        <v>S</v>
      </c>
      <c r="G2264" s="6">
        <v>-22.862719303957309</v>
      </c>
      <c r="H2264" s="6">
        <v>-47.13927680524835</v>
      </c>
      <c r="I2264" s="9">
        <v>215.34</v>
      </c>
      <c r="K2264" s="6">
        <v>2.59</v>
      </c>
      <c r="L2264" s="6">
        <v>40</v>
      </c>
      <c r="N2264" s="1">
        <f t="shared" si="263"/>
        <v>0</v>
      </c>
      <c r="O2264" s="6" t="s">
        <v>20</v>
      </c>
      <c r="Q2264" s="6" t="s">
        <v>21</v>
      </c>
      <c r="R2264" s="6" t="s">
        <v>21</v>
      </c>
      <c r="S2264" s="6" t="s">
        <v>21</v>
      </c>
      <c r="T2264" s="6" t="s">
        <v>21</v>
      </c>
      <c r="U2264" s="6">
        <f t="shared" si="264"/>
        <v>86.13600000000001</v>
      </c>
      <c r="V2264" s="6">
        <f t="shared" si="261"/>
        <v>86.13600000000001</v>
      </c>
    </row>
    <row r="2265" spans="1:22" hidden="1" x14ac:dyDescent="0.35">
      <c r="A2265" s="6" t="s">
        <v>2491</v>
      </c>
      <c r="B2265" s="6" t="s">
        <v>2477</v>
      </c>
      <c r="C2265" s="6" t="s">
        <v>2478</v>
      </c>
      <c r="D2265" s="6">
        <f t="shared" si="265"/>
        <v>0.5</v>
      </c>
      <c r="E2265" s="6" t="s">
        <v>19</v>
      </c>
      <c r="F2265" s="6" t="str">
        <f>MID(A2265,19,1)</f>
        <v>S</v>
      </c>
      <c r="G2265" s="6">
        <v>-22.861353245492001</v>
      </c>
      <c r="H2265" s="6">
        <v>-47.141335064110592</v>
      </c>
      <c r="I2265" s="9">
        <v>252.58</v>
      </c>
      <c r="K2265" s="6">
        <v>2.04</v>
      </c>
      <c r="L2265" s="6">
        <v>30</v>
      </c>
      <c r="N2265" s="1">
        <f t="shared" si="263"/>
        <v>0</v>
      </c>
      <c r="O2265" s="6" t="s">
        <v>20</v>
      </c>
      <c r="Q2265" s="6" t="s">
        <v>21</v>
      </c>
      <c r="R2265" s="6" t="s">
        <v>21</v>
      </c>
      <c r="S2265" s="6" t="s">
        <v>21</v>
      </c>
      <c r="T2265" s="6" t="s">
        <v>21</v>
      </c>
      <c r="U2265" s="6">
        <f t="shared" si="264"/>
        <v>75.774000000000001</v>
      </c>
      <c r="V2265" s="6">
        <f t="shared" si="261"/>
        <v>75.774000000000001</v>
      </c>
    </row>
    <row r="2266" spans="1:22" x14ac:dyDescent="0.35">
      <c r="A2266" s="6" t="s">
        <v>2492</v>
      </c>
      <c r="B2266" s="6" t="s">
        <v>2477</v>
      </c>
      <c r="C2266" s="6" t="s">
        <v>2478</v>
      </c>
      <c r="D2266" s="6">
        <f t="shared" si="265"/>
        <v>0.5</v>
      </c>
      <c r="E2266" s="6" t="s">
        <v>19</v>
      </c>
      <c r="F2266" s="6" t="str">
        <f>MID(A2266,19,1)</f>
        <v>N</v>
      </c>
      <c r="G2266" s="6">
        <v>-22.864357790775639</v>
      </c>
      <c r="H2266" s="6">
        <v>-47.135166975991147</v>
      </c>
      <c r="I2266" s="9">
        <v>244.28</v>
      </c>
      <c r="K2266" s="6">
        <v>3.82</v>
      </c>
      <c r="L2266" s="6">
        <v>40</v>
      </c>
      <c r="N2266" s="1">
        <f t="shared" si="263"/>
        <v>0</v>
      </c>
      <c r="O2266" s="6" t="s">
        <v>20</v>
      </c>
      <c r="Q2266" s="6" t="s">
        <v>21</v>
      </c>
      <c r="R2266" s="6" t="s">
        <v>21</v>
      </c>
      <c r="S2266" s="6" t="s">
        <v>21</v>
      </c>
      <c r="T2266" s="6" t="s">
        <v>21</v>
      </c>
      <c r="U2266" s="6">
        <f t="shared" si="264"/>
        <v>97.712000000000003</v>
      </c>
      <c r="V2266" s="6">
        <f t="shared" si="261"/>
        <v>97.712000000000003</v>
      </c>
    </row>
    <row r="2267" spans="1:22" x14ac:dyDescent="0.35">
      <c r="A2267" s="6" t="s">
        <v>2493</v>
      </c>
      <c r="B2267" s="6" t="s">
        <v>2477</v>
      </c>
      <c r="C2267" s="6" t="s">
        <v>2478</v>
      </c>
      <c r="D2267" s="6">
        <f t="shared" si="265"/>
        <v>0.5</v>
      </c>
      <c r="E2267" s="6" t="s">
        <v>19</v>
      </c>
      <c r="F2267" s="6" t="str">
        <f>MID(A2267,19,1)</f>
        <v>N</v>
      </c>
      <c r="G2267" s="6">
        <v>-22.863708851466761</v>
      </c>
      <c r="H2267" s="6">
        <v>-47.135994180987012</v>
      </c>
      <c r="I2267" s="9">
        <v>1078.99</v>
      </c>
      <c r="K2267" s="6">
        <v>3.38</v>
      </c>
      <c r="L2267" s="6">
        <v>40</v>
      </c>
      <c r="N2267" s="1">
        <f t="shared" si="263"/>
        <v>0</v>
      </c>
      <c r="O2267" s="6" t="s">
        <v>20</v>
      </c>
      <c r="Q2267" s="6" t="s">
        <v>21</v>
      </c>
      <c r="R2267" s="6" t="s">
        <v>21</v>
      </c>
      <c r="S2267" s="6" t="s">
        <v>21</v>
      </c>
      <c r="T2267" s="6" t="s">
        <v>21</v>
      </c>
      <c r="U2267" s="6">
        <f t="shared" si="264"/>
        <v>431.596</v>
      </c>
      <c r="V2267" s="6">
        <f t="shared" si="261"/>
        <v>431.596</v>
      </c>
    </row>
    <row r="2268" spans="1:22" hidden="1" x14ac:dyDescent="0.35">
      <c r="A2268" s="6" t="s">
        <v>2494</v>
      </c>
      <c r="B2268" s="6" t="s">
        <v>2477</v>
      </c>
      <c r="C2268" s="6" t="s">
        <v>2478</v>
      </c>
      <c r="D2268" s="6">
        <f t="shared" si="265"/>
        <v>0.5</v>
      </c>
      <c r="E2268" s="6" t="s">
        <v>19</v>
      </c>
      <c r="F2268" s="6" t="str">
        <f>MID(A2268,19,1)</f>
        <v>S</v>
      </c>
      <c r="G2268" s="6">
        <v>-22.906191578516982</v>
      </c>
      <c r="H2268" s="6">
        <v>-47.201622450237473</v>
      </c>
      <c r="I2268" s="9">
        <v>3616.23</v>
      </c>
      <c r="K2268" s="6">
        <v>3.99</v>
      </c>
      <c r="L2268" s="6">
        <v>70</v>
      </c>
      <c r="N2268" s="1">
        <f t="shared" si="263"/>
        <v>0</v>
      </c>
      <c r="O2268" s="6" t="s">
        <v>20</v>
      </c>
      <c r="Q2268" s="6" t="s">
        <v>21</v>
      </c>
      <c r="R2268" s="6" t="s">
        <v>21</v>
      </c>
      <c r="S2268" s="6" t="s">
        <v>21</v>
      </c>
      <c r="T2268" s="6" t="s">
        <v>21</v>
      </c>
      <c r="U2268" s="6">
        <f t="shared" si="264"/>
        <v>2531.3609999999999</v>
      </c>
      <c r="V2268" s="6">
        <f t="shared" si="261"/>
        <v>2531.3609999999999</v>
      </c>
    </row>
    <row r="2269" spans="1:22" hidden="1" x14ac:dyDescent="0.35">
      <c r="A2269" s="6" t="s">
        <v>2495</v>
      </c>
      <c r="B2269" s="6" t="s">
        <v>2477</v>
      </c>
      <c r="C2269" s="6" t="s">
        <v>2478</v>
      </c>
      <c r="D2269" s="6">
        <f t="shared" si="265"/>
        <v>0.5</v>
      </c>
      <c r="E2269" s="6" t="s">
        <v>23</v>
      </c>
      <c r="F2269" s="6" t="str">
        <f>MID(A2269,19,1)</f>
        <v>C</v>
      </c>
      <c r="G2269" s="6">
        <v>-22.861670955158559</v>
      </c>
      <c r="H2269" s="6">
        <v>-47.140394640978649</v>
      </c>
      <c r="I2269" s="9">
        <v>2270.7800000000002</v>
      </c>
      <c r="J2269" s="9">
        <f t="shared" ref="J2269:J2270" si="267">I2269/500</f>
        <v>4.5415600000000005</v>
      </c>
      <c r="K2269" s="6">
        <v>2.5</v>
      </c>
      <c r="L2269" s="6">
        <v>50</v>
      </c>
      <c r="N2269" s="1">
        <f t="shared" si="263"/>
        <v>0</v>
      </c>
      <c r="O2269" s="6" t="s">
        <v>20</v>
      </c>
      <c r="Q2269" s="6" t="s">
        <v>21</v>
      </c>
      <c r="R2269" s="6" t="s">
        <v>21</v>
      </c>
      <c r="S2269" s="6" t="s">
        <v>21</v>
      </c>
      <c r="T2269" s="6" t="s">
        <v>21</v>
      </c>
      <c r="U2269" s="6">
        <f t="shared" si="264"/>
        <v>1135.3900000000001</v>
      </c>
      <c r="V2269" s="6">
        <f t="shared" si="261"/>
        <v>1135.3900000000001</v>
      </c>
    </row>
    <row r="2270" spans="1:22" hidden="1" x14ac:dyDescent="0.35">
      <c r="A2270" s="6" t="s">
        <v>2496</v>
      </c>
      <c r="B2270" s="6" t="s">
        <v>2477</v>
      </c>
      <c r="C2270" s="6" t="s">
        <v>2478</v>
      </c>
      <c r="D2270" s="6">
        <f t="shared" si="265"/>
        <v>0.5</v>
      </c>
      <c r="E2270" s="6" t="s">
        <v>23</v>
      </c>
      <c r="F2270" s="6" t="str">
        <f>MID(A2270,19,1)</f>
        <v>C</v>
      </c>
      <c r="G2270" s="6">
        <v>-22.90873087783498</v>
      </c>
      <c r="H2270" s="6">
        <v>-47.196779811662083</v>
      </c>
      <c r="I2270" s="9">
        <v>3129.21</v>
      </c>
      <c r="J2270" s="9">
        <f t="shared" si="267"/>
        <v>6.2584200000000001</v>
      </c>
      <c r="K2270" s="6">
        <v>3.28</v>
      </c>
      <c r="L2270" s="6">
        <v>80</v>
      </c>
      <c r="N2270" s="1">
        <f t="shared" si="263"/>
        <v>0</v>
      </c>
      <c r="O2270" s="6" t="s">
        <v>20</v>
      </c>
      <c r="Q2270" s="6" t="s">
        <v>21</v>
      </c>
      <c r="R2270" s="6" t="s">
        <v>21</v>
      </c>
      <c r="S2270" s="6" t="s">
        <v>21</v>
      </c>
      <c r="T2270" s="6" t="s">
        <v>21</v>
      </c>
      <c r="U2270" s="6">
        <f t="shared" si="264"/>
        <v>2503.3680000000004</v>
      </c>
      <c r="V2270" s="6">
        <f t="shared" si="261"/>
        <v>2503.3680000000004</v>
      </c>
    </row>
    <row r="2271" spans="1:22" hidden="1" x14ac:dyDescent="0.35">
      <c r="A2271" s="6" t="s">
        <v>2497</v>
      </c>
      <c r="B2271" s="6" t="s">
        <v>2477</v>
      </c>
      <c r="C2271" s="6" t="s">
        <v>2478</v>
      </c>
      <c r="D2271" s="6">
        <f t="shared" si="265"/>
        <v>0.5</v>
      </c>
      <c r="E2271" s="6" t="s">
        <v>19</v>
      </c>
      <c r="F2271" s="6" t="str">
        <f>MID(A2271,19,1)</f>
        <v>S</v>
      </c>
      <c r="G2271" s="6">
        <v>-22.860893920617961</v>
      </c>
      <c r="H2271" s="6">
        <v>-47.142126044287323</v>
      </c>
      <c r="I2271" s="9">
        <v>62.23</v>
      </c>
      <c r="K2271" s="6">
        <v>3.12</v>
      </c>
      <c r="L2271" s="6">
        <v>30</v>
      </c>
      <c r="N2271" s="1">
        <f t="shared" si="263"/>
        <v>0</v>
      </c>
      <c r="O2271" s="6" t="s">
        <v>20</v>
      </c>
      <c r="Q2271" s="6" t="s">
        <v>21</v>
      </c>
      <c r="R2271" s="6" t="s">
        <v>21</v>
      </c>
      <c r="S2271" s="6" t="s">
        <v>21</v>
      </c>
      <c r="T2271" s="6" t="s">
        <v>21</v>
      </c>
      <c r="U2271" s="6">
        <f t="shared" si="264"/>
        <v>18.668999999999997</v>
      </c>
      <c r="V2271" s="6">
        <f t="shared" si="261"/>
        <v>18.668999999999997</v>
      </c>
    </row>
    <row r="2272" spans="1:22" x14ac:dyDescent="0.35">
      <c r="A2272" s="6" t="s">
        <v>2498</v>
      </c>
      <c r="B2272" s="6" t="s">
        <v>2477</v>
      </c>
      <c r="C2272" s="6" t="s">
        <v>2478</v>
      </c>
      <c r="D2272" s="6">
        <f t="shared" si="265"/>
        <v>0.5</v>
      </c>
      <c r="E2272" s="6" t="s">
        <v>19</v>
      </c>
      <c r="F2272" s="6" t="str">
        <f>MID(A2272,19,1)</f>
        <v>N</v>
      </c>
      <c r="G2272" s="6">
        <v>-22.862202136610801</v>
      </c>
      <c r="H2272" s="6">
        <v>-47.13903419311535</v>
      </c>
      <c r="I2272" s="9">
        <v>163.66</v>
      </c>
      <c r="K2272" s="6">
        <v>2.65</v>
      </c>
      <c r="L2272" s="6">
        <v>40</v>
      </c>
      <c r="N2272" s="1">
        <f t="shared" si="263"/>
        <v>0</v>
      </c>
      <c r="O2272" s="6" t="s">
        <v>20</v>
      </c>
      <c r="Q2272" s="6" t="s">
        <v>21</v>
      </c>
      <c r="R2272" s="6" t="s">
        <v>21</v>
      </c>
      <c r="S2272" s="6" t="s">
        <v>21</v>
      </c>
      <c r="T2272" s="6" t="s">
        <v>21</v>
      </c>
      <c r="U2272" s="6">
        <f t="shared" si="264"/>
        <v>65.463999999999999</v>
      </c>
      <c r="V2272" s="6">
        <f t="shared" si="261"/>
        <v>65.463999999999999</v>
      </c>
    </row>
    <row r="2273" spans="1:22" hidden="1" x14ac:dyDescent="0.35">
      <c r="A2273" s="6" t="s">
        <v>2499</v>
      </c>
      <c r="B2273" s="6" t="s">
        <v>2477</v>
      </c>
      <c r="C2273" s="6" t="s">
        <v>2478</v>
      </c>
      <c r="D2273" s="6">
        <f t="shared" si="265"/>
        <v>0.5</v>
      </c>
      <c r="E2273" s="6" t="s">
        <v>23</v>
      </c>
      <c r="F2273" s="6" t="str">
        <f>MID(A2273,19,1)</f>
        <v>C</v>
      </c>
      <c r="G2273" s="6">
        <v>-22.863674812631501</v>
      </c>
      <c r="H2273" s="6">
        <v>-47.136961308723087</v>
      </c>
      <c r="I2273" s="9">
        <v>4186.57</v>
      </c>
      <c r="J2273" s="9">
        <f>I2273/500</f>
        <v>8.3731399999999994</v>
      </c>
      <c r="K2273" s="6">
        <v>2.5099999999999998</v>
      </c>
      <c r="L2273" s="6">
        <v>80</v>
      </c>
      <c r="N2273" s="1">
        <f t="shared" si="263"/>
        <v>0</v>
      </c>
      <c r="O2273" s="6" t="s">
        <v>20</v>
      </c>
      <c r="Q2273" s="6" t="s">
        <v>21</v>
      </c>
      <c r="R2273" s="6" t="s">
        <v>21</v>
      </c>
      <c r="S2273" s="6" t="s">
        <v>21</v>
      </c>
      <c r="T2273" s="6" t="s">
        <v>21</v>
      </c>
      <c r="U2273" s="6">
        <f t="shared" si="264"/>
        <v>3349.2559999999999</v>
      </c>
      <c r="V2273" s="6">
        <f t="shared" si="261"/>
        <v>3349.2559999999999</v>
      </c>
    </row>
    <row r="2274" spans="1:22" x14ac:dyDescent="0.35">
      <c r="A2274" s="6" t="s">
        <v>2500</v>
      </c>
      <c r="B2274" s="6" t="s">
        <v>2477</v>
      </c>
      <c r="C2274" s="6" t="s">
        <v>2478</v>
      </c>
      <c r="D2274" s="6">
        <f t="shared" si="265"/>
        <v>0.5</v>
      </c>
      <c r="E2274" s="6" t="s">
        <v>19</v>
      </c>
      <c r="F2274" s="6" t="str">
        <f>MID(A2274,19,1)</f>
        <v>N</v>
      </c>
      <c r="G2274" s="6">
        <v>-22.905462245542729</v>
      </c>
      <c r="H2274" s="6">
        <v>-47.200763435284749</v>
      </c>
      <c r="I2274" s="9">
        <v>3379.97</v>
      </c>
      <c r="K2274" s="6">
        <v>5.17</v>
      </c>
      <c r="L2274" s="6">
        <v>70</v>
      </c>
      <c r="N2274" s="1">
        <f t="shared" si="263"/>
        <v>0</v>
      </c>
      <c r="O2274" s="6" t="s">
        <v>20</v>
      </c>
      <c r="Q2274" s="6" t="s">
        <v>21</v>
      </c>
      <c r="R2274" s="6" t="s">
        <v>21</v>
      </c>
      <c r="S2274" s="6" t="s">
        <v>21</v>
      </c>
      <c r="T2274" s="6" t="s">
        <v>21</v>
      </c>
      <c r="U2274" s="6">
        <f t="shared" si="264"/>
        <v>2365.9789999999998</v>
      </c>
      <c r="V2274" s="6">
        <f t="shared" si="261"/>
        <v>2365.9789999999998</v>
      </c>
    </row>
    <row r="2275" spans="1:22" hidden="1" x14ac:dyDescent="0.35">
      <c r="A2275" s="6" t="s">
        <v>2501</v>
      </c>
      <c r="B2275" s="6" t="s">
        <v>2477</v>
      </c>
      <c r="C2275" s="6" t="s">
        <v>2478</v>
      </c>
      <c r="D2275" s="6">
        <f t="shared" si="265"/>
        <v>0.5</v>
      </c>
      <c r="E2275" s="6" t="s">
        <v>19</v>
      </c>
      <c r="F2275" s="6" t="str">
        <f>MID(A2275,19,1)</f>
        <v>S</v>
      </c>
      <c r="G2275" s="6">
        <v>-22.861933544179621</v>
      </c>
      <c r="H2275" s="6">
        <v>-47.14067395802202</v>
      </c>
      <c r="I2275" s="9">
        <v>1144.23</v>
      </c>
      <c r="K2275" s="6">
        <v>2.37</v>
      </c>
      <c r="L2275" s="6">
        <v>30</v>
      </c>
      <c r="N2275" s="1">
        <f t="shared" si="263"/>
        <v>0</v>
      </c>
      <c r="O2275" s="6" t="s">
        <v>20</v>
      </c>
      <c r="Q2275" s="6" t="s">
        <v>21</v>
      </c>
      <c r="R2275" s="6" t="s">
        <v>21</v>
      </c>
      <c r="S2275" s="6" t="s">
        <v>21</v>
      </c>
      <c r="T2275" s="6" t="s">
        <v>21</v>
      </c>
      <c r="U2275" s="6">
        <f t="shared" si="264"/>
        <v>343.26900000000001</v>
      </c>
      <c r="V2275" s="6">
        <f t="shared" si="261"/>
        <v>343.26900000000001</v>
      </c>
    </row>
    <row r="2276" spans="1:22" hidden="1" x14ac:dyDescent="0.35">
      <c r="A2276" s="6" t="s">
        <v>2502</v>
      </c>
      <c r="B2276" s="6" t="s">
        <v>2477</v>
      </c>
      <c r="C2276" s="6" t="s">
        <v>2478</v>
      </c>
      <c r="D2276" s="6">
        <f t="shared" si="265"/>
        <v>0.5</v>
      </c>
      <c r="E2276" s="6" t="s">
        <v>19</v>
      </c>
      <c r="F2276" s="6" t="str">
        <f>MID(A2276,19,1)</f>
        <v>S</v>
      </c>
      <c r="G2276" s="6">
        <v>-22.863876348419151</v>
      </c>
      <c r="H2276" s="6">
        <v>-47.137258284320758</v>
      </c>
      <c r="I2276" s="9">
        <v>1448.92</v>
      </c>
      <c r="K2276" s="6">
        <v>1.76</v>
      </c>
      <c r="L2276" s="6">
        <v>40</v>
      </c>
      <c r="N2276" s="1">
        <f t="shared" si="263"/>
        <v>0</v>
      </c>
      <c r="O2276" s="6" t="s">
        <v>20</v>
      </c>
      <c r="Q2276" s="6" t="s">
        <v>21</v>
      </c>
      <c r="R2276" s="6" t="s">
        <v>21</v>
      </c>
      <c r="S2276" s="6" t="s">
        <v>21</v>
      </c>
      <c r="T2276" s="6" t="s">
        <v>21</v>
      </c>
      <c r="U2276" s="6">
        <f t="shared" si="264"/>
        <v>579.5680000000001</v>
      </c>
      <c r="V2276" s="6">
        <f t="shared" si="261"/>
        <v>579.5680000000001</v>
      </c>
    </row>
    <row r="2277" spans="1:22" x14ac:dyDescent="0.35">
      <c r="A2277" s="6" t="s">
        <v>2503</v>
      </c>
      <c r="B2277" s="6" t="s">
        <v>2477</v>
      </c>
      <c r="C2277" s="6" t="s">
        <v>2478</v>
      </c>
      <c r="D2277" s="6">
        <f t="shared" si="265"/>
        <v>0.5</v>
      </c>
      <c r="E2277" s="6" t="s">
        <v>19</v>
      </c>
      <c r="F2277" s="6" t="str">
        <f>MID(A2277,19,1)</f>
        <v>N</v>
      </c>
      <c r="G2277" s="6">
        <v>-22.862571691883449</v>
      </c>
      <c r="H2277" s="6">
        <v>-47.138047096405657</v>
      </c>
      <c r="I2277" s="9">
        <v>1295.57</v>
      </c>
      <c r="K2277" s="6">
        <v>2.29</v>
      </c>
      <c r="L2277" s="6">
        <v>40</v>
      </c>
      <c r="N2277" s="1">
        <f t="shared" si="263"/>
        <v>0</v>
      </c>
      <c r="O2277" s="6" t="s">
        <v>20</v>
      </c>
      <c r="Q2277" s="6" t="s">
        <v>21</v>
      </c>
      <c r="R2277" s="6" t="s">
        <v>21</v>
      </c>
      <c r="S2277" s="6" t="s">
        <v>21</v>
      </c>
      <c r="T2277" s="6" t="s">
        <v>21</v>
      </c>
      <c r="U2277" s="6">
        <f t="shared" si="264"/>
        <v>518.22799999999995</v>
      </c>
      <c r="V2277" s="6">
        <f t="shared" si="261"/>
        <v>518.22799999999995</v>
      </c>
    </row>
    <row r="2278" spans="1:22" hidden="1" x14ac:dyDescent="0.35">
      <c r="A2278" s="6" t="s">
        <v>2504</v>
      </c>
      <c r="B2278" s="6" t="s">
        <v>2477</v>
      </c>
      <c r="C2278" s="6" t="s">
        <v>2478</v>
      </c>
      <c r="D2278" s="6">
        <f t="shared" si="265"/>
        <v>0.5</v>
      </c>
      <c r="E2278" s="6" t="s">
        <v>19</v>
      </c>
      <c r="F2278" s="6" t="str">
        <f>MID(A2278,19,1)</f>
        <v>S</v>
      </c>
      <c r="G2278" s="6">
        <v>-22.860307447254819</v>
      </c>
      <c r="H2278" s="6">
        <v>-47.143185714222028</v>
      </c>
      <c r="I2278" s="9">
        <v>257.64</v>
      </c>
      <c r="K2278" s="6">
        <v>2.86</v>
      </c>
      <c r="L2278" s="6">
        <v>30</v>
      </c>
      <c r="N2278" s="1">
        <f t="shared" si="263"/>
        <v>0</v>
      </c>
      <c r="O2278" s="6" t="s">
        <v>20</v>
      </c>
      <c r="Q2278" s="6" t="s">
        <v>21</v>
      </c>
      <c r="R2278" s="6" t="s">
        <v>21</v>
      </c>
      <c r="S2278" s="6" t="s">
        <v>21</v>
      </c>
      <c r="T2278" s="6" t="s">
        <v>21</v>
      </c>
      <c r="U2278" s="6">
        <f t="shared" si="264"/>
        <v>77.291999999999987</v>
      </c>
      <c r="V2278" s="6">
        <f t="shared" si="261"/>
        <v>77.291999999999987</v>
      </c>
    </row>
    <row r="2279" spans="1:22" hidden="1" x14ac:dyDescent="0.35">
      <c r="A2279" s="6" t="s">
        <v>2505</v>
      </c>
      <c r="B2279" s="6" t="s">
        <v>2477</v>
      </c>
      <c r="C2279" s="6" t="s">
        <v>2478</v>
      </c>
      <c r="D2279" s="6">
        <f t="shared" si="265"/>
        <v>0.5</v>
      </c>
      <c r="E2279" s="6" t="s">
        <v>19</v>
      </c>
      <c r="F2279" s="6" t="str">
        <f>MID(A2279,19,1)</f>
        <v>S</v>
      </c>
      <c r="G2279" s="6">
        <v>-22.862140756620011</v>
      </c>
      <c r="H2279" s="6">
        <v>-47.140105788802053</v>
      </c>
      <c r="I2279" s="9">
        <v>743.57</v>
      </c>
      <c r="K2279" s="6">
        <v>2.86</v>
      </c>
      <c r="L2279" s="6">
        <v>30</v>
      </c>
      <c r="N2279" s="1">
        <f t="shared" si="263"/>
        <v>0</v>
      </c>
      <c r="O2279" s="6" t="s">
        <v>20</v>
      </c>
      <c r="Q2279" s="6" t="s">
        <v>21</v>
      </c>
      <c r="R2279" s="6" t="s">
        <v>21</v>
      </c>
      <c r="S2279" s="6" t="s">
        <v>21</v>
      </c>
      <c r="T2279" s="6" t="s">
        <v>21</v>
      </c>
      <c r="U2279" s="6">
        <f t="shared" si="264"/>
        <v>223.071</v>
      </c>
      <c r="V2279" s="6">
        <f t="shared" si="261"/>
        <v>223.071</v>
      </c>
    </row>
    <row r="2280" spans="1:22" hidden="1" x14ac:dyDescent="0.35">
      <c r="A2280" s="6" t="s">
        <v>2506</v>
      </c>
      <c r="B2280" s="6" t="s">
        <v>2507</v>
      </c>
      <c r="C2280" s="6" t="s">
        <v>2508</v>
      </c>
      <c r="D2280" s="6">
        <f t="shared" si="265"/>
        <v>0.5</v>
      </c>
      <c r="E2280" s="6" t="s">
        <v>19</v>
      </c>
      <c r="F2280" s="6" t="str">
        <f>MID(A2280,19,1)</f>
        <v>S</v>
      </c>
      <c r="G2280" s="6">
        <v>-22.857913396269058</v>
      </c>
      <c r="H2280" s="6">
        <v>-47.14723111195994</v>
      </c>
      <c r="I2280" s="9">
        <v>37.57</v>
      </c>
      <c r="K2280" s="6">
        <v>1.2</v>
      </c>
      <c r="L2280" s="6">
        <v>30</v>
      </c>
      <c r="N2280" s="1">
        <f t="shared" si="263"/>
        <v>0</v>
      </c>
      <c r="O2280" s="6" t="s">
        <v>20</v>
      </c>
      <c r="Q2280" s="6" t="s">
        <v>21</v>
      </c>
      <c r="R2280" s="6" t="s">
        <v>21</v>
      </c>
      <c r="S2280" s="6" t="s">
        <v>21</v>
      </c>
      <c r="T2280" s="6" t="s">
        <v>21</v>
      </c>
      <c r="U2280" s="6">
        <f t="shared" si="264"/>
        <v>11.270999999999999</v>
      </c>
      <c r="V2280" s="6">
        <f t="shared" si="261"/>
        <v>11.270999999999999</v>
      </c>
    </row>
    <row r="2281" spans="1:22" hidden="1" x14ac:dyDescent="0.35">
      <c r="A2281" s="6" t="s">
        <v>2509</v>
      </c>
      <c r="B2281" s="6" t="s">
        <v>2507</v>
      </c>
      <c r="C2281" s="6" t="s">
        <v>2508</v>
      </c>
      <c r="D2281" s="6">
        <f t="shared" si="265"/>
        <v>0.5</v>
      </c>
      <c r="E2281" s="6" t="s">
        <v>19</v>
      </c>
      <c r="F2281" s="6" t="str">
        <f>MID(A2281,19,1)</f>
        <v>S</v>
      </c>
      <c r="G2281" s="6">
        <v>-22.85898017591051</v>
      </c>
      <c r="H2281" s="6">
        <v>-47.145747682493173</v>
      </c>
      <c r="I2281" s="9">
        <v>3855.33</v>
      </c>
      <c r="K2281" s="6">
        <v>3.19</v>
      </c>
      <c r="L2281" s="6">
        <v>70</v>
      </c>
      <c r="N2281" s="1">
        <f t="shared" si="263"/>
        <v>0</v>
      </c>
      <c r="O2281" s="6" t="s">
        <v>126</v>
      </c>
      <c r="Q2281" s="6" t="s">
        <v>21</v>
      </c>
      <c r="R2281" s="6" t="s">
        <v>21</v>
      </c>
      <c r="S2281" s="6" t="s">
        <v>21</v>
      </c>
      <c r="T2281" s="6" t="s">
        <v>21</v>
      </c>
      <c r="U2281" s="6">
        <f t="shared" si="264"/>
        <v>2698.7309999999998</v>
      </c>
      <c r="V2281" s="6">
        <f t="shared" si="261"/>
        <v>2698.7309999999998</v>
      </c>
    </row>
    <row r="2282" spans="1:22" hidden="1" x14ac:dyDescent="0.35">
      <c r="A2282" s="6" t="s">
        <v>2510</v>
      </c>
      <c r="B2282" s="6" t="s">
        <v>2507</v>
      </c>
      <c r="C2282" s="6" t="s">
        <v>2508</v>
      </c>
      <c r="D2282" s="6">
        <f t="shared" si="265"/>
        <v>0.5</v>
      </c>
      <c r="E2282" s="6" t="s">
        <v>23</v>
      </c>
      <c r="F2282" s="6" t="str">
        <f>MID(A2282,19,1)</f>
        <v>C</v>
      </c>
      <c r="G2282" s="6">
        <v>-22.856425288565038</v>
      </c>
      <c r="H2282" s="6">
        <v>-47.149423866404561</v>
      </c>
      <c r="I2282" s="9">
        <v>2522.62</v>
      </c>
      <c r="J2282" s="9">
        <f>I2282/500</f>
        <v>5.0452399999999997</v>
      </c>
      <c r="K2282" s="6">
        <v>2.19</v>
      </c>
      <c r="L2282" s="6">
        <v>50</v>
      </c>
      <c r="N2282" s="1">
        <f t="shared" si="263"/>
        <v>0</v>
      </c>
      <c r="O2282" s="6" t="s">
        <v>20</v>
      </c>
      <c r="Q2282" s="6" t="s">
        <v>21</v>
      </c>
      <c r="R2282" s="6" t="s">
        <v>21</v>
      </c>
      <c r="S2282" s="6" t="s">
        <v>21</v>
      </c>
      <c r="T2282" s="6" t="s">
        <v>21</v>
      </c>
      <c r="U2282" s="6">
        <f t="shared" si="264"/>
        <v>1261.31</v>
      </c>
      <c r="V2282" s="6">
        <f t="shared" si="261"/>
        <v>1261.31</v>
      </c>
    </row>
    <row r="2283" spans="1:22" hidden="1" x14ac:dyDescent="0.35">
      <c r="A2283" s="6" t="s">
        <v>2511</v>
      </c>
      <c r="B2283" s="6" t="s">
        <v>2507</v>
      </c>
      <c r="C2283" s="6" t="s">
        <v>2508</v>
      </c>
      <c r="D2283" s="6">
        <f t="shared" si="265"/>
        <v>0.5</v>
      </c>
      <c r="E2283" s="6" t="s">
        <v>19</v>
      </c>
      <c r="F2283" s="6" t="str">
        <f>MID(A2283,19,1)</f>
        <v>S</v>
      </c>
      <c r="G2283" s="6">
        <v>-22.85937037870136</v>
      </c>
      <c r="H2283" s="6">
        <v>-47.147826317600142</v>
      </c>
      <c r="I2283" s="9">
        <v>4767.43</v>
      </c>
      <c r="K2283" s="6">
        <v>2.37</v>
      </c>
      <c r="L2283" s="6">
        <v>50</v>
      </c>
      <c r="N2283" s="1">
        <f t="shared" si="263"/>
        <v>0</v>
      </c>
      <c r="O2283" s="6" t="s">
        <v>126</v>
      </c>
      <c r="Q2283" s="6" t="s">
        <v>21</v>
      </c>
      <c r="R2283" s="6" t="s">
        <v>21</v>
      </c>
      <c r="S2283" s="6" t="s">
        <v>21</v>
      </c>
      <c r="T2283" s="6" t="s">
        <v>21</v>
      </c>
      <c r="U2283" s="6">
        <f t="shared" si="264"/>
        <v>2383.7150000000001</v>
      </c>
      <c r="V2283" s="6">
        <f t="shared" si="261"/>
        <v>2383.7150000000001</v>
      </c>
    </row>
    <row r="2284" spans="1:22" hidden="1" x14ac:dyDescent="0.35">
      <c r="A2284" s="6" t="s">
        <v>2512</v>
      </c>
      <c r="B2284" s="6" t="s">
        <v>2507</v>
      </c>
      <c r="C2284" s="6" t="s">
        <v>2508</v>
      </c>
      <c r="D2284" s="6">
        <f t="shared" si="265"/>
        <v>0.5</v>
      </c>
      <c r="E2284" s="6" t="s">
        <v>19</v>
      </c>
      <c r="F2284" s="6" t="str">
        <f>MID(A2284,19,1)</f>
        <v>S</v>
      </c>
      <c r="G2284" s="6">
        <v>-22.859551944969901</v>
      </c>
      <c r="H2284" s="6">
        <v>-47.14608622413904</v>
      </c>
      <c r="I2284" s="9">
        <v>4989.53</v>
      </c>
      <c r="K2284" s="6">
        <v>3.73</v>
      </c>
      <c r="L2284" s="6">
        <v>30</v>
      </c>
      <c r="N2284" s="1">
        <f t="shared" si="263"/>
        <v>0</v>
      </c>
      <c r="O2284" s="6" t="s">
        <v>20</v>
      </c>
      <c r="Q2284" s="6" t="s">
        <v>21</v>
      </c>
      <c r="R2284" s="6" t="s">
        <v>21</v>
      </c>
      <c r="S2284" s="6" t="s">
        <v>21</v>
      </c>
      <c r="T2284" s="6" t="s">
        <v>21</v>
      </c>
      <c r="U2284" s="6">
        <f t="shared" si="264"/>
        <v>1496.8589999999999</v>
      </c>
      <c r="V2284" s="6">
        <f t="shared" si="261"/>
        <v>1496.8589999999999</v>
      </c>
    </row>
    <row r="2285" spans="1:22" hidden="1" x14ac:dyDescent="0.35">
      <c r="A2285" s="6" t="s">
        <v>2513</v>
      </c>
      <c r="B2285" s="6" t="s">
        <v>2507</v>
      </c>
      <c r="C2285" s="6" t="s">
        <v>2508</v>
      </c>
      <c r="D2285" s="6">
        <f t="shared" si="265"/>
        <v>0.5</v>
      </c>
      <c r="E2285" s="6" t="s">
        <v>19</v>
      </c>
      <c r="F2285" s="6" t="str">
        <f>MID(A2285,19,1)</f>
        <v>S</v>
      </c>
      <c r="G2285" s="6">
        <v>-22.857755264935911</v>
      </c>
      <c r="H2285" s="6">
        <v>-47.147775090470937</v>
      </c>
      <c r="I2285" s="9">
        <v>4.63</v>
      </c>
      <c r="K2285" s="6">
        <v>0.73</v>
      </c>
      <c r="L2285" s="6">
        <v>30</v>
      </c>
      <c r="N2285" s="1">
        <f t="shared" si="263"/>
        <v>0</v>
      </c>
      <c r="O2285" s="6" t="s">
        <v>20</v>
      </c>
      <c r="Q2285" s="6" t="s">
        <v>21</v>
      </c>
      <c r="R2285" s="6" t="s">
        <v>21</v>
      </c>
      <c r="S2285" s="6" t="s">
        <v>21</v>
      </c>
      <c r="T2285" s="6" t="s">
        <v>21</v>
      </c>
      <c r="U2285" s="6">
        <f t="shared" si="264"/>
        <v>1.389</v>
      </c>
      <c r="V2285" s="6">
        <f t="shared" si="261"/>
        <v>1.389</v>
      </c>
    </row>
    <row r="2286" spans="1:22" x14ac:dyDescent="0.35">
      <c r="A2286" s="6" t="s">
        <v>2514</v>
      </c>
      <c r="B2286" s="6" t="s">
        <v>2507</v>
      </c>
      <c r="C2286" s="6" t="s">
        <v>2508</v>
      </c>
      <c r="D2286" s="6">
        <f t="shared" si="265"/>
        <v>0.5</v>
      </c>
      <c r="E2286" s="6" t="s">
        <v>19</v>
      </c>
      <c r="F2286" s="6" t="str">
        <f>MID(A2286,19,1)</f>
        <v>N</v>
      </c>
      <c r="G2286" s="6">
        <v>-22.90265997208321</v>
      </c>
      <c r="H2286" s="6">
        <v>-47.203279876624727</v>
      </c>
      <c r="I2286" s="9">
        <v>868.64</v>
      </c>
      <c r="K2286" s="6">
        <v>5.62</v>
      </c>
      <c r="L2286" s="6">
        <v>50</v>
      </c>
      <c r="N2286" s="1">
        <f t="shared" si="263"/>
        <v>0</v>
      </c>
      <c r="O2286" s="6" t="s">
        <v>20</v>
      </c>
      <c r="Q2286" s="6" t="s">
        <v>21</v>
      </c>
      <c r="R2286" s="6" t="s">
        <v>21</v>
      </c>
      <c r="S2286" s="6" t="s">
        <v>21</v>
      </c>
      <c r="T2286" s="6" t="s">
        <v>21</v>
      </c>
      <c r="U2286" s="6">
        <f t="shared" si="264"/>
        <v>434.32</v>
      </c>
      <c r="V2286" s="6">
        <f t="shared" si="261"/>
        <v>434.32</v>
      </c>
    </row>
    <row r="2287" spans="1:22" x14ac:dyDescent="0.35">
      <c r="A2287" s="6" t="s">
        <v>2515</v>
      </c>
      <c r="B2287" s="6" t="s">
        <v>2507</v>
      </c>
      <c r="C2287" s="6" t="s">
        <v>2508</v>
      </c>
      <c r="D2287" s="6">
        <f t="shared" si="265"/>
        <v>0.5</v>
      </c>
      <c r="E2287" s="6" t="s">
        <v>19</v>
      </c>
      <c r="F2287" s="6" t="str">
        <f>MID(A2287,19,1)</f>
        <v>N</v>
      </c>
      <c r="G2287" s="6">
        <v>-22.901628957324561</v>
      </c>
      <c r="H2287" s="6">
        <v>-47.206718068994547</v>
      </c>
      <c r="I2287" s="9">
        <v>2271.39</v>
      </c>
      <c r="K2287" s="6">
        <v>5.55</v>
      </c>
      <c r="L2287" s="6">
        <v>50</v>
      </c>
      <c r="N2287" s="1">
        <f t="shared" si="263"/>
        <v>0</v>
      </c>
      <c r="O2287" s="6" t="s">
        <v>20</v>
      </c>
      <c r="Q2287" s="6" t="s">
        <v>21</v>
      </c>
      <c r="R2287" s="6" t="s">
        <v>21</v>
      </c>
      <c r="S2287" s="6" t="s">
        <v>21</v>
      </c>
      <c r="T2287" s="6" t="s">
        <v>21</v>
      </c>
      <c r="U2287" s="6">
        <f t="shared" si="264"/>
        <v>1135.6949999999999</v>
      </c>
      <c r="V2287" s="6">
        <f t="shared" si="261"/>
        <v>1135.6949999999999</v>
      </c>
    </row>
    <row r="2288" spans="1:22" x14ac:dyDescent="0.35">
      <c r="A2288" s="6" t="s">
        <v>2516</v>
      </c>
      <c r="B2288" s="6" t="s">
        <v>2507</v>
      </c>
      <c r="C2288" s="6" t="s">
        <v>2508</v>
      </c>
      <c r="D2288" s="6">
        <f t="shared" si="265"/>
        <v>0.5</v>
      </c>
      <c r="E2288" s="6" t="s">
        <v>19</v>
      </c>
      <c r="F2288" s="6" t="str">
        <f>MID(A2288,19,1)</f>
        <v>N</v>
      </c>
      <c r="G2288" s="6">
        <v>-22.858192228140521</v>
      </c>
      <c r="H2288" s="6">
        <v>-47.143433106716031</v>
      </c>
      <c r="I2288" s="9">
        <v>1037.53</v>
      </c>
      <c r="K2288" s="6">
        <v>3.56</v>
      </c>
      <c r="L2288" s="6">
        <v>70</v>
      </c>
      <c r="N2288" s="1">
        <f t="shared" si="263"/>
        <v>0</v>
      </c>
      <c r="O2288" s="6" t="s">
        <v>126</v>
      </c>
      <c r="Q2288" s="6" t="s">
        <v>21</v>
      </c>
      <c r="R2288" s="6" t="s">
        <v>21</v>
      </c>
      <c r="S2288" s="6" t="s">
        <v>21</v>
      </c>
      <c r="T2288" s="6" t="s">
        <v>21</v>
      </c>
      <c r="U2288" s="6">
        <f t="shared" si="264"/>
        <v>726.27099999999996</v>
      </c>
      <c r="V2288" s="6">
        <f t="shared" si="261"/>
        <v>726.27099999999996</v>
      </c>
    </row>
    <row r="2289" spans="1:22" hidden="1" x14ac:dyDescent="0.35">
      <c r="A2289" s="6" t="s">
        <v>2517</v>
      </c>
      <c r="B2289" s="6" t="s">
        <v>2507</v>
      </c>
      <c r="C2289" s="6" t="s">
        <v>2508</v>
      </c>
      <c r="D2289" s="6">
        <f t="shared" si="265"/>
        <v>0.5</v>
      </c>
      <c r="E2289" s="6" t="s">
        <v>19</v>
      </c>
      <c r="F2289" s="6" t="str">
        <f>MID(A2289,19,1)</f>
        <v>S</v>
      </c>
      <c r="G2289" s="6">
        <v>-22.85988396110805</v>
      </c>
      <c r="H2289" s="6">
        <v>-47.146251040850032</v>
      </c>
      <c r="I2289" s="9">
        <v>2535.65</v>
      </c>
      <c r="K2289" s="6">
        <v>3.57</v>
      </c>
      <c r="L2289" s="6">
        <v>30</v>
      </c>
      <c r="N2289" s="1">
        <f t="shared" si="263"/>
        <v>0</v>
      </c>
      <c r="O2289" s="6" t="s">
        <v>20</v>
      </c>
      <c r="Q2289" s="6" t="s">
        <v>21</v>
      </c>
      <c r="R2289" s="6" t="s">
        <v>21</v>
      </c>
      <c r="S2289" s="6" t="s">
        <v>21</v>
      </c>
      <c r="T2289" s="6" t="s">
        <v>21</v>
      </c>
      <c r="U2289" s="6">
        <f t="shared" si="264"/>
        <v>760.69500000000005</v>
      </c>
      <c r="V2289" s="6">
        <f t="shared" si="261"/>
        <v>760.69500000000005</v>
      </c>
    </row>
    <row r="2290" spans="1:22" hidden="1" x14ac:dyDescent="0.35">
      <c r="A2290" s="6" t="s">
        <v>2518</v>
      </c>
      <c r="B2290" s="6" t="s">
        <v>2507</v>
      </c>
      <c r="C2290" s="6" t="s">
        <v>2508</v>
      </c>
      <c r="D2290" s="6">
        <f t="shared" si="265"/>
        <v>0.5</v>
      </c>
      <c r="E2290" s="6" t="s">
        <v>19</v>
      </c>
      <c r="F2290" s="6" t="str">
        <f>MID(A2290,19,1)</f>
        <v>S</v>
      </c>
      <c r="G2290" s="6">
        <v>-22.855727665050068</v>
      </c>
      <c r="H2290" s="6">
        <v>-47.151188636943203</v>
      </c>
      <c r="I2290" s="9">
        <v>207.29</v>
      </c>
      <c r="K2290" s="6">
        <v>3.37</v>
      </c>
      <c r="L2290" s="6">
        <v>30</v>
      </c>
      <c r="N2290" s="1">
        <f t="shared" si="263"/>
        <v>0</v>
      </c>
      <c r="O2290" s="6" t="s">
        <v>20</v>
      </c>
      <c r="Q2290" s="6" t="s">
        <v>21</v>
      </c>
      <c r="R2290" s="6" t="s">
        <v>21</v>
      </c>
      <c r="S2290" s="6" t="s">
        <v>21</v>
      </c>
      <c r="T2290" s="6" t="s">
        <v>21</v>
      </c>
      <c r="U2290" s="6">
        <f t="shared" si="264"/>
        <v>62.186999999999998</v>
      </c>
      <c r="V2290" s="6">
        <f t="shared" si="261"/>
        <v>62.186999999999998</v>
      </c>
    </row>
    <row r="2291" spans="1:22" x14ac:dyDescent="0.35">
      <c r="A2291" s="6" t="s">
        <v>2519</v>
      </c>
      <c r="B2291" s="6" t="s">
        <v>2507</v>
      </c>
      <c r="C2291" s="6" t="s">
        <v>2508</v>
      </c>
      <c r="D2291" s="6">
        <f t="shared" si="265"/>
        <v>0.5</v>
      </c>
      <c r="E2291" s="6" t="s">
        <v>19</v>
      </c>
      <c r="F2291" s="6" t="str">
        <f>MID(A2291,19,1)</f>
        <v>N</v>
      </c>
      <c r="G2291" s="6">
        <v>-22.85841346750027</v>
      </c>
      <c r="H2291" s="6">
        <v>-47.142816350027012</v>
      </c>
      <c r="I2291" s="9">
        <v>1061.23</v>
      </c>
      <c r="K2291" s="6">
        <v>4.0999999999999996</v>
      </c>
      <c r="L2291" s="6">
        <v>30</v>
      </c>
      <c r="N2291" s="1">
        <f t="shared" si="263"/>
        <v>0</v>
      </c>
      <c r="O2291" s="6" t="s">
        <v>20</v>
      </c>
      <c r="Q2291" s="6" t="s">
        <v>21</v>
      </c>
      <c r="R2291" s="6" t="s">
        <v>21</v>
      </c>
      <c r="S2291" s="6" t="s">
        <v>21</v>
      </c>
      <c r="T2291" s="6" t="s">
        <v>21</v>
      </c>
      <c r="U2291" s="6">
        <f t="shared" si="264"/>
        <v>318.36899999999997</v>
      </c>
      <c r="V2291" s="6">
        <f t="shared" si="261"/>
        <v>318.36899999999997</v>
      </c>
    </row>
    <row r="2292" spans="1:22" x14ac:dyDescent="0.35">
      <c r="A2292" s="6" t="s">
        <v>2520</v>
      </c>
      <c r="B2292" s="6" t="s">
        <v>2507</v>
      </c>
      <c r="C2292" s="6" t="s">
        <v>2508</v>
      </c>
      <c r="D2292" s="6">
        <f t="shared" si="265"/>
        <v>0.5</v>
      </c>
      <c r="E2292" s="6" t="s">
        <v>19</v>
      </c>
      <c r="F2292" s="6" t="str">
        <f>MID(A2292,19,1)</f>
        <v>N</v>
      </c>
      <c r="G2292" s="6">
        <v>-22.903444334899199</v>
      </c>
      <c r="H2292" s="6">
        <v>-47.20486159536658</v>
      </c>
      <c r="I2292" s="9">
        <v>394.92</v>
      </c>
      <c r="K2292" s="6">
        <v>2.78</v>
      </c>
      <c r="L2292" s="6">
        <v>50</v>
      </c>
      <c r="N2292" s="1">
        <f t="shared" si="263"/>
        <v>0</v>
      </c>
      <c r="O2292" s="6" t="s">
        <v>20</v>
      </c>
      <c r="Q2292" s="6" t="s">
        <v>21</v>
      </c>
      <c r="R2292" s="6" t="s">
        <v>21</v>
      </c>
      <c r="S2292" s="6" t="s">
        <v>21</v>
      </c>
      <c r="T2292" s="6" t="s">
        <v>21</v>
      </c>
      <c r="U2292" s="6">
        <f t="shared" si="264"/>
        <v>197.46</v>
      </c>
      <c r="V2292" s="6">
        <f t="shared" si="261"/>
        <v>197.46</v>
      </c>
    </row>
    <row r="2293" spans="1:22" hidden="1" x14ac:dyDescent="0.35">
      <c r="A2293" s="6" t="s">
        <v>2521</v>
      </c>
      <c r="B2293" s="6" t="s">
        <v>2507</v>
      </c>
      <c r="C2293" s="6" t="s">
        <v>2508</v>
      </c>
      <c r="D2293" s="6">
        <f t="shared" si="265"/>
        <v>0.5</v>
      </c>
      <c r="E2293" s="6" t="s">
        <v>19</v>
      </c>
      <c r="F2293" s="6" t="str">
        <f>MID(A2293,19,1)</f>
        <v>S</v>
      </c>
      <c r="G2293" s="6">
        <v>-22.85558384744958</v>
      </c>
      <c r="H2293" s="6">
        <v>-47.151404879339907</v>
      </c>
      <c r="I2293" s="9">
        <v>70.45</v>
      </c>
      <c r="K2293" s="6">
        <v>4.1900000000000004</v>
      </c>
      <c r="L2293" s="6">
        <v>30</v>
      </c>
      <c r="N2293" s="1">
        <f t="shared" si="263"/>
        <v>0</v>
      </c>
      <c r="O2293" s="6" t="s">
        <v>20</v>
      </c>
      <c r="Q2293" s="6" t="s">
        <v>21</v>
      </c>
      <c r="R2293" s="6" t="s">
        <v>21</v>
      </c>
      <c r="S2293" s="6" t="s">
        <v>21</v>
      </c>
      <c r="T2293" s="6" t="s">
        <v>21</v>
      </c>
      <c r="U2293" s="6">
        <f t="shared" si="264"/>
        <v>21.135000000000002</v>
      </c>
      <c r="V2293" s="6">
        <f t="shared" si="261"/>
        <v>21.135000000000002</v>
      </c>
    </row>
    <row r="2294" spans="1:22" hidden="1" x14ac:dyDescent="0.35">
      <c r="A2294" s="6" t="s">
        <v>2522</v>
      </c>
      <c r="B2294" s="6" t="s">
        <v>2507</v>
      </c>
      <c r="C2294" s="6" t="s">
        <v>2508</v>
      </c>
      <c r="D2294" s="6">
        <f t="shared" si="265"/>
        <v>0.5</v>
      </c>
      <c r="E2294" s="6" t="s">
        <v>19</v>
      </c>
      <c r="F2294" s="6" t="str">
        <f>MID(A2294,19,1)</f>
        <v>S</v>
      </c>
      <c r="G2294" s="6">
        <v>-22.904967266308041</v>
      </c>
      <c r="H2294" s="6">
        <v>-47.204665700717449</v>
      </c>
      <c r="I2294" s="9">
        <v>14219.13</v>
      </c>
      <c r="K2294" s="6">
        <v>3.35</v>
      </c>
      <c r="L2294" s="6">
        <v>50</v>
      </c>
      <c r="N2294" s="1">
        <f t="shared" si="263"/>
        <v>0</v>
      </c>
      <c r="O2294" s="6" t="s">
        <v>20</v>
      </c>
      <c r="Q2294" s="6" t="s">
        <v>21</v>
      </c>
      <c r="R2294" s="6" t="s">
        <v>21</v>
      </c>
      <c r="S2294" s="6" t="s">
        <v>21</v>
      </c>
      <c r="T2294" s="6" t="s">
        <v>21</v>
      </c>
      <c r="U2294" s="6">
        <f t="shared" si="264"/>
        <v>7109.5649999999996</v>
      </c>
      <c r="V2294" s="6">
        <f t="shared" si="261"/>
        <v>7109.5649999999996</v>
      </c>
    </row>
    <row r="2295" spans="1:22" hidden="1" x14ac:dyDescent="0.35">
      <c r="A2295" s="6" t="s">
        <v>2523</v>
      </c>
      <c r="B2295" s="6" t="s">
        <v>2507</v>
      </c>
      <c r="C2295" s="6" t="s">
        <v>2508</v>
      </c>
      <c r="D2295" s="6">
        <f t="shared" si="265"/>
        <v>0.5</v>
      </c>
      <c r="E2295" s="6" t="s">
        <v>23</v>
      </c>
      <c r="F2295" s="6" t="str">
        <f>MID(A2295,19,1)</f>
        <v>C</v>
      </c>
      <c r="G2295" s="6">
        <v>-22.904319550226219</v>
      </c>
      <c r="H2295" s="6">
        <v>-47.20357733621632</v>
      </c>
      <c r="I2295" s="9">
        <v>1521.76</v>
      </c>
      <c r="J2295" s="9">
        <f t="shared" ref="J2295:J2296" si="268">I2295/500</f>
        <v>3.04352</v>
      </c>
      <c r="K2295" s="6">
        <v>3.59</v>
      </c>
      <c r="L2295" s="6">
        <v>50</v>
      </c>
      <c r="N2295" s="1">
        <f t="shared" si="263"/>
        <v>0</v>
      </c>
      <c r="O2295" s="6" t="s">
        <v>20</v>
      </c>
      <c r="Q2295" s="6" t="s">
        <v>21</v>
      </c>
      <c r="R2295" s="6" t="s">
        <v>21</v>
      </c>
      <c r="S2295" s="6" t="s">
        <v>21</v>
      </c>
      <c r="T2295" s="6" t="s">
        <v>21</v>
      </c>
      <c r="U2295" s="6">
        <f t="shared" si="264"/>
        <v>760.88</v>
      </c>
      <c r="V2295" s="6">
        <f t="shared" si="261"/>
        <v>760.88</v>
      </c>
    </row>
    <row r="2296" spans="1:22" hidden="1" x14ac:dyDescent="0.35">
      <c r="A2296" s="6" t="s">
        <v>2524</v>
      </c>
      <c r="B2296" s="6" t="s">
        <v>2507</v>
      </c>
      <c r="C2296" s="6" t="s">
        <v>2508</v>
      </c>
      <c r="D2296" s="6">
        <f t="shared" si="265"/>
        <v>0.5</v>
      </c>
      <c r="E2296" s="6" t="s">
        <v>23</v>
      </c>
      <c r="F2296" s="6" t="str">
        <f>MID(A2296,19,1)</f>
        <v>C</v>
      </c>
      <c r="G2296" s="6">
        <v>-22.90462671810343</v>
      </c>
      <c r="H2296" s="6">
        <v>-47.204597440462692</v>
      </c>
      <c r="I2296" s="9">
        <v>19626.87</v>
      </c>
      <c r="J2296" s="9">
        <f t="shared" si="268"/>
        <v>39.253740000000001</v>
      </c>
      <c r="K2296" s="6">
        <v>2.5099999999999998</v>
      </c>
      <c r="L2296" s="6">
        <v>50</v>
      </c>
      <c r="N2296" s="1">
        <f t="shared" si="263"/>
        <v>0</v>
      </c>
      <c r="O2296" s="6" t="s">
        <v>20</v>
      </c>
      <c r="Q2296" s="6" t="s">
        <v>21</v>
      </c>
      <c r="R2296" s="6" t="s">
        <v>21</v>
      </c>
      <c r="S2296" s="6" t="s">
        <v>21</v>
      </c>
      <c r="T2296" s="6" t="s">
        <v>21</v>
      </c>
      <c r="U2296" s="6">
        <f t="shared" si="264"/>
        <v>9813.4349999999995</v>
      </c>
      <c r="V2296" s="6">
        <f t="shared" si="261"/>
        <v>9813.4349999999995</v>
      </c>
    </row>
    <row r="2297" spans="1:22" x14ac:dyDescent="0.35">
      <c r="A2297" s="6" t="s">
        <v>2525</v>
      </c>
      <c r="B2297" s="6" t="s">
        <v>2507</v>
      </c>
      <c r="C2297" s="6" t="s">
        <v>2508</v>
      </c>
      <c r="D2297" s="6">
        <f t="shared" si="265"/>
        <v>0.5</v>
      </c>
      <c r="E2297" s="6" t="s">
        <v>19</v>
      </c>
      <c r="F2297" s="6" t="str">
        <f>MID(A2297,19,1)</f>
        <v>N</v>
      </c>
      <c r="G2297" s="6">
        <v>-22.857253348926651</v>
      </c>
      <c r="H2297" s="6">
        <v>-47.147152768695783</v>
      </c>
      <c r="I2297" s="9">
        <v>314.89</v>
      </c>
      <c r="K2297" s="6">
        <v>2.34</v>
      </c>
      <c r="L2297" s="6">
        <v>30</v>
      </c>
      <c r="N2297" s="1">
        <f t="shared" si="263"/>
        <v>0</v>
      </c>
      <c r="O2297" s="6" t="s">
        <v>20</v>
      </c>
      <c r="Q2297" s="6" t="s">
        <v>21</v>
      </c>
      <c r="R2297" s="6" t="s">
        <v>21</v>
      </c>
      <c r="S2297" s="6" t="s">
        <v>21</v>
      </c>
      <c r="T2297" s="6" t="s">
        <v>21</v>
      </c>
      <c r="U2297" s="6">
        <f t="shared" si="264"/>
        <v>94.466999999999999</v>
      </c>
      <c r="V2297" s="6">
        <f t="shared" si="261"/>
        <v>94.466999999999999</v>
      </c>
    </row>
    <row r="2298" spans="1:22" hidden="1" x14ac:dyDescent="0.35">
      <c r="A2298" s="6" t="s">
        <v>2526</v>
      </c>
      <c r="B2298" s="6" t="s">
        <v>2507</v>
      </c>
      <c r="C2298" s="6" t="s">
        <v>2508</v>
      </c>
      <c r="D2298" s="6">
        <f t="shared" si="265"/>
        <v>0.5</v>
      </c>
      <c r="E2298" s="6" t="s">
        <v>23</v>
      </c>
      <c r="F2298" s="6" t="str">
        <f>MID(A2298,19,1)</f>
        <v>C</v>
      </c>
      <c r="G2298" s="6">
        <v>-22.858974336542481</v>
      </c>
      <c r="H2298" s="6">
        <v>-47.144057248705678</v>
      </c>
      <c r="I2298" s="9">
        <v>5481.44</v>
      </c>
      <c r="J2298" s="9">
        <f>I2298/500</f>
        <v>10.962879999999998</v>
      </c>
      <c r="K2298" s="6">
        <v>5.1100000000000003</v>
      </c>
      <c r="L2298" s="6">
        <v>70</v>
      </c>
      <c r="N2298" s="1">
        <f t="shared" si="263"/>
        <v>0</v>
      </c>
      <c r="O2298" s="6" t="s">
        <v>71</v>
      </c>
      <c r="Q2298" s="6" t="s">
        <v>21</v>
      </c>
      <c r="R2298" s="6" t="s">
        <v>21</v>
      </c>
      <c r="S2298" s="6" t="s">
        <v>21</v>
      </c>
      <c r="T2298" s="6" t="s">
        <v>21</v>
      </c>
      <c r="U2298" s="6">
        <f t="shared" si="264"/>
        <v>3837.0079999999994</v>
      </c>
      <c r="V2298" s="6">
        <f t="shared" si="261"/>
        <v>3837.0079999999994</v>
      </c>
    </row>
    <row r="2299" spans="1:22" hidden="1" x14ac:dyDescent="0.35">
      <c r="A2299" s="6" t="s">
        <v>2527</v>
      </c>
      <c r="B2299" s="6" t="s">
        <v>2507</v>
      </c>
      <c r="C2299" s="6" t="s">
        <v>2508</v>
      </c>
      <c r="D2299" s="6">
        <f t="shared" si="265"/>
        <v>0.5</v>
      </c>
      <c r="E2299" s="6" t="s">
        <v>19</v>
      </c>
      <c r="F2299" s="6" t="str">
        <f>MID(A2299,19,1)</f>
        <v>S</v>
      </c>
      <c r="G2299" s="6">
        <v>-22.85507167866848</v>
      </c>
      <c r="H2299" s="6">
        <v>-47.152255975617891</v>
      </c>
      <c r="I2299" s="9">
        <v>775.55</v>
      </c>
      <c r="K2299" s="6">
        <v>2.76</v>
      </c>
      <c r="L2299" s="6">
        <v>30</v>
      </c>
      <c r="N2299" s="1">
        <f t="shared" si="263"/>
        <v>0</v>
      </c>
      <c r="O2299" s="6" t="s">
        <v>20</v>
      </c>
      <c r="Q2299" s="6" t="s">
        <v>21</v>
      </c>
      <c r="R2299" s="6" t="s">
        <v>21</v>
      </c>
      <c r="S2299" s="6" t="s">
        <v>21</v>
      </c>
      <c r="T2299" s="6" t="s">
        <v>21</v>
      </c>
      <c r="U2299" s="6">
        <f t="shared" si="264"/>
        <v>232.66499999999996</v>
      </c>
      <c r="V2299" s="6">
        <f t="shared" si="261"/>
        <v>232.66499999999996</v>
      </c>
    </row>
    <row r="2300" spans="1:22" x14ac:dyDescent="0.35">
      <c r="A2300" s="6" t="s">
        <v>2528</v>
      </c>
      <c r="B2300" s="6" t="s">
        <v>2507</v>
      </c>
      <c r="C2300" s="6" t="s">
        <v>2508</v>
      </c>
      <c r="D2300" s="6">
        <f t="shared" si="265"/>
        <v>0.5</v>
      </c>
      <c r="E2300" s="6" t="s">
        <v>19</v>
      </c>
      <c r="F2300" s="6" t="str">
        <f>MID(A2300,19,1)</f>
        <v>N</v>
      </c>
      <c r="G2300" s="6">
        <v>-22.85463175156389</v>
      </c>
      <c r="H2300" s="6">
        <v>-47.151720305553148</v>
      </c>
      <c r="I2300" s="9">
        <v>764.24</v>
      </c>
      <c r="K2300" s="6">
        <v>2.79</v>
      </c>
      <c r="L2300" s="6">
        <v>30</v>
      </c>
      <c r="N2300" s="1">
        <f t="shared" si="263"/>
        <v>0</v>
      </c>
      <c r="O2300" s="6" t="s">
        <v>20</v>
      </c>
      <c r="Q2300" s="6" t="s">
        <v>21</v>
      </c>
      <c r="R2300" s="6" t="s">
        <v>21</v>
      </c>
      <c r="S2300" s="6" t="s">
        <v>21</v>
      </c>
      <c r="T2300" s="6" t="s">
        <v>21</v>
      </c>
      <c r="U2300" s="6">
        <f t="shared" si="264"/>
        <v>229.27199999999999</v>
      </c>
      <c r="V2300" s="6">
        <f t="shared" si="261"/>
        <v>229.27199999999999</v>
      </c>
    </row>
    <row r="2301" spans="1:22" x14ac:dyDescent="0.35">
      <c r="A2301" s="6" t="s">
        <v>2529</v>
      </c>
      <c r="B2301" s="6" t="s">
        <v>2507</v>
      </c>
      <c r="C2301" s="6" t="s">
        <v>2508</v>
      </c>
      <c r="D2301" s="6">
        <f t="shared" si="265"/>
        <v>0.5</v>
      </c>
      <c r="E2301" s="6" t="s">
        <v>19</v>
      </c>
      <c r="F2301" s="6" t="str">
        <f>MID(A2301,19,1)</f>
        <v>N</v>
      </c>
      <c r="G2301" s="6">
        <v>-22.902800545997181</v>
      </c>
      <c r="H2301" s="6">
        <v>-47.204920907085793</v>
      </c>
      <c r="I2301" s="9">
        <v>1405.28</v>
      </c>
      <c r="K2301" s="6">
        <v>6.01</v>
      </c>
      <c r="L2301" s="6">
        <v>50</v>
      </c>
      <c r="N2301" s="1">
        <f t="shared" si="263"/>
        <v>0</v>
      </c>
      <c r="O2301" s="6" t="s">
        <v>20</v>
      </c>
      <c r="Q2301" s="6" t="s">
        <v>21</v>
      </c>
      <c r="R2301" s="6" t="s">
        <v>21</v>
      </c>
      <c r="S2301" s="6" t="s">
        <v>21</v>
      </c>
      <c r="T2301" s="6" t="s">
        <v>21</v>
      </c>
      <c r="U2301" s="6">
        <f t="shared" si="264"/>
        <v>702.64</v>
      </c>
      <c r="V2301" s="6">
        <f t="shared" ref="V2301:V2331" si="269">(I2301*(L2301/100))</f>
        <v>702.64</v>
      </c>
    </row>
    <row r="2302" spans="1:22" hidden="1" x14ac:dyDescent="0.35">
      <c r="A2302" s="6" t="s">
        <v>2530</v>
      </c>
      <c r="B2302" s="6" t="s">
        <v>2507</v>
      </c>
      <c r="C2302" s="6" t="s">
        <v>2508</v>
      </c>
      <c r="D2302" s="6">
        <f t="shared" si="265"/>
        <v>0.5</v>
      </c>
      <c r="E2302" s="6" t="s">
        <v>23</v>
      </c>
      <c r="F2302" s="6" t="str">
        <f>MID(A2302,19,1)</f>
        <v>C</v>
      </c>
      <c r="G2302" s="6">
        <v>-22.90293948917693</v>
      </c>
      <c r="H2302" s="6">
        <v>-47.20665736313196</v>
      </c>
      <c r="I2302" s="9">
        <v>8059.76</v>
      </c>
      <c r="J2302" s="9">
        <f t="shared" ref="J2302:J2304" si="270">I2302/500</f>
        <v>16.119520000000001</v>
      </c>
      <c r="K2302" s="6">
        <v>5.27</v>
      </c>
      <c r="L2302" s="6">
        <v>50</v>
      </c>
      <c r="N2302" s="1">
        <f t="shared" si="263"/>
        <v>0</v>
      </c>
      <c r="O2302" s="6" t="s">
        <v>20</v>
      </c>
      <c r="Q2302" s="6" t="s">
        <v>21</v>
      </c>
      <c r="R2302" s="6" t="s">
        <v>21</v>
      </c>
      <c r="S2302" s="6" t="s">
        <v>21</v>
      </c>
      <c r="T2302" s="6" t="s">
        <v>21</v>
      </c>
      <c r="U2302" s="6">
        <f t="shared" si="264"/>
        <v>4029.88</v>
      </c>
      <c r="V2302" s="6">
        <f t="shared" si="269"/>
        <v>4029.88</v>
      </c>
    </row>
    <row r="2303" spans="1:22" hidden="1" x14ac:dyDescent="0.35">
      <c r="A2303" s="6" t="s">
        <v>2531</v>
      </c>
      <c r="B2303" s="6" t="s">
        <v>2507</v>
      </c>
      <c r="C2303" s="6" t="s">
        <v>2508</v>
      </c>
      <c r="D2303" s="6">
        <f t="shared" si="265"/>
        <v>0.5</v>
      </c>
      <c r="E2303" s="6" t="s">
        <v>23</v>
      </c>
      <c r="F2303" s="6" t="str">
        <f>MID(A2303,19,1)</f>
        <v>C</v>
      </c>
      <c r="G2303" s="6">
        <v>-22.903457435612189</v>
      </c>
      <c r="H2303" s="6">
        <v>-47.206031337339411</v>
      </c>
      <c r="I2303" s="9">
        <v>10933.44</v>
      </c>
      <c r="J2303" s="9">
        <f t="shared" si="270"/>
        <v>21.866880000000002</v>
      </c>
      <c r="K2303" s="6">
        <v>5.01</v>
      </c>
      <c r="L2303" s="6">
        <v>50</v>
      </c>
      <c r="N2303" s="1">
        <f t="shared" si="263"/>
        <v>0</v>
      </c>
      <c r="O2303" s="6" t="s">
        <v>20</v>
      </c>
      <c r="Q2303" s="6" t="s">
        <v>21</v>
      </c>
      <c r="R2303" s="6" t="s">
        <v>21</v>
      </c>
      <c r="S2303" s="6" t="s">
        <v>21</v>
      </c>
      <c r="T2303" s="6" t="s">
        <v>21</v>
      </c>
      <c r="U2303" s="6">
        <f t="shared" si="264"/>
        <v>5466.72</v>
      </c>
      <c r="V2303" s="6">
        <f t="shared" si="269"/>
        <v>5466.72</v>
      </c>
    </row>
    <row r="2304" spans="1:22" hidden="1" x14ac:dyDescent="0.35">
      <c r="A2304" s="6" t="s">
        <v>2532</v>
      </c>
      <c r="B2304" s="6" t="s">
        <v>2507</v>
      </c>
      <c r="C2304" s="6" t="s">
        <v>2508</v>
      </c>
      <c r="D2304" s="6">
        <f t="shared" si="265"/>
        <v>0.5</v>
      </c>
      <c r="E2304" s="6" t="s">
        <v>23</v>
      </c>
      <c r="F2304" s="6" t="str">
        <f>MID(A2304,19,1)</f>
        <v>C</v>
      </c>
      <c r="G2304" s="6">
        <v>-22.90379314228699</v>
      </c>
      <c r="H2304" s="6">
        <v>-47.20549479417874</v>
      </c>
      <c r="I2304" s="9">
        <v>4738.4799999999996</v>
      </c>
      <c r="J2304" s="9">
        <f t="shared" si="270"/>
        <v>9.4769599999999983</v>
      </c>
      <c r="K2304" s="6">
        <v>4.3600000000000003</v>
      </c>
      <c r="L2304" s="6">
        <v>50</v>
      </c>
      <c r="N2304" s="1">
        <f t="shared" si="263"/>
        <v>0</v>
      </c>
      <c r="O2304" s="6" t="s">
        <v>20</v>
      </c>
      <c r="Q2304" s="6" t="s">
        <v>21</v>
      </c>
      <c r="R2304" s="6" t="s">
        <v>21</v>
      </c>
      <c r="S2304" s="6" t="s">
        <v>21</v>
      </c>
      <c r="T2304" s="6" t="s">
        <v>21</v>
      </c>
      <c r="U2304" s="6">
        <f t="shared" si="264"/>
        <v>2369.2399999999998</v>
      </c>
      <c r="V2304" s="6">
        <f t="shared" si="269"/>
        <v>2369.2399999999998</v>
      </c>
    </row>
    <row r="2305" spans="1:22" hidden="1" x14ac:dyDescent="0.35">
      <c r="A2305" s="6" t="s">
        <v>2533</v>
      </c>
      <c r="B2305" s="6" t="s">
        <v>2507</v>
      </c>
      <c r="C2305" s="6" t="s">
        <v>2508</v>
      </c>
      <c r="D2305" s="6">
        <f t="shared" si="265"/>
        <v>0.5</v>
      </c>
      <c r="E2305" s="6" t="s">
        <v>19</v>
      </c>
      <c r="F2305" s="6" t="str">
        <f>MID(A2305,19,1)</f>
        <v>S</v>
      </c>
      <c r="G2305" s="6">
        <v>-22.90232630049158</v>
      </c>
      <c r="H2305" s="6">
        <v>-47.207639572848038</v>
      </c>
      <c r="I2305" s="9">
        <v>2064.33</v>
      </c>
      <c r="K2305" s="6">
        <v>5.96</v>
      </c>
      <c r="L2305" s="6">
        <v>50</v>
      </c>
      <c r="N2305" s="1">
        <f t="shared" si="263"/>
        <v>0</v>
      </c>
      <c r="O2305" s="6" t="s">
        <v>20</v>
      </c>
      <c r="Q2305" s="6" t="s">
        <v>21</v>
      </c>
      <c r="R2305" s="6" t="s">
        <v>21</v>
      </c>
      <c r="S2305" s="6" t="s">
        <v>21</v>
      </c>
      <c r="T2305" s="6" t="s">
        <v>21</v>
      </c>
      <c r="U2305" s="6">
        <f t="shared" si="264"/>
        <v>1032.165</v>
      </c>
      <c r="V2305" s="6">
        <f t="shared" si="269"/>
        <v>1032.165</v>
      </c>
    </row>
    <row r="2306" spans="1:22" x14ac:dyDescent="0.35">
      <c r="A2306" s="6" t="s">
        <v>2534</v>
      </c>
      <c r="B2306" s="6" t="s">
        <v>2507</v>
      </c>
      <c r="C2306" s="6" t="s">
        <v>2508</v>
      </c>
      <c r="D2306" s="6">
        <f t="shared" si="265"/>
        <v>0.5</v>
      </c>
      <c r="E2306" s="6" t="s">
        <v>19</v>
      </c>
      <c r="F2306" s="6" t="str">
        <f>MID(A2306,19,1)</f>
        <v>N</v>
      </c>
      <c r="G2306" s="6">
        <v>-22.903642082249011</v>
      </c>
      <c r="H2306" s="6">
        <v>-47.203132422478703</v>
      </c>
      <c r="I2306" s="9">
        <v>11522.63</v>
      </c>
      <c r="K2306" s="6">
        <v>6.1</v>
      </c>
      <c r="L2306" s="6">
        <v>50</v>
      </c>
      <c r="N2306" s="1">
        <f t="shared" ref="N2306:N2369" si="271">IF(OR(R2306="Sim",S2306="Sim",T2306="Sim"),(L2306/100)*I2306,0)</f>
        <v>0</v>
      </c>
      <c r="O2306" s="6" t="s">
        <v>20</v>
      </c>
      <c r="Q2306" s="6" t="s">
        <v>21</v>
      </c>
      <c r="R2306" s="6" t="s">
        <v>21</v>
      </c>
      <c r="S2306" s="6" t="s">
        <v>21</v>
      </c>
      <c r="T2306" s="6" t="s">
        <v>21</v>
      </c>
      <c r="U2306" s="6">
        <f t="shared" si="264"/>
        <v>5761.3149999999996</v>
      </c>
      <c r="V2306" s="6">
        <f t="shared" si="269"/>
        <v>5761.3149999999996</v>
      </c>
    </row>
    <row r="2307" spans="1:22" x14ac:dyDescent="0.35">
      <c r="A2307" s="6" t="s">
        <v>2535</v>
      </c>
      <c r="B2307" s="6" t="s">
        <v>2507</v>
      </c>
      <c r="C2307" s="6" t="s">
        <v>2508</v>
      </c>
      <c r="D2307" s="6">
        <f t="shared" si="265"/>
        <v>0.5</v>
      </c>
      <c r="E2307" s="6" t="s">
        <v>19</v>
      </c>
      <c r="F2307" s="6" t="str">
        <f>MID(A2307,19,1)</f>
        <v>N</v>
      </c>
      <c r="G2307" s="6">
        <v>-22.857780898430089</v>
      </c>
      <c r="H2307" s="6">
        <v>-47.143355054031751</v>
      </c>
      <c r="I2307" s="9">
        <v>4557.16</v>
      </c>
      <c r="K2307" s="6">
        <v>2.98</v>
      </c>
      <c r="L2307" s="6">
        <v>70</v>
      </c>
      <c r="N2307" s="1">
        <f t="shared" si="271"/>
        <v>0</v>
      </c>
      <c r="O2307" s="6" t="s">
        <v>126</v>
      </c>
      <c r="Q2307" s="6" t="s">
        <v>21</v>
      </c>
      <c r="R2307" s="6" t="s">
        <v>21</v>
      </c>
      <c r="S2307" s="6" t="s">
        <v>21</v>
      </c>
      <c r="T2307" s="6" t="s">
        <v>21</v>
      </c>
      <c r="U2307" s="6">
        <f t="shared" ref="U2307:U2370" si="272">IF(N2307=0,(I2307*(L2307/100)),0)</f>
        <v>3190.0119999999997</v>
      </c>
      <c r="V2307" s="6">
        <f t="shared" si="269"/>
        <v>3190.0119999999997</v>
      </c>
    </row>
    <row r="2308" spans="1:22" hidden="1" x14ac:dyDescent="0.35">
      <c r="A2308" s="6" t="s">
        <v>2536</v>
      </c>
      <c r="B2308" s="6" t="s">
        <v>2507</v>
      </c>
      <c r="C2308" s="6" t="s">
        <v>2508</v>
      </c>
      <c r="D2308" s="6">
        <f t="shared" si="265"/>
        <v>0.5</v>
      </c>
      <c r="E2308" s="6" t="s">
        <v>23</v>
      </c>
      <c r="F2308" s="6" t="str">
        <f>MID(A2308,19,1)</f>
        <v>C</v>
      </c>
      <c r="G2308" s="6">
        <v>-22.85911024342656</v>
      </c>
      <c r="H2308" s="6">
        <v>-47.143625948218087</v>
      </c>
      <c r="I2308" s="9">
        <v>2735.04</v>
      </c>
      <c r="J2308" s="9">
        <f>I2308/500</f>
        <v>5.4700800000000003</v>
      </c>
      <c r="K2308" s="6">
        <v>4.1399999999999997</v>
      </c>
      <c r="L2308" s="6">
        <v>70</v>
      </c>
      <c r="N2308" s="1">
        <f t="shared" si="271"/>
        <v>0</v>
      </c>
      <c r="O2308" s="6" t="s">
        <v>71</v>
      </c>
      <c r="Q2308" s="6" t="s">
        <v>21</v>
      </c>
      <c r="R2308" s="6" t="s">
        <v>21</v>
      </c>
      <c r="S2308" s="6" t="s">
        <v>21</v>
      </c>
      <c r="T2308" s="6" t="s">
        <v>21</v>
      </c>
      <c r="U2308" s="6">
        <f t="shared" si="272"/>
        <v>1914.5279999999998</v>
      </c>
      <c r="V2308" s="6">
        <f t="shared" si="269"/>
        <v>1914.5279999999998</v>
      </c>
    </row>
    <row r="2309" spans="1:22" hidden="1" x14ac:dyDescent="0.35">
      <c r="A2309" s="6" t="s">
        <v>2537</v>
      </c>
      <c r="B2309" s="6" t="s">
        <v>2507</v>
      </c>
      <c r="C2309" s="6" t="s">
        <v>2508</v>
      </c>
      <c r="D2309" s="6">
        <f t="shared" si="265"/>
        <v>0.5</v>
      </c>
      <c r="E2309" s="6" t="s">
        <v>19</v>
      </c>
      <c r="F2309" s="6" t="str">
        <f>MID(A2309,19,1)</f>
        <v>S</v>
      </c>
      <c r="G2309" s="6">
        <v>-22.860429174570289</v>
      </c>
      <c r="H2309" s="6">
        <v>-47.148219780636033</v>
      </c>
      <c r="I2309" s="9">
        <v>683.63</v>
      </c>
      <c r="K2309" s="6">
        <v>3.67</v>
      </c>
      <c r="L2309" s="6">
        <v>30</v>
      </c>
      <c r="N2309" s="1">
        <f t="shared" si="271"/>
        <v>0</v>
      </c>
      <c r="O2309" s="6" t="s">
        <v>20</v>
      </c>
      <c r="Q2309" s="6" t="s">
        <v>21</v>
      </c>
      <c r="R2309" s="6" t="s">
        <v>21</v>
      </c>
      <c r="S2309" s="6" t="s">
        <v>21</v>
      </c>
      <c r="T2309" s="6" t="s">
        <v>21</v>
      </c>
      <c r="U2309" s="6">
        <f t="shared" si="272"/>
        <v>205.089</v>
      </c>
      <c r="V2309" s="6">
        <f t="shared" si="269"/>
        <v>205.089</v>
      </c>
    </row>
    <row r="2310" spans="1:22" hidden="1" x14ac:dyDescent="0.35">
      <c r="A2310" s="6" t="s">
        <v>2538</v>
      </c>
      <c r="B2310" s="6" t="s">
        <v>2507</v>
      </c>
      <c r="C2310" s="6" t="s">
        <v>2508</v>
      </c>
      <c r="D2310" s="6">
        <f t="shared" si="265"/>
        <v>0.5</v>
      </c>
      <c r="E2310" s="6" t="s">
        <v>19</v>
      </c>
      <c r="F2310" s="6" t="str">
        <f>MID(A2310,19,1)</f>
        <v>S</v>
      </c>
      <c r="G2310" s="6">
        <v>-22.857622334672271</v>
      </c>
      <c r="H2310" s="6">
        <v>-47.147775149764811</v>
      </c>
      <c r="I2310" s="9">
        <v>30.21</v>
      </c>
      <c r="K2310" s="6">
        <v>0.89</v>
      </c>
      <c r="L2310" s="6">
        <v>30</v>
      </c>
      <c r="N2310" s="1">
        <f t="shared" si="271"/>
        <v>0</v>
      </c>
      <c r="O2310" s="6" t="s">
        <v>20</v>
      </c>
      <c r="Q2310" s="6" t="s">
        <v>21</v>
      </c>
      <c r="R2310" s="6" t="s">
        <v>21</v>
      </c>
      <c r="S2310" s="6" t="s">
        <v>21</v>
      </c>
      <c r="T2310" s="6" t="s">
        <v>21</v>
      </c>
      <c r="U2310" s="6">
        <f t="shared" si="272"/>
        <v>9.0630000000000006</v>
      </c>
      <c r="V2310" s="6">
        <f t="shared" si="269"/>
        <v>9.0630000000000006</v>
      </c>
    </row>
    <row r="2311" spans="1:22" x14ac:dyDescent="0.35">
      <c r="A2311" s="6" t="s">
        <v>2539</v>
      </c>
      <c r="B2311" s="6" t="s">
        <v>2507</v>
      </c>
      <c r="C2311" s="6" t="s">
        <v>2508</v>
      </c>
      <c r="D2311" s="6">
        <f t="shared" si="265"/>
        <v>0.5</v>
      </c>
      <c r="E2311" s="6" t="s">
        <v>19</v>
      </c>
      <c r="F2311" s="6" t="str">
        <f>MID(A2311,19,1)</f>
        <v>N</v>
      </c>
      <c r="G2311" s="6">
        <v>-22.85702468855143</v>
      </c>
      <c r="H2311" s="6">
        <v>-47.145034409551222</v>
      </c>
      <c r="I2311" s="9">
        <v>2962.9</v>
      </c>
      <c r="K2311" s="6">
        <v>2.83</v>
      </c>
      <c r="L2311" s="6">
        <v>30</v>
      </c>
      <c r="N2311" s="1">
        <f t="shared" si="271"/>
        <v>0</v>
      </c>
      <c r="O2311" s="6" t="s">
        <v>20</v>
      </c>
      <c r="Q2311" s="6" t="s">
        <v>21</v>
      </c>
      <c r="R2311" s="6" t="s">
        <v>21</v>
      </c>
      <c r="S2311" s="6" t="s">
        <v>21</v>
      </c>
      <c r="T2311" s="6" t="s">
        <v>21</v>
      </c>
      <c r="U2311" s="6">
        <f t="shared" si="272"/>
        <v>888.87</v>
      </c>
      <c r="V2311" s="6">
        <f t="shared" si="269"/>
        <v>888.87</v>
      </c>
    </row>
    <row r="2312" spans="1:22" hidden="1" x14ac:dyDescent="0.35">
      <c r="A2312" s="6" t="s">
        <v>2540</v>
      </c>
      <c r="B2312" s="6" t="s">
        <v>2507</v>
      </c>
      <c r="C2312" s="6" t="s">
        <v>2508</v>
      </c>
      <c r="D2312" s="6">
        <f t="shared" si="265"/>
        <v>0.5</v>
      </c>
      <c r="E2312" s="6" t="s">
        <v>19</v>
      </c>
      <c r="F2312" s="6" t="str">
        <f>MID(A2312,19,1)</f>
        <v>S</v>
      </c>
      <c r="G2312" s="6">
        <v>-22.85824551572685</v>
      </c>
      <c r="H2312" s="6">
        <v>-47.147485408604837</v>
      </c>
      <c r="I2312" s="9">
        <v>2323.89</v>
      </c>
      <c r="K2312" s="6">
        <v>1.85</v>
      </c>
      <c r="L2312" s="6">
        <v>70</v>
      </c>
      <c r="N2312" s="1">
        <f t="shared" si="271"/>
        <v>0</v>
      </c>
      <c r="O2312" s="6" t="s">
        <v>71</v>
      </c>
      <c r="Q2312" s="6" t="s">
        <v>21</v>
      </c>
      <c r="R2312" s="6" t="s">
        <v>21</v>
      </c>
      <c r="S2312" s="6" t="s">
        <v>21</v>
      </c>
      <c r="T2312" s="6" t="s">
        <v>21</v>
      </c>
      <c r="U2312" s="6">
        <f t="shared" si="272"/>
        <v>1626.7229999999997</v>
      </c>
      <c r="V2312" s="6">
        <f t="shared" si="269"/>
        <v>1626.7229999999997</v>
      </c>
    </row>
    <row r="2313" spans="1:22" hidden="1" x14ac:dyDescent="0.35">
      <c r="A2313" s="6" t="s">
        <v>2541</v>
      </c>
      <c r="B2313" s="6" t="s">
        <v>2507</v>
      </c>
      <c r="C2313" s="6" t="s">
        <v>2508</v>
      </c>
      <c r="D2313" s="6">
        <f t="shared" si="265"/>
        <v>0.5</v>
      </c>
      <c r="E2313" s="6" t="s">
        <v>19</v>
      </c>
      <c r="F2313" s="6" t="str">
        <f>MID(A2313,19,1)</f>
        <v>S</v>
      </c>
      <c r="G2313" s="6">
        <v>-22.857633176738592</v>
      </c>
      <c r="H2313" s="6">
        <v>-47.147336906653287</v>
      </c>
      <c r="I2313" s="9">
        <v>447.71</v>
      </c>
      <c r="K2313" s="6">
        <v>2.19</v>
      </c>
      <c r="L2313" s="6">
        <v>50</v>
      </c>
      <c r="N2313" s="1">
        <f t="shared" si="271"/>
        <v>0</v>
      </c>
      <c r="O2313" s="6" t="s">
        <v>20</v>
      </c>
      <c r="Q2313" s="6" t="s">
        <v>21</v>
      </c>
      <c r="R2313" s="6" t="s">
        <v>21</v>
      </c>
      <c r="S2313" s="6" t="s">
        <v>21</v>
      </c>
      <c r="T2313" s="6" t="s">
        <v>21</v>
      </c>
      <c r="U2313" s="6">
        <f t="shared" si="272"/>
        <v>223.85499999999999</v>
      </c>
      <c r="V2313" s="6">
        <f t="shared" si="269"/>
        <v>223.85499999999999</v>
      </c>
    </row>
    <row r="2314" spans="1:22" x14ac:dyDescent="0.35">
      <c r="A2314" s="6" t="s">
        <v>2542</v>
      </c>
      <c r="B2314" s="6" t="s">
        <v>2507</v>
      </c>
      <c r="C2314" s="6" t="s">
        <v>2508</v>
      </c>
      <c r="D2314" s="6">
        <f t="shared" si="265"/>
        <v>0.5</v>
      </c>
      <c r="E2314" s="6" t="s">
        <v>19</v>
      </c>
      <c r="F2314" s="6" t="str">
        <f>MID(A2314,19,1)</f>
        <v>N</v>
      </c>
      <c r="G2314" s="6">
        <v>-22.85932492190739</v>
      </c>
      <c r="H2314" s="6">
        <v>-47.143297154244287</v>
      </c>
      <c r="I2314" s="9">
        <v>1193.94</v>
      </c>
      <c r="K2314" s="6">
        <v>2.81</v>
      </c>
      <c r="L2314" s="6">
        <v>50</v>
      </c>
      <c r="N2314" s="1">
        <f t="shared" si="271"/>
        <v>0</v>
      </c>
      <c r="O2314" s="6" t="s">
        <v>71</v>
      </c>
      <c r="Q2314" s="6" t="s">
        <v>21</v>
      </c>
      <c r="R2314" s="6" t="s">
        <v>21</v>
      </c>
      <c r="S2314" s="6" t="s">
        <v>21</v>
      </c>
      <c r="T2314" s="6" t="s">
        <v>21</v>
      </c>
      <c r="U2314" s="6">
        <f t="shared" si="272"/>
        <v>596.97</v>
      </c>
      <c r="V2314" s="6">
        <f t="shared" si="269"/>
        <v>596.97</v>
      </c>
    </row>
    <row r="2315" spans="1:22" hidden="1" x14ac:dyDescent="0.35">
      <c r="A2315" s="6" t="s">
        <v>2543</v>
      </c>
      <c r="B2315" s="6" t="s">
        <v>2507</v>
      </c>
      <c r="C2315" s="6" t="s">
        <v>2508</v>
      </c>
      <c r="D2315" s="6">
        <f t="shared" si="265"/>
        <v>0.5</v>
      </c>
      <c r="E2315" s="6" t="s">
        <v>19</v>
      </c>
      <c r="F2315" s="6" t="str">
        <f>MID(A2315,19,1)</f>
        <v>S</v>
      </c>
      <c r="G2315" s="6">
        <v>-22.85860295985961</v>
      </c>
      <c r="H2315" s="6">
        <v>-47.147664853496579</v>
      </c>
      <c r="I2315" s="9">
        <v>338.19</v>
      </c>
      <c r="K2315" s="6">
        <v>2.25</v>
      </c>
      <c r="L2315" s="6">
        <v>30</v>
      </c>
      <c r="N2315" s="1">
        <f t="shared" si="271"/>
        <v>0</v>
      </c>
      <c r="O2315" s="6" t="s">
        <v>20</v>
      </c>
      <c r="Q2315" s="6" t="s">
        <v>21</v>
      </c>
      <c r="R2315" s="6" t="s">
        <v>21</v>
      </c>
      <c r="S2315" s="6" t="s">
        <v>21</v>
      </c>
      <c r="T2315" s="6" t="s">
        <v>21</v>
      </c>
      <c r="U2315" s="6">
        <f t="shared" si="272"/>
        <v>101.45699999999999</v>
      </c>
      <c r="V2315" s="6">
        <f t="shared" si="269"/>
        <v>101.45699999999999</v>
      </c>
    </row>
    <row r="2316" spans="1:22" hidden="1" x14ac:dyDescent="0.35">
      <c r="A2316" s="6" t="s">
        <v>2544</v>
      </c>
      <c r="B2316" s="6" t="s">
        <v>2507</v>
      </c>
      <c r="C2316" s="6" t="s">
        <v>2508</v>
      </c>
      <c r="D2316" s="6">
        <f t="shared" si="265"/>
        <v>0.5</v>
      </c>
      <c r="E2316" s="6" t="s">
        <v>19</v>
      </c>
      <c r="F2316" s="6" t="str">
        <f>MID(A2316,19,1)</f>
        <v>S</v>
      </c>
      <c r="G2316" s="6">
        <v>-22.857856831287108</v>
      </c>
      <c r="H2316" s="6">
        <v>-47.147484215040578</v>
      </c>
      <c r="I2316" s="9">
        <v>192.24</v>
      </c>
      <c r="K2316" s="6">
        <v>1.73</v>
      </c>
      <c r="L2316" s="6">
        <v>30</v>
      </c>
      <c r="N2316" s="1">
        <f t="shared" si="271"/>
        <v>0</v>
      </c>
      <c r="O2316" s="6" t="s">
        <v>20</v>
      </c>
      <c r="Q2316" s="6" t="s">
        <v>21</v>
      </c>
      <c r="R2316" s="6" t="s">
        <v>21</v>
      </c>
      <c r="S2316" s="6" t="s">
        <v>21</v>
      </c>
      <c r="T2316" s="6" t="s">
        <v>21</v>
      </c>
      <c r="U2316" s="6">
        <f t="shared" si="272"/>
        <v>57.671999999999997</v>
      </c>
      <c r="V2316" s="6">
        <f t="shared" si="269"/>
        <v>57.671999999999997</v>
      </c>
    </row>
    <row r="2317" spans="1:22" x14ac:dyDescent="0.35">
      <c r="A2317" s="6" t="s">
        <v>2545</v>
      </c>
      <c r="B2317" s="6" t="s">
        <v>2507</v>
      </c>
      <c r="C2317" s="6" t="s">
        <v>2508</v>
      </c>
      <c r="D2317" s="6">
        <f t="shared" si="265"/>
        <v>0.5</v>
      </c>
      <c r="E2317" s="6" t="s">
        <v>19</v>
      </c>
      <c r="F2317" s="6" t="str">
        <f>MID(A2317,19,1)</f>
        <v>N</v>
      </c>
      <c r="G2317" s="6">
        <v>-22.85748728360851</v>
      </c>
      <c r="H2317" s="6">
        <v>-47.147203546419952</v>
      </c>
      <c r="I2317" s="9">
        <v>356.11</v>
      </c>
      <c r="K2317" s="6">
        <v>2.86</v>
      </c>
      <c r="L2317" s="6">
        <v>30</v>
      </c>
      <c r="N2317" s="1">
        <f t="shared" si="271"/>
        <v>0</v>
      </c>
      <c r="O2317" s="6" t="s">
        <v>20</v>
      </c>
      <c r="Q2317" s="6" t="s">
        <v>21</v>
      </c>
      <c r="R2317" s="6" t="s">
        <v>21</v>
      </c>
      <c r="S2317" s="6" t="s">
        <v>21</v>
      </c>
      <c r="T2317" s="6" t="s">
        <v>21</v>
      </c>
      <c r="U2317" s="6">
        <f t="shared" si="272"/>
        <v>106.833</v>
      </c>
      <c r="V2317" s="6">
        <f t="shared" si="269"/>
        <v>106.833</v>
      </c>
    </row>
    <row r="2318" spans="1:22" x14ac:dyDescent="0.35">
      <c r="A2318" s="6" t="s">
        <v>2546</v>
      </c>
      <c r="B2318" s="6" t="s">
        <v>2507</v>
      </c>
      <c r="C2318" s="6" t="s">
        <v>2508</v>
      </c>
      <c r="D2318" s="6">
        <f t="shared" ref="D2318:D2381" si="273">C2318-B2318</f>
        <v>0.5</v>
      </c>
      <c r="E2318" s="6" t="s">
        <v>19</v>
      </c>
      <c r="F2318" s="6" t="str">
        <f>MID(A2318,19,1)</f>
        <v>N</v>
      </c>
      <c r="G2318" s="6">
        <v>-22.90331068899582</v>
      </c>
      <c r="H2318" s="6">
        <v>-47.204641275493508</v>
      </c>
      <c r="I2318" s="9">
        <v>530.77</v>
      </c>
      <c r="K2318" s="6">
        <v>2.74</v>
      </c>
      <c r="L2318" s="6">
        <v>80</v>
      </c>
      <c r="N2318" s="1">
        <f t="shared" si="271"/>
        <v>0</v>
      </c>
      <c r="O2318" s="6" t="s">
        <v>20</v>
      </c>
      <c r="Q2318" s="6" t="s">
        <v>21</v>
      </c>
      <c r="R2318" s="6" t="s">
        <v>21</v>
      </c>
      <c r="S2318" s="6" t="s">
        <v>21</v>
      </c>
      <c r="T2318" s="6" t="s">
        <v>21</v>
      </c>
      <c r="U2318" s="6">
        <f t="shared" si="272"/>
        <v>424.61599999999999</v>
      </c>
      <c r="V2318" s="6">
        <f t="shared" si="269"/>
        <v>424.61599999999999</v>
      </c>
    </row>
    <row r="2319" spans="1:22" hidden="1" x14ac:dyDescent="0.35">
      <c r="A2319" s="6" t="s">
        <v>2547</v>
      </c>
      <c r="B2319" s="6" t="s">
        <v>2507</v>
      </c>
      <c r="C2319" s="6" t="s">
        <v>2508</v>
      </c>
      <c r="D2319" s="6">
        <f t="shared" si="273"/>
        <v>0.5</v>
      </c>
      <c r="E2319" s="6" t="s">
        <v>19</v>
      </c>
      <c r="F2319" s="6" t="str">
        <f>MID(A2319,19,1)</f>
        <v>S</v>
      </c>
      <c r="G2319" s="6">
        <v>-22.859280049765019</v>
      </c>
      <c r="H2319" s="6">
        <v>-47.145957139004082</v>
      </c>
      <c r="I2319" s="9">
        <v>10256.1</v>
      </c>
      <c r="K2319" s="6">
        <v>3.61</v>
      </c>
      <c r="L2319" s="6">
        <v>70</v>
      </c>
      <c r="N2319" s="1">
        <f t="shared" si="271"/>
        <v>0</v>
      </c>
      <c r="O2319" s="6" t="s">
        <v>71</v>
      </c>
      <c r="Q2319" s="6" t="s">
        <v>21</v>
      </c>
      <c r="R2319" s="6" t="s">
        <v>21</v>
      </c>
      <c r="S2319" s="6" t="s">
        <v>21</v>
      </c>
      <c r="T2319" s="6" t="s">
        <v>21</v>
      </c>
      <c r="U2319" s="6">
        <f t="shared" si="272"/>
        <v>7179.2699999999995</v>
      </c>
      <c r="V2319" s="6">
        <f t="shared" si="269"/>
        <v>7179.2699999999995</v>
      </c>
    </row>
    <row r="2320" spans="1:22" x14ac:dyDescent="0.35">
      <c r="A2320" s="6" t="s">
        <v>2548</v>
      </c>
      <c r="B2320" s="6" t="s">
        <v>2507</v>
      </c>
      <c r="C2320" s="6" t="s">
        <v>2508</v>
      </c>
      <c r="D2320" s="6">
        <f t="shared" si="273"/>
        <v>0.5</v>
      </c>
      <c r="E2320" s="6" t="s">
        <v>19</v>
      </c>
      <c r="F2320" s="6" t="str">
        <f>MID(A2320,19,1)</f>
        <v>N</v>
      </c>
      <c r="G2320" s="6">
        <v>-22.85746866983726</v>
      </c>
      <c r="H2320" s="6">
        <v>-47.144939809563063</v>
      </c>
      <c r="I2320" s="9">
        <v>4589.75</v>
      </c>
      <c r="K2320" s="6">
        <v>2.9</v>
      </c>
      <c r="L2320" s="6">
        <v>30</v>
      </c>
      <c r="N2320" s="1">
        <f t="shared" si="271"/>
        <v>0</v>
      </c>
      <c r="O2320" s="6" t="s">
        <v>20</v>
      </c>
      <c r="Q2320" s="6" t="s">
        <v>21</v>
      </c>
      <c r="R2320" s="6" t="s">
        <v>21</v>
      </c>
      <c r="S2320" s="6" t="s">
        <v>21</v>
      </c>
      <c r="T2320" s="6" t="s">
        <v>21</v>
      </c>
      <c r="U2320" s="6">
        <f t="shared" si="272"/>
        <v>1376.925</v>
      </c>
      <c r="V2320" s="6">
        <f t="shared" si="269"/>
        <v>1376.925</v>
      </c>
    </row>
    <row r="2321" spans="1:22" x14ac:dyDescent="0.35">
      <c r="A2321" s="6" t="s">
        <v>2549</v>
      </c>
      <c r="B2321" s="6" t="s">
        <v>2507</v>
      </c>
      <c r="C2321" s="6" t="s">
        <v>2508</v>
      </c>
      <c r="D2321" s="6">
        <f t="shared" si="273"/>
        <v>0.5</v>
      </c>
      <c r="E2321" s="6" t="s">
        <v>19</v>
      </c>
      <c r="F2321" s="6" t="str">
        <f>MID(A2321,19,1)</f>
        <v>N</v>
      </c>
      <c r="G2321" s="6">
        <v>-22.858278981030509</v>
      </c>
      <c r="H2321" s="6">
        <v>-47.143087523572348</v>
      </c>
      <c r="I2321" s="9">
        <v>1478.95</v>
      </c>
      <c r="K2321" s="6">
        <v>4.5999999999999996</v>
      </c>
      <c r="L2321" s="6">
        <v>30</v>
      </c>
      <c r="N2321" s="1">
        <f t="shared" si="271"/>
        <v>0</v>
      </c>
      <c r="O2321" s="6" t="s">
        <v>20</v>
      </c>
      <c r="Q2321" s="6" t="s">
        <v>21</v>
      </c>
      <c r="R2321" s="6" t="s">
        <v>21</v>
      </c>
      <c r="S2321" s="6" t="s">
        <v>21</v>
      </c>
      <c r="T2321" s="6" t="s">
        <v>21</v>
      </c>
      <c r="U2321" s="6">
        <f t="shared" si="272"/>
        <v>443.685</v>
      </c>
      <c r="V2321" s="6">
        <f t="shared" si="269"/>
        <v>443.685</v>
      </c>
    </row>
    <row r="2322" spans="1:22" hidden="1" x14ac:dyDescent="0.35">
      <c r="A2322" s="6" t="s">
        <v>2550</v>
      </c>
      <c r="B2322" s="6" t="s">
        <v>2507</v>
      </c>
      <c r="C2322" s="6" t="s">
        <v>2508</v>
      </c>
      <c r="D2322" s="6">
        <f t="shared" si="273"/>
        <v>0.5</v>
      </c>
      <c r="E2322" s="6" t="s">
        <v>23</v>
      </c>
      <c r="F2322" s="6" t="str">
        <f>MID(A2322,19,1)</f>
        <v>C</v>
      </c>
      <c r="G2322" s="6">
        <v>-22.858102125910658</v>
      </c>
      <c r="H2322" s="6">
        <v>-47.145102579730107</v>
      </c>
      <c r="I2322" s="9">
        <v>10156.06</v>
      </c>
      <c r="J2322" s="9">
        <f>I2322/500</f>
        <v>20.31212</v>
      </c>
      <c r="K2322" s="6">
        <v>2.73</v>
      </c>
      <c r="L2322" s="6">
        <v>70</v>
      </c>
      <c r="N2322" s="1">
        <f t="shared" si="271"/>
        <v>0</v>
      </c>
      <c r="O2322" s="6" t="s">
        <v>126</v>
      </c>
      <c r="Q2322" s="6" t="s">
        <v>21</v>
      </c>
      <c r="R2322" s="6" t="s">
        <v>21</v>
      </c>
      <c r="S2322" s="6" t="s">
        <v>21</v>
      </c>
      <c r="T2322" s="6" t="s">
        <v>21</v>
      </c>
      <c r="U2322" s="6">
        <f t="shared" si="272"/>
        <v>7109.2419999999993</v>
      </c>
      <c r="V2322" s="6">
        <f t="shared" si="269"/>
        <v>7109.2419999999993</v>
      </c>
    </row>
    <row r="2323" spans="1:22" hidden="1" x14ac:dyDescent="0.35">
      <c r="A2323" s="6" t="s">
        <v>2551</v>
      </c>
      <c r="B2323" s="6" t="s">
        <v>2507</v>
      </c>
      <c r="C2323" s="6" t="s">
        <v>2508</v>
      </c>
      <c r="D2323" s="6">
        <f t="shared" si="273"/>
        <v>0.5</v>
      </c>
      <c r="E2323" s="6" t="s">
        <v>19</v>
      </c>
      <c r="F2323" s="6" t="str">
        <f>MID(A2323,19,1)</f>
        <v>S</v>
      </c>
      <c r="G2323" s="6">
        <v>-22.904791668104391</v>
      </c>
      <c r="H2323" s="6">
        <v>-47.206964144633261</v>
      </c>
      <c r="I2323" s="9">
        <v>405.37</v>
      </c>
      <c r="K2323" s="6">
        <v>4.62</v>
      </c>
      <c r="L2323" s="6">
        <v>50</v>
      </c>
      <c r="N2323" s="1">
        <f t="shared" si="271"/>
        <v>0</v>
      </c>
      <c r="O2323" s="6" t="s">
        <v>20</v>
      </c>
      <c r="Q2323" s="6" t="s">
        <v>21</v>
      </c>
      <c r="R2323" s="6" t="s">
        <v>21</v>
      </c>
      <c r="S2323" s="6" t="s">
        <v>21</v>
      </c>
      <c r="T2323" s="6" t="s">
        <v>21</v>
      </c>
      <c r="U2323" s="6">
        <f t="shared" si="272"/>
        <v>202.685</v>
      </c>
      <c r="V2323" s="6">
        <f t="shared" si="269"/>
        <v>202.685</v>
      </c>
    </row>
    <row r="2324" spans="1:22" hidden="1" x14ac:dyDescent="0.35">
      <c r="A2324" s="6" t="s">
        <v>2552</v>
      </c>
      <c r="B2324" s="6" t="s">
        <v>2507</v>
      </c>
      <c r="C2324" s="6" t="s">
        <v>2508</v>
      </c>
      <c r="D2324" s="6">
        <f t="shared" si="273"/>
        <v>0.5</v>
      </c>
      <c r="E2324" s="6" t="s">
        <v>19</v>
      </c>
      <c r="F2324" s="6" t="str">
        <f>MID(A2324,19,1)</f>
        <v>S</v>
      </c>
      <c r="G2324" s="6">
        <v>-22.90437605277387</v>
      </c>
      <c r="H2324" s="6">
        <v>-47.20629502716325</v>
      </c>
      <c r="I2324" s="9">
        <v>3351.57</v>
      </c>
      <c r="K2324" s="6">
        <v>4.37</v>
      </c>
      <c r="L2324" s="6">
        <v>50</v>
      </c>
      <c r="N2324" s="1">
        <f t="shared" si="271"/>
        <v>0</v>
      </c>
      <c r="O2324" s="6" t="s">
        <v>20</v>
      </c>
      <c r="Q2324" s="6" t="s">
        <v>21</v>
      </c>
      <c r="R2324" s="6" t="s">
        <v>21</v>
      </c>
      <c r="S2324" s="6" t="s">
        <v>21</v>
      </c>
      <c r="T2324" s="6" t="s">
        <v>21</v>
      </c>
      <c r="U2324" s="6">
        <f t="shared" si="272"/>
        <v>1675.7850000000001</v>
      </c>
      <c r="V2324" s="6">
        <f t="shared" si="269"/>
        <v>1675.7850000000001</v>
      </c>
    </row>
    <row r="2325" spans="1:22" x14ac:dyDescent="0.35">
      <c r="A2325" s="6" t="s">
        <v>2553</v>
      </c>
      <c r="B2325" s="6" t="s">
        <v>2507</v>
      </c>
      <c r="C2325" s="6" t="s">
        <v>2508</v>
      </c>
      <c r="D2325" s="6">
        <f t="shared" si="273"/>
        <v>0.5</v>
      </c>
      <c r="E2325" s="6" t="s">
        <v>19</v>
      </c>
      <c r="F2325" s="6" t="str">
        <f>MID(A2325,19,1)</f>
        <v>N</v>
      </c>
      <c r="G2325" s="6">
        <v>-22.903050381958291</v>
      </c>
      <c r="H2325" s="6">
        <v>-47.204072897893518</v>
      </c>
      <c r="I2325" s="9">
        <v>3559.71</v>
      </c>
      <c r="K2325" s="6">
        <v>5.78</v>
      </c>
      <c r="L2325" s="6">
        <v>50</v>
      </c>
      <c r="N2325" s="1">
        <f t="shared" si="271"/>
        <v>0</v>
      </c>
      <c r="O2325" s="6" t="s">
        <v>20</v>
      </c>
      <c r="Q2325" s="6" t="s">
        <v>21</v>
      </c>
      <c r="R2325" s="6" t="s">
        <v>21</v>
      </c>
      <c r="S2325" s="6" t="s">
        <v>21</v>
      </c>
      <c r="T2325" s="6" t="s">
        <v>21</v>
      </c>
      <c r="U2325" s="6">
        <f t="shared" si="272"/>
        <v>1779.855</v>
      </c>
      <c r="V2325" s="6">
        <f t="shared" si="269"/>
        <v>1779.855</v>
      </c>
    </row>
    <row r="2326" spans="1:22" hidden="1" x14ac:dyDescent="0.35">
      <c r="A2326" s="6" t="s">
        <v>2554</v>
      </c>
      <c r="B2326" s="6" t="s">
        <v>2507</v>
      </c>
      <c r="C2326" s="6" t="s">
        <v>2508</v>
      </c>
      <c r="D2326" s="6">
        <f t="shared" si="273"/>
        <v>0.5</v>
      </c>
      <c r="E2326" s="6" t="s">
        <v>23</v>
      </c>
      <c r="F2326" s="6" t="str">
        <f>MID(A2326,19,1)</f>
        <v>C</v>
      </c>
      <c r="G2326" s="6">
        <v>-22.858372644526959</v>
      </c>
      <c r="H2326" s="6">
        <v>-47.145041018213263</v>
      </c>
      <c r="I2326" s="9">
        <v>7259.33</v>
      </c>
      <c r="J2326" s="9">
        <f t="shared" ref="J2326:J2327" si="274">I2326/500</f>
        <v>14.518660000000001</v>
      </c>
      <c r="K2326" s="6">
        <v>2.97</v>
      </c>
      <c r="L2326" s="6">
        <v>70</v>
      </c>
      <c r="N2326" s="1">
        <f t="shared" si="271"/>
        <v>0</v>
      </c>
      <c r="O2326" s="6" t="s">
        <v>126</v>
      </c>
      <c r="Q2326" s="6" t="s">
        <v>21</v>
      </c>
      <c r="R2326" s="6" t="s">
        <v>21</v>
      </c>
      <c r="S2326" s="6" t="s">
        <v>21</v>
      </c>
      <c r="T2326" s="6" t="s">
        <v>21</v>
      </c>
      <c r="U2326" s="6">
        <f t="shared" si="272"/>
        <v>5081.5309999999999</v>
      </c>
      <c r="V2326" s="6">
        <f t="shared" si="269"/>
        <v>5081.5309999999999</v>
      </c>
    </row>
    <row r="2327" spans="1:22" hidden="1" x14ac:dyDescent="0.35">
      <c r="A2327" s="6" t="s">
        <v>2555</v>
      </c>
      <c r="B2327" s="6" t="s">
        <v>2507</v>
      </c>
      <c r="C2327" s="6" t="s">
        <v>2508</v>
      </c>
      <c r="D2327" s="6">
        <f t="shared" si="273"/>
        <v>0.5</v>
      </c>
      <c r="E2327" s="6" t="s">
        <v>23</v>
      </c>
      <c r="F2327" s="6" t="str">
        <f>MID(A2327,19,1)</f>
        <v>C</v>
      </c>
      <c r="G2327" s="6">
        <v>-22.854929189180829</v>
      </c>
      <c r="H2327" s="6">
        <v>-47.151898928753589</v>
      </c>
      <c r="I2327" s="9">
        <v>1539.96</v>
      </c>
      <c r="J2327" s="9">
        <f t="shared" si="274"/>
        <v>3.07992</v>
      </c>
      <c r="K2327" s="6">
        <v>3.45</v>
      </c>
      <c r="L2327" s="6">
        <v>50</v>
      </c>
      <c r="N2327" s="1">
        <f t="shared" si="271"/>
        <v>0</v>
      </c>
      <c r="O2327" s="6" t="s">
        <v>20</v>
      </c>
      <c r="Q2327" s="6" t="s">
        <v>21</v>
      </c>
      <c r="R2327" s="6" t="s">
        <v>21</v>
      </c>
      <c r="S2327" s="6" t="s">
        <v>21</v>
      </c>
      <c r="T2327" s="6" t="s">
        <v>21</v>
      </c>
      <c r="U2327" s="6">
        <f t="shared" si="272"/>
        <v>769.98</v>
      </c>
      <c r="V2327" s="6">
        <f t="shared" si="269"/>
        <v>769.98</v>
      </c>
    </row>
    <row r="2328" spans="1:22" x14ac:dyDescent="0.35">
      <c r="A2328" s="6" t="s">
        <v>2556</v>
      </c>
      <c r="B2328" s="6" t="s">
        <v>2507</v>
      </c>
      <c r="C2328" s="6" t="s">
        <v>2508</v>
      </c>
      <c r="D2328" s="6">
        <f t="shared" si="273"/>
        <v>0.5</v>
      </c>
      <c r="E2328" s="6" t="s">
        <v>19</v>
      </c>
      <c r="F2328" s="6" t="str">
        <f>MID(A2328,19,1)</f>
        <v>N</v>
      </c>
      <c r="G2328" s="6">
        <v>-22.856534494176699</v>
      </c>
      <c r="H2328" s="6">
        <v>-47.148142800664928</v>
      </c>
      <c r="I2328" s="9">
        <v>95.39</v>
      </c>
      <c r="K2328" s="6">
        <v>3.69</v>
      </c>
      <c r="L2328" s="6">
        <v>30</v>
      </c>
      <c r="N2328" s="1">
        <f t="shared" si="271"/>
        <v>0</v>
      </c>
      <c r="O2328" s="6" t="s">
        <v>20</v>
      </c>
      <c r="Q2328" s="6" t="s">
        <v>21</v>
      </c>
      <c r="R2328" s="6" t="s">
        <v>21</v>
      </c>
      <c r="S2328" s="6" t="s">
        <v>21</v>
      </c>
      <c r="T2328" s="6" t="s">
        <v>21</v>
      </c>
      <c r="U2328" s="6">
        <f t="shared" si="272"/>
        <v>28.617000000000001</v>
      </c>
      <c r="V2328" s="6">
        <f t="shared" si="269"/>
        <v>28.617000000000001</v>
      </c>
    </row>
    <row r="2329" spans="1:22" x14ac:dyDescent="0.35">
      <c r="A2329" s="6" t="s">
        <v>2557</v>
      </c>
      <c r="B2329" s="6" t="s">
        <v>2507</v>
      </c>
      <c r="C2329" s="6" t="s">
        <v>2508</v>
      </c>
      <c r="D2329" s="6">
        <f t="shared" si="273"/>
        <v>0.5</v>
      </c>
      <c r="E2329" s="6" t="s">
        <v>19</v>
      </c>
      <c r="F2329" s="6" t="str">
        <f>MID(A2329,19,1)</f>
        <v>N</v>
      </c>
      <c r="G2329" s="6">
        <v>-22.85751317285353</v>
      </c>
      <c r="H2329" s="6">
        <v>-47.146229277962497</v>
      </c>
      <c r="I2329" s="9">
        <v>467.81</v>
      </c>
      <c r="K2329" s="6">
        <v>4.37</v>
      </c>
      <c r="L2329" s="6">
        <v>30</v>
      </c>
      <c r="N2329" s="1">
        <f t="shared" si="271"/>
        <v>0</v>
      </c>
      <c r="O2329" s="6" t="s">
        <v>20</v>
      </c>
      <c r="Q2329" s="6" t="s">
        <v>21</v>
      </c>
      <c r="R2329" s="6" t="s">
        <v>21</v>
      </c>
      <c r="S2329" s="6" t="s">
        <v>21</v>
      </c>
      <c r="T2329" s="6" t="s">
        <v>21</v>
      </c>
      <c r="U2329" s="6">
        <f t="shared" si="272"/>
        <v>140.34299999999999</v>
      </c>
      <c r="V2329" s="6">
        <f t="shared" si="269"/>
        <v>140.34299999999999</v>
      </c>
    </row>
    <row r="2330" spans="1:22" x14ac:dyDescent="0.35">
      <c r="A2330" s="6" t="s">
        <v>2558</v>
      </c>
      <c r="B2330" s="6" t="s">
        <v>2507</v>
      </c>
      <c r="C2330" s="6" t="s">
        <v>2508</v>
      </c>
      <c r="D2330" s="6">
        <f t="shared" si="273"/>
        <v>0.5</v>
      </c>
      <c r="E2330" s="6" t="s">
        <v>19</v>
      </c>
      <c r="F2330" s="6" t="str">
        <f>MID(A2330,19,1)</f>
        <v>N</v>
      </c>
      <c r="G2330" s="6">
        <v>-22.857693843239542</v>
      </c>
      <c r="H2330" s="6">
        <v>-47.145466051986681</v>
      </c>
      <c r="I2330" s="9">
        <v>1953.65</v>
      </c>
      <c r="K2330" s="6">
        <v>3.59</v>
      </c>
      <c r="L2330" s="6">
        <v>30</v>
      </c>
      <c r="N2330" s="1">
        <f t="shared" si="271"/>
        <v>0</v>
      </c>
      <c r="O2330" s="6" t="s">
        <v>20</v>
      </c>
      <c r="Q2330" s="6" t="s">
        <v>21</v>
      </c>
      <c r="R2330" s="6" t="s">
        <v>21</v>
      </c>
      <c r="S2330" s="6" t="s">
        <v>21</v>
      </c>
      <c r="T2330" s="6" t="s">
        <v>21</v>
      </c>
      <c r="U2330" s="6">
        <f t="shared" si="272"/>
        <v>586.09500000000003</v>
      </c>
      <c r="V2330" s="6">
        <f t="shared" si="269"/>
        <v>586.09500000000003</v>
      </c>
    </row>
    <row r="2331" spans="1:22" hidden="1" x14ac:dyDescent="0.35">
      <c r="A2331" s="6" t="s">
        <v>2559</v>
      </c>
      <c r="B2331" s="6" t="s">
        <v>2507</v>
      </c>
      <c r="C2331" s="6" t="s">
        <v>2508</v>
      </c>
      <c r="D2331" s="6">
        <f t="shared" si="273"/>
        <v>0.5</v>
      </c>
      <c r="E2331" s="6" t="s">
        <v>23</v>
      </c>
      <c r="F2331" s="6" t="str">
        <f>MID(A2331,19,1)</f>
        <v>C</v>
      </c>
      <c r="G2331" s="6">
        <v>-22.902083620464339</v>
      </c>
      <c r="H2331" s="6">
        <v>-47.20690555574982</v>
      </c>
      <c r="I2331" s="9">
        <v>3747.78</v>
      </c>
      <c r="J2331" s="9">
        <f>I2331/500</f>
        <v>7.4955600000000002</v>
      </c>
      <c r="K2331" s="6">
        <v>5.18</v>
      </c>
      <c r="L2331" s="6">
        <v>50</v>
      </c>
      <c r="N2331" s="1">
        <f t="shared" si="271"/>
        <v>0</v>
      </c>
      <c r="O2331" s="6" t="s">
        <v>20</v>
      </c>
      <c r="Q2331" s="6" t="s">
        <v>21</v>
      </c>
      <c r="R2331" s="6" t="s">
        <v>21</v>
      </c>
      <c r="S2331" s="6" t="s">
        <v>21</v>
      </c>
      <c r="T2331" s="6" t="s">
        <v>21</v>
      </c>
      <c r="U2331" s="6">
        <f t="shared" si="272"/>
        <v>1873.89</v>
      </c>
      <c r="V2331" s="6">
        <f t="shared" si="269"/>
        <v>1873.89</v>
      </c>
    </row>
    <row r="2332" spans="1:22" x14ac:dyDescent="0.35">
      <c r="A2332" s="8" t="s">
        <v>2560</v>
      </c>
      <c r="B2332" s="8" t="s">
        <v>2507</v>
      </c>
      <c r="C2332" s="8" t="s">
        <v>2508</v>
      </c>
      <c r="D2332" s="6">
        <f t="shared" si="273"/>
        <v>0.5</v>
      </c>
      <c r="E2332" s="8" t="s">
        <v>19</v>
      </c>
      <c r="F2332" s="6" t="str">
        <f>MID(A2332,19,1)</f>
        <v>N</v>
      </c>
      <c r="G2332" s="8">
        <v>-22.856348355987201</v>
      </c>
      <c r="H2332" s="8">
        <v>-47.148847624995497</v>
      </c>
      <c r="I2332" s="7">
        <v>2337.42</v>
      </c>
      <c r="J2332" s="7"/>
      <c r="K2332" s="8">
        <v>3.4</v>
      </c>
      <c r="L2332" s="8">
        <v>80</v>
      </c>
      <c r="M2332" s="8"/>
      <c r="N2332" s="11">
        <f t="shared" si="271"/>
        <v>1869.9360000000001</v>
      </c>
      <c r="O2332" s="8" t="s">
        <v>71</v>
      </c>
      <c r="P2332" s="8"/>
      <c r="Q2332" s="8" t="s">
        <v>21</v>
      </c>
      <c r="R2332" s="8" t="s">
        <v>21</v>
      </c>
      <c r="S2332" s="8" t="s">
        <v>21</v>
      </c>
      <c r="T2332" s="8" t="s">
        <v>26</v>
      </c>
      <c r="U2332" s="6">
        <f t="shared" si="272"/>
        <v>0</v>
      </c>
    </row>
    <row r="2333" spans="1:22" x14ac:dyDescent="0.35">
      <c r="A2333" s="6" t="s">
        <v>2561</v>
      </c>
      <c r="B2333" s="6" t="s">
        <v>2507</v>
      </c>
      <c r="C2333" s="6" t="s">
        <v>2508</v>
      </c>
      <c r="D2333" s="6">
        <f t="shared" si="273"/>
        <v>0.5</v>
      </c>
      <c r="E2333" s="6" t="s">
        <v>19</v>
      </c>
      <c r="F2333" s="6" t="str">
        <f>MID(A2333,19,1)</f>
        <v>N</v>
      </c>
      <c r="G2333" s="6">
        <v>-22.857175104534299</v>
      </c>
      <c r="H2333" s="6">
        <v>-47.147788524384403</v>
      </c>
      <c r="I2333" s="9">
        <v>185.1</v>
      </c>
      <c r="K2333" s="6">
        <v>2.06</v>
      </c>
      <c r="L2333" s="6">
        <v>30</v>
      </c>
      <c r="N2333" s="1">
        <f t="shared" si="271"/>
        <v>0</v>
      </c>
      <c r="O2333" s="6" t="s">
        <v>20</v>
      </c>
      <c r="Q2333" s="6" t="s">
        <v>21</v>
      </c>
      <c r="R2333" s="6" t="s">
        <v>21</v>
      </c>
      <c r="S2333" s="6" t="s">
        <v>21</v>
      </c>
      <c r="T2333" s="6" t="s">
        <v>21</v>
      </c>
      <c r="U2333" s="6">
        <f t="shared" si="272"/>
        <v>55.529999999999994</v>
      </c>
      <c r="V2333" s="6">
        <f t="shared" ref="V2333:V2396" si="275">(I2333*(L2333/100))</f>
        <v>55.529999999999994</v>
      </c>
    </row>
    <row r="2334" spans="1:22" hidden="1" x14ac:dyDescent="0.35">
      <c r="A2334" s="6" t="s">
        <v>2562</v>
      </c>
      <c r="B2334" s="6" t="s">
        <v>2507</v>
      </c>
      <c r="C2334" s="6" t="s">
        <v>2508</v>
      </c>
      <c r="D2334" s="6">
        <f t="shared" si="273"/>
        <v>0.5</v>
      </c>
      <c r="E2334" s="6" t="s">
        <v>19</v>
      </c>
      <c r="F2334" s="6" t="str">
        <f>MID(A2334,19,1)</f>
        <v>S</v>
      </c>
      <c r="G2334" s="6">
        <v>-22.858674640652449</v>
      </c>
      <c r="H2334" s="6">
        <v>-47.146366819477848</v>
      </c>
      <c r="I2334" s="9">
        <v>5082.67</v>
      </c>
      <c r="K2334" s="6">
        <v>2.79</v>
      </c>
      <c r="L2334" s="6">
        <v>70</v>
      </c>
      <c r="N2334" s="1">
        <f t="shared" si="271"/>
        <v>0</v>
      </c>
      <c r="O2334" s="6" t="s">
        <v>126</v>
      </c>
      <c r="Q2334" s="6" t="s">
        <v>21</v>
      </c>
      <c r="R2334" s="6" t="s">
        <v>21</v>
      </c>
      <c r="S2334" s="6" t="s">
        <v>21</v>
      </c>
      <c r="T2334" s="6" t="s">
        <v>21</v>
      </c>
      <c r="U2334" s="6">
        <f t="shared" si="272"/>
        <v>3557.8689999999997</v>
      </c>
      <c r="V2334" s="6">
        <f t="shared" si="275"/>
        <v>3557.8689999999997</v>
      </c>
    </row>
    <row r="2335" spans="1:22" x14ac:dyDescent="0.35">
      <c r="A2335" s="6" t="s">
        <v>2563</v>
      </c>
      <c r="B2335" s="6" t="s">
        <v>2507</v>
      </c>
      <c r="C2335" s="6" t="s">
        <v>2508</v>
      </c>
      <c r="D2335" s="6">
        <f t="shared" si="273"/>
        <v>0.5</v>
      </c>
      <c r="E2335" s="6" t="s">
        <v>19</v>
      </c>
      <c r="F2335" s="6" t="str">
        <f>MID(A2335,19,1)</f>
        <v>N</v>
      </c>
      <c r="G2335" s="6">
        <v>-22.856822386808808</v>
      </c>
      <c r="H2335" s="6">
        <v>-47.146055597186603</v>
      </c>
      <c r="I2335" s="9">
        <v>10771.87</v>
      </c>
      <c r="K2335" s="6">
        <v>3.1</v>
      </c>
      <c r="L2335" s="6">
        <v>70</v>
      </c>
      <c r="N2335" s="1">
        <f t="shared" si="271"/>
        <v>0</v>
      </c>
      <c r="O2335" s="6" t="s">
        <v>126</v>
      </c>
      <c r="Q2335" s="6" t="s">
        <v>21</v>
      </c>
      <c r="R2335" s="6" t="s">
        <v>21</v>
      </c>
      <c r="S2335" s="6" t="s">
        <v>21</v>
      </c>
      <c r="T2335" s="6" t="s">
        <v>21</v>
      </c>
      <c r="U2335" s="6">
        <f t="shared" si="272"/>
        <v>7540.3090000000002</v>
      </c>
      <c r="V2335" s="6">
        <f t="shared" si="275"/>
        <v>7540.3090000000002</v>
      </c>
    </row>
    <row r="2336" spans="1:22" hidden="1" x14ac:dyDescent="0.35">
      <c r="A2336" s="6" t="s">
        <v>2564</v>
      </c>
      <c r="B2336" s="6" t="s">
        <v>2507</v>
      </c>
      <c r="C2336" s="6" t="s">
        <v>2508</v>
      </c>
      <c r="D2336" s="6">
        <f t="shared" si="273"/>
        <v>0.5</v>
      </c>
      <c r="E2336" s="6" t="s">
        <v>23</v>
      </c>
      <c r="F2336" s="6" t="str">
        <f>MID(A2336,19,1)</f>
        <v>C</v>
      </c>
      <c r="G2336" s="6">
        <v>-22.9017883421051</v>
      </c>
      <c r="H2336" s="6">
        <v>-47.206961901510333</v>
      </c>
      <c r="I2336" s="9">
        <v>6108.24</v>
      </c>
      <c r="J2336" s="9">
        <f>I2336/500</f>
        <v>12.216479999999999</v>
      </c>
      <c r="K2336" s="6">
        <v>5.18</v>
      </c>
      <c r="L2336" s="6">
        <v>80</v>
      </c>
      <c r="N2336" s="1">
        <f t="shared" si="271"/>
        <v>0</v>
      </c>
      <c r="O2336" s="6" t="s">
        <v>20</v>
      </c>
      <c r="Q2336" s="6" t="s">
        <v>21</v>
      </c>
      <c r="R2336" s="6" t="s">
        <v>21</v>
      </c>
      <c r="S2336" s="6" t="s">
        <v>21</v>
      </c>
      <c r="T2336" s="6" t="s">
        <v>21</v>
      </c>
      <c r="U2336" s="6">
        <f t="shared" si="272"/>
        <v>4886.5919999999996</v>
      </c>
      <c r="V2336" s="6">
        <f t="shared" si="275"/>
        <v>4886.5919999999996</v>
      </c>
    </row>
    <row r="2337" spans="1:22" hidden="1" x14ac:dyDescent="0.35">
      <c r="A2337" s="6" t="s">
        <v>2565</v>
      </c>
      <c r="B2337" s="6" t="s">
        <v>2507</v>
      </c>
      <c r="C2337" s="6" t="s">
        <v>2508</v>
      </c>
      <c r="D2337" s="6">
        <f t="shared" si="273"/>
        <v>0.5</v>
      </c>
      <c r="E2337" s="6" t="s">
        <v>19</v>
      </c>
      <c r="F2337" s="6" t="str">
        <f>MID(A2337,19,1)</f>
        <v>S</v>
      </c>
      <c r="G2337" s="6">
        <v>-22.859644429579671</v>
      </c>
      <c r="H2337" s="6">
        <v>-47.143894836479241</v>
      </c>
      <c r="I2337" s="9">
        <v>673.3</v>
      </c>
      <c r="K2337" s="6">
        <v>3.23</v>
      </c>
      <c r="L2337" s="6">
        <v>50</v>
      </c>
      <c r="N2337" s="1">
        <f t="shared" si="271"/>
        <v>0</v>
      </c>
      <c r="O2337" s="6" t="s">
        <v>20</v>
      </c>
      <c r="Q2337" s="6" t="s">
        <v>21</v>
      </c>
      <c r="R2337" s="6" t="s">
        <v>21</v>
      </c>
      <c r="S2337" s="6" t="s">
        <v>21</v>
      </c>
      <c r="T2337" s="6" t="s">
        <v>21</v>
      </c>
      <c r="U2337" s="6">
        <f t="shared" si="272"/>
        <v>336.65</v>
      </c>
      <c r="V2337" s="6">
        <f t="shared" si="275"/>
        <v>336.65</v>
      </c>
    </row>
    <row r="2338" spans="1:22" hidden="1" x14ac:dyDescent="0.35">
      <c r="A2338" s="6" t="s">
        <v>2566</v>
      </c>
      <c r="B2338" s="6" t="s">
        <v>2507</v>
      </c>
      <c r="C2338" s="6" t="s">
        <v>2508</v>
      </c>
      <c r="D2338" s="6">
        <f t="shared" si="273"/>
        <v>0.5</v>
      </c>
      <c r="E2338" s="6" t="s">
        <v>19</v>
      </c>
      <c r="F2338" s="6" t="str">
        <f>MID(A2338,19,1)</f>
        <v>S</v>
      </c>
      <c r="G2338" s="6">
        <v>-22.858064064304749</v>
      </c>
      <c r="H2338" s="6">
        <v>-47.146578833528842</v>
      </c>
      <c r="I2338" s="9">
        <v>585.79</v>
      </c>
      <c r="K2338" s="6">
        <v>1.99</v>
      </c>
      <c r="L2338" s="6">
        <v>50</v>
      </c>
      <c r="N2338" s="1">
        <f t="shared" si="271"/>
        <v>0</v>
      </c>
      <c r="O2338" s="6" t="s">
        <v>20</v>
      </c>
      <c r="Q2338" s="6" t="s">
        <v>21</v>
      </c>
      <c r="R2338" s="6" t="s">
        <v>21</v>
      </c>
      <c r="S2338" s="6" t="s">
        <v>21</v>
      </c>
      <c r="T2338" s="6" t="s">
        <v>21</v>
      </c>
      <c r="U2338" s="6">
        <f t="shared" si="272"/>
        <v>292.89499999999998</v>
      </c>
      <c r="V2338" s="6">
        <f t="shared" si="275"/>
        <v>292.89499999999998</v>
      </c>
    </row>
    <row r="2339" spans="1:22" hidden="1" x14ac:dyDescent="0.35">
      <c r="A2339" s="6" t="s">
        <v>2567</v>
      </c>
      <c r="B2339" s="6" t="s">
        <v>2507</v>
      </c>
      <c r="C2339" s="6" t="s">
        <v>2508</v>
      </c>
      <c r="D2339" s="6">
        <f t="shared" si="273"/>
        <v>0.5</v>
      </c>
      <c r="E2339" s="6" t="s">
        <v>19</v>
      </c>
      <c r="F2339" s="6" t="str">
        <f>MID(A2339,19,1)</f>
        <v>S</v>
      </c>
      <c r="G2339" s="6">
        <v>-22.860117173396439</v>
      </c>
      <c r="H2339" s="6">
        <v>-47.148030627111297</v>
      </c>
      <c r="I2339" s="9">
        <v>1398.04</v>
      </c>
      <c r="K2339" s="6">
        <v>3.11</v>
      </c>
      <c r="L2339" s="6">
        <v>30</v>
      </c>
      <c r="N2339" s="1">
        <f t="shared" si="271"/>
        <v>0</v>
      </c>
      <c r="O2339" s="6" t="s">
        <v>20</v>
      </c>
      <c r="Q2339" s="6" t="s">
        <v>21</v>
      </c>
      <c r="R2339" s="6" t="s">
        <v>21</v>
      </c>
      <c r="S2339" s="6" t="s">
        <v>21</v>
      </c>
      <c r="T2339" s="6" t="s">
        <v>21</v>
      </c>
      <c r="U2339" s="6">
        <f t="shared" si="272"/>
        <v>419.41199999999998</v>
      </c>
      <c r="V2339" s="6">
        <f t="shared" si="275"/>
        <v>419.41199999999998</v>
      </c>
    </row>
    <row r="2340" spans="1:22" hidden="1" x14ac:dyDescent="0.35">
      <c r="A2340" s="6" t="s">
        <v>2568</v>
      </c>
      <c r="B2340" s="6" t="s">
        <v>2569</v>
      </c>
      <c r="C2340" s="6" t="s">
        <v>2570</v>
      </c>
      <c r="D2340" s="6">
        <f t="shared" si="273"/>
        <v>0.5</v>
      </c>
      <c r="E2340" s="6" t="s">
        <v>19</v>
      </c>
      <c r="F2340" s="6" t="str">
        <f>MID(A2340,19,1)</f>
        <v>S</v>
      </c>
      <c r="G2340" s="6">
        <v>-22.850467852262572</v>
      </c>
      <c r="H2340" s="6">
        <v>-47.159485935598887</v>
      </c>
      <c r="I2340" s="9">
        <v>748.69</v>
      </c>
      <c r="K2340" s="6">
        <v>3.17</v>
      </c>
      <c r="L2340" s="6">
        <v>30</v>
      </c>
      <c r="N2340" s="1">
        <f t="shared" si="271"/>
        <v>0</v>
      </c>
      <c r="O2340" s="6" t="s">
        <v>20</v>
      </c>
      <c r="Q2340" s="6" t="s">
        <v>21</v>
      </c>
      <c r="R2340" s="6" t="s">
        <v>21</v>
      </c>
      <c r="S2340" s="6" t="s">
        <v>21</v>
      </c>
      <c r="T2340" s="6" t="s">
        <v>21</v>
      </c>
      <c r="U2340" s="6">
        <f t="shared" si="272"/>
        <v>224.607</v>
      </c>
      <c r="V2340" s="6">
        <f t="shared" si="275"/>
        <v>224.607</v>
      </c>
    </row>
    <row r="2341" spans="1:22" x14ac:dyDescent="0.35">
      <c r="A2341" s="6" t="s">
        <v>2571</v>
      </c>
      <c r="B2341" s="6" t="s">
        <v>2569</v>
      </c>
      <c r="C2341" s="6" t="s">
        <v>2570</v>
      </c>
      <c r="D2341" s="6">
        <f t="shared" si="273"/>
        <v>0.5</v>
      </c>
      <c r="E2341" s="6" t="s">
        <v>19</v>
      </c>
      <c r="F2341" s="6" t="str">
        <f>MID(A2341,19,1)</f>
        <v>N</v>
      </c>
      <c r="G2341" s="6">
        <v>-22.84945572906781</v>
      </c>
      <c r="H2341" s="6">
        <v>-47.159860691085143</v>
      </c>
      <c r="I2341" s="9">
        <v>153.99</v>
      </c>
      <c r="K2341" s="6">
        <v>2.4500000000000002</v>
      </c>
      <c r="L2341" s="6">
        <v>30</v>
      </c>
      <c r="N2341" s="1">
        <f t="shared" si="271"/>
        <v>0</v>
      </c>
      <c r="O2341" s="6" t="s">
        <v>20</v>
      </c>
      <c r="Q2341" s="6" t="s">
        <v>21</v>
      </c>
      <c r="R2341" s="6" t="s">
        <v>21</v>
      </c>
      <c r="S2341" s="6" t="s">
        <v>21</v>
      </c>
      <c r="T2341" s="6" t="s">
        <v>21</v>
      </c>
      <c r="U2341" s="6">
        <f t="shared" si="272"/>
        <v>46.197000000000003</v>
      </c>
      <c r="V2341" s="6">
        <f t="shared" si="275"/>
        <v>46.197000000000003</v>
      </c>
    </row>
    <row r="2342" spans="1:22" hidden="1" x14ac:dyDescent="0.35">
      <c r="A2342" s="6" t="s">
        <v>2572</v>
      </c>
      <c r="B2342" s="6" t="s">
        <v>2569</v>
      </c>
      <c r="C2342" s="6" t="s">
        <v>2570</v>
      </c>
      <c r="D2342" s="6">
        <f t="shared" si="273"/>
        <v>0.5</v>
      </c>
      <c r="E2342" s="6" t="s">
        <v>23</v>
      </c>
      <c r="F2342" s="6" t="str">
        <f>MID(A2342,19,1)</f>
        <v>C</v>
      </c>
      <c r="G2342" s="6">
        <v>-22.89954974059102</v>
      </c>
      <c r="H2342" s="6">
        <v>-47.211681988788897</v>
      </c>
      <c r="I2342" s="9">
        <v>6329.62</v>
      </c>
      <c r="J2342" s="9">
        <f>I2342/500</f>
        <v>12.65924</v>
      </c>
      <c r="K2342" s="6">
        <v>4.22</v>
      </c>
      <c r="L2342" s="6">
        <v>80</v>
      </c>
      <c r="N2342" s="1">
        <f t="shared" si="271"/>
        <v>0</v>
      </c>
      <c r="O2342" s="6" t="s">
        <v>20</v>
      </c>
      <c r="Q2342" s="6" t="s">
        <v>21</v>
      </c>
      <c r="R2342" s="6" t="s">
        <v>21</v>
      </c>
      <c r="S2342" s="6" t="s">
        <v>21</v>
      </c>
      <c r="T2342" s="6" t="s">
        <v>21</v>
      </c>
      <c r="U2342" s="6">
        <f t="shared" si="272"/>
        <v>5063.6959999999999</v>
      </c>
      <c r="V2342" s="6">
        <f t="shared" si="275"/>
        <v>5063.6959999999999</v>
      </c>
    </row>
    <row r="2343" spans="1:22" x14ac:dyDescent="0.35">
      <c r="A2343" s="6" t="s">
        <v>2573</v>
      </c>
      <c r="B2343" s="6" t="s">
        <v>2569</v>
      </c>
      <c r="C2343" s="6" t="s">
        <v>2570</v>
      </c>
      <c r="D2343" s="6">
        <f t="shared" si="273"/>
        <v>0.5</v>
      </c>
      <c r="E2343" s="6" t="s">
        <v>19</v>
      </c>
      <c r="F2343" s="6" t="str">
        <f>MID(A2343,19,1)</f>
        <v>N</v>
      </c>
      <c r="G2343" s="6">
        <v>-22.8993734055807</v>
      </c>
      <c r="H2343" s="6">
        <v>-47.211586139834111</v>
      </c>
      <c r="I2343" s="9">
        <v>2214.7399999999998</v>
      </c>
      <c r="K2343" s="6">
        <v>4.0599999999999996</v>
      </c>
      <c r="L2343" s="6">
        <v>70</v>
      </c>
      <c r="N2343" s="1">
        <f t="shared" si="271"/>
        <v>0</v>
      </c>
      <c r="O2343" s="6" t="s">
        <v>20</v>
      </c>
      <c r="Q2343" s="6" t="s">
        <v>21</v>
      </c>
      <c r="R2343" s="6" t="s">
        <v>21</v>
      </c>
      <c r="S2343" s="6" t="s">
        <v>21</v>
      </c>
      <c r="T2343" s="6" t="s">
        <v>21</v>
      </c>
      <c r="U2343" s="6">
        <f t="shared" si="272"/>
        <v>1550.3179999999998</v>
      </c>
      <c r="V2343" s="6">
        <f t="shared" si="275"/>
        <v>1550.3179999999998</v>
      </c>
    </row>
    <row r="2344" spans="1:22" hidden="1" x14ac:dyDescent="0.35">
      <c r="A2344" s="6" t="s">
        <v>2574</v>
      </c>
      <c r="B2344" s="6" t="s">
        <v>2569</v>
      </c>
      <c r="C2344" s="6" t="s">
        <v>2570</v>
      </c>
      <c r="D2344" s="6">
        <f t="shared" si="273"/>
        <v>0.5</v>
      </c>
      <c r="E2344" s="6" t="s">
        <v>23</v>
      </c>
      <c r="F2344" s="6" t="str">
        <f>MID(A2344,19,1)</f>
        <v>C</v>
      </c>
      <c r="G2344" s="6">
        <v>-22.849860790175669</v>
      </c>
      <c r="H2344" s="6">
        <v>-47.159840084494697</v>
      </c>
      <c r="I2344" s="9">
        <v>627.32000000000005</v>
      </c>
      <c r="J2344" s="9">
        <f>I2344/500</f>
        <v>1.2546400000000002</v>
      </c>
      <c r="K2344" s="6">
        <v>3.24</v>
      </c>
      <c r="L2344" s="6">
        <v>50</v>
      </c>
      <c r="N2344" s="1">
        <f t="shared" si="271"/>
        <v>0</v>
      </c>
      <c r="O2344" s="6" t="s">
        <v>20</v>
      </c>
      <c r="Q2344" s="6" t="s">
        <v>21</v>
      </c>
      <c r="R2344" s="6" t="s">
        <v>21</v>
      </c>
      <c r="S2344" s="6" t="s">
        <v>21</v>
      </c>
      <c r="T2344" s="6" t="s">
        <v>21</v>
      </c>
      <c r="U2344" s="6">
        <f t="shared" si="272"/>
        <v>313.66000000000003</v>
      </c>
      <c r="V2344" s="6">
        <f t="shared" si="275"/>
        <v>313.66000000000003</v>
      </c>
    </row>
    <row r="2345" spans="1:22" x14ac:dyDescent="0.35">
      <c r="A2345" s="6" t="s">
        <v>2575</v>
      </c>
      <c r="B2345" s="6" t="s">
        <v>2569</v>
      </c>
      <c r="C2345" s="6" t="s">
        <v>2570</v>
      </c>
      <c r="D2345" s="6">
        <f t="shared" si="273"/>
        <v>0.5</v>
      </c>
      <c r="E2345" s="6" t="s">
        <v>19</v>
      </c>
      <c r="F2345" s="6" t="str">
        <f>MID(A2345,19,1)</f>
        <v>N</v>
      </c>
      <c r="G2345" s="6">
        <v>-22.84967539466296</v>
      </c>
      <c r="H2345" s="6">
        <v>-47.159521560594513</v>
      </c>
      <c r="I2345" s="9">
        <v>162.85</v>
      </c>
      <c r="K2345" s="6">
        <v>2.34</v>
      </c>
      <c r="L2345" s="6">
        <v>30</v>
      </c>
      <c r="N2345" s="1">
        <f t="shared" si="271"/>
        <v>0</v>
      </c>
      <c r="O2345" s="6" t="s">
        <v>20</v>
      </c>
      <c r="Q2345" s="6" t="s">
        <v>21</v>
      </c>
      <c r="R2345" s="6" t="s">
        <v>21</v>
      </c>
      <c r="S2345" s="6" t="s">
        <v>21</v>
      </c>
      <c r="T2345" s="6" t="s">
        <v>21</v>
      </c>
      <c r="U2345" s="6">
        <f t="shared" si="272"/>
        <v>48.854999999999997</v>
      </c>
      <c r="V2345" s="6">
        <f t="shared" si="275"/>
        <v>48.854999999999997</v>
      </c>
    </row>
    <row r="2346" spans="1:22" x14ac:dyDescent="0.35">
      <c r="A2346" s="6" t="s">
        <v>2576</v>
      </c>
      <c r="B2346" s="6" t="s">
        <v>2569</v>
      </c>
      <c r="C2346" s="6" t="s">
        <v>2570</v>
      </c>
      <c r="D2346" s="6">
        <f t="shared" si="273"/>
        <v>0.5</v>
      </c>
      <c r="E2346" s="6" t="s">
        <v>19</v>
      </c>
      <c r="F2346" s="6" t="str">
        <f>MID(A2346,19,1)</f>
        <v>N</v>
      </c>
      <c r="G2346" s="6">
        <v>-22.85131623932951</v>
      </c>
      <c r="H2346" s="6">
        <v>-47.156938533366286</v>
      </c>
      <c r="I2346" s="9">
        <v>521.54999999999995</v>
      </c>
      <c r="K2346" s="6">
        <v>3.03</v>
      </c>
      <c r="L2346" s="6">
        <v>30</v>
      </c>
      <c r="N2346" s="1">
        <f t="shared" si="271"/>
        <v>0</v>
      </c>
      <c r="O2346" s="6" t="s">
        <v>20</v>
      </c>
      <c r="Q2346" s="6" t="s">
        <v>21</v>
      </c>
      <c r="R2346" s="6" t="s">
        <v>21</v>
      </c>
      <c r="S2346" s="6" t="s">
        <v>21</v>
      </c>
      <c r="T2346" s="6" t="s">
        <v>21</v>
      </c>
      <c r="U2346" s="6">
        <f t="shared" si="272"/>
        <v>156.46499999999997</v>
      </c>
      <c r="V2346" s="6">
        <f t="shared" si="275"/>
        <v>156.46499999999997</v>
      </c>
    </row>
    <row r="2347" spans="1:22" hidden="1" x14ac:dyDescent="0.35">
      <c r="A2347" s="6" t="s">
        <v>2577</v>
      </c>
      <c r="B2347" s="6" t="s">
        <v>2569</v>
      </c>
      <c r="C2347" s="6" t="s">
        <v>2570</v>
      </c>
      <c r="D2347" s="6">
        <f t="shared" si="273"/>
        <v>0.5</v>
      </c>
      <c r="E2347" s="6" t="s">
        <v>19</v>
      </c>
      <c r="F2347" s="6" t="str">
        <f>MID(A2347,19,1)</f>
        <v>S</v>
      </c>
      <c r="G2347" s="6">
        <v>-22.850177313256559</v>
      </c>
      <c r="H2347" s="6">
        <v>-47.159896692621757</v>
      </c>
      <c r="I2347" s="9">
        <v>136.88999999999999</v>
      </c>
      <c r="K2347" s="6">
        <v>1.68</v>
      </c>
      <c r="L2347" s="6">
        <v>30</v>
      </c>
      <c r="N2347" s="1">
        <f t="shared" si="271"/>
        <v>0</v>
      </c>
      <c r="O2347" s="6" t="s">
        <v>20</v>
      </c>
      <c r="Q2347" s="6" t="s">
        <v>21</v>
      </c>
      <c r="R2347" s="6" t="s">
        <v>21</v>
      </c>
      <c r="S2347" s="6" t="s">
        <v>21</v>
      </c>
      <c r="T2347" s="6" t="s">
        <v>21</v>
      </c>
      <c r="U2347" s="6">
        <f t="shared" si="272"/>
        <v>41.066999999999993</v>
      </c>
      <c r="V2347" s="6">
        <f t="shared" si="275"/>
        <v>41.066999999999993</v>
      </c>
    </row>
    <row r="2348" spans="1:22" hidden="1" x14ac:dyDescent="0.35">
      <c r="A2348" s="6" t="s">
        <v>2578</v>
      </c>
      <c r="B2348" s="6" t="s">
        <v>2569</v>
      </c>
      <c r="C2348" s="6" t="s">
        <v>2570</v>
      </c>
      <c r="D2348" s="6">
        <f t="shared" si="273"/>
        <v>0.5</v>
      </c>
      <c r="E2348" s="6" t="s">
        <v>23</v>
      </c>
      <c r="F2348" s="6" t="str">
        <f>MID(A2348,19,1)</f>
        <v>C</v>
      </c>
      <c r="G2348" s="6">
        <v>-22.853169786966092</v>
      </c>
      <c r="H2348" s="6">
        <v>-47.154655538839847</v>
      </c>
      <c r="I2348" s="9">
        <v>4559.8900000000003</v>
      </c>
      <c r="J2348" s="9">
        <f>I2348/500</f>
        <v>9.1197800000000004</v>
      </c>
      <c r="K2348" s="6">
        <v>4.03</v>
      </c>
      <c r="L2348" s="6">
        <v>50</v>
      </c>
      <c r="N2348" s="1">
        <f t="shared" si="271"/>
        <v>0</v>
      </c>
      <c r="O2348" s="6" t="s">
        <v>20</v>
      </c>
      <c r="Q2348" s="6" t="s">
        <v>21</v>
      </c>
      <c r="R2348" s="6" t="s">
        <v>21</v>
      </c>
      <c r="S2348" s="6" t="s">
        <v>21</v>
      </c>
      <c r="T2348" s="6" t="s">
        <v>21</v>
      </c>
      <c r="U2348" s="6">
        <f t="shared" si="272"/>
        <v>2279.9450000000002</v>
      </c>
      <c r="V2348" s="6">
        <f t="shared" si="275"/>
        <v>2279.9450000000002</v>
      </c>
    </row>
    <row r="2349" spans="1:22" x14ac:dyDescent="0.35">
      <c r="A2349" s="6" t="s">
        <v>2579</v>
      </c>
      <c r="B2349" s="6" t="s">
        <v>2569</v>
      </c>
      <c r="C2349" s="6" t="s">
        <v>2570</v>
      </c>
      <c r="D2349" s="6">
        <f t="shared" si="273"/>
        <v>0.5</v>
      </c>
      <c r="E2349" s="6" t="s">
        <v>19</v>
      </c>
      <c r="F2349" s="6" t="str">
        <f>MID(A2349,19,1)</f>
        <v>N</v>
      </c>
      <c r="G2349" s="6">
        <v>-22.850055210539271</v>
      </c>
      <c r="H2349" s="6">
        <v>-47.158838280453509</v>
      </c>
      <c r="I2349" s="9">
        <v>435.11</v>
      </c>
      <c r="K2349" s="6">
        <v>1.42</v>
      </c>
      <c r="L2349" s="6">
        <v>30</v>
      </c>
      <c r="N2349" s="1">
        <f t="shared" si="271"/>
        <v>0</v>
      </c>
      <c r="O2349" s="6" t="s">
        <v>20</v>
      </c>
      <c r="Q2349" s="6" t="s">
        <v>21</v>
      </c>
      <c r="R2349" s="6" t="s">
        <v>21</v>
      </c>
      <c r="S2349" s="6" t="s">
        <v>21</v>
      </c>
      <c r="T2349" s="6" t="s">
        <v>21</v>
      </c>
      <c r="U2349" s="6">
        <f t="shared" si="272"/>
        <v>130.53299999999999</v>
      </c>
      <c r="V2349" s="6">
        <f t="shared" si="275"/>
        <v>130.53299999999999</v>
      </c>
    </row>
    <row r="2350" spans="1:22" hidden="1" x14ac:dyDescent="0.35">
      <c r="A2350" s="6" t="s">
        <v>2580</v>
      </c>
      <c r="B2350" s="6" t="s">
        <v>2569</v>
      </c>
      <c r="C2350" s="6" t="s">
        <v>2570</v>
      </c>
      <c r="D2350" s="6">
        <f t="shared" si="273"/>
        <v>0.5</v>
      </c>
      <c r="E2350" s="6" t="s">
        <v>23</v>
      </c>
      <c r="F2350" s="6" t="str">
        <f>MID(A2350,19,1)</f>
        <v>C</v>
      </c>
      <c r="G2350" s="6">
        <v>-22.851029751869579</v>
      </c>
      <c r="H2350" s="6">
        <v>-47.158003256990398</v>
      </c>
      <c r="I2350" s="9">
        <v>3382.51</v>
      </c>
      <c r="J2350" s="9">
        <f>I2350/500</f>
        <v>6.7650200000000007</v>
      </c>
      <c r="K2350" s="6">
        <v>3.17</v>
      </c>
      <c r="L2350" s="6">
        <v>50</v>
      </c>
      <c r="N2350" s="1">
        <f t="shared" si="271"/>
        <v>0</v>
      </c>
      <c r="O2350" s="6" t="s">
        <v>20</v>
      </c>
      <c r="Q2350" s="6" t="s">
        <v>21</v>
      </c>
      <c r="R2350" s="6" t="s">
        <v>21</v>
      </c>
      <c r="S2350" s="6" t="s">
        <v>21</v>
      </c>
      <c r="T2350" s="6" t="s">
        <v>21</v>
      </c>
      <c r="U2350" s="6">
        <f t="shared" si="272"/>
        <v>1691.2550000000001</v>
      </c>
      <c r="V2350" s="6">
        <f t="shared" si="275"/>
        <v>1691.2550000000001</v>
      </c>
    </row>
    <row r="2351" spans="1:22" x14ac:dyDescent="0.35">
      <c r="A2351" s="6" t="s">
        <v>2581</v>
      </c>
      <c r="B2351" s="6" t="s">
        <v>2569</v>
      </c>
      <c r="C2351" s="6" t="s">
        <v>2570</v>
      </c>
      <c r="D2351" s="6">
        <f t="shared" si="273"/>
        <v>0.5</v>
      </c>
      <c r="E2351" s="6" t="s">
        <v>19</v>
      </c>
      <c r="F2351" s="6" t="str">
        <f>MID(A2351,19,1)</f>
        <v>N</v>
      </c>
      <c r="G2351" s="6">
        <v>-22.85279273846503</v>
      </c>
      <c r="H2351" s="6">
        <v>-47.154586151791378</v>
      </c>
      <c r="I2351" s="9">
        <v>2083.79</v>
      </c>
      <c r="K2351" s="6">
        <v>5.4</v>
      </c>
      <c r="L2351" s="6">
        <v>30</v>
      </c>
      <c r="N2351" s="1">
        <f t="shared" si="271"/>
        <v>0</v>
      </c>
      <c r="O2351" s="6" t="s">
        <v>20</v>
      </c>
      <c r="Q2351" s="6" t="s">
        <v>21</v>
      </c>
      <c r="R2351" s="6" t="s">
        <v>21</v>
      </c>
      <c r="S2351" s="6" t="s">
        <v>21</v>
      </c>
      <c r="T2351" s="6" t="s">
        <v>21</v>
      </c>
      <c r="U2351" s="6">
        <f t="shared" si="272"/>
        <v>625.13699999999994</v>
      </c>
      <c r="V2351" s="6">
        <f t="shared" si="275"/>
        <v>625.13699999999994</v>
      </c>
    </row>
    <row r="2352" spans="1:22" hidden="1" x14ac:dyDescent="0.35">
      <c r="A2352" s="6" t="s">
        <v>2582</v>
      </c>
      <c r="B2352" s="6" t="s">
        <v>2569</v>
      </c>
      <c r="C2352" s="6" t="s">
        <v>2570</v>
      </c>
      <c r="D2352" s="6">
        <f t="shared" si="273"/>
        <v>0.5</v>
      </c>
      <c r="E2352" s="6" t="s">
        <v>19</v>
      </c>
      <c r="F2352" s="6" t="str">
        <f>MID(A2352,19,1)</f>
        <v>S</v>
      </c>
      <c r="G2352" s="6">
        <v>-22.852180083474341</v>
      </c>
      <c r="H2352" s="6">
        <v>-47.156779725771131</v>
      </c>
      <c r="I2352" s="9">
        <v>58.5</v>
      </c>
      <c r="K2352" s="6">
        <v>4.21</v>
      </c>
      <c r="L2352" s="6">
        <v>30</v>
      </c>
      <c r="N2352" s="1">
        <f t="shared" si="271"/>
        <v>0</v>
      </c>
      <c r="O2352" s="6" t="s">
        <v>20</v>
      </c>
      <c r="Q2352" s="6" t="s">
        <v>21</v>
      </c>
      <c r="R2352" s="6" t="s">
        <v>21</v>
      </c>
      <c r="S2352" s="6" t="s">
        <v>21</v>
      </c>
      <c r="T2352" s="6" t="s">
        <v>21</v>
      </c>
      <c r="U2352" s="6">
        <f t="shared" si="272"/>
        <v>17.55</v>
      </c>
      <c r="V2352" s="6">
        <f t="shared" si="275"/>
        <v>17.55</v>
      </c>
    </row>
    <row r="2353" spans="1:22" hidden="1" x14ac:dyDescent="0.35">
      <c r="A2353" s="6" t="s">
        <v>2583</v>
      </c>
      <c r="B2353" s="6" t="s">
        <v>2569</v>
      </c>
      <c r="C2353" s="6" t="s">
        <v>2570</v>
      </c>
      <c r="D2353" s="6">
        <f t="shared" si="273"/>
        <v>0.5</v>
      </c>
      <c r="E2353" s="6" t="s">
        <v>23</v>
      </c>
      <c r="F2353" s="6" t="str">
        <f>MID(A2353,19,1)</f>
        <v>C</v>
      </c>
      <c r="G2353" s="6">
        <v>-22.8982444485145</v>
      </c>
      <c r="H2353" s="6">
        <v>-47.216507346943743</v>
      </c>
      <c r="I2353" s="9">
        <v>5444.03</v>
      </c>
      <c r="J2353" s="9">
        <f>I2353/500</f>
        <v>10.888059999999999</v>
      </c>
      <c r="K2353" s="6">
        <v>3.98</v>
      </c>
      <c r="L2353" s="6">
        <v>80</v>
      </c>
      <c r="N2353" s="1">
        <f t="shared" si="271"/>
        <v>0</v>
      </c>
      <c r="O2353" s="6" t="s">
        <v>20</v>
      </c>
      <c r="Q2353" s="6" t="s">
        <v>21</v>
      </c>
      <c r="R2353" s="6" t="s">
        <v>21</v>
      </c>
      <c r="S2353" s="6" t="s">
        <v>21</v>
      </c>
      <c r="T2353" s="6" t="s">
        <v>21</v>
      </c>
      <c r="U2353" s="6">
        <f t="shared" si="272"/>
        <v>4355.2240000000002</v>
      </c>
      <c r="V2353" s="6">
        <f t="shared" si="275"/>
        <v>4355.2240000000002</v>
      </c>
    </row>
    <row r="2354" spans="1:22" hidden="1" x14ac:dyDescent="0.35">
      <c r="A2354" s="6" t="s">
        <v>2584</v>
      </c>
      <c r="B2354" s="6" t="s">
        <v>2569</v>
      </c>
      <c r="C2354" s="6" t="s">
        <v>2570</v>
      </c>
      <c r="D2354" s="6">
        <f t="shared" si="273"/>
        <v>0.5</v>
      </c>
      <c r="E2354" s="6" t="s">
        <v>19</v>
      </c>
      <c r="F2354" s="6" t="str">
        <f>MID(A2354,19,1)</f>
        <v>S</v>
      </c>
      <c r="G2354" s="6">
        <v>-22.853359684053579</v>
      </c>
      <c r="H2354" s="6">
        <v>-47.154935706307903</v>
      </c>
      <c r="I2354" s="9">
        <v>3718.73</v>
      </c>
      <c r="K2354" s="6">
        <v>3.39</v>
      </c>
      <c r="L2354" s="6">
        <v>30</v>
      </c>
      <c r="N2354" s="1">
        <f t="shared" si="271"/>
        <v>0</v>
      </c>
      <c r="O2354" s="6" t="s">
        <v>20</v>
      </c>
      <c r="Q2354" s="6" t="s">
        <v>21</v>
      </c>
      <c r="R2354" s="6" t="s">
        <v>21</v>
      </c>
      <c r="S2354" s="6" t="s">
        <v>21</v>
      </c>
      <c r="T2354" s="6" t="s">
        <v>21</v>
      </c>
      <c r="U2354" s="6">
        <f t="shared" si="272"/>
        <v>1115.6189999999999</v>
      </c>
      <c r="V2354" s="6">
        <f t="shared" si="275"/>
        <v>1115.6189999999999</v>
      </c>
    </row>
    <row r="2355" spans="1:22" x14ac:dyDescent="0.35">
      <c r="A2355" s="6" t="s">
        <v>2585</v>
      </c>
      <c r="B2355" s="6" t="s">
        <v>2569</v>
      </c>
      <c r="C2355" s="6" t="s">
        <v>2570</v>
      </c>
      <c r="D2355" s="6">
        <f t="shared" si="273"/>
        <v>0.5</v>
      </c>
      <c r="E2355" s="6" t="s">
        <v>19</v>
      </c>
      <c r="F2355" s="6" t="str">
        <f>MID(A2355,19,1)</f>
        <v>N</v>
      </c>
      <c r="G2355" s="6">
        <v>-22.850715526177009</v>
      </c>
      <c r="H2355" s="6">
        <v>-47.157811594004549</v>
      </c>
      <c r="I2355" s="9">
        <v>295.37</v>
      </c>
      <c r="K2355" s="6">
        <v>1.34</v>
      </c>
      <c r="L2355" s="6">
        <v>30</v>
      </c>
      <c r="N2355" s="1">
        <f t="shared" si="271"/>
        <v>0</v>
      </c>
      <c r="O2355" s="6" t="s">
        <v>20</v>
      </c>
      <c r="Q2355" s="6" t="s">
        <v>21</v>
      </c>
      <c r="R2355" s="6" t="s">
        <v>21</v>
      </c>
      <c r="S2355" s="6" t="s">
        <v>21</v>
      </c>
      <c r="T2355" s="6" t="s">
        <v>21</v>
      </c>
      <c r="U2355" s="6">
        <f t="shared" si="272"/>
        <v>88.611000000000004</v>
      </c>
      <c r="V2355" s="6">
        <f t="shared" si="275"/>
        <v>88.611000000000004</v>
      </c>
    </row>
    <row r="2356" spans="1:22" x14ac:dyDescent="0.35">
      <c r="A2356" s="6" t="s">
        <v>2586</v>
      </c>
      <c r="B2356" s="6" t="s">
        <v>2569</v>
      </c>
      <c r="C2356" s="6" t="s">
        <v>2570</v>
      </c>
      <c r="D2356" s="6">
        <f t="shared" si="273"/>
        <v>0.5</v>
      </c>
      <c r="E2356" s="6" t="s">
        <v>19</v>
      </c>
      <c r="F2356" s="6" t="str">
        <f>MID(A2356,19,1)</f>
        <v>N</v>
      </c>
      <c r="G2356" s="6">
        <v>-22.898051332236019</v>
      </c>
      <c r="H2356" s="6">
        <v>-47.216430684589412</v>
      </c>
      <c r="I2356" s="9">
        <v>1936.58</v>
      </c>
      <c r="K2356" s="6">
        <v>3.47</v>
      </c>
      <c r="L2356" s="6">
        <v>70</v>
      </c>
      <c r="N2356" s="1">
        <f t="shared" si="271"/>
        <v>0</v>
      </c>
      <c r="O2356" s="6" t="s">
        <v>20</v>
      </c>
      <c r="Q2356" s="6" t="s">
        <v>21</v>
      </c>
      <c r="R2356" s="6" t="s">
        <v>21</v>
      </c>
      <c r="S2356" s="6" t="s">
        <v>21</v>
      </c>
      <c r="T2356" s="6" t="s">
        <v>21</v>
      </c>
      <c r="U2356" s="6">
        <f t="shared" si="272"/>
        <v>1355.6059999999998</v>
      </c>
      <c r="V2356" s="6">
        <f t="shared" si="275"/>
        <v>1355.6059999999998</v>
      </c>
    </row>
    <row r="2357" spans="1:22" hidden="1" x14ac:dyDescent="0.35">
      <c r="A2357" s="6" t="s">
        <v>2587</v>
      </c>
      <c r="B2357" s="6" t="s">
        <v>2569</v>
      </c>
      <c r="C2357" s="6" t="s">
        <v>2570</v>
      </c>
      <c r="D2357" s="6">
        <f t="shared" si="273"/>
        <v>0.5</v>
      </c>
      <c r="E2357" s="6" t="s">
        <v>19</v>
      </c>
      <c r="F2357" s="6" t="str">
        <f>MID(A2357,19,1)</f>
        <v>S</v>
      </c>
      <c r="G2357" s="6">
        <v>-22.89845875586126</v>
      </c>
      <c r="H2357" s="6">
        <v>-47.21649936506828</v>
      </c>
      <c r="I2357" s="9">
        <v>2003.1</v>
      </c>
      <c r="K2357" s="6">
        <v>4.3099999999999996</v>
      </c>
      <c r="L2357" s="6">
        <v>70</v>
      </c>
      <c r="N2357" s="1">
        <f t="shared" si="271"/>
        <v>0</v>
      </c>
      <c r="O2357" s="6" t="s">
        <v>20</v>
      </c>
      <c r="Q2357" s="6" t="s">
        <v>21</v>
      </c>
      <c r="R2357" s="6" t="s">
        <v>21</v>
      </c>
      <c r="S2357" s="6" t="s">
        <v>21</v>
      </c>
      <c r="T2357" s="6" t="s">
        <v>21</v>
      </c>
      <c r="U2357" s="6">
        <f t="shared" si="272"/>
        <v>1402.1699999999998</v>
      </c>
      <c r="V2357" s="6">
        <f t="shared" si="275"/>
        <v>1402.1699999999998</v>
      </c>
    </row>
    <row r="2358" spans="1:22" hidden="1" x14ac:dyDescent="0.35">
      <c r="A2358" s="6" t="s">
        <v>2588</v>
      </c>
      <c r="B2358" s="6" t="s">
        <v>2569</v>
      </c>
      <c r="C2358" s="6" t="s">
        <v>2570</v>
      </c>
      <c r="D2358" s="6">
        <f t="shared" si="273"/>
        <v>0.5</v>
      </c>
      <c r="E2358" s="6" t="s">
        <v>19</v>
      </c>
      <c r="F2358" s="6" t="str">
        <f>MID(A2358,19,1)</f>
        <v>S</v>
      </c>
      <c r="G2358" s="6">
        <v>-22.899790076808809</v>
      </c>
      <c r="H2358" s="6">
        <v>-47.211713252659457</v>
      </c>
      <c r="I2358" s="9">
        <v>2117.17</v>
      </c>
      <c r="K2358" s="6">
        <v>3.94</v>
      </c>
      <c r="L2358" s="6">
        <v>55</v>
      </c>
      <c r="N2358" s="1">
        <f t="shared" si="271"/>
        <v>0</v>
      </c>
      <c r="O2358" s="6" t="s">
        <v>20</v>
      </c>
      <c r="Q2358" s="6" t="s">
        <v>21</v>
      </c>
      <c r="R2358" s="6" t="s">
        <v>21</v>
      </c>
      <c r="S2358" s="6" t="s">
        <v>21</v>
      </c>
      <c r="T2358" s="6" t="s">
        <v>21</v>
      </c>
      <c r="U2358" s="6">
        <f t="shared" si="272"/>
        <v>1164.4435000000001</v>
      </c>
      <c r="V2358" s="6">
        <f t="shared" si="275"/>
        <v>1164.4435000000001</v>
      </c>
    </row>
    <row r="2359" spans="1:22" x14ac:dyDescent="0.35">
      <c r="A2359" s="6" t="s">
        <v>2589</v>
      </c>
      <c r="B2359" s="6" t="s">
        <v>2590</v>
      </c>
      <c r="C2359" s="6" t="s">
        <v>2591</v>
      </c>
      <c r="D2359" s="6">
        <f t="shared" si="273"/>
        <v>0.5</v>
      </c>
      <c r="E2359" s="6" t="s">
        <v>19</v>
      </c>
      <c r="F2359" s="6" t="str">
        <f>MID(A2359,19,1)</f>
        <v>N</v>
      </c>
      <c r="G2359" s="6">
        <v>-22.849220913384681</v>
      </c>
      <c r="H2359" s="6">
        <v>-47.160186693488313</v>
      </c>
      <c r="I2359" s="9">
        <v>188.61</v>
      </c>
      <c r="K2359" s="6">
        <v>3.29</v>
      </c>
      <c r="L2359" s="6">
        <v>30</v>
      </c>
      <c r="N2359" s="1">
        <f t="shared" si="271"/>
        <v>0</v>
      </c>
      <c r="O2359" s="6" t="s">
        <v>20</v>
      </c>
      <c r="Q2359" s="6" t="s">
        <v>21</v>
      </c>
      <c r="R2359" s="6" t="s">
        <v>21</v>
      </c>
      <c r="S2359" s="6" t="s">
        <v>21</v>
      </c>
      <c r="T2359" s="6" t="s">
        <v>21</v>
      </c>
      <c r="U2359" s="6">
        <f t="shared" si="272"/>
        <v>56.583000000000006</v>
      </c>
      <c r="V2359" s="6">
        <f t="shared" si="275"/>
        <v>56.583000000000006</v>
      </c>
    </row>
    <row r="2360" spans="1:22" hidden="1" x14ac:dyDescent="0.35">
      <c r="A2360" s="6" t="s">
        <v>2592</v>
      </c>
      <c r="B2360" s="6" t="s">
        <v>2590</v>
      </c>
      <c r="C2360" s="6" t="s">
        <v>2591</v>
      </c>
      <c r="D2360" s="6">
        <f t="shared" si="273"/>
        <v>0.5</v>
      </c>
      <c r="E2360" s="6" t="s">
        <v>23</v>
      </c>
      <c r="F2360" s="6" t="str">
        <f>MID(A2360,19,1)</f>
        <v>C</v>
      </c>
      <c r="G2360" s="6">
        <v>-22.844396787054642</v>
      </c>
      <c r="H2360" s="6">
        <v>-47.166221248092192</v>
      </c>
      <c r="I2360" s="9">
        <v>3521.84</v>
      </c>
      <c r="J2360" s="9">
        <f>I2360/500</f>
        <v>7.0436800000000002</v>
      </c>
      <c r="K2360" s="6">
        <v>2.44</v>
      </c>
      <c r="L2360" s="6">
        <v>50</v>
      </c>
      <c r="N2360" s="1">
        <f t="shared" si="271"/>
        <v>0</v>
      </c>
      <c r="O2360" s="6" t="s">
        <v>20</v>
      </c>
      <c r="Q2360" s="6" t="s">
        <v>21</v>
      </c>
      <c r="R2360" s="6" t="s">
        <v>21</v>
      </c>
      <c r="S2360" s="6" t="s">
        <v>21</v>
      </c>
      <c r="T2360" s="6" t="s">
        <v>21</v>
      </c>
      <c r="U2360" s="6">
        <f t="shared" si="272"/>
        <v>1760.92</v>
      </c>
      <c r="V2360" s="6">
        <f t="shared" si="275"/>
        <v>1760.92</v>
      </c>
    </row>
    <row r="2361" spans="1:22" x14ac:dyDescent="0.35">
      <c r="A2361" s="6" t="s">
        <v>2593</v>
      </c>
      <c r="B2361" s="6" t="s">
        <v>2590</v>
      </c>
      <c r="C2361" s="6" t="s">
        <v>2591</v>
      </c>
      <c r="D2361" s="6">
        <f t="shared" si="273"/>
        <v>0.5</v>
      </c>
      <c r="E2361" s="6" t="s">
        <v>19</v>
      </c>
      <c r="F2361" s="6" t="str">
        <f>MID(A2361,19,1)</f>
        <v>N</v>
      </c>
      <c r="G2361" s="6">
        <v>-22.894943534125389</v>
      </c>
      <c r="H2361" s="6">
        <v>-47.225709240037773</v>
      </c>
      <c r="I2361" s="9">
        <v>1861.77</v>
      </c>
      <c r="K2361" s="6">
        <v>2.33</v>
      </c>
      <c r="L2361" s="6">
        <v>70</v>
      </c>
      <c r="N2361" s="1">
        <f t="shared" si="271"/>
        <v>0</v>
      </c>
      <c r="O2361" s="6" t="s">
        <v>20</v>
      </c>
      <c r="Q2361" s="6" t="s">
        <v>21</v>
      </c>
      <c r="R2361" s="6" t="s">
        <v>21</v>
      </c>
      <c r="S2361" s="6" t="s">
        <v>21</v>
      </c>
      <c r="T2361" s="6" t="s">
        <v>21</v>
      </c>
      <c r="U2361" s="6">
        <f t="shared" si="272"/>
        <v>1303.2389999999998</v>
      </c>
      <c r="V2361" s="6">
        <f t="shared" si="275"/>
        <v>1303.2389999999998</v>
      </c>
    </row>
    <row r="2362" spans="1:22" x14ac:dyDescent="0.35">
      <c r="A2362" s="6" t="s">
        <v>2594</v>
      </c>
      <c r="B2362" s="6" t="s">
        <v>2590</v>
      </c>
      <c r="C2362" s="6" t="s">
        <v>2591</v>
      </c>
      <c r="D2362" s="6">
        <f t="shared" si="273"/>
        <v>0.5</v>
      </c>
      <c r="E2362" s="6" t="s">
        <v>19</v>
      </c>
      <c r="F2362" s="6" t="str">
        <f>MID(A2362,19,1)</f>
        <v>N</v>
      </c>
      <c r="G2362" s="6">
        <v>-22.845041298413111</v>
      </c>
      <c r="H2362" s="6">
        <v>-47.165055890959273</v>
      </c>
      <c r="I2362" s="9">
        <v>96.2</v>
      </c>
      <c r="K2362" s="6">
        <v>4.55</v>
      </c>
      <c r="L2362" s="6">
        <v>30</v>
      </c>
      <c r="N2362" s="1">
        <f t="shared" si="271"/>
        <v>0</v>
      </c>
      <c r="O2362" s="6" t="s">
        <v>20</v>
      </c>
      <c r="Q2362" s="6" t="s">
        <v>21</v>
      </c>
      <c r="R2362" s="6" t="s">
        <v>21</v>
      </c>
      <c r="S2362" s="6" t="s">
        <v>21</v>
      </c>
      <c r="T2362" s="6" t="s">
        <v>21</v>
      </c>
      <c r="U2362" s="6">
        <f t="shared" si="272"/>
        <v>28.86</v>
      </c>
      <c r="V2362" s="6">
        <f t="shared" si="275"/>
        <v>28.86</v>
      </c>
    </row>
    <row r="2363" spans="1:22" hidden="1" x14ac:dyDescent="0.35">
      <c r="A2363" s="6" t="s">
        <v>2595</v>
      </c>
      <c r="B2363" s="6" t="s">
        <v>2590</v>
      </c>
      <c r="C2363" s="6" t="s">
        <v>2591</v>
      </c>
      <c r="D2363" s="6">
        <f t="shared" si="273"/>
        <v>0.5</v>
      </c>
      <c r="E2363" s="6" t="s">
        <v>19</v>
      </c>
      <c r="F2363" s="6" t="str">
        <f>MID(A2363,19,1)</f>
        <v>S</v>
      </c>
      <c r="G2363" s="6">
        <v>-22.8475335558418</v>
      </c>
      <c r="H2363" s="6">
        <v>-47.16357835050237</v>
      </c>
      <c r="I2363" s="9">
        <v>186.16</v>
      </c>
      <c r="K2363" s="6">
        <v>0.64</v>
      </c>
      <c r="L2363" s="6">
        <v>30</v>
      </c>
      <c r="N2363" s="1">
        <f t="shared" si="271"/>
        <v>0</v>
      </c>
      <c r="O2363" s="6" t="s">
        <v>20</v>
      </c>
      <c r="Q2363" s="6" t="s">
        <v>21</v>
      </c>
      <c r="R2363" s="6" t="s">
        <v>21</v>
      </c>
      <c r="S2363" s="6" t="s">
        <v>21</v>
      </c>
      <c r="T2363" s="6" t="s">
        <v>21</v>
      </c>
      <c r="U2363" s="6">
        <f t="shared" si="272"/>
        <v>55.847999999999999</v>
      </c>
      <c r="V2363" s="6">
        <f t="shared" si="275"/>
        <v>55.847999999999999</v>
      </c>
    </row>
    <row r="2364" spans="1:22" hidden="1" x14ac:dyDescent="0.35">
      <c r="A2364" s="6" t="s">
        <v>2596</v>
      </c>
      <c r="B2364" s="6" t="s">
        <v>2590</v>
      </c>
      <c r="C2364" s="6" t="s">
        <v>2591</v>
      </c>
      <c r="D2364" s="6">
        <f t="shared" si="273"/>
        <v>0.5</v>
      </c>
      <c r="E2364" s="6" t="s">
        <v>19</v>
      </c>
      <c r="F2364" s="6" t="str">
        <f>MID(A2364,19,1)</f>
        <v>S</v>
      </c>
      <c r="G2364" s="6">
        <v>-22.849910822402471</v>
      </c>
      <c r="H2364" s="6">
        <v>-47.160312029123943</v>
      </c>
      <c r="I2364" s="9">
        <v>3.63</v>
      </c>
      <c r="K2364" s="6">
        <v>2.0699999999999998</v>
      </c>
      <c r="L2364" s="6">
        <v>30</v>
      </c>
      <c r="N2364" s="1">
        <f t="shared" si="271"/>
        <v>0</v>
      </c>
      <c r="O2364" s="6" t="s">
        <v>20</v>
      </c>
      <c r="Q2364" s="6" t="s">
        <v>21</v>
      </c>
      <c r="R2364" s="6" t="s">
        <v>21</v>
      </c>
      <c r="S2364" s="6" t="s">
        <v>21</v>
      </c>
      <c r="T2364" s="6" t="s">
        <v>21</v>
      </c>
      <c r="U2364" s="6">
        <f t="shared" si="272"/>
        <v>1.089</v>
      </c>
      <c r="V2364" s="6">
        <f t="shared" si="275"/>
        <v>1.089</v>
      </c>
    </row>
    <row r="2365" spans="1:22" x14ac:dyDescent="0.35">
      <c r="A2365" s="6" t="s">
        <v>2597</v>
      </c>
      <c r="B2365" s="6" t="s">
        <v>2590</v>
      </c>
      <c r="C2365" s="6" t="s">
        <v>2591</v>
      </c>
      <c r="D2365" s="6">
        <f t="shared" si="273"/>
        <v>0.5</v>
      </c>
      <c r="E2365" s="6" t="s">
        <v>19</v>
      </c>
      <c r="F2365" s="6" t="str">
        <f>MID(A2365,19,1)</f>
        <v>N</v>
      </c>
      <c r="G2365" s="6">
        <v>-22.84686116703379</v>
      </c>
      <c r="H2365" s="6">
        <v>-47.163296684495073</v>
      </c>
      <c r="I2365" s="9">
        <v>120.67</v>
      </c>
      <c r="K2365" s="6">
        <v>1.45</v>
      </c>
      <c r="L2365" s="6">
        <v>30</v>
      </c>
      <c r="N2365" s="1">
        <f t="shared" si="271"/>
        <v>0</v>
      </c>
      <c r="O2365" s="6" t="s">
        <v>20</v>
      </c>
      <c r="Q2365" s="6" t="s">
        <v>21</v>
      </c>
      <c r="R2365" s="6" t="s">
        <v>21</v>
      </c>
      <c r="S2365" s="6" t="s">
        <v>21</v>
      </c>
      <c r="T2365" s="6" t="s">
        <v>21</v>
      </c>
      <c r="U2365" s="6">
        <f t="shared" si="272"/>
        <v>36.201000000000001</v>
      </c>
      <c r="V2365" s="6">
        <f t="shared" si="275"/>
        <v>36.201000000000001</v>
      </c>
    </row>
    <row r="2366" spans="1:22" x14ac:dyDescent="0.35">
      <c r="A2366" s="6" t="s">
        <v>2598</v>
      </c>
      <c r="B2366" s="6" t="s">
        <v>2590</v>
      </c>
      <c r="C2366" s="6" t="s">
        <v>2591</v>
      </c>
      <c r="D2366" s="6">
        <f t="shared" si="273"/>
        <v>0.5</v>
      </c>
      <c r="E2366" s="6" t="s">
        <v>19</v>
      </c>
      <c r="F2366" s="6" t="str">
        <f>MID(A2366,19,1)</f>
        <v>N</v>
      </c>
      <c r="G2366" s="6">
        <v>-22.844212328668409</v>
      </c>
      <c r="H2366" s="6">
        <v>-47.16594623461183</v>
      </c>
      <c r="I2366" s="9">
        <v>1152.99</v>
      </c>
      <c r="K2366" s="6">
        <v>2.5</v>
      </c>
      <c r="L2366" s="6">
        <v>30</v>
      </c>
      <c r="N2366" s="1">
        <f t="shared" si="271"/>
        <v>0</v>
      </c>
      <c r="O2366" s="6" t="s">
        <v>20</v>
      </c>
      <c r="Q2366" s="6" t="s">
        <v>21</v>
      </c>
      <c r="R2366" s="6" t="s">
        <v>21</v>
      </c>
      <c r="S2366" s="6" t="s">
        <v>21</v>
      </c>
      <c r="T2366" s="6" t="s">
        <v>21</v>
      </c>
      <c r="U2366" s="6">
        <f t="shared" si="272"/>
        <v>345.89699999999999</v>
      </c>
      <c r="V2366" s="6">
        <f t="shared" si="275"/>
        <v>345.89699999999999</v>
      </c>
    </row>
    <row r="2367" spans="1:22" hidden="1" x14ac:dyDescent="0.35">
      <c r="A2367" s="6" t="s">
        <v>2599</v>
      </c>
      <c r="B2367" s="6" t="s">
        <v>2590</v>
      </c>
      <c r="C2367" s="6" t="s">
        <v>2591</v>
      </c>
      <c r="D2367" s="6">
        <f t="shared" si="273"/>
        <v>0.5</v>
      </c>
      <c r="E2367" s="6" t="s">
        <v>19</v>
      </c>
      <c r="F2367" s="6" t="str">
        <f>MID(A2367,19,1)</f>
        <v>S</v>
      </c>
      <c r="G2367" s="6">
        <v>-22.849937814747541</v>
      </c>
      <c r="H2367" s="6">
        <v>-47.160361744558116</v>
      </c>
      <c r="I2367" s="9">
        <v>26.45</v>
      </c>
      <c r="K2367" s="6">
        <v>1.17</v>
      </c>
      <c r="L2367" s="6">
        <v>30</v>
      </c>
      <c r="N2367" s="1">
        <f t="shared" si="271"/>
        <v>0</v>
      </c>
      <c r="O2367" s="6" t="s">
        <v>20</v>
      </c>
      <c r="Q2367" s="6" t="s">
        <v>21</v>
      </c>
      <c r="R2367" s="6" t="s">
        <v>21</v>
      </c>
      <c r="S2367" s="6" t="s">
        <v>21</v>
      </c>
      <c r="T2367" s="6" t="s">
        <v>21</v>
      </c>
      <c r="U2367" s="6">
        <f t="shared" si="272"/>
        <v>7.9349999999999996</v>
      </c>
      <c r="V2367" s="6">
        <f t="shared" si="275"/>
        <v>7.9349999999999996</v>
      </c>
    </row>
    <row r="2368" spans="1:22" hidden="1" x14ac:dyDescent="0.35">
      <c r="A2368" s="6" t="s">
        <v>2600</v>
      </c>
      <c r="B2368" s="6" t="s">
        <v>2590</v>
      </c>
      <c r="C2368" s="6" t="s">
        <v>2591</v>
      </c>
      <c r="D2368" s="6">
        <f t="shared" si="273"/>
        <v>0.5</v>
      </c>
      <c r="E2368" s="6" t="s">
        <v>19</v>
      </c>
      <c r="F2368" s="6" t="str">
        <f>MID(A2368,19,1)</f>
        <v>S</v>
      </c>
      <c r="G2368" s="6">
        <v>-22.84675778441343</v>
      </c>
      <c r="H2368" s="6">
        <v>-47.164422707391317</v>
      </c>
      <c r="I2368" s="9">
        <v>344.03</v>
      </c>
      <c r="K2368" s="6">
        <v>2.5</v>
      </c>
      <c r="L2368" s="6">
        <v>30</v>
      </c>
      <c r="N2368" s="1">
        <f t="shared" si="271"/>
        <v>0</v>
      </c>
      <c r="O2368" s="6" t="s">
        <v>20</v>
      </c>
      <c r="Q2368" s="6" t="s">
        <v>21</v>
      </c>
      <c r="R2368" s="6" t="s">
        <v>21</v>
      </c>
      <c r="S2368" s="6" t="s">
        <v>21</v>
      </c>
      <c r="T2368" s="6" t="s">
        <v>21</v>
      </c>
      <c r="U2368" s="6">
        <f t="shared" si="272"/>
        <v>103.20899999999999</v>
      </c>
      <c r="V2368" s="6">
        <f t="shared" si="275"/>
        <v>103.20899999999999</v>
      </c>
    </row>
    <row r="2369" spans="1:22" x14ac:dyDescent="0.35">
      <c r="A2369" s="6" t="s">
        <v>2601</v>
      </c>
      <c r="B2369" s="6" t="s">
        <v>2590</v>
      </c>
      <c r="C2369" s="6" t="s">
        <v>2591</v>
      </c>
      <c r="D2369" s="6">
        <f t="shared" si="273"/>
        <v>0.5</v>
      </c>
      <c r="E2369" s="6" t="s">
        <v>19</v>
      </c>
      <c r="F2369" s="6" t="str">
        <f>MID(A2369,19,1)</f>
        <v>N</v>
      </c>
      <c r="G2369" s="6">
        <v>-22.845157115064929</v>
      </c>
      <c r="H2369" s="6">
        <v>-47.165029147256448</v>
      </c>
      <c r="I2369" s="9">
        <v>96.77</v>
      </c>
      <c r="K2369" s="6">
        <v>3.92</v>
      </c>
      <c r="L2369" s="6">
        <v>30</v>
      </c>
      <c r="N2369" s="1">
        <f t="shared" si="271"/>
        <v>0</v>
      </c>
      <c r="O2369" s="6" t="s">
        <v>20</v>
      </c>
      <c r="Q2369" s="6" t="s">
        <v>21</v>
      </c>
      <c r="R2369" s="6" t="s">
        <v>21</v>
      </c>
      <c r="S2369" s="6" t="s">
        <v>21</v>
      </c>
      <c r="T2369" s="6" t="s">
        <v>21</v>
      </c>
      <c r="U2369" s="6">
        <f t="shared" si="272"/>
        <v>29.030999999999999</v>
      </c>
      <c r="V2369" s="6">
        <f t="shared" si="275"/>
        <v>29.030999999999999</v>
      </c>
    </row>
    <row r="2370" spans="1:22" hidden="1" x14ac:dyDescent="0.35">
      <c r="A2370" s="6" t="s">
        <v>2602</v>
      </c>
      <c r="B2370" s="6" t="s">
        <v>2590</v>
      </c>
      <c r="C2370" s="6" t="s">
        <v>2591</v>
      </c>
      <c r="D2370" s="6">
        <f t="shared" si="273"/>
        <v>0.5</v>
      </c>
      <c r="E2370" s="6" t="s">
        <v>19</v>
      </c>
      <c r="F2370" s="6" t="str">
        <f>MID(A2370,19,1)</f>
        <v>S</v>
      </c>
      <c r="G2370" s="6">
        <v>-22.847221668084821</v>
      </c>
      <c r="H2370" s="6">
        <v>-47.163957585306868</v>
      </c>
      <c r="I2370" s="9">
        <v>61.96</v>
      </c>
      <c r="K2370" s="6">
        <v>0.82</v>
      </c>
      <c r="L2370" s="6">
        <v>30</v>
      </c>
      <c r="N2370" s="1">
        <f t="shared" ref="N2370:N2433" si="276">IF(OR(R2370="Sim",S2370="Sim",T2370="Sim"),(L2370/100)*I2370,0)</f>
        <v>0</v>
      </c>
      <c r="O2370" s="6" t="s">
        <v>20</v>
      </c>
      <c r="Q2370" s="6" t="s">
        <v>21</v>
      </c>
      <c r="R2370" s="6" t="s">
        <v>21</v>
      </c>
      <c r="S2370" s="6" t="s">
        <v>21</v>
      </c>
      <c r="T2370" s="6" t="s">
        <v>21</v>
      </c>
      <c r="U2370" s="6">
        <f t="shared" si="272"/>
        <v>18.588000000000001</v>
      </c>
      <c r="V2370" s="6">
        <f t="shared" si="275"/>
        <v>18.588000000000001</v>
      </c>
    </row>
    <row r="2371" spans="1:22" hidden="1" x14ac:dyDescent="0.35">
      <c r="A2371" s="6" t="s">
        <v>2603</v>
      </c>
      <c r="B2371" s="6" t="s">
        <v>2590</v>
      </c>
      <c r="C2371" s="6" t="s">
        <v>2591</v>
      </c>
      <c r="D2371" s="6">
        <f t="shared" si="273"/>
        <v>0.5</v>
      </c>
      <c r="E2371" s="6" t="s">
        <v>19</v>
      </c>
      <c r="F2371" s="6" t="str">
        <f>MID(A2371,19,1)</f>
        <v>S</v>
      </c>
      <c r="G2371" s="6">
        <v>-22.897202028196389</v>
      </c>
      <c r="H2371" s="6">
        <v>-47.221733800069217</v>
      </c>
      <c r="I2371" s="9">
        <v>1997.96</v>
      </c>
      <c r="K2371" s="6">
        <v>2.66</v>
      </c>
      <c r="L2371" s="6">
        <v>70</v>
      </c>
      <c r="N2371" s="1">
        <f t="shared" si="276"/>
        <v>0</v>
      </c>
      <c r="O2371" s="6" t="s">
        <v>20</v>
      </c>
      <c r="Q2371" s="6" t="s">
        <v>21</v>
      </c>
      <c r="R2371" s="6" t="s">
        <v>21</v>
      </c>
      <c r="S2371" s="6" t="s">
        <v>21</v>
      </c>
      <c r="T2371" s="6" t="s">
        <v>21</v>
      </c>
      <c r="U2371" s="6">
        <f t="shared" ref="U2371:U2434" si="277">IF(N2371=0,(I2371*(L2371/100)),0)</f>
        <v>1398.5719999999999</v>
      </c>
      <c r="V2371" s="6">
        <f t="shared" si="275"/>
        <v>1398.5719999999999</v>
      </c>
    </row>
    <row r="2372" spans="1:22" hidden="1" x14ac:dyDescent="0.35">
      <c r="A2372" s="6" t="s">
        <v>2604</v>
      </c>
      <c r="B2372" s="6" t="s">
        <v>2590</v>
      </c>
      <c r="C2372" s="6" t="s">
        <v>2591</v>
      </c>
      <c r="D2372" s="6">
        <f t="shared" si="273"/>
        <v>0.5</v>
      </c>
      <c r="E2372" s="6" t="s">
        <v>23</v>
      </c>
      <c r="F2372" s="6" t="str">
        <f>MID(A2372,19,1)</f>
        <v>C</v>
      </c>
      <c r="G2372" s="6">
        <v>-22.896952052461359</v>
      </c>
      <c r="H2372" s="6">
        <v>-47.221831438176373</v>
      </c>
      <c r="I2372" s="9">
        <v>5474.95</v>
      </c>
      <c r="J2372" s="9">
        <f>I2372/500</f>
        <v>10.9499</v>
      </c>
      <c r="K2372" s="6">
        <v>2.39</v>
      </c>
      <c r="L2372" s="6">
        <v>80</v>
      </c>
      <c r="N2372" s="1">
        <f t="shared" si="276"/>
        <v>0</v>
      </c>
      <c r="O2372" s="6" t="s">
        <v>20</v>
      </c>
      <c r="Q2372" s="6" t="s">
        <v>21</v>
      </c>
      <c r="R2372" s="6" t="s">
        <v>21</v>
      </c>
      <c r="S2372" s="6" t="s">
        <v>21</v>
      </c>
      <c r="T2372" s="6" t="s">
        <v>21</v>
      </c>
      <c r="U2372" s="6">
        <f t="shared" si="277"/>
        <v>4379.96</v>
      </c>
      <c r="V2372" s="6">
        <f t="shared" si="275"/>
        <v>4379.96</v>
      </c>
    </row>
    <row r="2373" spans="1:22" x14ac:dyDescent="0.35">
      <c r="A2373" s="6" t="s">
        <v>2605</v>
      </c>
      <c r="B2373" s="6" t="s">
        <v>2590</v>
      </c>
      <c r="C2373" s="6" t="s">
        <v>2591</v>
      </c>
      <c r="D2373" s="6">
        <f t="shared" si="273"/>
        <v>0.5</v>
      </c>
      <c r="E2373" s="6" t="s">
        <v>19</v>
      </c>
      <c r="F2373" s="6" t="str">
        <f>MID(A2373,19,1)</f>
        <v>N</v>
      </c>
      <c r="G2373" s="6">
        <v>-22.84717162032338</v>
      </c>
      <c r="H2373" s="6">
        <v>-47.16295641802121</v>
      </c>
      <c r="I2373" s="9">
        <v>396.46</v>
      </c>
      <c r="K2373" s="6">
        <v>1.22</v>
      </c>
      <c r="L2373" s="6">
        <v>30</v>
      </c>
      <c r="N2373" s="1">
        <f t="shared" si="276"/>
        <v>0</v>
      </c>
      <c r="O2373" s="6" t="s">
        <v>20</v>
      </c>
      <c r="Q2373" s="6" t="s">
        <v>21</v>
      </c>
      <c r="R2373" s="6" t="s">
        <v>21</v>
      </c>
      <c r="S2373" s="6" t="s">
        <v>21</v>
      </c>
      <c r="T2373" s="6" t="s">
        <v>21</v>
      </c>
      <c r="U2373" s="6">
        <f t="shared" si="277"/>
        <v>118.93799999999999</v>
      </c>
      <c r="V2373" s="6">
        <f t="shared" si="275"/>
        <v>118.93799999999999</v>
      </c>
    </row>
    <row r="2374" spans="1:22" hidden="1" x14ac:dyDescent="0.35">
      <c r="A2374" s="6" t="s">
        <v>2606</v>
      </c>
      <c r="B2374" s="6" t="s">
        <v>2590</v>
      </c>
      <c r="C2374" s="6" t="s">
        <v>2591</v>
      </c>
      <c r="D2374" s="6">
        <f t="shared" si="273"/>
        <v>0.5</v>
      </c>
      <c r="E2374" s="6" t="s">
        <v>19</v>
      </c>
      <c r="F2374" s="6" t="str">
        <f>MID(A2374,19,1)</f>
        <v>S</v>
      </c>
      <c r="G2374" s="6">
        <v>-22.846013520619021</v>
      </c>
      <c r="H2374" s="6">
        <v>-47.165163673521668</v>
      </c>
      <c r="I2374" s="9">
        <v>327.78</v>
      </c>
      <c r="K2374" s="6">
        <v>4.95</v>
      </c>
      <c r="L2374" s="6">
        <v>30</v>
      </c>
      <c r="N2374" s="1">
        <f t="shared" si="276"/>
        <v>0</v>
      </c>
      <c r="O2374" s="6" t="s">
        <v>20</v>
      </c>
      <c r="Q2374" s="6" t="s">
        <v>21</v>
      </c>
      <c r="R2374" s="6" t="s">
        <v>21</v>
      </c>
      <c r="S2374" s="6" t="s">
        <v>21</v>
      </c>
      <c r="T2374" s="6" t="s">
        <v>21</v>
      </c>
      <c r="U2374" s="6">
        <f t="shared" si="277"/>
        <v>98.333999999999989</v>
      </c>
      <c r="V2374" s="6">
        <f t="shared" si="275"/>
        <v>98.333999999999989</v>
      </c>
    </row>
    <row r="2375" spans="1:22" hidden="1" x14ac:dyDescent="0.35">
      <c r="A2375" s="6" t="s">
        <v>2607</v>
      </c>
      <c r="B2375" s="6" t="s">
        <v>2590</v>
      </c>
      <c r="C2375" s="6" t="s">
        <v>2591</v>
      </c>
      <c r="D2375" s="6">
        <f t="shared" si="273"/>
        <v>0.5</v>
      </c>
      <c r="E2375" s="6" t="s">
        <v>19</v>
      </c>
      <c r="F2375" s="6" t="str">
        <f>MID(A2375,19,1)</f>
        <v>S</v>
      </c>
      <c r="G2375" s="6">
        <v>-22.895265872632251</v>
      </c>
      <c r="H2375" s="6">
        <v>-47.22597208712974</v>
      </c>
      <c r="I2375" s="9">
        <v>1968.38</v>
      </c>
      <c r="K2375" s="6">
        <v>1.93</v>
      </c>
      <c r="L2375" s="6">
        <v>70</v>
      </c>
      <c r="N2375" s="1">
        <f t="shared" si="276"/>
        <v>0</v>
      </c>
      <c r="O2375" s="6" t="s">
        <v>20</v>
      </c>
      <c r="Q2375" s="6" t="s">
        <v>21</v>
      </c>
      <c r="R2375" s="6" t="s">
        <v>21</v>
      </c>
      <c r="S2375" s="6" t="s">
        <v>21</v>
      </c>
      <c r="T2375" s="6" t="s">
        <v>21</v>
      </c>
      <c r="U2375" s="6">
        <f t="shared" si="277"/>
        <v>1377.866</v>
      </c>
      <c r="V2375" s="6">
        <f t="shared" si="275"/>
        <v>1377.866</v>
      </c>
    </row>
    <row r="2376" spans="1:22" hidden="1" x14ac:dyDescent="0.35">
      <c r="A2376" s="6" t="s">
        <v>2608</v>
      </c>
      <c r="B2376" s="6" t="s">
        <v>2590</v>
      </c>
      <c r="C2376" s="6" t="s">
        <v>2591</v>
      </c>
      <c r="D2376" s="6">
        <f t="shared" si="273"/>
        <v>0.5</v>
      </c>
      <c r="E2376" s="6" t="s">
        <v>19</v>
      </c>
      <c r="F2376" s="6" t="str">
        <f>MID(A2376,19,1)</f>
        <v>S</v>
      </c>
      <c r="G2376" s="6">
        <v>-22.84735334013028</v>
      </c>
      <c r="H2376" s="6">
        <v>-47.16379622543009</v>
      </c>
      <c r="I2376" s="9">
        <v>55.72</v>
      </c>
      <c r="K2376" s="6">
        <v>0.64</v>
      </c>
      <c r="L2376" s="6">
        <v>30</v>
      </c>
      <c r="N2376" s="1">
        <f t="shared" si="276"/>
        <v>0</v>
      </c>
      <c r="O2376" s="6" t="s">
        <v>20</v>
      </c>
      <c r="Q2376" s="6" t="s">
        <v>21</v>
      </c>
      <c r="R2376" s="6" t="s">
        <v>21</v>
      </c>
      <c r="S2376" s="6" t="s">
        <v>21</v>
      </c>
      <c r="T2376" s="6" t="s">
        <v>21</v>
      </c>
      <c r="U2376" s="6">
        <f t="shared" si="277"/>
        <v>16.715999999999998</v>
      </c>
      <c r="V2376" s="6">
        <f t="shared" si="275"/>
        <v>16.715999999999998</v>
      </c>
    </row>
    <row r="2377" spans="1:22" x14ac:dyDescent="0.35">
      <c r="A2377" s="6" t="s">
        <v>2609</v>
      </c>
      <c r="B2377" s="6" t="s">
        <v>2590</v>
      </c>
      <c r="C2377" s="6" t="s">
        <v>2591</v>
      </c>
      <c r="D2377" s="6">
        <f t="shared" si="273"/>
        <v>0.5</v>
      </c>
      <c r="E2377" s="6" t="s">
        <v>19</v>
      </c>
      <c r="F2377" s="6" t="str">
        <f>MID(A2377,19,1)</f>
        <v>N</v>
      </c>
      <c r="G2377" s="6">
        <v>-22.845972466975802</v>
      </c>
      <c r="H2377" s="6">
        <v>-47.16422693356089</v>
      </c>
      <c r="I2377" s="9">
        <v>857.73</v>
      </c>
      <c r="K2377" s="6">
        <v>5.76</v>
      </c>
      <c r="L2377" s="6">
        <v>30</v>
      </c>
      <c r="N2377" s="1">
        <f t="shared" si="276"/>
        <v>0</v>
      </c>
      <c r="O2377" s="6" t="s">
        <v>20</v>
      </c>
      <c r="Q2377" s="6" t="s">
        <v>21</v>
      </c>
      <c r="R2377" s="6" t="s">
        <v>21</v>
      </c>
      <c r="S2377" s="6" t="s">
        <v>21</v>
      </c>
      <c r="T2377" s="6" t="s">
        <v>21</v>
      </c>
      <c r="U2377" s="6">
        <f t="shared" si="277"/>
        <v>257.31900000000002</v>
      </c>
      <c r="V2377" s="6">
        <f t="shared" si="275"/>
        <v>257.31900000000002</v>
      </c>
    </row>
    <row r="2378" spans="1:22" hidden="1" x14ac:dyDescent="0.35">
      <c r="A2378" s="6" t="s">
        <v>2610</v>
      </c>
      <c r="B2378" s="6" t="s">
        <v>2590</v>
      </c>
      <c r="C2378" s="6" t="s">
        <v>2591</v>
      </c>
      <c r="D2378" s="6">
        <f t="shared" si="273"/>
        <v>0.5</v>
      </c>
      <c r="E2378" s="6" t="s">
        <v>19</v>
      </c>
      <c r="F2378" s="6" t="str">
        <f>MID(A2378,19,1)</f>
        <v>S</v>
      </c>
      <c r="G2378" s="6">
        <v>-22.897810403453221</v>
      </c>
      <c r="H2378" s="6">
        <v>-47.219376118034667</v>
      </c>
      <c r="I2378" s="9">
        <v>496.02</v>
      </c>
      <c r="K2378" s="6">
        <v>2.77</v>
      </c>
      <c r="L2378" s="6">
        <v>70</v>
      </c>
      <c r="N2378" s="1">
        <f t="shared" si="276"/>
        <v>0</v>
      </c>
      <c r="O2378" s="6" t="s">
        <v>20</v>
      </c>
      <c r="Q2378" s="6" t="s">
        <v>21</v>
      </c>
      <c r="R2378" s="6" t="s">
        <v>21</v>
      </c>
      <c r="S2378" s="6" t="s">
        <v>21</v>
      </c>
      <c r="T2378" s="6" t="s">
        <v>21</v>
      </c>
      <c r="U2378" s="6">
        <f t="shared" si="277"/>
        <v>347.21399999999994</v>
      </c>
      <c r="V2378" s="6">
        <f t="shared" si="275"/>
        <v>347.21399999999994</v>
      </c>
    </row>
    <row r="2379" spans="1:22" x14ac:dyDescent="0.35">
      <c r="A2379" s="6" t="s">
        <v>2611</v>
      </c>
      <c r="B2379" s="6" t="s">
        <v>2590</v>
      </c>
      <c r="C2379" s="6" t="s">
        <v>2591</v>
      </c>
      <c r="D2379" s="6">
        <f t="shared" si="273"/>
        <v>0.5</v>
      </c>
      <c r="E2379" s="6" t="s">
        <v>19</v>
      </c>
      <c r="F2379" s="6" t="str">
        <f>MID(A2379,19,1)</f>
        <v>N</v>
      </c>
      <c r="G2379" s="6">
        <v>-22.897297079786259</v>
      </c>
      <c r="H2379" s="6">
        <v>-47.219234801954357</v>
      </c>
      <c r="I2379" s="9">
        <v>526.47</v>
      </c>
      <c r="K2379" s="6">
        <v>4.18</v>
      </c>
      <c r="L2379" s="6">
        <v>70</v>
      </c>
      <c r="N2379" s="1">
        <f t="shared" si="276"/>
        <v>0</v>
      </c>
      <c r="O2379" s="6" t="s">
        <v>20</v>
      </c>
      <c r="Q2379" s="6" t="s">
        <v>21</v>
      </c>
      <c r="R2379" s="6" t="s">
        <v>21</v>
      </c>
      <c r="S2379" s="6" t="s">
        <v>21</v>
      </c>
      <c r="T2379" s="6" t="s">
        <v>21</v>
      </c>
      <c r="U2379" s="6">
        <f t="shared" si="277"/>
        <v>368.529</v>
      </c>
      <c r="V2379" s="6">
        <f t="shared" si="275"/>
        <v>368.529</v>
      </c>
    </row>
    <row r="2380" spans="1:22" hidden="1" x14ac:dyDescent="0.35">
      <c r="A2380" s="6" t="s">
        <v>2612</v>
      </c>
      <c r="B2380" s="6" t="s">
        <v>2590</v>
      </c>
      <c r="C2380" s="6" t="s">
        <v>2591</v>
      </c>
      <c r="D2380" s="6">
        <f t="shared" si="273"/>
        <v>0.5</v>
      </c>
      <c r="E2380" s="6" t="s">
        <v>23</v>
      </c>
      <c r="F2380" s="6" t="str">
        <f>MID(A2380,19,1)</f>
        <v>C</v>
      </c>
      <c r="G2380" s="6">
        <v>-22.897606108707961</v>
      </c>
      <c r="H2380" s="6">
        <v>-47.219175957300664</v>
      </c>
      <c r="I2380" s="9">
        <v>958.26</v>
      </c>
      <c r="J2380" s="9">
        <f t="shared" ref="J2380:J2383" si="278">I2380/500</f>
        <v>1.91652</v>
      </c>
      <c r="K2380" s="6">
        <v>4.12</v>
      </c>
      <c r="L2380" s="6">
        <v>80</v>
      </c>
      <c r="N2380" s="1">
        <f t="shared" si="276"/>
        <v>0</v>
      </c>
      <c r="O2380" s="6" t="s">
        <v>20</v>
      </c>
      <c r="Q2380" s="6" t="s">
        <v>21</v>
      </c>
      <c r="R2380" s="6" t="s">
        <v>21</v>
      </c>
      <c r="S2380" s="6" t="s">
        <v>21</v>
      </c>
      <c r="T2380" s="6" t="s">
        <v>21</v>
      </c>
      <c r="U2380" s="6">
        <f t="shared" si="277"/>
        <v>766.60800000000006</v>
      </c>
      <c r="V2380" s="6">
        <f t="shared" si="275"/>
        <v>766.60800000000006</v>
      </c>
    </row>
    <row r="2381" spans="1:22" hidden="1" x14ac:dyDescent="0.35">
      <c r="A2381" s="6" t="s">
        <v>2613</v>
      </c>
      <c r="B2381" s="6" t="s">
        <v>2590</v>
      </c>
      <c r="C2381" s="6" t="s">
        <v>2591</v>
      </c>
      <c r="D2381" s="6">
        <f t="shared" si="273"/>
        <v>0.5</v>
      </c>
      <c r="E2381" s="6" t="s">
        <v>23</v>
      </c>
      <c r="F2381" s="6" t="str">
        <f>MID(A2381,19,1)</f>
        <v>C</v>
      </c>
      <c r="G2381" s="6">
        <v>-22.895119792443449</v>
      </c>
      <c r="H2381" s="6">
        <v>-47.225812953752701</v>
      </c>
      <c r="I2381" s="9">
        <v>5189.47</v>
      </c>
      <c r="J2381" s="9">
        <f t="shared" si="278"/>
        <v>10.37894</v>
      </c>
      <c r="K2381" s="6">
        <v>2.12</v>
      </c>
      <c r="L2381" s="6">
        <v>80</v>
      </c>
      <c r="N2381" s="1">
        <f t="shared" si="276"/>
        <v>0</v>
      </c>
      <c r="O2381" s="6" t="s">
        <v>20</v>
      </c>
      <c r="Q2381" s="6" t="s">
        <v>21</v>
      </c>
      <c r="R2381" s="6" t="s">
        <v>21</v>
      </c>
      <c r="S2381" s="6" t="s">
        <v>21</v>
      </c>
      <c r="T2381" s="6" t="s">
        <v>21</v>
      </c>
      <c r="U2381" s="6">
        <f t="shared" si="277"/>
        <v>4151.576</v>
      </c>
      <c r="V2381" s="6">
        <f t="shared" si="275"/>
        <v>4151.576</v>
      </c>
    </row>
    <row r="2382" spans="1:22" hidden="1" x14ac:dyDescent="0.35">
      <c r="A2382" s="6" t="s">
        <v>2614</v>
      </c>
      <c r="B2382" s="6" t="s">
        <v>2590</v>
      </c>
      <c r="C2382" s="6" t="s">
        <v>2591</v>
      </c>
      <c r="D2382" s="6">
        <f t="shared" ref="D2382:D2445" si="279">C2382-B2382</f>
        <v>0.5</v>
      </c>
      <c r="E2382" s="6" t="s">
        <v>23</v>
      </c>
      <c r="F2382" s="6" t="str">
        <f>MID(A2382,19,1)</f>
        <v>C</v>
      </c>
      <c r="G2382" s="6">
        <v>-22.84842889499809</v>
      </c>
      <c r="H2382" s="6">
        <v>-47.16186220443965</v>
      </c>
      <c r="I2382" s="9">
        <v>4258.8999999999996</v>
      </c>
      <c r="J2382" s="9">
        <f t="shared" si="278"/>
        <v>8.5177999999999994</v>
      </c>
      <c r="K2382" s="6">
        <v>2.35</v>
      </c>
      <c r="L2382" s="6">
        <v>50</v>
      </c>
      <c r="N2382" s="1">
        <f t="shared" si="276"/>
        <v>0</v>
      </c>
      <c r="O2382" s="6" t="s">
        <v>20</v>
      </c>
      <c r="Q2382" s="6" t="s">
        <v>21</v>
      </c>
      <c r="R2382" s="6" t="s">
        <v>21</v>
      </c>
      <c r="S2382" s="6" t="s">
        <v>21</v>
      </c>
      <c r="T2382" s="6" t="s">
        <v>21</v>
      </c>
      <c r="U2382" s="6">
        <f t="shared" si="277"/>
        <v>2129.4499999999998</v>
      </c>
      <c r="V2382" s="6">
        <f t="shared" si="275"/>
        <v>2129.4499999999998</v>
      </c>
    </row>
    <row r="2383" spans="1:22" hidden="1" x14ac:dyDescent="0.35">
      <c r="A2383" s="6" t="s">
        <v>2615</v>
      </c>
      <c r="B2383" s="6" t="s">
        <v>2590</v>
      </c>
      <c r="C2383" s="6" t="s">
        <v>2591</v>
      </c>
      <c r="D2383" s="6">
        <f t="shared" si="279"/>
        <v>0.5</v>
      </c>
      <c r="E2383" s="6" t="s">
        <v>23</v>
      </c>
      <c r="F2383" s="6" t="str">
        <f>MID(A2383,19,1)</f>
        <v>C</v>
      </c>
      <c r="G2383" s="6">
        <v>-22.84636524091351</v>
      </c>
      <c r="H2383" s="6">
        <v>-47.164325757246843</v>
      </c>
      <c r="I2383" s="9">
        <v>2097.52</v>
      </c>
      <c r="J2383" s="9">
        <f t="shared" si="278"/>
        <v>4.1950399999999997</v>
      </c>
      <c r="K2383" s="6">
        <v>3.21</v>
      </c>
      <c r="L2383" s="6">
        <v>50</v>
      </c>
      <c r="N2383" s="1">
        <f t="shared" si="276"/>
        <v>0</v>
      </c>
      <c r="O2383" s="6" t="s">
        <v>20</v>
      </c>
      <c r="Q2383" s="6" t="s">
        <v>21</v>
      </c>
      <c r="R2383" s="6" t="s">
        <v>21</v>
      </c>
      <c r="S2383" s="6" t="s">
        <v>21</v>
      </c>
      <c r="T2383" s="6" t="s">
        <v>21</v>
      </c>
      <c r="U2383" s="6">
        <f t="shared" si="277"/>
        <v>1048.76</v>
      </c>
      <c r="V2383" s="6">
        <f t="shared" si="275"/>
        <v>1048.76</v>
      </c>
    </row>
    <row r="2384" spans="1:22" hidden="1" x14ac:dyDescent="0.35">
      <c r="A2384" s="6" t="s">
        <v>2616</v>
      </c>
      <c r="B2384" s="6" t="s">
        <v>2590</v>
      </c>
      <c r="C2384" s="6" t="s">
        <v>2591</v>
      </c>
      <c r="D2384" s="6">
        <f t="shared" si="279"/>
        <v>0.5</v>
      </c>
      <c r="E2384" s="6" t="s">
        <v>19</v>
      </c>
      <c r="F2384" s="6" t="str">
        <f>MID(A2384,19,1)</f>
        <v>S</v>
      </c>
      <c r="G2384" s="6">
        <v>-22.844613416225481</v>
      </c>
      <c r="H2384" s="6">
        <v>-47.166518559619838</v>
      </c>
      <c r="I2384" s="9">
        <v>1827.18</v>
      </c>
      <c r="K2384" s="6">
        <v>3.02</v>
      </c>
      <c r="L2384" s="6">
        <v>30</v>
      </c>
      <c r="N2384" s="1">
        <f t="shared" si="276"/>
        <v>0</v>
      </c>
      <c r="O2384" s="6" t="s">
        <v>20</v>
      </c>
      <c r="Q2384" s="6" t="s">
        <v>21</v>
      </c>
      <c r="R2384" s="6" t="s">
        <v>21</v>
      </c>
      <c r="S2384" s="6" t="s">
        <v>21</v>
      </c>
      <c r="T2384" s="6" t="s">
        <v>21</v>
      </c>
      <c r="U2384" s="6">
        <f t="shared" si="277"/>
        <v>548.154</v>
      </c>
      <c r="V2384" s="6">
        <f t="shared" si="275"/>
        <v>548.154</v>
      </c>
    </row>
    <row r="2385" spans="1:22" x14ac:dyDescent="0.35">
      <c r="A2385" s="6" t="s">
        <v>2617</v>
      </c>
      <c r="B2385" s="6" t="s">
        <v>2590</v>
      </c>
      <c r="C2385" s="6" t="s">
        <v>2591</v>
      </c>
      <c r="D2385" s="6">
        <f t="shared" si="279"/>
        <v>0.5</v>
      </c>
      <c r="E2385" s="6" t="s">
        <v>19</v>
      </c>
      <c r="F2385" s="6" t="str">
        <f>MID(A2385,19,1)</f>
        <v>N</v>
      </c>
      <c r="G2385" s="6">
        <v>-22.896789158581459</v>
      </c>
      <c r="H2385" s="6">
        <v>-47.221425268881283</v>
      </c>
      <c r="I2385" s="9">
        <v>2203.81</v>
      </c>
      <c r="K2385" s="6">
        <v>2.8</v>
      </c>
      <c r="L2385" s="6">
        <v>70</v>
      </c>
      <c r="N2385" s="1">
        <f t="shared" si="276"/>
        <v>0</v>
      </c>
      <c r="O2385" s="6" t="s">
        <v>20</v>
      </c>
      <c r="Q2385" s="6" t="s">
        <v>21</v>
      </c>
      <c r="R2385" s="6" t="s">
        <v>21</v>
      </c>
      <c r="S2385" s="6" t="s">
        <v>21</v>
      </c>
      <c r="T2385" s="6" t="s">
        <v>21</v>
      </c>
      <c r="U2385" s="6">
        <f t="shared" si="277"/>
        <v>1542.6669999999999</v>
      </c>
      <c r="V2385" s="6">
        <f t="shared" si="275"/>
        <v>1542.6669999999999</v>
      </c>
    </row>
    <row r="2386" spans="1:22" x14ac:dyDescent="0.35">
      <c r="A2386" s="6" t="s">
        <v>2618</v>
      </c>
      <c r="B2386" s="6" t="s">
        <v>2619</v>
      </c>
      <c r="C2386" s="6" t="s">
        <v>2620</v>
      </c>
      <c r="D2386" s="6">
        <f t="shared" si="279"/>
        <v>0.5</v>
      </c>
      <c r="E2386" s="6" t="s">
        <v>19</v>
      </c>
      <c r="F2386" s="6" t="str">
        <f>MID(A2386,19,1)</f>
        <v>N</v>
      </c>
      <c r="G2386" s="6">
        <v>-22.840741810560189</v>
      </c>
      <c r="H2386" s="6">
        <v>-47.16839285916258</v>
      </c>
      <c r="I2386" s="9">
        <v>1800.55</v>
      </c>
      <c r="K2386" s="6">
        <v>4.59</v>
      </c>
      <c r="L2386" s="6">
        <v>30</v>
      </c>
      <c r="N2386" s="1">
        <f t="shared" si="276"/>
        <v>0</v>
      </c>
      <c r="O2386" s="6" t="s">
        <v>20</v>
      </c>
      <c r="Q2386" s="6" t="s">
        <v>21</v>
      </c>
      <c r="R2386" s="6" t="s">
        <v>21</v>
      </c>
      <c r="S2386" s="6" t="s">
        <v>21</v>
      </c>
      <c r="T2386" s="6" t="s">
        <v>21</v>
      </c>
      <c r="U2386" s="6">
        <f t="shared" si="277"/>
        <v>540.16499999999996</v>
      </c>
      <c r="V2386" s="6">
        <f t="shared" si="275"/>
        <v>540.16499999999996</v>
      </c>
    </row>
    <row r="2387" spans="1:22" hidden="1" x14ac:dyDescent="0.35">
      <c r="A2387" s="6" t="s">
        <v>2621</v>
      </c>
      <c r="B2387" s="6" t="s">
        <v>2619</v>
      </c>
      <c r="C2387" s="6" t="s">
        <v>2620</v>
      </c>
      <c r="D2387" s="6">
        <f t="shared" si="279"/>
        <v>0.5</v>
      </c>
      <c r="E2387" s="6" t="s">
        <v>19</v>
      </c>
      <c r="F2387" s="6" t="str">
        <f>MID(A2387,19,1)</f>
        <v>S</v>
      </c>
      <c r="G2387" s="6">
        <v>-22.891364813499781</v>
      </c>
      <c r="H2387" s="6">
        <v>-47.228443712131707</v>
      </c>
      <c r="I2387" s="9">
        <v>2154.36</v>
      </c>
      <c r="K2387" s="6">
        <v>1.74</v>
      </c>
      <c r="L2387" s="6">
        <v>70</v>
      </c>
      <c r="N2387" s="1">
        <f t="shared" si="276"/>
        <v>0</v>
      </c>
      <c r="O2387" s="6" t="s">
        <v>20</v>
      </c>
      <c r="Q2387" s="6" t="s">
        <v>21</v>
      </c>
      <c r="R2387" s="6" t="s">
        <v>21</v>
      </c>
      <c r="S2387" s="6" t="s">
        <v>21</v>
      </c>
      <c r="T2387" s="6" t="s">
        <v>21</v>
      </c>
      <c r="U2387" s="6">
        <f t="shared" si="277"/>
        <v>1508.0519999999999</v>
      </c>
      <c r="V2387" s="6">
        <f t="shared" si="275"/>
        <v>1508.0519999999999</v>
      </c>
    </row>
    <row r="2388" spans="1:22" hidden="1" x14ac:dyDescent="0.35">
      <c r="A2388" s="6" t="s">
        <v>2622</v>
      </c>
      <c r="B2388" s="6" t="s">
        <v>2619</v>
      </c>
      <c r="C2388" s="6" t="s">
        <v>2620</v>
      </c>
      <c r="D2388" s="6">
        <f t="shared" si="279"/>
        <v>0.5</v>
      </c>
      <c r="E2388" s="6" t="s">
        <v>19</v>
      </c>
      <c r="F2388" s="6" t="str">
        <f>MID(A2388,19,1)</f>
        <v>S</v>
      </c>
      <c r="G2388" s="6">
        <v>-22.844225176281149</v>
      </c>
      <c r="H2388" s="6">
        <v>-47.168125462751412</v>
      </c>
      <c r="I2388" s="9">
        <v>10</v>
      </c>
      <c r="K2388" s="6">
        <v>1.91</v>
      </c>
      <c r="N2388" s="1">
        <f t="shared" si="276"/>
        <v>0</v>
      </c>
      <c r="Q2388" s="6" t="s">
        <v>21</v>
      </c>
      <c r="R2388" s="6" t="s">
        <v>21</v>
      </c>
      <c r="S2388" s="6" t="s">
        <v>21</v>
      </c>
      <c r="T2388" s="6" t="s">
        <v>21</v>
      </c>
      <c r="U2388" s="6">
        <f t="shared" si="277"/>
        <v>0</v>
      </c>
      <c r="V2388" s="6">
        <f t="shared" si="275"/>
        <v>0</v>
      </c>
    </row>
    <row r="2389" spans="1:22" hidden="1" x14ac:dyDescent="0.35">
      <c r="A2389" s="6" t="s">
        <v>2623</v>
      </c>
      <c r="B2389" s="6" t="s">
        <v>2619</v>
      </c>
      <c r="C2389" s="6" t="s">
        <v>2620</v>
      </c>
      <c r="D2389" s="6">
        <f t="shared" si="279"/>
        <v>0.5</v>
      </c>
      <c r="E2389" s="6" t="s">
        <v>23</v>
      </c>
      <c r="F2389" s="6" t="str">
        <f>MID(A2389,19,1)</f>
        <v>C</v>
      </c>
      <c r="G2389" s="6">
        <v>-22.886904525375051</v>
      </c>
      <c r="H2389" s="6">
        <v>-47.229681493950558</v>
      </c>
      <c r="I2389" s="9">
        <v>5730.27</v>
      </c>
      <c r="J2389" s="9">
        <f>I2389/500</f>
        <v>11.460540000000002</v>
      </c>
      <c r="K2389" s="6">
        <v>1.78</v>
      </c>
      <c r="L2389" s="6">
        <v>80</v>
      </c>
      <c r="N2389" s="1">
        <f t="shared" si="276"/>
        <v>0</v>
      </c>
      <c r="O2389" s="6" t="s">
        <v>20</v>
      </c>
      <c r="Q2389" s="6" t="s">
        <v>21</v>
      </c>
      <c r="R2389" s="6" t="s">
        <v>21</v>
      </c>
      <c r="S2389" s="6" t="s">
        <v>21</v>
      </c>
      <c r="T2389" s="6" t="s">
        <v>21</v>
      </c>
      <c r="U2389" s="6">
        <f t="shared" si="277"/>
        <v>4584.2160000000003</v>
      </c>
      <c r="V2389" s="6">
        <f t="shared" si="275"/>
        <v>4584.2160000000003</v>
      </c>
    </row>
    <row r="2390" spans="1:22" hidden="1" x14ac:dyDescent="0.35">
      <c r="A2390" s="6" t="s">
        <v>2624</v>
      </c>
      <c r="B2390" s="6" t="s">
        <v>2619</v>
      </c>
      <c r="C2390" s="6" t="s">
        <v>2620</v>
      </c>
      <c r="D2390" s="6">
        <f t="shared" si="279"/>
        <v>0.5</v>
      </c>
      <c r="E2390" s="6" t="s">
        <v>19</v>
      </c>
      <c r="F2390" s="6" t="str">
        <f>MID(A2390,19,1)</f>
        <v>S</v>
      </c>
      <c r="G2390" s="6">
        <v>-22.84239799259927</v>
      </c>
      <c r="H2390" s="6">
        <v>-47.169353007591589</v>
      </c>
      <c r="I2390" s="9">
        <v>2036.01</v>
      </c>
      <c r="K2390" s="6">
        <v>6.47</v>
      </c>
      <c r="L2390" s="6">
        <v>30</v>
      </c>
      <c r="N2390" s="1">
        <f t="shared" si="276"/>
        <v>0</v>
      </c>
      <c r="O2390" s="6" t="s">
        <v>20</v>
      </c>
      <c r="Q2390" s="6" t="s">
        <v>21</v>
      </c>
      <c r="R2390" s="6" t="s">
        <v>21</v>
      </c>
      <c r="S2390" s="6" t="s">
        <v>21</v>
      </c>
      <c r="T2390" s="6" t="s">
        <v>21</v>
      </c>
      <c r="U2390" s="6">
        <f t="shared" si="277"/>
        <v>610.803</v>
      </c>
      <c r="V2390" s="6">
        <f t="shared" si="275"/>
        <v>610.803</v>
      </c>
    </row>
    <row r="2391" spans="1:22" x14ac:dyDescent="0.35">
      <c r="A2391" s="6" t="s">
        <v>2625</v>
      </c>
      <c r="B2391" s="6" t="s">
        <v>2619</v>
      </c>
      <c r="C2391" s="6" t="s">
        <v>2620</v>
      </c>
      <c r="D2391" s="6">
        <f t="shared" si="279"/>
        <v>0.5</v>
      </c>
      <c r="E2391" s="6" t="s">
        <v>19</v>
      </c>
      <c r="F2391" s="6" t="str">
        <f>MID(A2391,19,1)</f>
        <v>N</v>
      </c>
      <c r="G2391" s="6">
        <v>-22.88673031562303</v>
      </c>
      <c r="H2391" s="6">
        <v>-47.229538306847871</v>
      </c>
      <c r="I2391" s="9">
        <v>2052.86</v>
      </c>
      <c r="K2391" s="6">
        <v>1.82</v>
      </c>
      <c r="L2391" s="6">
        <v>70</v>
      </c>
      <c r="N2391" s="1">
        <f t="shared" si="276"/>
        <v>0</v>
      </c>
      <c r="O2391" s="6" t="s">
        <v>20</v>
      </c>
      <c r="Q2391" s="6" t="s">
        <v>21</v>
      </c>
      <c r="R2391" s="6" t="s">
        <v>21</v>
      </c>
      <c r="S2391" s="6" t="s">
        <v>21</v>
      </c>
      <c r="T2391" s="6" t="s">
        <v>21</v>
      </c>
      <c r="U2391" s="6">
        <f t="shared" si="277"/>
        <v>1437.002</v>
      </c>
      <c r="V2391" s="6">
        <f t="shared" si="275"/>
        <v>1437.002</v>
      </c>
    </row>
    <row r="2392" spans="1:22" hidden="1" x14ac:dyDescent="0.35">
      <c r="A2392" s="6" t="s">
        <v>2626</v>
      </c>
      <c r="B2392" s="6" t="s">
        <v>2619</v>
      </c>
      <c r="C2392" s="6" t="s">
        <v>2620</v>
      </c>
      <c r="D2392" s="6">
        <f t="shared" si="279"/>
        <v>0.5</v>
      </c>
      <c r="E2392" s="6" t="s">
        <v>23</v>
      </c>
      <c r="F2392" s="6" t="str">
        <f>MID(A2392,19,1)</f>
        <v>C</v>
      </c>
      <c r="G2392" s="6">
        <v>-22.841251733731308</v>
      </c>
      <c r="H2392" s="6">
        <v>-47.168179624243038</v>
      </c>
      <c r="I2392" s="9">
        <v>6997.12</v>
      </c>
      <c r="J2392" s="9">
        <f t="shared" ref="J2392:J2393" si="280">I2392/500</f>
        <v>13.99424</v>
      </c>
      <c r="K2392" s="6">
        <v>3.88</v>
      </c>
      <c r="L2392" s="6">
        <v>70</v>
      </c>
      <c r="N2392" s="1">
        <f t="shared" si="276"/>
        <v>0</v>
      </c>
      <c r="O2392" s="6" t="s">
        <v>126</v>
      </c>
      <c r="Q2392" s="6" t="s">
        <v>21</v>
      </c>
      <c r="R2392" s="6" t="s">
        <v>21</v>
      </c>
      <c r="S2392" s="6" t="s">
        <v>21</v>
      </c>
      <c r="T2392" s="6" t="s">
        <v>21</v>
      </c>
      <c r="U2392" s="6">
        <f t="shared" si="277"/>
        <v>4897.9839999999995</v>
      </c>
      <c r="V2392" s="6">
        <f t="shared" si="275"/>
        <v>4897.9839999999995</v>
      </c>
    </row>
    <row r="2393" spans="1:22" hidden="1" x14ac:dyDescent="0.35">
      <c r="A2393" s="6" t="s">
        <v>2627</v>
      </c>
      <c r="B2393" s="6" t="s">
        <v>2619</v>
      </c>
      <c r="C2393" s="6" t="s">
        <v>2620</v>
      </c>
      <c r="D2393" s="6">
        <f t="shared" si="279"/>
        <v>0.5</v>
      </c>
      <c r="E2393" s="6" t="s">
        <v>23</v>
      </c>
      <c r="F2393" s="6" t="str">
        <f>MID(A2393,19,1)</f>
        <v>C</v>
      </c>
      <c r="G2393" s="6">
        <v>-22.842180975113649</v>
      </c>
      <c r="H2393" s="6">
        <v>-47.169324055932812</v>
      </c>
      <c r="I2393" s="9">
        <v>6825.35</v>
      </c>
      <c r="J2393" s="9">
        <f t="shared" si="280"/>
        <v>13.650700000000001</v>
      </c>
      <c r="K2393" s="6">
        <v>8.64</v>
      </c>
      <c r="L2393" s="6">
        <v>70</v>
      </c>
      <c r="N2393" s="1">
        <f t="shared" si="276"/>
        <v>0</v>
      </c>
      <c r="O2393" s="6" t="s">
        <v>71</v>
      </c>
      <c r="Q2393" s="6" t="s">
        <v>21</v>
      </c>
      <c r="R2393" s="6" t="s">
        <v>21</v>
      </c>
      <c r="S2393" s="6" t="s">
        <v>21</v>
      </c>
      <c r="T2393" s="6" t="s">
        <v>21</v>
      </c>
      <c r="U2393" s="6">
        <f t="shared" si="277"/>
        <v>4777.7449999999999</v>
      </c>
      <c r="V2393" s="6">
        <f t="shared" si="275"/>
        <v>4777.7449999999999</v>
      </c>
    </row>
    <row r="2394" spans="1:22" x14ac:dyDescent="0.35">
      <c r="A2394" s="6" t="s">
        <v>2628</v>
      </c>
      <c r="B2394" s="6" t="s">
        <v>2619</v>
      </c>
      <c r="C2394" s="6" t="s">
        <v>2620</v>
      </c>
      <c r="D2394" s="6">
        <f t="shared" si="279"/>
        <v>0.5</v>
      </c>
      <c r="E2394" s="6" t="s">
        <v>19</v>
      </c>
      <c r="F2394" s="6" t="str">
        <f>MID(A2394,19,1)</f>
        <v>N</v>
      </c>
      <c r="G2394" s="6">
        <v>-22.839296844124831</v>
      </c>
      <c r="H2394" s="6">
        <v>-47.170546301395028</v>
      </c>
      <c r="I2394" s="9">
        <v>522.79999999999995</v>
      </c>
      <c r="K2394" s="6">
        <v>3.79</v>
      </c>
      <c r="L2394" s="6">
        <v>30</v>
      </c>
      <c r="N2394" s="1">
        <f t="shared" si="276"/>
        <v>0</v>
      </c>
      <c r="O2394" s="6" t="s">
        <v>20</v>
      </c>
      <c r="Q2394" s="6" t="s">
        <v>21</v>
      </c>
      <c r="R2394" s="6" t="s">
        <v>21</v>
      </c>
      <c r="S2394" s="6" t="s">
        <v>21</v>
      </c>
      <c r="T2394" s="6" t="s">
        <v>21</v>
      </c>
      <c r="U2394" s="6">
        <f t="shared" si="277"/>
        <v>156.83999999999997</v>
      </c>
      <c r="V2394" s="6">
        <f t="shared" si="275"/>
        <v>156.83999999999997</v>
      </c>
    </row>
    <row r="2395" spans="1:22" x14ac:dyDescent="0.35">
      <c r="A2395" s="6" t="s">
        <v>2629</v>
      </c>
      <c r="B2395" s="6" t="s">
        <v>2619</v>
      </c>
      <c r="C2395" s="6" t="s">
        <v>2620</v>
      </c>
      <c r="D2395" s="6">
        <f t="shared" si="279"/>
        <v>0.5</v>
      </c>
      <c r="E2395" s="6" t="s">
        <v>19</v>
      </c>
      <c r="F2395" s="6" t="str">
        <f>MID(A2395,19,1)</f>
        <v>N</v>
      </c>
      <c r="G2395" s="6">
        <v>-22.84275137961934</v>
      </c>
      <c r="H2395" s="6">
        <v>-47.167285357969007</v>
      </c>
      <c r="I2395" s="9">
        <v>317.41000000000003</v>
      </c>
      <c r="K2395" s="6">
        <v>2.5499999999999998</v>
      </c>
      <c r="L2395" s="6">
        <v>30</v>
      </c>
      <c r="N2395" s="1">
        <f t="shared" si="276"/>
        <v>0</v>
      </c>
      <c r="O2395" s="6" t="s">
        <v>20</v>
      </c>
      <c r="Q2395" s="6" t="s">
        <v>21</v>
      </c>
      <c r="R2395" s="6" t="s">
        <v>21</v>
      </c>
      <c r="S2395" s="6" t="s">
        <v>21</v>
      </c>
      <c r="T2395" s="6" t="s">
        <v>21</v>
      </c>
      <c r="U2395" s="6">
        <f t="shared" si="277"/>
        <v>95.222999999999999</v>
      </c>
      <c r="V2395" s="6">
        <f t="shared" si="275"/>
        <v>95.222999999999999</v>
      </c>
    </row>
    <row r="2396" spans="1:22" x14ac:dyDescent="0.35">
      <c r="A2396" s="6" t="s">
        <v>2630</v>
      </c>
      <c r="B2396" s="6" t="s">
        <v>2619</v>
      </c>
      <c r="C2396" s="6" t="s">
        <v>2620</v>
      </c>
      <c r="D2396" s="6">
        <f t="shared" si="279"/>
        <v>0.5</v>
      </c>
      <c r="E2396" s="6" t="s">
        <v>19</v>
      </c>
      <c r="F2396" s="6" t="str">
        <f>MID(A2396,19,1)</f>
        <v>N</v>
      </c>
      <c r="G2396" s="6">
        <v>-22.843298727636551</v>
      </c>
      <c r="H2396" s="6">
        <v>-47.166767508716923</v>
      </c>
      <c r="I2396" s="9">
        <v>100.33</v>
      </c>
      <c r="K2396" s="6">
        <v>2.63</v>
      </c>
      <c r="L2396" s="6">
        <v>30</v>
      </c>
      <c r="N2396" s="1">
        <f t="shared" si="276"/>
        <v>0</v>
      </c>
      <c r="O2396" s="6" t="s">
        <v>20</v>
      </c>
      <c r="Q2396" s="6" t="s">
        <v>21</v>
      </c>
      <c r="R2396" s="6" t="s">
        <v>21</v>
      </c>
      <c r="S2396" s="6" t="s">
        <v>21</v>
      </c>
      <c r="T2396" s="6" t="s">
        <v>21</v>
      </c>
      <c r="U2396" s="6">
        <f t="shared" si="277"/>
        <v>30.098999999999997</v>
      </c>
      <c r="V2396" s="6">
        <f t="shared" si="275"/>
        <v>30.098999999999997</v>
      </c>
    </row>
    <row r="2397" spans="1:22" x14ac:dyDescent="0.35">
      <c r="A2397" s="6" t="s">
        <v>2631</v>
      </c>
      <c r="B2397" s="6" t="s">
        <v>2619</v>
      </c>
      <c r="C2397" s="6" t="s">
        <v>2620</v>
      </c>
      <c r="D2397" s="6">
        <f t="shared" si="279"/>
        <v>0.5</v>
      </c>
      <c r="E2397" s="6" t="s">
        <v>19</v>
      </c>
      <c r="F2397" s="6" t="str">
        <f>MID(A2397,19,1)</f>
        <v>N</v>
      </c>
      <c r="G2397" s="6">
        <v>-22.891176611562869</v>
      </c>
      <c r="H2397" s="6">
        <v>-47.228047797041192</v>
      </c>
      <c r="I2397" s="9">
        <v>2096.83</v>
      </c>
      <c r="K2397" s="6">
        <v>1.83</v>
      </c>
      <c r="L2397" s="6">
        <v>70</v>
      </c>
      <c r="N2397" s="1">
        <f t="shared" si="276"/>
        <v>0</v>
      </c>
      <c r="O2397" s="6" t="s">
        <v>20</v>
      </c>
      <c r="Q2397" s="6" t="s">
        <v>21</v>
      </c>
      <c r="R2397" s="6" t="s">
        <v>21</v>
      </c>
      <c r="S2397" s="6" t="s">
        <v>21</v>
      </c>
      <c r="T2397" s="6" t="s">
        <v>21</v>
      </c>
      <c r="U2397" s="6">
        <f t="shared" si="277"/>
        <v>1467.7809999999999</v>
      </c>
      <c r="V2397" s="6">
        <f t="shared" ref="V2397:V2415" si="281">(I2397*(L2397/100))</f>
        <v>1467.7809999999999</v>
      </c>
    </row>
    <row r="2398" spans="1:22" hidden="1" x14ac:dyDescent="0.35">
      <c r="A2398" s="6" t="s">
        <v>2632</v>
      </c>
      <c r="B2398" s="6" t="s">
        <v>2619</v>
      </c>
      <c r="C2398" s="6" t="s">
        <v>2620</v>
      </c>
      <c r="D2398" s="6">
        <f t="shared" si="279"/>
        <v>0.5</v>
      </c>
      <c r="E2398" s="6" t="s">
        <v>19</v>
      </c>
      <c r="F2398" s="6" t="str">
        <f>MID(A2398,19,1)</f>
        <v>S</v>
      </c>
      <c r="G2398" s="6">
        <v>-22.843957270217381</v>
      </c>
      <c r="H2398" s="6">
        <v>-47.168283180885183</v>
      </c>
      <c r="I2398" s="9">
        <v>281.49</v>
      </c>
      <c r="K2398" s="6">
        <v>5.54</v>
      </c>
      <c r="L2398" s="6">
        <v>30</v>
      </c>
      <c r="N2398" s="1">
        <f t="shared" si="276"/>
        <v>0</v>
      </c>
      <c r="O2398" s="6" t="s">
        <v>20</v>
      </c>
      <c r="Q2398" s="6" t="s">
        <v>21</v>
      </c>
      <c r="R2398" s="6" t="s">
        <v>21</v>
      </c>
      <c r="S2398" s="6" t="s">
        <v>21</v>
      </c>
      <c r="T2398" s="6" t="s">
        <v>21</v>
      </c>
      <c r="U2398" s="6">
        <f t="shared" si="277"/>
        <v>84.447000000000003</v>
      </c>
      <c r="V2398" s="6">
        <f t="shared" si="281"/>
        <v>84.447000000000003</v>
      </c>
    </row>
    <row r="2399" spans="1:22" hidden="1" x14ac:dyDescent="0.35">
      <c r="A2399" s="6" t="s">
        <v>2633</v>
      </c>
      <c r="B2399" s="6" t="s">
        <v>2619</v>
      </c>
      <c r="C2399" s="6" t="s">
        <v>2620</v>
      </c>
      <c r="D2399" s="6">
        <f t="shared" si="279"/>
        <v>0.5</v>
      </c>
      <c r="E2399" s="6" t="s">
        <v>19</v>
      </c>
      <c r="F2399" s="6" t="str">
        <f>MID(A2399,19,1)</f>
        <v>S</v>
      </c>
      <c r="G2399" s="6">
        <v>-22.843714627133039</v>
      </c>
      <c r="H2399" s="6">
        <v>-47.167706734515413</v>
      </c>
      <c r="I2399" s="9">
        <v>1077.23</v>
      </c>
      <c r="K2399" s="6">
        <v>4.26</v>
      </c>
      <c r="L2399" s="6">
        <v>30</v>
      </c>
      <c r="N2399" s="1">
        <f t="shared" si="276"/>
        <v>0</v>
      </c>
      <c r="O2399" s="6" t="s">
        <v>20</v>
      </c>
      <c r="Q2399" s="6" t="s">
        <v>21</v>
      </c>
      <c r="R2399" s="6" t="s">
        <v>21</v>
      </c>
      <c r="S2399" s="6" t="s">
        <v>21</v>
      </c>
      <c r="T2399" s="6" t="s">
        <v>21</v>
      </c>
      <c r="U2399" s="6">
        <f t="shared" si="277"/>
        <v>323.16899999999998</v>
      </c>
      <c r="V2399" s="6">
        <f t="shared" si="281"/>
        <v>323.16899999999998</v>
      </c>
    </row>
    <row r="2400" spans="1:22" hidden="1" x14ac:dyDescent="0.35">
      <c r="A2400" s="6" t="s">
        <v>2634</v>
      </c>
      <c r="B2400" s="6" t="s">
        <v>2619</v>
      </c>
      <c r="C2400" s="6" t="s">
        <v>2620</v>
      </c>
      <c r="D2400" s="6">
        <f t="shared" si="279"/>
        <v>0.5</v>
      </c>
      <c r="E2400" s="6" t="s">
        <v>19</v>
      </c>
      <c r="F2400" s="6" t="str">
        <f>MID(A2400,19,1)</f>
        <v>S</v>
      </c>
      <c r="G2400" s="6">
        <v>-22.840524893565298</v>
      </c>
      <c r="H2400" s="6">
        <v>-47.170384005030087</v>
      </c>
      <c r="I2400" s="9">
        <v>350.02</v>
      </c>
      <c r="K2400" s="6">
        <v>1.9</v>
      </c>
      <c r="L2400" s="6">
        <v>0</v>
      </c>
      <c r="N2400" s="1">
        <f t="shared" si="276"/>
        <v>0</v>
      </c>
      <c r="Q2400" s="6" t="s">
        <v>21</v>
      </c>
      <c r="R2400" s="6" t="s">
        <v>21</v>
      </c>
      <c r="S2400" s="6" t="s">
        <v>21</v>
      </c>
      <c r="T2400" s="6" t="s">
        <v>21</v>
      </c>
      <c r="U2400" s="6">
        <f t="shared" si="277"/>
        <v>0</v>
      </c>
      <c r="V2400" s="6">
        <f t="shared" si="281"/>
        <v>0</v>
      </c>
    </row>
    <row r="2401" spans="1:22" hidden="1" x14ac:dyDescent="0.35">
      <c r="A2401" s="6" t="s">
        <v>2635</v>
      </c>
      <c r="B2401" s="6" t="s">
        <v>2619</v>
      </c>
      <c r="C2401" s="6" t="s">
        <v>2620</v>
      </c>
      <c r="D2401" s="6">
        <f t="shared" si="279"/>
        <v>0.5</v>
      </c>
      <c r="E2401" s="6" t="s">
        <v>19</v>
      </c>
      <c r="F2401" s="6" t="str">
        <f>MID(A2401,19,1)</f>
        <v>S</v>
      </c>
      <c r="G2401" s="6">
        <v>-22.84413772624989</v>
      </c>
      <c r="H2401" s="6">
        <v>-47.16805961122008</v>
      </c>
      <c r="I2401" s="9">
        <v>3.34</v>
      </c>
      <c r="K2401" s="6">
        <v>1.32</v>
      </c>
      <c r="N2401" s="1">
        <f t="shared" si="276"/>
        <v>0</v>
      </c>
      <c r="Q2401" s="6" t="s">
        <v>21</v>
      </c>
      <c r="R2401" s="6" t="s">
        <v>21</v>
      </c>
      <c r="S2401" s="6" t="s">
        <v>21</v>
      </c>
      <c r="T2401" s="6" t="s">
        <v>21</v>
      </c>
      <c r="U2401" s="6">
        <f t="shared" si="277"/>
        <v>0</v>
      </c>
      <c r="V2401" s="6">
        <f t="shared" si="281"/>
        <v>0</v>
      </c>
    </row>
    <row r="2402" spans="1:22" hidden="1" x14ac:dyDescent="0.35">
      <c r="A2402" s="6" t="s">
        <v>2636</v>
      </c>
      <c r="B2402" s="6" t="s">
        <v>2619</v>
      </c>
      <c r="C2402" s="6" t="s">
        <v>2620</v>
      </c>
      <c r="D2402" s="6">
        <f t="shared" si="279"/>
        <v>0.5</v>
      </c>
      <c r="E2402" s="6" t="s">
        <v>23</v>
      </c>
      <c r="F2402" s="6" t="str">
        <f>MID(A2402,19,1)</f>
        <v>C</v>
      </c>
      <c r="G2402" s="6">
        <v>-22.840990460468891</v>
      </c>
      <c r="H2402" s="6">
        <v>-47.169436161152817</v>
      </c>
      <c r="I2402" s="9">
        <v>3642.29</v>
      </c>
      <c r="J2402" s="9">
        <f>I2402/500</f>
        <v>7.2845800000000001</v>
      </c>
      <c r="K2402" s="6">
        <v>2.2799999999999998</v>
      </c>
      <c r="L2402" s="6">
        <v>50</v>
      </c>
      <c r="N2402" s="1">
        <f t="shared" si="276"/>
        <v>0</v>
      </c>
      <c r="O2402" s="6" t="s">
        <v>20</v>
      </c>
      <c r="Q2402" s="6" t="s">
        <v>21</v>
      </c>
      <c r="R2402" s="6" t="s">
        <v>21</v>
      </c>
      <c r="S2402" s="6" t="s">
        <v>21</v>
      </c>
      <c r="T2402" s="6" t="s">
        <v>21</v>
      </c>
      <c r="U2402" s="6">
        <f t="shared" si="277"/>
        <v>1821.145</v>
      </c>
      <c r="V2402" s="6">
        <f t="shared" si="281"/>
        <v>1821.145</v>
      </c>
    </row>
    <row r="2403" spans="1:22" x14ac:dyDescent="0.35">
      <c r="A2403" s="6" t="s">
        <v>2637</v>
      </c>
      <c r="B2403" s="6" t="s">
        <v>2619</v>
      </c>
      <c r="C2403" s="6" t="s">
        <v>2620</v>
      </c>
      <c r="D2403" s="6">
        <f t="shared" si="279"/>
        <v>0.5</v>
      </c>
      <c r="E2403" s="6" t="s">
        <v>19</v>
      </c>
      <c r="F2403" s="6" t="str">
        <f>MID(A2403,19,1)</f>
        <v>N</v>
      </c>
      <c r="G2403" s="6">
        <v>-22.84275924296109</v>
      </c>
      <c r="H2403" s="6">
        <v>-47.167765635427997</v>
      </c>
      <c r="I2403" s="9">
        <v>2316.71</v>
      </c>
      <c r="K2403" s="6">
        <v>2.64</v>
      </c>
      <c r="L2403" s="6">
        <v>50</v>
      </c>
      <c r="N2403" s="1">
        <f t="shared" si="276"/>
        <v>0</v>
      </c>
      <c r="O2403" s="6" t="s">
        <v>20</v>
      </c>
      <c r="Q2403" s="6" t="s">
        <v>21</v>
      </c>
      <c r="R2403" s="6" t="s">
        <v>21</v>
      </c>
      <c r="S2403" s="6" t="s">
        <v>21</v>
      </c>
      <c r="T2403" s="6" t="s">
        <v>21</v>
      </c>
      <c r="U2403" s="6">
        <f t="shared" si="277"/>
        <v>1158.355</v>
      </c>
      <c r="V2403" s="6">
        <f t="shared" si="281"/>
        <v>1158.355</v>
      </c>
    </row>
    <row r="2404" spans="1:22" hidden="1" x14ac:dyDescent="0.35">
      <c r="A2404" s="6" t="s">
        <v>2638</v>
      </c>
      <c r="B2404" s="6" t="s">
        <v>2619</v>
      </c>
      <c r="C2404" s="6" t="s">
        <v>2620</v>
      </c>
      <c r="D2404" s="6">
        <f t="shared" si="279"/>
        <v>0.5</v>
      </c>
      <c r="E2404" s="6" t="s">
        <v>19</v>
      </c>
      <c r="F2404" s="6" t="str">
        <f>MID(A2404,19,1)</f>
        <v>S</v>
      </c>
      <c r="G2404" s="6">
        <v>-22.838302599383319</v>
      </c>
      <c r="H2404" s="6">
        <v>-47.172460665916603</v>
      </c>
      <c r="I2404" s="9">
        <v>1817.78</v>
      </c>
      <c r="K2404" s="6">
        <v>4.07</v>
      </c>
      <c r="L2404" s="6">
        <v>0</v>
      </c>
      <c r="N2404" s="1">
        <f t="shared" si="276"/>
        <v>0</v>
      </c>
      <c r="Q2404" s="6" t="s">
        <v>21</v>
      </c>
      <c r="R2404" s="6" t="s">
        <v>21</v>
      </c>
      <c r="S2404" s="6" t="s">
        <v>21</v>
      </c>
      <c r="T2404" s="6" t="s">
        <v>21</v>
      </c>
      <c r="U2404" s="6">
        <f t="shared" si="277"/>
        <v>0</v>
      </c>
      <c r="V2404" s="6">
        <f t="shared" si="281"/>
        <v>0</v>
      </c>
    </row>
    <row r="2405" spans="1:22" hidden="1" x14ac:dyDescent="0.35">
      <c r="A2405" s="6" t="s">
        <v>2639</v>
      </c>
      <c r="B2405" s="6" t="s">
        <v>2619</v>
      </c>
      <c r="C2405" s="6" t="s">
        <v>2620</v>
      </c>
      <c r="D2405" s="6">
        <f t="shared" si="279"/>
        <v>0.5</v>
      </c>
      <c r="E2405" s="6" t="s">
        <v>23</v>
      </c>
      <c r="F2405" s="6" t="str">
        <f>MID(A2405,19,1)</f>
        <v>C</v>
      </c>
      <c r="G2405" s="6">
        <v>-22.840807548001131</v>
      </c>
      <c r="H2405" s="6">
        <v>-47.168928001405007</v>
      </c>
      <c r="I2405" s="9">
        <v>4501.3500000000004</v>
      </c>
      <c r="J2405" s="9">
        <f t="shared" ref="J2405:J2408" si="282">I2405/500</f>
        <v>9.0027000000000008</v>
      </c>
      <c r="K2405" s="6">
        <v>4.1399999999999997</v>
      </c>
      <c r="L2405" s="6">
        <v>70</v>
      </c>
      <c r="N2405" s="1">
        <f t="shared" si="276"/>
        <v>0</v>
      </c>
      <c r="O2405" s="6" t="s">
        <v>126</v>
      </c>
      <c r="Q2405" s="6" t="s">
        <v>21</v>
      </c>
      <c r="R2405" s="6" t="s">
        <v>21</v>
      </c>
      <c r="S2405" s="6" t="s">
        <v>21</v>
      </c>
      <c r="T2405" s="6" t="s">
        <v>21</v>
      </c>
      <c r="U2405" s="6">
        <f t="shared" si="277"/>
        <v>3150.9450000000002</v>
      </c>
      <c r="V2405" s="6">
        <f t="shared" si="281"/>
        <v>3150.9450000000002</v>
      </c>
    </row>
    <row r="2406" spans="1:22" hidden="1" x14ac:dyDescent="0.35">
      <c r="A2406" s="6" t="s">
        <v>2640</v>
      </c>
      <c r="B2406" s="6" t="s">
        <v>2619</v>
      </c>
      <c r="C2406" s="6" t="s">
        <v>2620</v>
      </c>
      <c r="D2406" s="6">
        <f t="shared" si="279"/>
        <v>0.5</v>
      </c>
      <c r="E2406" s="6" t="s">
        <v>23</v>
      </c>
      <c r="F2406" s="6" t="str">
        <f>MID(A2406,19,1)</f>
        <v>C</v>
      </c>
      <c r="G2406" s="6">
        <v>-22.838205496936141</v>
      </c>
      <c r="H2406" s="6">
        <v>-47.17206813863929</v>
      </c>
      <c r="I2406" s="9">
        <v>6332.35</v>
      </c>
      <c r="J2406" s="9">
        <f t="shared" si="282"/>
        <v>12.6647</v>
      </c>
      <c r="K2406" s="6">
        <v>3.74</v>
      </c>
      <c r="L2406" s="6">
        <v>50</v>
      </c>
      <c r="N2406" s="1">
        <f t="shared" si="276"/>
        <v>0</v>
      </c>
      <c r="O2406" s="6" t="s">
        <v>20</v>
      </c>
      <c r="Q2406" s="6" t="s">
        <v>21</v>
      </c>
      <c r="R2406" s="6" t="s">
        <v>21</v>
      </c>
      <c r="S2406" s="6" t="s">
        <v>21</v>
      </c>
      <c r="T2406" s="6" t="s">
        <v>21</v>
      </c>
      <c r="U2406" s="6">
        <f t="shared" si="277"/>
        <v>3166.1750000000002</v>
      </c>
      <c r="V2406" s="6">
        <f t="shared" si="281"/>
        <v>3166.1750000000002</v>
      </c>
    </row>
    <row r="2407" spans="1:22" hidden="1" x14ac:dyDescent="0.35">
      <c r="A2407" s="6" t="s">
        <v>2641</v>
      </c>
      <c r="B2407" s="6" t="s">
        <v>2619</v>
      </c>
      <c r="C2407" s="6" t="s">
        <v>2620</v>
      </c>
      <c r="D2407" s="6">
        <f t="shared" si="279"/>
        <v>0.5</v>
      </c>
      <c r="E2407" s="6" t="s">
        <v>23</v>
      </c>
      <c r="F2407" s="6" t="str">
        <f>MID(A2407,19,1)</f>
        <v>C</v>
      </c>
      <c r="G2407" s="6">
        <v>-22.84316007111979</v>
      </c>
      <c r="H2407" s="6">
        <v>-47.168417203039098</v>
      </c>
      <c r="I2407" s="9">
        <v>14457.7</v>
      </c>
      <c r="J2407" s="9">
        <f t="shared" si="282"/>
        <v>28.915400000000002</v>
      </c>
      <c r="K2407" s="6">
        <v>8.92</v>
      </c>
      <c r="L2407" s="6">
        <v>70</v>
      </c>
      <c r="N2407" s="1">
        <f t="shared" si="276"/>
        <v>0</v>
      </c>
      <c r="O2407" s="6" t="s">
        <v>2642</v>
      </c>
      <c r="Q2407" s="6" t="s">
        <v>21</v>
      </c>
      <c r="R2407" s="6" t="s">
        <v>21</v>
      </c>
      <c r="S2407" s="6" t="s">
        <v>21</v>
      </c>
      <c r="T2407" s="6" t="s">
        <v>21</v>
      </c>
      <c r="U2407" s="6">
        <f t="shared" si="277"/>
        <v>10120.39</v>
      </c>
      <c r="V2407" s="6">
        <f t="shared" si="281"/>
        <v>10120.39</v>
      </c>
    </row>
    <row r="2408" spans="1:22" hidden="1" x14ac:dyDescent="0.35">
      <c r="A2408" s="6" t="s">
        <v>2643</v>
      </c>
      <c r="B2408" s="6" t="s">
        <v>2619</v>
      </c>
      <c r="C2408" s="6" t="s">
        <v>2620</v>
      </c>
      <c r="D2408" s="6">
        <f t="shared" si="279"/>
        <v>0.5</v>
      </c>
      <c r="E2408" s="6" t="s">
        <v>23</v>
      </c>
      <c r="F2408" s="6" t="str">
        <f>MID(A2408,19,1)</f>
        <v>C</v>
      </c>
      <c r="G2408" s="6">
        <v>-22.891259123449469</v>
      </c>
      <c r="H2408" s="6">
        <v>-47.228247677348193</v>
      </c>
      <c r="I2408" s="9">
        <v>5926.34</v>
      </c>
      <c r="J2408" s="9">
        <f t="shared" si="282"/>
        <v>11.852679999999999</v>
      </c>
      <c r="K2408" s="6">
        <v>1.77</v>
      </c>
      <c r="L2408" s="6">
        <v>80</v>
      </c>
      <c r="N2408" s="1">
        <f t="shared" si="276"/>
        <v>0</v>
      </c>
      <c r="O2408" s="6" t="s">
        <v>20</v>
      </c>
      <c r="Q2408" s="6" t="s">
        <v>21</v>
      </c>
      <c r="R2408" s="6" t="s">
        <v>21</v>
      </c>
      <c r="S2408" s="6" t="s">
        <v>21</v>
      </c>
      <c r="T2408" s="6" t="s">
        <v>21</v>
      </c>
      <c r="U2408" s="6">
        <f t="shared" si="277"/>
        <v>4741.0720000000001</v>
      </c>
      <c r="V2408" s="6">
        <f t="shared" si="281"/>
        <v>4741.0720000000001</v>
      </c>
    </row>
    <row r="2409" spans="1:22" hidden="1" x14ac:dyDescent="0.35">
      <c r="A2409" s="6" t="s">
        <v>2644</v>
      </c>
      <c r="B2409" s="6" t="s">
        <v>2619</v>
      </c>
      <c r="C2409" s="6" t="s">
        <v>2620</v>
      </c>
      <c r="D2409" s="6">
        <f t="shared" si="279"/>
        <v>0.5</v>
      </c>
      <c r="E2409" s="6" t="s">
        <v>19</v>
      </c>
      <c r="F2409" s="6" t="str">
        <f>MID(A2409,19,1)</f>
        <v>S</v>
      </c>
      <c r="G2409" s="6">
        <v>-22.84406739270344</v>
      </c>
      <c r="H2409" s="6">
        <v>-47.167855746422532</v>
      </c>
      <c r="I2409" s="9">
        <v>255.33</v>
      </c>
      <c r="K2409" s="6">
        <v>2.56</v>
      </c>
      <c r="L2409" s="6">
        <v>30</v>
      </c>
      <c r="N2409" s="1">
        <f t="shared" si="276"/>
        <v>0</v>
      </c>
      <c r="O2409" s="6" t="s">
        <v>20</v>
      </c>
      <c r="Q2409" s="6" t="s">
        <v>21</v>
      </c>
      <c r="R2409" s="6" t="s">
        <v>21</v>
      </c>
      <c r="S2409" s="6" t="s">
        <v>21</v>
      </c>
      <c r="T2409" s="6" t="s">
        <v>21</v>
      </c>
      <c r="U2409" s="6">
        <f t="shared" si="277"/>
        <v>76.599000000000004</v>
      </c>
      <c r="V2409" s="6">
        <f t="shared" si="281"/>
        <v>76.599000000000004</v>
      </c>
    </row>
    <row r="2410" spans="1:22" hidden="1" x14ac:dyDescent="0.35">
      <c r="A2410" s="6" t="s">
        <v>2645</v>
      </c>
      <c r="B2410" s="6" t="s">
        <v>2619</v>
      </c>
      <c r="C2410" s="6" t="s">
        <v>2620</v>
      </c>
      <c r="D2410" s="6">
        <f t="shared" si="279"/>
        <v>0.5</v>
      </c>
      <c r="E2410" s="6" t="s">
        <v>19</v>
      </c>
      <c r="F2410" s="6" t="str">
        <f>MID(A2410,19,1)</f>
        <v>S</v>
      </c>
      <c r="G2410" s="6">
        <v>-22.887127272986351</v>
      </c>
      <c r="H2410" s="6">
        <v>-47.229799330209083</v>
      </c>
      <c r="I2410" s="9">
        <v>1779.38</v>
      </c>
      <c r="K2410" s="6">
        <v>1.61</v>
      </c>
      <c r="L2410" s="6">
        <v>70</v>
      </c>
      <c r="N2410" s="1">
        <f t="shared" si="276"/>
        <v>0</v>
      </c>
      <c r="O2410" s="6" t="s">
        <v>20</v>
      </c>
      <c r="Q2410" s="6" t="s">
        <v>21</v>
      </c>
      <c r="R2410" s="6" t="s">
        <v>21</v>
      </c>
      <c r="S2410" s="6" t="s">
        <v>21</v>
      </c>
      <c r="T2410" s="6" t="s">
        <v>21</v>
      </c>
      <c r="U2410" s="6">
        <f t="shared" si="277"/>
        <v>1245.566</v>
      </c>
      <c r="V2410" s="6">
        <f t="shared" si="281"/>
        <v>1245.566</v>
      </c>
    </row>
    <row r="2411" spans="1:22" hidden="1" x14ac:dyDescent="0.35">
      <c r="A2411" s="6" t="s">
        <v>2646</v>
      </c>
      <c r="B2411" s="6" t="s">
        <v>2619</v>
      </c>
      <c r="C2411" s="6" t="s">
        <v>2620</v>
      </c>
      <c r="D2411" s="6">
        <f t="shared" si="279"/>
        <v>0.5</v>
      </c>
      <c r="E2411" s="6" t="s">
        <v>19</v>
      </c>
      <c r="F2411" s="6" t="str">
        <f>MID(A2411,19,1)</f>
        <v>S</v>
      </c>
      <c r="G2411" s="6">
        <v>-22.843689583214751</v>
      </c>
      <c r="H2411" s="6">
        <v>-47.167402301370743</v>
      </c>
      <c r="I2411" s="9">
        <v>155.4</v>
      </c>
      <c r="K2411" s="6">
        <v>2.92</v>
      </c>
      <c r="L2411" s="6">
        <v>30</v>
      </c>
      <c r="N2411" s="1">
        <f t="shared" si="276"/>
        <v>0</v>
      </c>
      <c r="O2411" s="6" t="s">
        <v>20</v>
      </c>
      <c r="Q2411" s="6" t="s">
        <v>21</v>
      </c>
      <c r="R2411" s="6" t="s">
        <v>21</v>
      </c>
      <c r="S2411" s="6" t="s">
        <v>21</v>
      </c>
      <c r="T2411" s="6" t="s">
        <v>21</v>
      </c>
      <c r="U2411" s="6">
        <f t="shared" si="277"/>
        <v>46.62</v>
      </c>
      <c r="V2411" s="6">
        <f t="shared" si="281"/>
        <v>46.62</v>
      </c>
    </row>
    <row r="2412" spans="1:22" x14ac:dyDescent="0.35">
      <c r="A2412" s="6" t="s">
        <v>2647</v>
      </c>
      <c r="B2412" s="6" t="s">
        <v>2619</v>
      </c>
      <c r="C2412" s="6" t="s">
        <v>2620</v>
      </c>
      <c r="D2412" s="6">
        <f t="shared" si="279"/>
        <v>0.5</v>
      </c>
      <c r="E2412" s="6" t="s">
        <v>19</v>
      </c>
      <c r="F2412" s="6" t="str">
        <f>MID(A2412,19,1)</f>
        <v>N</v>
      </c>
      <c r="G2412" s="6">
        <v>-22.841641197346451</v>
      </c>
      <c r="H2412" s="6">
        <v>-47.167559436521458</v>
      </c>
      <c r="I2412" s="9">
        <v>665.63</v>
      </c>
      <c r="K2412" s="6">
        <v>3.96</v>
      </c>
      <c r="L2412" s="6">
        <v>30</v>
      </c>
      <c r="N2412" s="1">
        <f t="shared" si="276"/>
        <v>0</v>
      </c>
      <c r="O2412" s="6" t="s">
        <v>20</v>
      </c>
      <c r="Q2412" s="6" t="s">
        <v>21</v>
      </c>
      <c r="R2412" s="6" t="s">
        <v>21</v>
      </c>
      <c r="S2412" s="6" t="s">
        <v>21</v>
      </c>
      <c r="T2412" s="6" t="s">
        <v>21</v>
      </c>
      <c r="U2412" s="6">
        <f t="shared" si="277"/>
        <v>199.68899999999999</v>
      </c>
      <c r="V2412" s="6">
        <f t="shared" si="281"/>
        <v>199.68899999999999</v>
      </c>
    </row>
    <row r="2413" spans="1:22" hidden="1" x14ac:dyDescent="0.35">
      <c r="A2413" s="6" t="s">
        <v>2648</v>
      </c>
      <c r="B2413" s="6" t="s">
        <v>2649</v>
      </c>
      <c r="C2413" s="6" t="s">
        <v>2650</v>
      </c>
      <c r="D2413" s="6">
        <f t="shared" si="279"/>
        <v>0.5</v>
      </c>
      <c r="E2413" s="6" t="s">
        <v>19</v>
      </c>
      <c r="F2413" s="6" t="str">
        <f>MID(A2413,19,1)</f>
        <v>S</v>
      </c>
      <c r="G2413" s="6">
        <v>-22.883999681124479</v>
      </c>
      <c r="H2413" s="6">
        <v>-47.232864834641703</v>
      </c>
      <c r="I2413" s="9">
        <v>1791.96</v>
      </c>
      <c r="K2413" s="6">
        <v>2.37</v>
      </c>
      <c r="L2413" s="6">
        <v>70</v>
      </c>
      <c r="N2413" s="1">
        <f t="shared" si="276"/>
        <v>0</v>
      </c>
      <c r="O2413" s="6" t="s">
        <v>20</v>
      </c>
      <c r="Q2413" s="6" t="s">
        <v>21</v>
      </c>
      <c r="R2413" s="6" t="s">
        <v>21</v>
      </c>
      <c r="S2413" s="6" t="s">
        <v>21</v>
      </c>
      <c r="T2413" s="6" t="s">
        <v>21</v>
      </c>
      <c r="U2413" s="6">
        <f t="shared" si="277"/>
        <v>1254.3719999999998</v>
      </c>
      <c r="V2413" s="6">
        <f t="shared" si="281"/>
        <v>1254.3719999999998</v>
      </c>
    </row>
    <row r="2414" spans="1:22" hidden="1" x14ac:dyDescent="0.35">
      <c r="A2414" s="6" t="s">
        <v>2651</v>
      </c>
      <c r="B2414" s="6" t="s">
        <v>2649</v>
      </c>
      <c r="C2414" s="6" t="s">
        <v>2650</v>
      </c>
      <c r="D2414" s="6">
        <f t="shared" si="279"/>
        <v>0.5</v>
      </c>
      <c r="E2414" s="6" t="s">
        <v>19</v>
      </c>
      <c r="F2414" s="6" t="str">
        <f>MID(A2414,19,1)</f>
        <v>S</v>
      </c>
      <c r="G2414" s="6">
        <v>-22.835715885060591</v>
      </c>
      <c r="H2414" s="6">
        <v>-47.174911742321527</v>
      </c>
      <c r="I2414" s="9">
        <v>328.44</v>
      </c>
      <c r="K2414" s="6">
        <v>2.69</v>
      </c>
      <c r="L2414" s="6">
        <v>30</v>
      </c>
      <c r="N2414" s="1">
        <f t="shared" si="276"/>
        <v>0</v>
      </c>
      <c r="O2414" s="6" t="s">
        <v>20</v>
      </c>
      <c r="Q2414" s="6" t="s">
        <v>21</v>
      </c>
      <c r="R2414" s="6" t="s">
        <v>21</v>
      </c>
      <c r="S2414" s="6" t="s">
        <v>21</v>
      </c>
      <c r="T2414" s="6" t="s">
        <v>21</v>
      </c>
      <c r="U2414" s="6">
        <f t="shared" si="277"/>
        <v>98.531999999999996</v>
      </c>
      <c r="V2414" s="6">
        <f t="shared" si="281"/>
        <v>98.531999999999996</v>
      </c>
    </row>
    <row r="2415" spans="1:22" hidden="1" x14ac:dyDescent="0.35">
      <c r="A2415" s="6" t="s">
        <v>2652</v>
      </c>
      <c r="B2415" s="6" t="s">
        <v>2649</v>
      </c>
      <c r="C2415" s="6" t="s">
        <v>2650</v>
      </c>
      <c r="D2415" s="6">
        <f t="shared" si="279"/>
        <v>0.5</v>
      </c>
      <c r="E2415" s="6" t="s">
        <v>19</v>
      </c>
      <c r="F2415" s="6" t="str">
        <f>MID(A2415,19,1)</f>
        <v>S</v>
      </c>
      <c r="G2415" s="6">
        <v>-22.834735118731739</v>
      </c>
      <c r="H2415" s="6">
        <v>-47.175883745456673</v>
      </c>
      <c r="I2415" s="9">
        <v>655.67</v>
      </c>
      <c r="K2415" s="6">
        <v>6.47</v>
      </c>
      <c r="L2415" s="6">
        <v>30</v>
      </c>
      <c r="N2415" s="1">
        <f t="shared" si="276"/>
        <v>0</v>
      </c>
      <c r="O2415" s="6" t="s">
        <v>20</v>
      </c>
      <c r="Q2415" s="6" t="s">
        <v>21</v>
      </c>
      <c r="R2415" s="6" t="s">
        <v>21</v>
      </c>
      <c r="S2415" s="6" t="s">
        <v>21</v>
      </c>
      <c r="T2415" s="6" t="s">
        <v>21</v>
      </c>
      <c r="U2415" s="6">
        <f t="shared" si="277"/>
        <v>196.70099999999999</v>
      </c>
      <c r="V2415" s="6">
        <f t="shared" si="281"/>
        <v>196.70099999999999</v>
      </c>
    </row>
    <row r="2416" spans="1:22" hidden="1" x14ac:dyDescent="0.35">
      <c r="A2416" s="8" t="s">
        <v>2653</v>
      </c>
      <c r="B2416" s="8" t="s">
        <v>2649</v>
      </c>
      <c r="C2416" s="8" t="s">
        <v>2650</v>
      </c>
      <c r="D2416" s="6">
        <f t="shared" si="279"/>
        <v>0.5</v>
      </c>
      <c r="E2416" s="8" t="s">
        <v>19</v>
      </c>
      <c r="F2416" s="6" t="str">
        <f>MID(A2416,19,1)</f>
        <v>S</v>
      </c>
      <c r="G2416" s="8">
        <v>-22.88278056827723</v>
      </c>
      <c r="H2416" s="8">
        <v>-47.237377587941722</v>
      </c>
      <c r="I2416" s="7">
        <v>2106.0500000000002</v>
      </c>
      <c r="J2416" s="7"/>
      <c r="K2416" s="8">
        <v>4.5599999999999996</v>
      </c>
      <c r="L2416" s="8">
        <v>40</v>
      </c>
      <c r="M2416" s="8"/>
      <c r="N2416" s="11">
        <f t="shared" si="276"/>
        <v>842.42000000000007</v>
      </c>
      <c r="O2416" s="8" t="s">
        <v>25</v>
      </c>
      <c r="P2416" s="8"/>
      <c r="Q2416" s="8" t="s">
        <v>21</v>
      </c>
      <c r="R2416" s="8" t="s">
        <v>26</v>
      </c>
      <c r="S2416" s="8" t="s">
        <v>21</v>
      </c>
      <c r="T2416" s="8" t="s">
        <v>26</v>
      </c>
      <c r="U2416" s="6">
        <f t="shared" si="277"/>
        <v>0</v>
      </c>
    </row>
    <row r="2417" spans="1:22" x14ac:dyDescent="0.35">
      <c r="A2417" s="6" t="s">
        <v>2654</v>
      </c>
      <c r="B2417" s="6" t="s">
        <v>2649</v>
      </c>
      <c r="C2417" s="6" t="s">
        <v>2650</v>
      </c>
      <c r="D2417" s="6">
        <f t="shared" si="279"/>
        <v>0.5</v>
      </c>
      <c r="E2417" s="6" t="s">
        <v>19</v>
      </c>
      <c r="F2417" s="6" t="str">
        <f>MID(A2417,19,1)</f>
        <v>N</v>
      </c>
      <c r="G2417" s="6">
        <v>-22.829793348798599</v>
      </c>
      <c r="H2417" s="6">
        <v>-47.179842465096961</v>
      </c>
      <c r="I2417" s="9">
        <v>301.10000000000002</v>
      </c>
      <c r="K2417" s="6">
        <v>1.44</v>
      </c>
      <c r="L2417" s="6">
        <v>30</v>
      </c>
      <c r="N2417" s="1">
        <f t="shared" si="276"/>
        <v>0</v>
      </c>
      <c r="O2417" s="6" t="s">
        <v>20</v>
      </c>
      <c r="Q2417" s="6" t="s">
        <v>21</v>
      </c>
      <c r="R2417" s="6" t="s">
        <v>21</v>
      </c>
      <c r="S2417" s="6" t="s">
        <v>21</v>
      </c>
      <c r="T2417" s="6" t="s">
        <v>21</v>
      </c>
      <c r="U2417" s="6">
        <f t="shared" si="277"/>
        <v>90.33</v>
      </c>
      <c r="V2417" s="6">
        <f t="shared" ref="V2417:V2422" si="283">(I2417*(L2417/100))</f>
        <v>90.33</v>
      </c>
    </row>
    <row r="2418" spans="1:22" x14ac:dyDescent="0.35">
      <c r="A2418" s="6" t="s">
        <v>2655</v>
      </c>
      <c r="B2418" s="6" t="s">
        <v>2649</v>
      </c>
      <c r="C2418" s="6" t="s">
        <v>2650</v>
      </c>
      <c r="D2418" s="6">
        <f t="shared" si="279"/>
        <v>0.5</v>
      </c>
      <c r="E2418" s="6" t="s">
        <v>19</v>
      </c>
      <c r="F2418" s="6" t="str">
        <f>MID(A2418,19,1)</f>
        <v>N</v>
      </c>
      <c r="G2418" s="6">
        <v>-22.883547137616901</v>
      </c>
      <c r="H2418" s="6">
        <v>-47.232802687673917</v>
      </c>
      <c r="I2418" s="9">
        <v>1699.24</v>
      </c>
      <c r="K2418" s="6">
        <v>1.62</v>
      </c>
      <c r="L2418" s="6">
        <v>70</v>
      </c>
      <c r="N2418" s="1">
        <f t="shared" si="276"/>
        <v>0</v>
      </c>
      <c r="O2418" s="6" t="s">
        <v>20</v>
      </c>
      <c r="Q2418" s="6" t="s">
        <v>21</v>
      </c>
      <c r="R2418" s="6" t="s">
        <v>21</v>
      </c>
      <c r="S2418" s="6" t="s">
        <v>21</v>
      </c>
      <c r="T2418" s="6" t="s">
        <v>21</v>
      </c>
      <c r="U2418" s="6">
        <f t="shared" si="277"/>
        <v>1189.4679999999998</v>
      </c>
      <c r="V2418" s="6">
        <f t="shared" si="283"/>
        <v>1189.4679999999998</v>
      </c>
    </row>
    <row r="2419" spans="1:22" x14ac:dyDescent="0.35">
      <c r="A2419" s="6" t="s">
        <v>2656</v>
      </c>
      <c r="B2419" s="6" t="s">
        <v>2649</v>
      </c>
      <c r="C2419" s="6" t="s">
        <v>2650</v>
      </c>
      <c r="D2419" s="6">
        <f t="shared" si="279"/>
        <v>0.5</v>
      </c>
      <c r="E2419" s="6" t="s">
        <v>19</v>
      </c>
      <c r="F2419" s="6" t="str">
        <f>MID(A2419,19,1)</f>
        <v>N</v>
      </c>
      <c r="G2419" s="6">
        <v>-22.831787590723309</v>
      </c>
      <c r="H2419" s="6">
        <v>-47.178157127401853</v>
      </c>
      <c r="I2419" s="9">
        <v>3724.62</v>
      </c>
      <c r="K2419" s="6">
        <v>3.84</v>
      </c>
      <c r="L2419" s="6">
        <v>50</v>
      </c>
      <c r="N2419" s="1">
        <f t="shared" si="276"/>
        <v>0</v>
      </c>
      <c r="O2419" s="6" t="s">
        <v>20</v>
      </c>
      <c r="Q2419" s="6" t="s">
        <v>21</v>
      </c>
      <c r="R2419" s="6" t="s">
        <v>21</v>
      </c>
      <c r="S2419" s="6" t="s">
        <v>21</v>
      </c>
      <c r="T2419" s="6" t="s">
        <v>21</v>
      </c>
      <c r="U2419" s="6">
        <f t="shared" si="277"/>
        <v>1862.31</v>
      </c>
      <c r="V2419" s="6">
        <f t="shared" si="283"/>
        <v>1862.31</v>
      </c>
    </row>
    <row r="2420" spans="1:22" x14ac:dyDescent="0.35">
      <c r="A2420" s="6" t="s">
        <v>2657</v>
      </c>
      <c r="B2420" s="6" t="s">
        <v>2649</v>
      </c>
      <c r="C2420" s="6" t="s">
        <v>2650</v>
      </c>
      <c r="D2420" s="6">
        <f t="shared" si="279"/>
        <v>0.5</v>
      </c>
      <c r="E2420" s="6" t="s">
        <v>19</v>
      </c>
      <c r="F2420" s="6" t="str">
        <f>MID(A2420,19,1)</f>
        <v>N</v>
      </c>
      <c r="G2420" s="6">
        <v>-22.830139136620229</v>
      </c>
      <c r="H2420" s="6">
        <v>-47.179928815409262</v>
      </c>
      <c r="I2420" s="9">
        <v>2006.48</v>
      </c>
      <c r="K2420" s="6">
        <v>3.08</v>
      </c>
      <c r="L2420" s="6">
        <v>50</v>
      </c>
      <c r="N2420" s="1">
        <f t="shared" si="276"/>
        <v>0</v>
      </c>
      <c r="O2420" s="6" t="s">
        <v>20</v>
      </c>
      <c r="Q2420" s="6" t="s">
        <v>21</v>
      </c>
      <c r="R2420" s="6" t="s">
        <v>21</v>
      </c>
      <c r="S2420" s="6" t="s">
        <v>21</v>
      </c>
      <c r="T2420" s="6" t="s">
        <v>21</v>
      </c>
      <c r="U2420" s="6">
        <f t="shared" si="277"/>
        <v>1003.24</v>
      </c>
      <c r="V2420" s="6">
        <f t="shared" si="283"/>
        <v>1003.24</v>
      </c>
    </row>
    <row r="2421" spans="1:22" hidden="1" x14ac:dyDescent="0.35">
      <c r="A2421" s="6" t="s">
        <v>2658</v>
      </c>
      <c r="B2421" s="6" t="s">
        <v>2649</v>
      </c>
      <c r="C2421" s="6" t="s">
        <v>2650</v>
      </c>
      <c r="D2421" s="6">
        <f t="shared" si="279"/>
        <v>0.5</v>
      </c>
      <c r="E2421" s="6" t="s">
        <v>23</v>
      </c>
      <c r="F2421" s="6" t="str">
        <f>MID(A2421,19,1)</f>
        <v>C</v>
      </c>
      <c r="G2421" s="6">
        <v>-22.882575451984831</v>
      </c>
      <c r="H2421" s="6">
        <v>-47.237372072283932</v>
      </c>
      <c r="I2421" s="9">
        <v>6268.31</v>
      </c>
      <c r="J2421" s="9">
        <f t="shared" ref="J2421:J2422" si="284">I2421/500</f>
        <v>12.536620000000001</v>
      </c>
      <c r="K2421" s="6">
        <v>4.6500000000000004</v>
      </c>
      <c r="L2421" s="6">
        <v>80</v>
      </c>
      <c r="N2421" s="1">
        <f t="shared" si="276"/>
        <v>0</v>
      </c>
      <c r="O2421" s="6" t="s">
        <v>20</v>
      </c>
      <c r="Q2421" s="6" t="s">
        <v>21</v>
      </c>
      <c r="R2421" s="6" t="s">
        <v>21</v>
      </c>
      <c r="S2421" s="6" t="s">
        <v>21</v>
      </c>
      <c r="T2421" s="6" t="s">
        <v>21</v>
      </c>
      <c r="U2421" s="6">
        <f t="shared" si="277"/>
        <v>5014.648000000001</v>
      </c>
      <c r="V2421" s="6">
        <f t="shared" si="283"/>
        <v>5014.648000000001</v>
      </c>
    </row>
    <row r="2422" spans="1:22" hidden="1" x14ac:dyDescent="0.35">
      <c r="A2422" s="6" t="s">
        <v>2659</v>
      </c>
      <c r="B2422" s="6" t="s">
        <v>2649</v>
      </c>
      <c r="C2422" s="6" t="s">
        <v>2650</v>
      </c>
      <c r="D2422" s="6">
        <f t="shared" si="279"/>
        <v>0.5</v>
      </c>
      <c r="E2422" s="6" t="s">
        <v>23</v>
      </c>
      <c r="F2422" s="6" t="str">
        <f>MID(A2422,19,1)</f>
        <v>C</v>
      </c>
      <c r="G2422" s="6">
        <v>-22.883779205990631</v>
      </c>
      <c r="H2422" s="6">
        <v>-47.232816696675357</v>
      </c>
      <c r="I2422" s="9">
        <v>5126.95</v>
      </c>
      <c r="J2422" s="9">
        <f t="shared" si="284"/>
        <v>10.2539</v>
      </c>
      <c r="K2422" s="6">
        <v>1.91</v>
      </c>
      <c r="L2422" s="6">
        <v>80</v>
      </c>
      <c r="N2422" s="1">
        <f t="shared" si="276"/>
        <v>0</v>
      </c>
      <c r="O2422" s="6" t="s">
        <v>20</v>
      </c>
      <c r="Q2422" s="6" t="s">
        <v>21</v>
      </c>
      <c r="R2422" s="6" t="s">
        <v>21</v>
      </c>
      <c r="S2422" s="6" t="s">
        <v>21</v>
      </c>
      <c r="T2422" s="6" t="s">
        <v>21</v>
      </c>
      <c r="U2422" s="6">
        <f t="shared" si="277"/>
        <v>4101.5600000000004</v>
      </c>
      <c r="V2422" s="6">
        <f t="shared" si="283"/>
        <v>4101.5600000000004</v>
      </c>
    </row>
    <row r="2423" spans="1:22" x14ac:dyDescent="0.35">
      <c r="A2423" s="8" t="s">
        <v>2660</v>
      </c>
      <c r="B2423" s="8" t="s">
        <v>2649</v>
      </c>
      <c r="C2423" s="8" t="s">
        <v>2650</v>
      </c>
      <c r="D2423" s="6">
        <f t="shared" si="279"/>
        <v>0.5</v>
      </c>
      <c r="E2423" s="8" t="s">
        <v>19</v>
      </c>
      <c r="F2423" s="6" t="str">
        <f>MID(A2423,19,1)</f>
        <v>N</v>
      </c>
      <c r="G2423" s="8">
        <v>-22.882383666850689</v>
      </c>
      <c r="H2423" s="8">
        <v>-47.237294564211147</v>
      </c>
      <c r="I2423" s="7">
        <v>2161.21</v>
      </c>
      <c r="J2423" s="7"/>
      <c r="K2423" s="8">
        <v>4.33</v>
      </c>
      <c r="L2423" s="8">
        <v>60</v>
      </c>
      <c r="M2423" s="8"/>
      <c r="N2423" s="11">
        <f t="shared" si="276"/>
        <v>1296.7259999999999</v>
      </c>
      <c r="O2423" s="8" t="s">
        <v>25</v>
      </c>
      <c r="P2423" s="8"/>
      <c r="Q2423" s="8" t="s">
        <v>21</v>
      </c>
      <c r="R2423" s="8" t="s">
        <v>26</v>
      </c>
      <c r="S2423" s="8" t="s">
        <v>21</v>
      </c>
      <c r="T2423" s="8" t="s">
        <v>26</v>
      </c>
      <c r="U2423" s="6">
        <f t="shared" si="277"/>
        <v>0</v>
      </c>
    </row>
    <row r="2424" spans="1:22" x14ac:dyDescent="0.35">
      <c r="A2424" s="6" t="s">
        <v>2661</v>
      </c>
      <c r="B2424" s="6" t="s">
        <v>2649</v>
      </c>
      <c r="C2424" s="6" t="s">
        <v>2650</v>
      </c>
      <c r="D2424" s="6">
        <f t="shared" si="279"/>
        <v>0.5</v>
      </c>
      <c r="E2424" s="6" t="s">
        <v>19</v>
      </c>
      <c r="F2424" s="6" t="str">
        <f>MID(A2424,19,1)</f>
        <v>N</v>
      </c>
      <c r="G2424" s="6">
        <v>-22.83146510851207</v>
      </c>
      <c r="H2424" s="6">
        <v>-47.178039019451397</v>
      </c>
      <c r="I2424" s="9">
        <v>960.48</v>
      </c>
      <c r="K2424" s="6">
        <v>2.44</v>
      </c>
      <c r="L2424" s="6">
        <v>30</v>
      </c>
      <c r="N2424" s="1">
        <f t="shared" si="276"/>
        <v>0</v>
      </c>
      <c r="O2424" s="6" t="s">
        <v>20</v>
      </c>
      <c r="Q2424" s="6" t="s">
        <v>21</v>
      </c>
      <c r="R2424" s="6" t="s">
        <v>21</v>
      </c>
      <c r="S2424" s="6" t="s">
        <v>21</v>
      </c>
      <c r="T2424" s="6" t="s">
        <v>21</v>
      </c>
      <c r="U2424" s="6">
        <f t="shared" si="277"/>
        <v>288.14400000000001</v>
      </c>
      <c r="V2424" s="6">
        <f t="shared" ref="V2424:V2432" si="285">(I2424*(L2424/100))</f>
        <v>288.14400000000001</v>
      </c>
    </row>
    <row r="2425" spans="1:22" hidden="1" x14ac:dyDescent="0.35">
      <c r="A2425" s="6" t="s">
        <v>2662</v>
      </c>
      <c r="B2425" s="6" t="s">
        <v>2649</v>
      </c>
      <c r="C2425" s="6" t="s">
        <v>2650</v>
      </c>
      <c r="D2425" s="6">
        <f t="shared" si="279"/>
        <v>0.5</v>
      </c>
      <c r="E2425" s="6" t="s">
        <v>23</v>
      </c>
      <c r="F2425" s="6" t="str">
        <f>MID(A2425,19,1)</f>
        <v>C</v>
      </c>
      <c r="G2425" s="6">
        <v>-22.834670906644881</v>
      </c>
      <c r="H2425" s="6">
        <v>-47.175407431689358</v>
      </c>
      <c r="I2425" s="9">
        <v>5844.08</v>
      </c>
      <c r="J2425" s="9">
        <f>I2425/500</f>
        <v>11.68816</v>
      </c>
      <c r="K2425" s="6">
        <v>4.63</v>
      </c>
      <c r="L2425" s="6">
        <v>50</v>
      </c>
      <c r="N2425" s="1">
        <f t="shared" si="276"/>
        <v>0</v>
      </c>
      <c r="O2425" s="6" t="s">
        <v>20</v>
      </c>
      <c r="Q2425" s="6" t="s">
        <v>21</v>
      </c>
      <c r="R2425" s="6" t="s">
        <v>21</v>
      </c>
      <c r="S2425" s="6" t="s">
        <v>21</v>
      </c>
      <c r="T2425" s="6" t="s">
        <v>21</v>
      </c>
      <c r="U2425" s="6">
        <f t="shared" si="277"/>
        <v>2922.04</v>
      </c>
      <c r="V2425" s="6">
        <f t="shared" si="285"/>
        <v>2922.04</v>
      </c>
    </row>
    <row r="2426" spans="1:22" hidden="1" x14ac:dyDescent="0.35">
      <c r="A2426" s="6" t="s">
        <v>2663</v>
      </c>
      <c r="B2426" s="6" t="s">
        <v>2649</v>
      </c>
      <c r="C2426" s="6" t="s">
        <v>2650</v>
      </c>
      <c r="D2426" s="6">
        <f t="shared" si="279"/>
        <v>0.5</v>
      </c>
      <c r="E2426" s="6" t="s">
        <v>19</v>
      </c>
      <c r="F2426" s="6" t="str">
        <f>MID(A2426,19,1)</f>
        <v>S</v>
      </c>
      <c r="G2426" s="6">
        <v>-22.836270442487109</v>
      </c>
      <c r="H2426" s="6">
        <v>-47.174362019481343</v>
      </c>
      <c r="I2426" s="9">
        <v>318.98</v>
      </c>
      <c r="K2426" s="6">
        <v>1.28</v>
      </c>
      <c r="L2426" s="6">
        <v>30</v>
      </c>
      <c r="N2426" s="1">
        <f t="shared" si="276"/>
        <v>0</v>
      </c>
      <c r="O2426" s="6" t="s">
        <v>20</v>
      </c>
      <c r="Q2426" s="6" t="s">
        <v>21</v>
      </c>
      <c r="R2426" s="6" t="s">
        <v>21</v>
      </c>
      <c r="S2426" s="6" t="s">
        <v>21</v>
      </c>
      <c r="T2426" s="6" t="s">
        <v>21</v>
      </c>
      <c r="U2426" s="6">
        <f t="shared" si="277"/>
        <v>95.694000000000003</v>
      </c>
      <c r="V2426" s="6">
        <f t="shared" si="285"/>
        <v>95.694000000000003</v>
      </c>
    </row>
    <row r="2427" spans="1:22" hidden="1" x14ac:dyDescent="0.35">
      <c r="A2427" s="6" t="s">
        <v>2664</v>
      </c>
      <c r="B2427" s="6" t="s">
        <v>2649</v>
      </c>
      <c r="C2427" s="6" t="s">
        <v>2650</v>
      </c>
      <c r="D2427" s="6">
        <f t="shared" si="279"/>
        <v>0.5</v>
      </c>
      <c r="E2427" s="6" t="s">
        <v>19</v>
      </c>
      <c r="F2427" s="6" t="str">
        <f>MID(A2427,19,1)</f>
        <v>S</v>
      </c>
      <c r="G2427" s="6">
        <v>-22.83280215516622</v>
      </c>
      <c r="H2427" s="6">
        <v>-47.177725675030388</v>
      </c>
      <c r="I2427" s="9">
        <v>119.64</v>
      </c>
      <c r="K2427" s="6">
        <v>2.79</v>
      </c>
      <c r="L2427" s="6">
        <v>30</v>
      </c>
      <c r="N2427" s="1">
        <f t="shared" si="276"/>
        <v>0</v>
      </c>
      <c r="O2427" s="6" t="s">
        <v>20</v>
      </c>
      <c r="Q2427" s="6" t="s">
        <v>21</v>
      </c>
      <c r="R2427" s="6" t="s">
        <v>21</v>
      </c>
      <c r="S2427" s="6" t="s">
        <v>21</v>
      </c>
      <c r="T2427" s="6" t="s">
        <v>21</v>
      </c>
      <c r="U2427" s="6">
        <f t="shared" si="277"/>
        <v>35.891999999999996</v>
      </c>
      <c r="V2427" s="6">
        <f t="shared" si="285"/>
        <v>35.891999999999996</v>
      </c>
    </row>
    <row r="2428" spans="1:22" hidden="1" x14ac:dyDescent="0.35">
      <c r="A2428" s="6" t="s">
        <v>2665</v>
      </c>
      <c r="B2428" s="6" t="s">
        <v>2649</v>
      </c>
      <c r="C2428" s="6" t="s">
        <v>2650</v>
      </c>
      <c r="D2428" s="6">
        <f t="shared" si="279"/>
        <v>0.5</v>
      </c>
      <c r="E2428" s="6" t="s">
        <v>19</v>
      </c>
      <c r="F2428" s="6" t="str">
        <f>MID(A2428,19,1)</f>
        <v>S</v>
      </c>
      <c r="G2428" s="6">
        <v>-22.832587697306611</v>
      </c>
      <c r="H2428" s="6">
        <v>-47.177969260914509</v>
      </c>
      <c r="I2428" s="9">
        <v>141.36000000000001</v>
      </c>
      <c r="K2428" s="6">
        <v>2.78</v>
      </c>
      <c r="L2428" s="6">
        <v>30</v>
      </c>
      <c r="N2428" s="1">
        <f t="shared" si="276"/>
        <v>0</v>
      </c>
      <c r="O2428" s="6" t="s">
        <v>20</v>
      </c>
      <c r="Q2428" s="6" t="s">
        <v>21</v>
      </c>
      <c r="R2428" s="6" t="s">
        <v>21</v>
      </c>
      <c r="S2428" s="6" t="s">
        <v>21</v>
      </c>
      <c r="T2428" s="6" t="s">
        <v>21</v>
      </c>
      <c r="U2428" s="6">
        <f t="shared" si="277"/>
        <v>42.408000000000001</v>
      </c>
      <c r="V2428" s="6">
        <f t="shared" si="285"/>
        <v>42.408000000000001</v>
      </c>
    </row>
    <row r="2429" spans="1:22" hidden="1" x14ac:dyDescent="0.35">
      <c r="A2429" s="6" t="s">
        <v>2666</v>
      </c>
      <c r="B2429" s="6" t="s">
        <v>2649</v>
      </c>
      <c r="C2429" s="6" t="s">
        <v>2650</v>
      </c>
      <c r="D2429" s="6">
        <f t="shared" si="279"/>
        <v>0.5</v>
      </c>
      <c r="E2429" s="6" t="s">
        <v>19</v>
      </c>
      <c r="F2429" s="6" t="str">
        <f>MID(A2429,19,1)</f>
        <v>S</v>
      </c>
      <c r="G2429" s="6">
        <v>-22.83161196456869</v>
      </c>
      <c r="H2429" s="6">
        <v>-47.178824541510451</v>
      </c>
      <c r="I2429" s="9">
        <v>864.57</v>
      </c>
      <c r="K2429" s="6">
        <v>3.89</v>
      </c>
      <c r="L2429" s="6">
        <v>0</v>
      </c>
      <c r="N2429" s="1">
        <f t="shared" si="276"/>
        <v>0</v>
      </c>
      <c r="Q2429" s="6" t="s">
        <v>21</v>
      </c>
      <c r="R2429" s="6" t="s">
        <v>21</v>
      </c>
      <c r="S2429" s="6" t="s">
        <v>21</v>
      </c>
      <c r="T2429" s="6" t="s">
        <v>21</v>
      </c>
      <c r="U2429" s="6">
        <f t="shared" si="277"/>
        <v>0</v>
      </c>
      <c r="V2429" s="6">
        <f t="shared" si="285"/>
        <v>0</v>
      </c>
    </row>
    <row r="2430" spans="1:22" hidden="1" x14ac:dyDescent="0.35">
      <c r="A2430" s="6" t="s">
        <v>2667</v>
      </c>
      <c r="B2430" s="6" t="s">
        <v>2649</v>
      </c>
      <c r="C2430" s="6" t="s">
        <v>2650</v>
      </c>
      <c r="D2430" s="6">
        <f t="shared" si="279"/>
        <v>0.5</v>
      </c>
      <c r="E2430" s="6" t="s">
        <v>19</v>
      </c>
      <c r="F2430" s="6" t="str">
        <f>MID(A2430,19,1)</f>
        <v>S</v>
      </c>
      <c r="G2430" s="6">
        <v>-22.830378930220871</v>
      </c>
      <c r="H2430" s="6">
        <v>-47.180179994348833</v>
      </c>
      <c r="I2430" s="9">
        <v>936.25</v>
      </c>
      <c r="K2430" s="6">
        <v>3.19</v>
      </c>
      <c r="L2430" s="6">
        <v>0</v>
      </c>
      <c r="N2430" s="1">
        <f t="shared" si="276"/>
        <v>0</v>
      </c>
      <c r="Q2430" s="6" t="s">
        <v>21</v>
      </c>
      <c r="R2430" s="6" t="s">
        <v>21</v>
      </c>
      <c r="S2430" s="6" t="s">
        <v>21</v>
      </c>
      <c r="T2430" s="6" t="s">
        <v>21</v>
      </c>
      <c r="U2430" s="6">
        <f t="shared" si="277"/>
        <v>0</v>
      </c>
      <c r="V2430" s="6">
        <f t="shared" si="285"/>
        <v>0</v>
      </c>
    </row>
    <row r="2431" spans="1:22" hidden="1" x14ac:dyDescent="0.35">
      <c r="A2431" s="6" t="s">
        <v>2668</v>
      </c>
      <c r="B2431" s="6" t="s">
        <v>2669</v>
      </c>
      <c r="C2431" s="6" t="s">
        <v>2670</v>
      </c>
      <c r="D2431" s="6">
        <f t="shared" si="279"/>
        <v>0.5</v>
      </c>
      <c r="E2431" s="6" t="s">
        <v>19</v>
      </c>
      <c r="F2431" s="6" t="str">
        <f>MID(A2431,19,1)</f>
        <v>S</v>
      </c>
      <c r="G2431" s="6">
        <v>-22.82755191512123</v>
      </c>
      <c r="H2431" s="6">
        <v>-47.184353090320833</v>
      </c>
      <c r="I2431" s="9">
        <v>299.81</v>
      </c>
      <c r="K2431" s="6">
        <v>2.1800000000000002</v>
      </c>
      <c r="L2431" s="6">
        <v>30</v>
      </c>
      <c r="N2431" s="1">
        <f t="shared" si="276"/>
        <v>0</v>
      </c>
      <c r="O2431" s="6" t="s">
        <v>20</v>
      </c>
      <c r="Q2431" s="6" t="s">
        <v>21</v>
      </c>
      <c r="R2431" s="6" t="s">
        <v>21</v>
      </c>
      <c r="S2431" s="6" t="s">
        <v>21</v>
      </c>
      <c r="T2431" s="6" t="s">
        <v>21</v>
      </c>
      <c r="U2431" s="6">
        <f t="shared" si="277"/>
        <v>89.942999999999998</v>
      </c>
      <c r="V2431" s="6">
        <f t="shared" si="285"/>
        <v>89.942999999999998</v>
      </c>
    </row>
    <row r="2432" spans="1:22" hidden="1" x14ac:dyDescent="0.35">
      <c r="A2432" s="6" t="s">
        <v>2671</v>
      </c>
      <c r="B2432" s="6" t="s">
        <v>2669</v>
      </c>
      <c r="C2432" s="6" t="s">
        <v>2670</v>
      </c>
      <c r="D2432" s="6">
        <f t="shared" si="279"/>
        <v>0.5</v>
      </c>
      <c r="E2432" s="6" t="s">
        <v>19</v>
      </c>
      <c r="F2432" s="6" t="str">
        <f>MID(A2432,19,1)</f>
        <v>S</v>
      </c>
      <c r="G2432" s="6">
        <v>-22.827513353701772</v>
      </c>
      <c r="H2432" s="6">
        <v>-47.184145399180473</v>
      </c>
      <c r="I2432" s="9">
        <v>33.85</v>
      </c>
      <c r="K2432" s="6">
        <v>2.1</v>
      </c>
      <c r="L2432" s="6">
        <v>30</v>
      </c>
      <c r="N2432" s="1">
        <f t="shared" si="276"/>
        <v>0</v>
      </c>
      <c r="O2432" s="6" t="s">
        <v>20</v>
      </c>
      <c r="Q2432" s="6" t="s">
        <v>21</v>
      </c>
      <c r="R2432" s="6" t="s">
        <v>21</v>
      </c>
      <c r="S2432" s="6" t="s">
        <v>21</v>
      </c>
      <c r="T2432" s="6" t="s">
        <v>21</v>
      </c>
      <c r="U2432" s="6">
        <f t="shared" si="277"/>
        <v>10.154999999999999</v>
      </c>
      <c r="V2432" s="6">
        <f t="shared" si="285"/>
        <v>10.154999999999999</v>
      </c>
    </row>
    <row r="2433" spans="1:22" hidden="1" x14ac:dyDescent="0.35">
      <c r="A2433" s="6" t="s">
        <v>2672</v>
      </c>
      <c r="B2433" s="6" t="s">
        <v>2669</v>
      </c>
      <c r="C2433" s="6" t="s">
        <v>2670</v>
      </c>
      <c r="D2433" s="6">
        <f t="shared" si="279"/>
        <v>0.5</v>
      </c>
      <c r="E2433" s="6" t="s">
        <v>19</v>
      </c>
      <c r="F2433" s="6" t="str">
        <f>MID(A2433,19,1)</f>
        <v>S</v>
      </c>
      <c r="G2433" s="6">
        <v>-22.825766750458211</v>
      </c>
      <c r="H2433" s="6">
        <v>-47.187418909541883</v>
      </c>
      <c r="I2433" s="9">
        <v>105.66</v>
      </c>
      <c r="K2433" s="6">
        <v>1.62</v>
      </c>
      <c r="L2433" s="6">
        <v>0</v>
      </c>
      <c r="N2433" s="1">
        <f t="shared" si="276"/>
        <v>0</v>
      </c>
      <c r="Q2433" s="6" t="s">
        <v>26</v>
      </c>
      <c r="R2433" s="6" t="s">
        <v>21</v>
      </c>
      <c r="S2433" s="6" t="s">
        <v>21</v>
      </c>
      <c r="T2433" s="6" t="s">
        <v>21</v>
      </c>
      <c r="U2433" s="6">
        <f t="shared" si="277"/>
        <v>0</v>
      </c>
    </row>
    <row r="2434" spans="1:22" hidden="1" x14ac:dyDescent="0.35">
      <c r="A2434" s="6" t="s">
        <v>2673</v>
      </c>
      <c r="B2434" s="6" t="s">
        <v>2669</v>
      </c>
      <c r="C2434" s="6" t="s">
        <v>2670</v>
      </c>
      <c r="D2434" s="6">
        <f t="shared" si="279"/>
        <v>0.5</v>
      </c>
      <c r="E2434" s="6" t="s">
        <v>19</v>
      </c>
      <c r="F2434" s="6" t="str">
        <f>MID(A2434,19,1)</f>
        <v>S</v>
      </c>
      <c r="G2434" s="6">
        <v>-22.826123392970711</v>
      </c>
      <c r="H2434" s="6">
        <v>-47.187056426376422</v>
      </c>
      <c r="I2434" s="9">
        <v>1488.01</v>
      </c>
      <c r="K2434" s="6">
        <v>4.3099999999999996</v>
      </c>
      <c r="L2434" s="6">
        <v>30</v>
      </c>
      <c r="N2434" s="1">
        <f t="shared" ref="N2434:N2497" si="286">IF(OR(R2434="Sim",S2434="Sim",T2434="Sim"),(L2434/100)*I2434,0)</f>
        <v>0</v>
      </c>
      <c r="O2434" s="6" t="s">
        <v>20</v>
      </c>
      <c r="Q2434" s="6" t="s">
        <v>21</v>
      </c>
      <c r="R2434" s="6" t="s">
        <v>21</v>
      </c>
      <c r="S2434" s="6" t="s">
        <v>21</v>
      </c>
      <c r="T2434" s="6" t="s">
        <v>21</v>
      </c>
      <c r="U2434" s="6">
        <f t="shared" si="277"/>
        <v>446.40299999999996</v>
      </c>
      <c r="V2434" s="6">
        <f>(I2434*(L2434/100))</f>
        <v>446.40299999999996</v>
      </c>
    </row>
    <row r="2435" spans="1:22" hidden="1" x14ac:dyDescent="0.35">
      <c r="A2435" s="6" t="s">
        <v>2674</v>
      </c>
      <c r="B2435" s="6" t="s">
        <v>2669</v>
      </c>
      <c r="C2435" s="6" t="s">
        <v>2670</v>
      </c>
      <c r="D2435" s="6">
        <f t="shared" si="279"/>
        <v>0.5</v>
      </c>
      <c r="E2435" s="6" t="s">
        <v>19</v>
      </c>
      <c r="F2435" s="6" t="str">
        <f>MID(A2435,19,1)</f>
        <v>S</v>
      </c>
      <c r="G2435" s="6">
        <v>-22.82691789650961</v>
      </c>
      <c r="H2435" s="6">
        <v>-47.185442018739067</v>
      </c>
      <c r="I2435" s="9">
        <v>757.68</v>
      </c>
      <c r="K2435" s="6">
        <v>4.58</v>
      </c>
      <c r="L2435" s="6">
        <v>0</v>
      </c>
      <c r="N2435" s="1">
        <f t="shared" si="286"/>
        <v>0</v>
      </c>
      <c r="Q2435" s="6" t="s">
        <v>26</v>
      </c>
      <c r="R2435" s="6" t="s">
        <v>21</v>
      </c>
      <c r="S2435" s="6" t="s">
        <v>21</v>
      </c>
      <c r="T2435" s="6" t="s">
        <v>21</v>
      </c>
      <c r="U2435" s="6">
        <f t="shared" ref="U2435:U2498" si="287">IF(N2435=0,(I2435*(L2435/100)),0)</f>
        <v>0</v>
      </c>
    </row>
    <row r="2436" spans="1:22" x14ac:dyDescent="0.35">
      <c r="A2436" s="6" t="s">
        <v>2675</v>
      </c>
      <c r="B2436" s="6" t="s">
        <v>2669</v>
      </c>
      <c r="C2436" s="6" t="s">
        <v>2670</v>
      </c>
      <c r="D2436" s="6">
        <f t="shared" si="279"/>
        <v>0.5</v>
      </c>
      <c r="E2436" s="6" t="s">
        <v>19</v>
      </c>
      <c r="F2436" s="6" t="str">
        <f>MID(A2436,19,1)</f>
        <v>N</v>
      </c>
      <c r="G2436" s="6">
        <v>-22.827245500053689</v>
      </c>
      <c r="H2436" s="6">
        <v>-47.183878468909462</v>
      </c>
      <c r="I2436" s="9">
        <v>53.7</v>
      </c>
      <c r="K2436" s="6">
        <v>3.42</v>
      </c>
      <c r="L2436" s="6">
        <v>30</v>
      </c>
      <c r="N2436" s="1">
        <f t="shared" si="286"/>
        <v>0</v>
      </c>
      <c r="O2436" s="6" t="s">
        <v>20</v>
      </c>
      <c r="Q2436" s="6" t="s">
        <v>21</v>
      </c>
      <c r="R2436" s="6" t="s">
        <v>21</v>
      </c>
      <c r="S2436" s="6" t="s">
        <v>21</v>
      </c>
      <c r="T2436" s="6" t="s">
        <v>21</v>
      </c>
      <c r="U2436" s="6">
        <f t="shared" si="287"/>
        <v>16.11</v>
      </c>
      <c r="V2436" s="6">
        <f t="shared" ref="V2436:V2438" si="288">(I2436*(L2436/100))</f>
        <v>16.11</v>
      </c>
    </row>
    <row r="2437" spans="1:22" hidden="1" x14ac:dyDescent="0.35">
      <c r="A2437" s="6" t="s">
        <v>2676</v>
      </c>
      <c r="B2437" s="6" t="s">
        <v>2669</v>
      </c>
      <c r="C2437" s="6" t="s">
        <v>2670</v>
      </c>
      <c r="D2437" s="6">
        <f t="shared" si="279"/>
        <v>0.5</v>
      </c>
      <c r="E2437" s="6" t="s">
        <v>19</v>
      </c>
      <c r="F2437" s="6" t="str">
        <f>MID(A2437,19,1)</f>
        <v>S</v>
      </c>
      <c r="G2437" s="6">
        <v>-22.880120495916589</v>
      </c>
      <c r="H2437" s="6">
        <v>-47.247076644407919</v>
      </c>
      <c r="I2437" s="9">
        <v>2158.59</v>
      </c>
      <c r="K2437" s="6">
        <v>2.0299999999999998</v>
      </c>
      <c r="L2437" s="6">
        <v>70</v>
      </c>
      <c r="N2437" s="1">
        <f t="shared" si="286"/>
        <v>0</v>
      </c>
      <c r="O2437" s="6" t="s">
        <v>20</v>
      </c>
      <c r="Q2437" s="6" t="s">
        <v>21</v>
      </c>
      <c r="R2437" s="6" t="s">
        <v>21</v>
      </c>
      <c r="S2437" s="6" t="s">
        <v>21</v>
      </c>
      <c r="T2437" s="6" t="s">
        <v>21</v>
      </c>
      <c r="U2437" s="6">
        <f t="shared" si="287"/>
        <v>1511.0129999999999</v>
      </c>
      <c r="V2437" s="6">
        <f t="shared" si="288"/>
        <v>1511.0129999999999</v>
      </c>
    </row>
    <row r="2438" spans="1:22" x14ac:dyDescent="0.35">
      <c r="A2438" s="6" t="s">
        <v>2677</v>
      </c>
      <c r="B2438" s="6" t="s">
        <v>2669</v>
      </c>
      <c r="C2438" s="6" t="s">
        <v>2670</v>
      </c>
      <c r="D2438" s="6">
        <f t="shared" si="279"/>
        <v>0.5</v>
      </c>
      <c r="E2438" s="6" t="s">
        <v>19</v>
      </c>
      <c r="F2438" s="6" t="str">
        <f>MID(A2438,19,1)</f>
        <v>N</v>
      </c>
      <c r="G2438" s="6">
        <v>-22.826005348849669</v>
      </c>
      <c r="H2438" s="6">
        <v>-47.185710022455012</v>
      </c>
      <c r="I2438" s="9">
        <v>2053.06</v>
      </c>
      <c r="K2438" s="6">
        <v>1.9</v>
      </c>
      <c r="L2438" s="6">
        <v>30</v>
      </c>
      <c r="N2438" s="1">
        <f t="shared" si="286"/>
        <v>0</v>
      </c>
      <c r="O2438" s="6" t="s">
        <v>20</v>
      </c>
      <c r="Q2438" s="6" t="s">
        <v>21</v>
      </c>
      <c r="R2438" s="6" t="s">
        <v>21</v>
      </c>
      <c r="S2438" s="6" t="s">
        <v>21</v>
      </c>
      <c r="T2438" s="6" t="s">
        <v>21</v>
      </c>
      <c r="U2438" s="6">
        <f t="shared" si="287"/>
        <v>615.91800000000001</v>
      </c>
      <c r="V2438" s="6">
        <f t="shared" si="288"/>
        <v>615.91800000000001</v>
      </c>
    </row>
    <row r="2439" spans="1:22" hidden="1" x14ac:dyDescent="0.35">
      <c r="A2439" s="8" t="s">
        <v>2678</v>
      </c>
      <c r="B2439" s="8" t="s">
        <v>2669</v>
      </c>
      <c r="C2439" s="8" t="s">
        <v>2670</v>
      </c>
      <c r="D2439" s="6">
        <f t="shared" si="279"/>
        <v>0.5</v>
      </c>
      <c r="E2439" s="8" t="s">
        <v>19</v>
      </c>
      <c r="F2439" s="6" t="str">
        <f>MID(A2439,19,1)</f>
        <v>S</v>
      </c>
      <c r="G2439" s="8">
        <v>-22.881872607730291</v>
      </c>
      <c r="H2439" s="8">
        <v>-47.24235197490669</v>
      </c>
      <c r="I2439" s="7">
        <v>2058.67</v>
      </c>
      <c r="J2439" s="7"/>
      <c r="K2439" s="8">
        <v>4.0199999999999996</v>
      </c>
      <c r="L2439" s="8">
        <v>40</v>
      </c>
      <c r="M2439" s="8"/>
      <c r="N2439" s="11">
        <f t="shared" si="286"/>
        <v>823.46800000000007</v>
      </c>
      <c r="O2439" s="8" t="s">
        <v>25</v>
      </c>
      <c r="P2439" s="8"/>
      <c r="Q2439" s="8" t="s">
        <v>21</v>
      </c>
      <c r="R2439" s="8" t="s">
        <v>26</v>
      </c>
      <c r="S2439" s="8" t="s">
        <v>21</v>
      </c>
      <c r="T2439" s="8" t="s">
        <v>26</v>
      </c>
      <c r="U2439" s="6">
        <f t="shared" si="287"/>
        <v>0</v>
      </c>
    </row>
    <row r="2440" spans="1:22" hidden="1" x14ac:dyDescent="0.35">
      <c r="A2440" s="6" t="s">
        <v>2679</v>
      </c>
      <c r="B2440" s="6" t="s">
        <v>2669</v>
      </c>
      <c r="C2440" s="6" t="s">
        <v>2670</v>
      </c>
      <c r="D2440" s="6">
        <f t="shared" si="279"/>
        <v>0.5</v>
      </c>
      <c r="E2440" s="6" t="s">
        <v>19</v>
      </c>
      <c r="F2440" s="6" t="str">
        <f>MID(A2440,19,1)</f>
        <v>S</v>
      </c>
      <c r="G2440" s="6">
        <v>-22.827385071400141</v>
      </c>
      <c r="H2440" s="6">
        <v>-47.18400817552611</v>
      </c>
      <c r="I2440" s="9">
        <v>110.87</v>
      </c>
      <c r="K2440" s="6">
        <v>2.66</v>
      </c>
      <c r="L2440" s="6">
        <v>50</v>
      </c>
      <c r="N2440" s="1">
        <f t="shared" si="286"/>
        <v>0</v>
      </c>
      <c r="O2440" s="6" t="s">
        <v>20</v>
      </c>
      <c r="Q2440" s="6" t="s">
        <v>21</v>
      </c>
      <c r="R2440" s="6" t="s">
        <v>21</v>
      </c>
      <c r="S2440" s="6" t="s">
        <v>21</v>
      </c>
      <c r="T2440" s="6" t="s">
        <v>21</v>
      </c>
      <c r="U2440" s="6">
        <f t="shared" si="287"/>
        <v>55.435000000000002</v>
      </c>
      <c r="V2440" s="6">
        <f t="shared" ref="V2440:V2445" si="289">(I2440*(L2440/100))</f>
        <v>55.435000000000002</v>
      </c>
    </row>
    <row r="2441" spans="1:22" hidden="1" x14ac:dyDescent="0.35">
      <c r="A2441" s="6" t="s">
        <v>2680</v>
      </c>
      <c r="B2441" s="6" t="s">
        <v>2669</v>
      </c>
      <c r="C2441" s="6" t="s">
        <v>2670</v>
      </c>
      <c r="D2441" s="6">
        <f t="shared" si="279"/>
        <v>0.5</v>
      </c>
      <c r="E2441" s="6" t="s">
        <v>19</v>
      </c>
      <c r="F2441" s="6" t="str">
        <f>MID(A2441,19,1)</f>
        <v>S</v>
      </c>
      <c r="G2441" s="6">
        <v>-22.82817142525559</v>
      </c>
      <c r="H2441" s="6">
        <v>-47.183310307291613</v>
      </c>
      <c r="I2441" s="9">
        <v>1533.27</v>
      </c>
      <c r="K2441" s="6">
        <v>3.49</v>
      </c>
      <c r="L2441" s="6">
        <v>30</v>
      </c>
      <c r="N2441" s="1">
        <f t="shared" si="286"/>
        <v>0</v>
      </c>
      <c r="O2441" s="6" t="s">
        <v>20</v>
      </c>
      <c r="Q2441" s="6" t="s">
        <v>21</v>
      </c>
      <c r="R2441" s="6" t="s">
        <v>21</v>
      </c>
      <c r="S2441" s="6" t="s">
        <v>21</v>
      </c>
      <c r="T2441" s="6" t="s">
        <v>21</v>
      </c>
      <c r="U2441" s="6">
        <f t="shared" si="287"/>
        <v>459.98099999999999</v>
      </c>
      <c r="V2441" s="6">
        <f t="shared" si="289"/>
        <v>459.98099999999999</v>
      </c>
    </row>
    <row r="2442" spans="1:22" hidden="1" x14ac:dyDescent="0.35">
      <c r="A2442" s="6" t="s">
        <v>2681</v>
      </c>
      <c r="B2442" s="6" t="s">
        <v>2669</v>
      </c>
      <c r="C2442" s="6" t="s">
        <v>2670</v>
      </c>
      <c r="D2442" s="6">
        <f t="shared" si="279"/>
        <v>0.5</v>
      </c>
      <c r="E2442" s="6" t="s">
        <v>23</v>
      </c>
      <c r="F2442" s="6" t="str">
        <f>MID(A2442,19,1)</f>
        <v>C</v>
      </c>
      <c r="G2442" s="6">
        <v>-22.881673290028949</v>
      </c>
      <c r="H2442" s="6">
        <v>-47.242283783903403</v>
      </c>
      <c r="I2442" s="9">
        <v>5881</v>
      </c>
      <c r="J2442" s="9">
        <f>I2442/500</f>
        <v>11.762</v>
      </c>
      <c r="K2442" s="6">
        <v>4.1100000000000003</v>
      </c>
      <c r="L2442" s="6">
        <v>80</v>
      </c>
      <c r="N2442" s="1">
        <f t="shared" si="286"/>
        <v>0</v>
      </c>
      <c r="O2442" s="6" t="s">
        <v>20</v>
      </c>
      <c r="Q2442" s="6" t="s">
        <v>21</v>
      </c>
      <c r="R2442" s="6" t="s">
        <v>21</v>
      </c>
      <c r="S2442" s="6" t="s">
        <v>21</v>
      </c>
      <c r="T2442" s="6" t="s">
        <v>21</v>
      </c>
      <c r="U2442" s="6">
        <f t="shared" si="287"/>
        <v>4704.8</v>
      </c>
      <c r="V2442" s="6">
        <f t="shared" si="289"/>
        <v>4704.8</v>
      </c>
    </row>
    <row r="2443" spans="1:22" x14ac:dyDescent="0.35">
      <c r="A2443" s="6" t="s">
        <v>2682</v>
      </c>
      <c r="B2443" s="6" t="s">
        <v>2669</v>
      </c>
      <c r="C2443" s="6" t="s">
        <v>2670</v>
      </c>
      <c r="D2443" s="6">
        <f t="shared" si="279"/>
        <v>0.5</v>
      </c>
      <c r="E2443" s="6" t="s">
        <v>19</v>
      </c>
      <c r="F2443" s="6" t="str">
        <f>MID(A2443,19,1)</f>
        <v>N</v>
      </c>
      <c r="G2443" s="6">
        <v>-22.879760075162359</v>
      </c>
      <c r="H2443" s="6">
        <v>-47.246867429205757</v>
      </c>
      <c r="I2443" s="9">
        <v>2106.09</v>
      </c>
      <c r="K2443" s="6">
        <v>2.0499999999999998</v>
      </c>
      <c r="L2443" s="6">
        <v>70</v>
      </c>
      <c r="N2443" s="1">
        <f t="shared" si="286"/>
        <v>0</v>
      </c>
      <c r="O2443" s="6" t="s">
        <v>20</v>
      </c>
      <c r="Q2443" s="6" t="s">
        <v>21</v>
      </c>
      <c r="R2443" s="6" t="s">
        <v>21</v>
      </c>
      <c r="S2443" s="6" t="s">
        <v>21</v>
      </c>
      <c r="T2443" s="6" t="s">
        <v>21</v>
      </c>
      <c r="U2443" s="6">
        <f t="shared" si="287"/>
        <v>1474.2629999999999</v>
      </c>
      <c r="V2443" s="6">
        <f t="shared" si="289"/>
        <v>1474.2629999999999</v>
      </c>
    </row>
    <row r="2444" spans="1:22" x14ac:dyDescent="0.35">
      <c r="A2444" s="6" t="s">
        <v>2683</v>
      </c>
      <c r="B2444" s="6" t="s">
        <v>2669</v>
      </c>
      <c r="C2444" s="6" t="s">
        <v>2670</v>
      </c>
      <c r="D2444" s="6">
        <f t="shared" si="279"/>
        <v>0.5</v>
      </c>
      <c r="E2444" s="6" t="s">
        <v>19</v>
      </c>
      <c r="F2444" s="6" t="str">
        <f>MID(A2444,19,1)</f>
        <v>N</v>
      </c>
      <c r="G2444" s="6">
        <v>-22.827600657308139</v>
      </c>
      <c r="H2444" s="6">
        <v>-47.182964578887322</v>
      </c>
      <c r="I2444" s="9">
        <v>691.33</v>
      </c>
      <c r="K2444" s="6">
        <v>1.94</v>
      </c>
      <c r="L2444" s="6">
        <v>30</v>
      </c>
      <c r="N2444" s="1">
        <f t="shared" si="286"/>
        <v>0</v>
      </c>
      <c r="O2444" s="6" t="s">
        <v>20</v>
      </c>
      <c r="Q2444" s="6" t="s">
        <v>21</v>
      </c>
      <c r="R2444" s="6" t="s">
        <v>21</v>
      </c>
      <c r="S2444" s="6" t="s">
        <v>21</v>
      </c>
      <c r="T2444" s="6" t="s">
        <v>21</v>
      </c>
      <c r="U2444" s="6">
        <f t="shared" si="287"/>
        <v>207.399</v>
      </c>
      <c r="V2444" s="6">
        <f t="shared" si="289"/>
        <v>207.399</v>
      </c>
    </row>
    <row r="2445" spans="1:22" hidden="1" x14ac:dyDescent="0.35">
      <c r="A2445" s="6" t="s">
        <v>2684</v>
      </c>
      <c r="B2445" s="6" t="s">
        <v>2669</v>
      </c>
      <c r="C2445" s="6" t="s">
        <v>2670</v>
      </c>
      <c r="D2445" s="6">
        <f t="shared" si="279"/>
        <v>0.5</v>
      </c>
      <c r="E2445" s="6" t="s">
        <v>23</v>
      </c>
      <c r="F2445" s="6" t="str">
        <f>MID(A2445,19,1)</f>
        <v>C</v>
      </c>
      <c r="G2445" s="6">
        <v>-22.828529036467121</v>
      </c>
      <c r="H2445" s="6">
        <v>-47.182130792140178</v>
      </c>
      <c r="I2445" s="9">
        <v>3920.43</v>
      </c>
      <c r="J2445" s="9">
        <f t="shared" ref="J2445:J2446" si="290">I2445/500</f>
        <v>7.8408599999999993</v>
      </c>
      <c r="K2445" s="6">
        <v>2.48</v>
      </c>
      <c r="L2445" s="6">
        <v>80</v>
      </c>
      <c r="N2445" s="1">
        <f t="shared" si="286"/>
        <v>0</v>
      </c>
      <c r="O2445" s="6" t="s">
        <v>20</v>
      </c>
      <c r="P2445" s="6" t="s">
        <v>2685</v>
      </c>
      <c r="Q2445" s="6" t="s">
        <v>21</v>
      </c>
      <c r="R2445" s="6" t="s">
        <v>21</v>
      </c>
      <c r="S2445" s="6" t="s">
        <v>21</v>
      </c>
      <c r="T2445" s="6" t="s">
        <v>21</v>
      </c>
      <c r="U2445" s="6">
        <f t="shared" si="287"/>
        <v>3136.3440000000001</v>
      </c>
      <c r="V2445" s="6">
        <f t="shared" si="289"/>
        <v>3136.3440000000001</v>
      </c>
    </row>
    <row r="2446" spans="1:22" hidden="1" x14ac:dyDescent="0.35">
      <c r="A2446" s="8" t="s">
        <v>2686</v>
      </c>
      <c r="B2446" s="8" t="s">
        <v>2669</v>
      </c>
      <c r="C2446" s="8" t="s">
        <v>2670</v>
      </c>
      <c r="D2446" s="6">
        <f t="shared" ref="D2446:D2509" si="291">C2446-B2446</f>
        <v>0.5</v>
      </c>
      <c r="E2446" s="8" t="s">
        <v>23</v>
      </c>
      <c r="F2446" s="6" t="str">
        <f>MID(A2446,19,1)</f>
        <v>C</v>
      </c>
      <c r="G2446" s="8">
        <v>-22.826763055440011</v>
      </c>
      <c r="H2446" s="8">
        <v>-47.184738717336103</v>
      </c>
      <c r="I2446" s="7">
        <v>770.3</v>
      </c>
      <c r="J2446" s="9">
        <f t="shared" si="290"/>
        <v>1.5406</v>
      </c>
      <c r="K2446" s="8">
        <v>3.41</v>
      </c>
      <c r="L2446" s="8">
        <v>50</v>
      </c>
      <c r="M2446" s="8"/>
      <c r="N2446" s="11">
        <f t="shared" si="286"/>
        <v>385.15</v>
      </c>
      <c r="O2446" s="8" t="s">
        <v>71</v>
      </c>
      <c r="P2446" s="8"/>
      <c r="Q2446" s="8" t="s">
        <v>21</v>
      </c>
      <c r="R2446" s="8" t="s">
        <v>21</v>
      </c>
      <c r="S2446" s="8" t="s">
        <v>21</v>
      </c>
      <c r="T2446" s="8" t="s">
        <v>26</v>
      </c>
      <c r="U2446" s="6">
        <f t="shared" si="287"/>
        <v>0</v>
      </c>
    </row>
    <row r="2447" spans="1:22" x14ac:dyDescent="0.35">
      <c r="A2447" s="8" t="s">
        <v>2687</v>
      </c>
      <c r="B2447" s="8" t="s">
        <v>2669</v>
      </c>
      <c r="C2447" s="8" t="s">
        <v>2670</v>
      </c>
      <c r="D2447" s="6">
        <f t="shared" si="291"/>
        <v>0.5</v>
      </c>
      <c r="E2447" s="8" t="s">
        <v>19</v>
      </c>
      <c r="F2447" s="6" t="str">
        <f>MID(A2447,19,1)</f>
        <v>N</v>
      </c>
      <c r="G2447" s="8">
        <v>-22.8250245485204</v>
      </c>
      <c r="H2447" s="8">
        <v>-47.188014794609323</v>
      </c>
      <c r="I2447" s="7">
        <v>423.53</v>
      </c>
      <c r="J2447" s="7"/>
      <c r="K2447" s="8">
        <v>1.37</v>
      </c>
      <c r="L2447" s="8">
        <v>65</v>
      </c>
      <c r="M2447" s="8"/>
      <c r="N2447" s="11">
        <f t="shared" si="286"/>
        <v>275.29449999999997</v>
      </c>
      <c r="O2447" s="8" t="s">
        <v>71</v>
      </c>
      <c r="P2447" s="8"/>
      <c r="Q2447" s="8" t="s">
        <v>21</v>
      </c>
      <c r="R2447" s="8" t="s">
        <v>26</v>
      </c>
      <c r="S2447" s="8" t="s">
        <v>21</v>
      </c>
      <c r="T2447" s="8" t="s">
        <v>26</v>
      </c>
      <c r="U2447" s="6">
        <f t="shared" si="287"/>
        <v>0</v>
      </c>
    </row>
    <row r="2448" spans="1:22" hidden="1" x14ac:dyDescent="0.35">
      <c r="A2448" s="6" t="s">
        <v>2688</v>
      </c>
      <c r="B2448" s="6" t="s">
        <v>2669</v>
      </c>
      <c r="C2448" s="6" t="s">
        <v>2670</v>
      </c>
      <c r="D2448" s="6">
        <f t="shared" si="291"/>
        <v>0.5</v>
      </c>
      <c r="E2448" s="6" t="s">
        <v>19</v>
      </c>
      <c r="F2448" s="6" t="str">
        <f>MID(A2448,19,1)</f>
        <v>S</v>
      </c>
      <c r="G2448" s="6">
        <v>-22.82549216152831</v>
      </c>
      <c r="H2448" s="6">
        <v>-47.188218878115308</v>
      </c>
      <c r="I2448" s="9">
        <v>619.04999999999995</v>
      </c>
      <c r="K2448" s="6">
        <v>1.65</v>
      </c>
      <c r="L2448" s="6">
        <v>30</v>
      </c>
      <c r="N2448" s="1">
        <f t="shared" si="286"/>
        <v>0</v>
      </c>
      <c r="O2448" s="6" t="s">
        <v>20</v>
      </c>
      <c r="Q2448" s="6" t="s">
        <v>21</v>
      </c>
      <c r="R2448" s="6" t="s">
        <v>21</v>
      </c>
      <c r="S2448" s="6" t="s">
        <v>21</v>
      </c>
      <c r="T2448" s="6" t="s">
        <v>21</v>
      </c>
      <c r="U2448" s="6">
        <f t="shared" si="287"/>
        <v>185.71499999999997</v>
      </c>
      <c r="V2448" s="6">
        <f t="shared" ref="V2448:V2449" si="292">(I2448*(L2448/100))</f>
        <v>185.71499999999997</v>
      </c>
    </row>
    <row r="2449" spans="1:22" hidden="1" x14ac:dyDescent="0.35">
      <c r="A2449" s="6" t="s">
        <v>2689</v>
      </c>
      <c r="B2449" s="6" t="s">
        <v>2669</v>
      </c>
      <c r="C2449" s="6" t="s">
        <v>2670</v>
      </c>
      <c r="D2449" s="6">
        <f t="shared" si="291"/>
        <v>0.5</v>
      </c>
      <c r="E2449" s="6" t="s">
        <v>19</v>
      </c>
      <c r="F2449" s="6" t="str">
        <f>MID(A2449,19,1)</f>
        <v>S</v>
      </c>
      <c r="G2449" s="6">
        <v>-22.82898797346451</v>
      </c>
      <c r="H2449" s="6">
        <v>-47.182044074654073</v>
      </c>
      <c r="I2449" s="9">
        <v>394.54</v>
      </c>
      <c r="K2449" s="6">
        <v>6.18</v>
      </c>
      <c r="L2449" s="6">
        <v>30</v>
      </c>
      <c r="N2449" s="1">
        <f t="shared" si="286"/>
        <v>0</v>
      </c>
      <c r="O2449" s="6" t="s">
        <v>20</v>
      </c>
      <c r="Q2449" s="6" t="s">
        <v>21</v>
      </c>
      <c r="R2449" s="6" t="s">
        <v>21</v>
      </c>
      <c r="S2449" s="6" t="s">
        <v>21</v>
      </c>
      <c r="T2449" s="6" t="s">
        <v>21</v>
      </c>
      <c r="U2449" s="6">
        <f t="shared" si="287"/>
        <v>118.36199999999999</v>
      </c>
      <c r="V2449" s="6">
        <f t="shared" si="292"/>
        <v>118.36199999999999</v>
      </c>
    </row>
    <row r="2450" spans="1:22" x14ac:dyDescent="0.35">
      <c r="A2450" s="8" t="s">
        <v>2690</v>
      </c>
      <c r="B2450" s="8" t="s">
        <v>2669</v>
      </c>
      <c r="C2450" s="8" t="s">
        <v>2670</v>
      </c>
      <c r="D2450" s="6">
        <f t="shared" si="291"/>
        <v>0.5</v>
      </c>
      <c r="E2450" s="8" t="s">
        <v>19</v>
      </c>
      <c r="F2450" s="6" t="str">
        <f>MID(A2450,19,1)</f>
        <v>N</v>
      </c>
      <c r="G2450" s="8">
        <v>-22.881466454826018</v>
      </c>
      <c r="H2450" s="8">
        <v>-47.242265107199358</v>
      </c>
      <c r="I2450" s="7">
        <v>2002.12</v>
      </c>
      <c r="J2450" s="7"/>
      <c r="K2450" s="8">
        <v>4.26</v>
      </c>
      <c r="L2450" s="8">
        <v>55</v>
      </c>
      <c r="M2450" s="8"/>
      <c r="N2450" s="11">
        <f t="shared" si="286"/>
        <v>1101.1659999999999</v>
      </c>
      <c r="O2450" s="8" t="s">
        <v>25</v>
      </c>
      <c r="P2450" s="8"/>
      <c r="Q2450" s="8" t="s">
        <v>21</v>
      </c>
      <c r="R2450" s="8" t="s">
        <v>26</v>
      </c>
      <c r="S2450" s="8" t="s">
        <v>21</v>
      </c>
      <c r="T2450" s="8" t="s">
        <v>21</v>
      </c>
      <c r="U2450" s="6">
        <f t="shared" si="287"/>
        <v>0</v>
      </c>
    </row>
    <row r="2451" spans="1:22" hidden="1" x14ac:dyDescent="0.35">
      <c r="A2451" s="8" t="s">
        <v>2691</v>
      </c>
      <c r="B2451" s="8" t="s">
        <v>2669</v>
      </c>
      <c r="C2451" s="8" t="s">
        <v>2670</v>
      </c>
      <c r="D2451" s="6">
        <f t="shared" si="291"/>
        <v>0.5</v>
      </c>
      <c r="E2451" s="8" t="s">
        <v>23</v>
      </c>
      <c r="F2451" s="6" t="str">
        <f>MID(A2451,19,1)</f>
        <v>C</v>
      </c>
      <c r="G2451" s="8">
        <v>-22.826140342595082</v>
      </c>
      <c r="H2451" s="8">
        <v>-47.186326112691958</v>
      </c>
      <c r="I2451" s="7">
        <v>4380.1499999999996</v>
      </c>
      <c r="J2451" s="9">
        <f>I2451/500</f>
        <v>8.7602999999999991</v>
      </c>
      <c r="K2451" s="8">
        <v>2.96</v>
      </c>
      <c r="L2451" s="8">
        <v>80</v>
      </c>
      <c r="M2451" s="8"/>
      <c r="N2451" s="11">
        <f t="shared" si="286"/>
        <v>3504.12</v>
      </c>
      <c r="O2451" s="8" t="s">
        <v>71</v>
      </c>
      <c r="P2451" s="8"/>
      <c r="Q2451" s="8" t="s">
        <v>21</v>
      </c>
      <c r="R2451" s="8" t="s">
        <v>26</v>
      </c>
      <c r="S2451" s="8" t="s">
        <v>21</v>
      </c>
      <c r="T2451" s="8" t="s">
        <v>21</v>
      </c>
      <c r="U2451" s="6">
        <f t="shared" si="287"/>
        <v>0</v>
      </c>
    </row>
    <row r="2452" spans="1:22" x14ac:dyDescent="0.35">
      <c r="A2452" s="6" t="s">
        <v>2692</v>
      </c>
      <c r="B2452" s="6" t="s">
        <v>2669</v>
      </c>
      <c r="C2452" s="6" t="s">
        <v>2670</v>
      </c>
      <c r="D2452" s="6">
        <f t="shared" si="291"/>
        <v>0.5</v>
      </c>
      <c r="E2452" s="6" t="s">
        <v>19</v>
      </c>
      <c r="F2452" s="6" t="str">
        <f>MID(A2452,19,1)</f>
        <v>N</v>
      </c>
      <c r="G2452" s="6">
        <v>-22.828246561907591</v>
      </c>
      <c r="H2452" s="6">
        <v>-47.181937813957873</v>
      </c>
      <c r="I2452" s="9">
        <v>640.96</v>
      </c>
      <c r="K2452" s="6">
        <v>2.33</v>
      </c>
      <c r="L2452" s="6">
        <v>30</v>
      </c>
      <c r="N2452" s="1">
        <f t="shared" si="286"/>
        <v>0</v>
      </c>
      <c r="O2452" s="6" t="s">
        <v>20</v>
      </c>
      <c r="Q2452" s="6" t="s">
        <v>21</v>
      </c>
      <c r="R2452" s="6" t="s">
        <v>21</v>
      </c>
      <c r="S2452" s="6" t="s">
        <v>21</v>
      </c>
      <c r="T2452" s="6" t="s">
        <v>21</v>
      </c>
      <c r="U2452" s="6">
        <f t="shared" si="287"/>
        <v>192.28800000000001</v>
      </c>
      <c r="V2452" s="6">
        <f t="shared" ref="V2452:V2481" si="293">(I2452*(L2452/100))</f>
        <v>192.28800000000001</v>
      </c>
    </row>
    <row r="2453" spans="1:22" x14ac:dyDescent="0.35">
      <c r="A2453" s="6" t="s">
        <v>2693</v>
      </c>
      <c r="B2453" s="6" t="s">
        <v>2669</v>
      </c>
      <c r="C2453" s="6" t="s">
        <v>2670</v>
      </c>
      <c r="D2453" s="6">
        <f t="shared" si="291"/>
        <v>0.5</v>
      </c>
      <c r="E2453" s="6" t="s">
        <v>19</v>
      </c>
      <c r="F2453" s="6" t="str">
        <f>MID(A2453,19,1)</f>
        <v>N</v>
      </c>
      <c r="G2453" s="6">
        <v>-22.826682164133491</v>
      </c>
      <c r="H2453" s="6">
        <v>-47.184446132627762</v>
      </c>
      <c r="I2453" s="9">
        <v>2161.5</v>
      </c>
      <c r="K2453" s="6">
        <v>3.19</v>
      </c>
      <c r="L2453" s="6">
        <v>75</v>
      </c>
      <c r="N2453" s="1">
        <f t="shared" si="286"/>
        <v>0</v>
      </c>
      <c r="O2453" s="6" t="s">
        <v>126</v>
      </c>
      <c r="Q2453" s="6" t="s">
        <v>21</v>
      </c>
      <c r="R2453" s="6" t="s">
        <v>21</v>
      </c>
      <c r="S2453" s="6" t="s">
        <v>21</v>
      </c>
      <c r="T2453" s="6" t="s">
        <v>21</v>
      </c>
      <c r="U2453" s="6">
        <f t="shared" si="287"/>
        <v>1621.125</v>
      </c>
      <c r="V2453" s="6">
        <f t="shared" si="293"/>
        <v>1621.125</v>
      </c>
    </row>
    <row r="2454" spans="1:22" hidden="1" x14ac:dyDescent="0.35">
      <c r="A2454" s="6" t="s">
        <v>2694</v>
      </c>
      <c r="B2454" s="6" t="s">
        <v>2669</v>
      </c>
      <c r="C2454" s="6" t="s">
        <v>2670</v>
      </c>
      <c r="D2454" s="6">
        <f t="shared" si="291"/>
        <v>0.5</v>
      </c>
      <c r="E2454" s="6" t="s">
        <v>19</v>
      </c>
      <c r="F2454" s="6" t="str">
        <f>MID(A2454,19,1)</f>
        <v>S</v>
      </c>
      <c r="G2454" s="6">
        <v>-22.829510363123219</v>
      </c>
      <c r="H2454" s="6">
        <v>-47.181304674501227</v>
      </c>
      <c r="I2454" s="9">
        <v>578.08000000000004</v>
      </c>
      <c r="K2454" s="6">
        <v>4.1900000000000004</v>
      </c>
      <c r="L2454" s="6">
        <v>0</v>
      </c>
      <c r="N2454" s="1">
        <f t="shared" si="286"/>
        <v>0</v>
      </c>
      <c r="Q2454" s="6" t="s">
        <v>21</v>
      </c>
      <c r="R2454" s="6" t="s">
        <v>21</v>
      </c>
      <c r="S2454" s="6" t="s">
        <v>21</v>
      </c>
      <c r="T2454" s="6" t="s">
        <v>21</v>
      </c>
      <c r="U2454" s="6">
        <f t="shared" si="287"/>
        <v>0</v>
      </c>
      <c r="V2454" s="6">
        <f t="shared" si="293"/>
        <v>0</v>
      </c>
    </row>
    <row r="2455" spans="1:22" hidden="1" x14ac:dyDescent="0.35">
      <c r="A2455" s="6" t="s">
        <v>2695</v>
      </c>
      <c r="B2455" s="6" t="s">
        <v>2669</v>
      </c>
      <c r="C2455" s="6" t="s">
        <v>2670</v>
      </c>
      <c r="D2455" s="6">
        <f t="shared" si="291"/>
        <v>0.5</v>
      </c>
      <c r="E2455" s="6" t="s">
        <v>23</v>
      </c>
      <c r="F2455" s="6" t="str">
        <f>MID(A2455,19,1)</f>
        <v>C</v>
      </c>
      <c r="G2455" s="6">
        <v>-22.879943508710799</v>
      </c>
      <c r="H2455" s="6">
        <v>-47.246967234129109</v>
      </c>
      <c r="I2455" s="9">
        <v>6378.77</v>
      </c>
      <c r="J2455" s="9">
        <f>I2455/500</f>
        <v>12.757540000000001</v>
      </c>
      <c r="K2455" s="6">
        <v>2.0499999999999998</v>
      </c>
      <c r="L2455" s="6">
        <v>80</v>
      </c>
      <c r="N2455" s="1">
        <f t="shared" si="286"/>
        <v>0</v>
      </c>
      <c r="O2455" s="6" t="s">
        <v>20</v>
      </c>
      <c r="Q2455" s="6" t="s">
        <v>21</v>
      </c>
      <c r="R2455" s="6" t="s">
        <v>21</v>
      </c>
      <c r="S2455" s="6" t="s">
        <v>21</v>
      </c>
      <c r="T2455" s="6" t="s">
        <v>21</v>
      </c>
      <c r="U2455" s="6">
        <f t="shared" si="287"/>
        <v>5103.0160000000005</v>
      </c>
      <c r="V2455" s="6">
        <f t="shared" si="293"/>
        <v>5103.0160000000005</v>
      </c>
    </row>
    <row r="2456" spans="1:22" x14ac:dyDescent="0.35">
      <c r="A2456" s="6" t="s">
        <v>2696</v>
      </c>
      <c r="B2456" s="6" t="s">
        <v>2669</v>
      </c>
      <c r="C2456" s="6" t="s">
        <v>2670</v>
      </c>
      <c r="D2456" s="6">
        <f t="shared" si="291"/>
        <v>0.5</v>
      </c>
      <c r="E2456" s="6" t="s">
        <v>19</v>
      </c>
      <c r="F2456" s="6" t="str">
        <f>MID(A2456,19,1)</f>
        <v>N</v>
      </c>
      <c r="G2456" s="6">
        <v>-22.827395151667151</v>
      </c>
      <c r="H2456" s="6">
        <v>-47.183612231593237</v>
      </c>
      <c r="I2456" s="9">
        <v>104.34</v>
      </c>
      <c r="K2456" s="6">
        <v>2.21</v>
      </c>
      <c r="L2456" s="6">
        <v>30</v>
      </c>
      <c r="N2456" s="1">
        <f t="shared" si="286"/>
        <v>0</v>
      </c>
      <c r="O2456" s="6" t="s">
        <v>20</v>
      </c>
      <c r="Q2456" s="6" t="s">
        <v>21</v>
      </c>
      <c r="R2456" s="6" t="s">
        <v>21</v>
      </c>
      <c r="S2456" s="6" t="s">
        <v>21</v>
      </c>
      <c r="T2456" s="6" t="s">
        <v>21</v>
      </c>
      <c r="U2456" s="6">
        <f t="shared" si="287"/>
        <v>31.302</v>
      </c>
      <c r="V2456" s="6">
        <f t="shared" si="293"/>
        <v>31.302</v>
      </c>
    </row>
    <row r="2457" spans="1:22" hidden="1" x14ac:dyDescent="0.35">
      <c r="A2457" s="6" t="s">
        <v>2697</v>
      </c>
      <c r="B2457" s="6" t="s">
        <v>2669</v>
      </c>
      <c r="C2457" s="6" t="s">
        <v>2670</v>
      </c>
      <c r="D2457" s="6">
        <f t="shared" si="291"/>
        <v>0.5</v>
      </c>
      <c r="E2457" s="6" t="s">
        <v>19</v>
      </c>
      <c r="F2457" s="6" t="str">
        <f>MID(A2457,19,1)</f>
        <v>S</v>
      </c>
      <c r="G2457" s="6">
        <v>-22.828513914224722</v>
      </c>
      <c r="H2457" s="6">
        <v>-47.182508225228453</v>
      </c>
      <c r="I2457" s="9">
        <v>1983.82</v>
      </c>
      <c r="K2457" s="6">
        <v>2.99</v>
      </c>
      <c r="L2457" s="6">
        <v>30</v>
      </c>
      <c r="N2457" s="1">
        <f t="shared" si="286"/>
        <v>0</v>
      </c>
      <c r="O2457" s="6" t="s">
        <v>20</v>
      </c>
      <c r="Q2457" s="6" t="s">
        <v>21</v>
      </c>
      <c r="R2457" s="6" t="s">
        <v>21</v>
      </c>
      <c r="S2457" s="6" t="s">
        <v>21</v>
      </c>
      <c r="T2457" s="6" t="s">
        <v>21</v>
      </c>
      <c r="U2457" s="6">
        <f t="shared" si="287"/>
        <v>595.14599999999996</v>
      </c>
      <c r="V2457" s="6">
        <f t="shared" si="293"/>
        <v>595.14599999999996</v>
      </c>
    </row>
    <row r="2458" spans="1:22" hidden="1" x14ac:dyDescent="0.35">
      <c r="A2458" s="6" t="s">
        <v>2698</v>
      </c>
      <c r="B2458" s="6" t="s">
        <v>2699</v>
      </c>
      <c r="C2458" s="6" t="s">
        <v>2700</v>
      </c>
      <c r="D2458" s="6">
        <f t="shared" si="291"/>
        <v>0.5</v>
      </c>
      <c r="E2458" s="6" t="s">
        <v>23</v>
      </c>
      <c r="F2458" s="6" t="str">
        <f>MID(A2458,19,1)</f>
        <v>C</v>
      </c>
      <c r="G2458" s="6">
        <v>-22.823980506781101</v>
      </c>
      <c r="H2458" s="6">
        <v>-47.190822576899428</v>
      </c>
      <c r="I2458" s="9">
        <v>2322.14</v>
      </c>
      <c r="J2458" s="9">
        <f>I2458/500</f>
        <v>4.6442800000000002</v>
      </c>
      <c r="K2458" s="6">
        <v>2.14</v>
      </c>
      <c r="L2458" s="6">
        <v>30</v>
      </c>
      <c r="N2458" s="1">
        <f t="shared" si="286"/>
        <v>0</v>
      </c>
      <c r="O2458" s="6" t="s">
        <v>20</v>
      </c>
      <c r="Q2458" s="6" t="s">
        <v>21</v>
      </c>
      <c r="R2458" s="6" t="s">
        <v>21</v>
      </c>
      <c r="S2458" s="6" t="s">
        <v>21</v>
      </c>
      <c r="T2458" s="6" t="s">
        <v>21</v>
      </c>
      <c r="U2458" s="6">
        <f t="shared" si="287"/>
        <v>696.64199999999994</v>
      </c>
      <c r="V2458" s="6">
        <f t="shared" si="293"/>
        <v>696.64199999999994</v>
      </c>
    </row>
    <row r="2459" spans="1:22" x14ac:dyDescent="0.35">
      <c r="A2459" s="6" t="s">
        <v>2701</v>
      </c>
      <c r="B2459" s="6" t="s">
        <v>2699</v>
      </c>
      <c r="C2459" s="6" t="s">
        <v>2700</v>
      </c>
      <c r="D2459" s="6">
        <f t="shared" si="291"/>
        <v>0.5</v>
      </c>
      <c r="E2459" s="6" t="s">
        <v>19</v>
      </c>
      <c r="F2459" s="6" t="str">
        <f>MID(A2459,19,1)</f>
        <v>N</v>
      </c>
      <c r="G2459" s="6">
        <v>-22.82060770663827</v>
      </c>
      <c r="H2459" s="6">
        <v>-47.19668351509597</v>
      </c>
      <c r="I2459" s="9">
        <v>326.89999999999998</v>
      </c>
      <c r="K2459" s="6">
        <v>3.35</v>
      </c>
      <c r="L2459" s="6">
        <v>50</v>
      </c>
      <c r="N2459" s="1">
        <f t="shared" si="286"/>
        <v>0</v>
      </c>
      <c r="O2459" s="6" t="s">
        <v>20</v>
      </c>
      <c r="Q2459" s="6" t="s">
        <v>21</v>
      </c>
      <c r="R2459" s="6" t="s">
        <v>21</v>
      </c>
      <c r="S2459" s="6" t="s">
        <v>21</v>
      </c>
      <c r="T2459" s="6" t="s">
        <v>21</v>
      </c>
      <c r="U2459" s="6">
        <f t="shared" si="287"/>
        <v>163.44999999999999</v>
      </c>
      <c r="V2459" s="6">
        <f t="shared" si="293"/>
        <v>163.44999999999999</v>
      </c>
    </row>
    <row r="2460" spans="1:22" hidden="1" x14ac:dyDescent="0.35">
      <c r="A2460" s="6" t="s">
        <v>2702</v>
      </c>
      <c r="B2460" s="6" t="s">
        <v>2699</v>
      </c>
      <c r="C2460" s="6" t="s">
        <v>2700</v>
      </c>
      <c r="D2460" s="6">
        <f t="shared" si="291"/>
        <v>0.5</v>
      </c>
      <c r="E2460" s="6" t="s">
        <v>19</v>
      </c>
      <c r="F2460" s="6" t="str">
        <f>MID(A2460,19,1)</f>
        <v>S</v>
      </c>
      <c r="G2460" s="6">
        <v>-22.875728132098381</v>
      </c>
      <c r="H2460" s="6">
        <v>-47.25275222310335</v>
      </c>
      <c r="I2460" s="9">
        <v>2634.07</v>
      </c>
      <c r="K2460" s="6">
        <v>2.09</v>
      </c>
      <c r="L2460" s="6">
        <v>70</v>
      </c>
      <c r="N2460" s="1">
        <f t="shared" si="286"/>
        <v>0</v>
      </c>
      <c r="O2460" s="6" t="s">
        <v>20</v>
      </c>
      <c r="Q2460" s="6" t="s">
        <v>21</v>
      </c>
      <c r="R2460" s="6" t="s">
        <v>21</v>
      </c>
      <c r="S2460" s="6" t="s">
        <v>21</v>
      </c>
      <c r="T2460" s="6" t="s">
        <v>21</v>
      </c>
      <c r="U2460" s="6">
        <f t="shared" si="287"/>
        <v>1843.8489999999999</v>
      </c>
      <c r="V2460" s="6">
        <f t="shared" si="293"/>
        <v>1843.8489999999999</v>
      </c>
    </row>
    <row r="2461" spans="1:22" hidden="1" x14ac:dyDescent="0.35">
      <c r="A2461" s="6" t="s">
        <v>2703</v>
      </c>
      <c r="B2461" s="6" t="s">
        <v>2699</v>
      </c>
      <c r="C2461" s="6" t="s">
        <v>2700</v>
      </c>
      <c r="D2461" s="6">
        <f t="shared" si="291"/>
        <v>0.5</v>
      </c>
      <c r="E2461" s="6" t="s">
        <v>19</v>
      </c>
      <c r="F2461" s="6" t="str">
        <f>MID(A2461,19,1)</f>
        <v>S</v>
      </c>
      <c r="G2461" s="6">
        <v>-22.82233624175424</v>
      </c>
      <c r="H2461" s="6">
        <v>-47.197265968835723</v>
      </c>
      <c r="I2461" s="9">
        <v>556.36</v>
      </c>
      <c r="K2461" s="6">
        <v>4.95</v>
      </c>
      <c r="L2461" s="6">
        <v>30</v>
      </c>
      <c r="N2461" s="1">
        <f t="shared" si="286"/>
        <v>0</v>
      </c>
      <c r="O2461" s="6" t="s">
        <v>20</v>
      </c>
      <c r="Q2461" s="6" t="s">
        <v>21</v>
      </c>
      <c r="R2461" s="6" t="s">
        <v>21</v>
      </c>
      <c r="S2461" s="6" t="s">
        <v>21</v>
      </c>
      <c r="T2461" s="6" t="s">
        <v>21</v>
      </c>
      <c r="U2461" s="6">
        <f t="shared" si="287"/>
        <v>166.90799999999999</v>
      </c>
      <c r="V2461" s="6">
        <f t="shared" si="293"/>
        <v>166.90799999999999</v>
      </c>
    </row>
    <row r="2462" spans="1:22" x14ac:dyDescent="0.35">
      <c r="A2462" s="6" t="s">
        <v>2704</v>
      </c>
      <c r="B2462" s="6" t="s">
        <v>2699</v>
      </c>
      <c r="C2462" s="6" t="s">
        <v>2700</v>
      </c>
      <c r="D2462" s="6">
        <f t="shared" si="291"/>
        <v>0.5</v>
      </c>
      <c r="E2462" s="6" t="s">
        <v>19</v>
      </c>
      <c r="F2462" s="6" t="str">
        <f>MID(A2462,19,1)</f>
        <v>N</v>
      </c>
      <c r="G2462" s="6">
        <v>-22.820286150527</v>
      </c>
      <c r="H2462" s="6">
        <v>-47.195433617549433</v>
      </c>
      <c r="I2462" s="9">
        <v>1491.66</v>
      </c>
      <c r="K2462" s="6">
        <v>4.6900000000000004</v>
      </c>
      <c r="L2462" s="6">
        <v>30</v>
      </c>
      <c r="N2462" s="1">
        <f t="shared" si="286"/>
        <v>0</v>
      </c>
      <c r="O2462" s="6" t="s">
        <v>20</v>
      </c>
      <c r="Q2462" s="6" t="s">
        <v>21</v>
      </c>
      <c r="R2462" s="6" t="s">
        <v>21</v>
      </c>
      <c r="S2462" s="6" t="s">
        <v>21</v>
      </c>
      <c r="T2462" s="6" t="s">
        <v>21</v>
      </c>
      <c r="U2462" s="6">
        <f t="shared" si="287"/>
        <v>447.49799999999999</v>
      </c>
      <c r="V2462" s="6">
        <f t="shared" si="293"/>
        <v>447.49799999999999</v>
      </c>
    </row>
    <row r="2463" spans="1:22" hidden="1" x14ac:dyDescent="0.35">
      <c r="A2463" s="6" t="s">
        <v>2705</v>
      </c>
      <c r="B2463" s="6" t="s">
        <v>2699</v>
      </c>
      <c r="C2463" s="6" t="s">
        <v>2700</v>
      </c>
      <c r="D2463" s="6">
        <f t="shared" si="291"/>
        <v>0.5</v>
      </c>
      <c r="E2463" s="6" t="s">
        <v>19</v>
      </c>
      <c r="F2463" s="6" t="str">
        <f>MID(A2463,19,1)</f>
        <v>S</v>
      </c>
      <c r="G2463" s="6">
        <v>-22.821968990381471</v>
      </c>
      <c r="H2463" s="6">
        <v>-47.195945785794343</v>
      </c>
      <c r="I2463" s="9">
        <v>3622.45</v>
      </c>
      <c r="K2463" s="6">
        <v>3.74</v>
      </c>
      <c r="L2463" s="6">
        <v>70</v>
      </c>
      <c r="N2463" s="1">
        <f t="shared" si="286"/>
        <v>0</v>
      </c>
      <c r="O2463" s="6" t="s">
        <v>126</v>
      </c>
      <c r="Q2463" s="6" t="s">
        <v>21</v>
      </c>
      <c r="R2463" s="6" t="s">
        <v>21</v>
      </c>
      <c r="S2463" s="6" t="s">
        <v>21</v>
      </c>
      <c r="T2463" s="6" t="s">
        <v>21</v>
      </c>
      <c r="U2463" s="6">
        <f t="shared" si="287"/>
        <v>2535.7149999999997</v>
      </c>
      <c r="V2463" s="6">
        <f t="shared" si="293"/>
        <v>2535.7149999999997</v>
      </c>
    </row>
    <row r="2464" spans="1:22" x14ac:dyDescent="0.35">
      <c r="A2464" s="6" t="s">
        <v>2706</v>
      </c>
      <c r="B2464" s="6" t="s">
        <v>2699</v>
      </c>
      <c r="C2464" s="6" t="s">
        <v>2700</v>
      </c>
      <c r="D2464" s="6">
        <f t="shared" si="291"/>
        <v>0.5</v>
      </c>
      <c r="E2464" s="6" t="s">
        <v>19</v>
      </c>
      <c r="F2464" s="6" t="str">
        <f>MID(A2464,19,1)</f>
        <v>N</v>
      </c>
      <c r="G2464" s="6">
        <v>-22.819874887678459</v>
      </c>
      <c r="H2464" s="6">
        <v>-47.196368284123757</v>
      </c>
      <c r="I2464" s="9">
        <v>2358.59</v>
      </c>
      <c r="K2464" s="6">
        <v>4.62</v>
      </c>
      <c r="L2464" s="6">
        <v>30</v>
      </c>
      <c r="N2464" s="1">
        <f t="shared" si="286"/>
        <v>0</v>
      </c>
      <c r="O2464" s="6" t="s">
        <v>20</v>
      </c>
      <c r="Q2464" s="6" t="s">
        <v>21</v>
      </c>
      <c r="R2464" s="6" t="s">
        <v>21</v>
      </c>
      <c r="S2464" s="6" t="s">
        <v>21</v>
      </c>
      <c r="T2464" s="6" t="s">
        <v>21</v>
      </c>
      <c r="U2464" s="6">
        <f t="shared" si="287"/>
        <v>707.577</v>
      </c>
      <c r="V2464" s="6">
        <f t="shared" si="293"/>
        <v>707.577</v>
      </c>
    </row>
    <row r="2465" spans="1:22" x14ac:dyDescent="0.35">
      <c r="A2465" s="6" t="s">
        <v>2707</v>
      </c>
      <c r="B2465" s="6" t="s">
        <v>2699</v>
      </c>
      <c r="C2465" s="6" t="s">
        <v>2700</v>
      </c>
      <c r="D2465" s="6">
        <f t="shared" si="291"/>
        <v>0.5</v>
      </c>
      <c r="E2465" s="6" t="s">
        <v>19</v>
      </c>
      <c r="F2465" s="6" t="str">
        <f>MID(A2465,19,1)</f>
        <v>N</v>
      </c>
      <c r="G2465" s="6">
        <v>-22.820405504229431</v>
      </c>
      <c r="H2465" s="6">
        <v>-47.195947426850111</v>
      </c>
      <c r="I2465" s="9">
        <v>2485.56</v>
      </c>
      <c r="K2465" s="6">
        <v>3.73</v>
      </c>
      <c r="L2465" s="6">
        <v>30</v>
      </c>
      <c r="N2465" s="1">
        <f t="shared" si="286"/>
        <v>0</v>
      </c>
      <c r="O2465" s="6" t="s">
        <v>20</v>
      </c>
      <c r="Q2465" s="6" t="s">
        <v>21</v>
      </c>
      <c r="R2465" s="6" t="s">
        <v>21</v>
      </c>
      <c r="S2465" s="6" t="s">
        <v>21</v>
      </c>
      <c r="T2465" s="6" t="s">
        <v>21</v>
      </c>
      <c r="U2465" s="6">
        <f t="shared" si="287"/>
        <v>745.66800000000001</v>
      </c>
      <c r="V2465" s="6">
        <f t="shared" si="293"/>
        <v>745.66800000000001</v>
      </c>
    </row>
    <row r="2466" spans="1:22" x14ac:dyDescent="0.35">
      <c r="A2466" s="6" t="s">
        <v>2708</v>
      </c>
      <c r="B2466" s="6" t="s">
        <v>2699</v>
      </c>
      <c r="C2466" s="6" t="s">
        <v>2700</v>
      </c>
      <c r="D2466" s="6">
        <f t="shared" si="291"/>
        <v>0.5</v>
      </c>
      <c r="E2466" s="6" t="s">
        <v>19</v>
      </c>
      <c r="F2466" s="6" t="str">
        <f>MID(A2466,19,1)</f>
        <v>N</v>
      </c>
      <c r="G2466" s="6">
        <v>-22.822288742381399</v>
      </c>
      <c r="H2466" s="6">
        <v>-47.192915409587258</v>
      </c>
      <c r="I2466" s="9">
        <v>283.83999999999997</v>
      </c>
      <c r="K2466" s="6">
        <v>1.99</v>
      </c>
      <c r="L2466" s="6">
        <v>30</v>
      </c>
      <c r="N2466" s="1">
        <f t="shared" si="286"/>
        <v>0</v>
      </c>
      <c r="O2466" s="6" t="s">
        <v>20</v>
      </c>
      <c r="Q2466" s="6" t="s">
        <v>21</v>
      </c>
      <c r="R2466" s="6" t="s">
        <v>21</v>
      </c>
      <c r="S2466" s="6" t="s">
        <v>21</v>
      </c>
      <c r="T2466" s="6" t="s">
        <v>21</v>
      </c>
      <c r="U2466" s="6">
        <f t="shared" si="287"/>
        <v>85.151999999999987</v>
      </c>
      <c r="V2466" s="6">
        <f t="shared" si="293"/>
        <v>85.151999999999987</v>
      </c>
    </row>
    <row r="2467" spans="1:22" x14ac:dyDescent="0.35">
      <c r="A2467" s="6" t="s">
        <v>2709</v>
      </c>
      <c r="B2467" s="6" t="s">
        <v>2699</v>
      </c>
      <c r="C2467" s="6" t="s">
        <v>2700</v>
      </c>
      <c r="D2467" s="6">
        <f t="shared" si="291"/>
        <v>0.5</v>
      </c>
      <c r="E2467" s="6" t="s">
        <v>19</v>
      </c>
      <c r="F2467" s="6" t="str">
        <f>MID(A2467,19,1)</f>
        <v>N</v>
      </c>
      <c r="G2467" s="6">
        <v>-22.822551605223161</v>
      </c>
      <c r="H2467" s="6">
        <v>-47.192423657594979</v>
      </c>
      <c r="I2467" s="9">
        <v>48.2</v>
      </c>
      <c r="K2467" s="6">
        <v>3.11</v>
      </c>
      <c r="L2467" s="6">
        <v>30</v>
      </c>
      <c r="N2467" s="1">
        <f t="shared" si="286"/>
        <v>0</v>
      </c>
      <c r="O2467" s="6" t="s">
        <v>20</v>
      </c>
      <c r="Q2467" s="6" t="s">
        <v>21</v>
      </c>
      <c r="R2467" s="6" t="s">
        <v>21</v>
      </c>
      <c r="S2467" s="6" t="s">
        <v>21</v>
      </c>
      <c r="T2467" s="6" t="s">
        <v>21</v>
      </c>
      <c r="U2467" s="6">
        <f t="shared" si="287"/>
        <v>14.46</v>
      </c>
      <c r="V2467" s="6">
        <f t="shared" si="293"/>
        <v>14.46</v>
      </c>
    </row>
    <row r="2468" spans="1:22" hidden="1" x14ac:dyDescent="0.35">
      <c r="A2468" s="6" t="s">
        <v>2710</v>
      </c>
      <c r="B2468" s="6" t="s">
        <v>2699</v>
      </c>
      <c r="C2468" s="6" t="s">
        <v>2700</v>
      </c>
      <c r="D2468" s="6">
        <f t="shared" si="291"/>
        <v>0.5</v>
      </c>
      <c r="E2468" s="6" t="s">
        <v>19</v>
      </c>
      <c r="F2468" s="6" t="str">
        <f>MID(A2468,19,1)</f>
        <v>S</v>
      </c>
      <c r="G2468" s="6">
        <v>-22.825287367444471</v>
      </c>
      <c r="H2468" s="6">
        <v>-47.188834996079457</v>
      </c>
      <c r="I2468" s="9">
        <v>41.31</v>
      </c>
      <c r="K2468" s="6">
        <v>0.98</v>
      </c>
      <c r="L2468" s="6">
        <v>30</v>
      </c>
      <c r="N2468" s="1">
        <f t="shared" si="286"/>
        <v>0</v>
      </c>
      <c r="O2468" s="6" t="s">
        <v>20</v>
      </c>
      <c r="Q2468" s="6" t="s">
        <v>21</v>
      </c>
      <c r="R2468" s="6" t="s">
        <v>21</v>
      </c>
      <c r="S2468" s="6" t="s">
        <v>21</v>
      </c>
      <c r="T2468" s="6" t="s">
        <v>21</v>
      </c>
      <c r="U2468" s="6">
        <f t="shared" si="287"/>
        <v>12.393000000000001</v>
      </c>
      <c r="V2468" s="6">
        <f t="shared" si="293"/>
        <v>12.393000000000001</v>
      </c>
    </row>
    <row r="2469" spans="1:22" hidden="1" x14ac:dyDescent="0.35">
      <c r="A2469" s="6" t="s">
        <v>2711</v>
      </c>
      <c r="B2469" s="6" t="s">
        <v>2699</v>
      </c>
      <c r="C2469" s="6" t="s">
        <v>2700</v>
      </c>
      <c r="D2469" s="6">
        <f t="shared" si="291"/>
        <v>0.5</v>
      </c>
      <c r="E2469" s="6" t="s">
        <v>19</v>
      </c>
      <c r="F2469" s="6" t="str">
        <f>MID(A2469,19,1)</f>
        <v>S</v>
      </c>
      <c r="G2469" s="6">
        <v>-22.82527560244981</v>
      </c>
      <c r="H2469" s="6">
        <v>-47.188896621451377</v>
      </c>
      <c r="I2469" s="9">
        <v>27.72</v>
      </c>
      <c r="K2469" s="6">
        <v>0.98</v>
      </c>
      <c r="L2469" s="6">
        <v>30</v>
      </c>
      <c r="N2469" s="1">
        <f t="shared" si="286"/>
        <v>0</v>
      </c>
      <c r="O2469" s="6" t="s">
        <v>20</v>
      </c>
      <c r="Q2469" s="6" t="s">
        <v>21</v>
      </c>
      <c r="R2469" s="6" t="s">
        <v>21</v>
      </c>
      <c r="S2469" s="6" t="s">
        <v>21</v>
      </c>
      <c r="T2469" s="6" t="s">
        <v>21</v>
      </c>
      <c r="U2469" s="6">
        <f t="shared" si="287"/>
        <v>8.3159999999999989</v>
      </c>
      <c r="V2469" s="6">
        <f t="shared" si="293"/>
        <v>8.3159999999999989</v>
      </c>
    </row>
    <row r="2470" spans="1:22" hidden="1" x14ac:dyDescent="0.35">
      <c r="A2470" s="6" t="s">
        <v>2712</v>
      </c>
      <c r="B2470" s="6" t="s">
        <v>2699</v>
      </c>
      <c r="C2470" s="6" t="s">
        <v>2700</v>
      </c>
      <c r="D2470" s="6">
        <f t="shared" si="291"/>
        <v>0.5</v>
      </c>
      <c r="E2470" s="6" t="s">
        <v>19</v>
      </c>
      <c r="F2470" s="6" t="str">
        <f>MID(A2470,19,1)</f>
        <v>S</v>
      </c>
      <c r="G2470" s="6">
        <v>-22.825210181632521</v>
      </c>
      <c r="H2470" s="6">
        <v>-47.188788754561173</v>
      </c>
      <c r="I2470" s="9">
        <v>23.86</v>
      </c>
      <c r="K2470" s="6">
        <v>0.86</v>
      </c>
      <c r="L2470" s="6">
        <v>30</v>
      </c>
      <c r="N2470" s="1">
        <f t="shared" si="286"/>
        <v>0</v>
      </c>
      <c r="O2470" s="6" t="s">
        <v>20</v>
      </c>
      <c r="Q2470" s="6" t="s">
        <v>21</v>
      </c>
      <c r="R2470" s="6" t="s">
        <v>21</v>
      </c>
      <c r="S2470" s="6" t="s">
        <v>21</v>
      </c>
      <c r="T2470" s="6" t="s">
        <v>21</v>
      </c>
      <c r="U2470" s="6">
        <f t="shared" si="287"/>
        <v>7.1579999999999995</v>
      </c>
      <c r="V2470" s="6">
        <f t="shared" si="293"/>
        <v>7.1579999999999995</v>
      </c>
    </row>
    <row r="2471" spans="1:22" hidden="1" x14ac:dyDescent="0.35">
      <c r="A2471" s="6" t="s">
        <v>2713</v>
      </c>
      <c r="B2471" s="6" t="s">
        <v>2699</v>
      </c>
      <c r="C2471" s="6" t="s">
        <v>2700</v>
      </c>
      <c r="D2471" s="6">
        <f t="shared" si="291"/>
        <v>0.5</v>
      </c>
      <c r="E2471" s="6" t="s">
        <v>23</v>
      </c>
      <c r="F2471" s="6" t="str">
        <f>MID(A2471,19,1)</f>
        <v>C</v>
      </c>
      <c r="G2471" s="6">
        <v>-22.877397169579311</v>
      </c>
      <c r="H2471" s="6">
        <v>-47.250428240552623</v>
      </c>
      <c r="I2471" s="9">
        <v>4413.5200000000004</v>
      </c>
      <c r="J2471" s="9">
        <f t="shared" ref="J2471:J2472" si="294">I2471/500</f>
        <v>8.8270400000000002</v>
      </c>
      <c r="K2471" s="6">
        <v>2.57</v>
      </c>
      <c r="L2471" s="6">
        <v>80</v>
      </c>
      <c r="N2471" s="1">
        <f t="shared" si="286"/>
        <v>0</v>
      </c>
      <c r="O2471" s="6" t="s">
        <v>20</v>
      </c>
      <c r="Q2471" s="6" t="s">
        <v>21</v>
      </c>
      <c r="R2471" s="6" t="s">
        <v>21</v>
      </c>
      <c r="S2471" s="6" t="s">
        <v>21</v>
      </c>
      <c r="T2471" s="6" t="s">
        <v>21</v>
      </c>
      <c r="U2471" s="6">
        <f t="shared" si="287"/>
        <v>3530.8160000000007</v>
      </c>
      <c r="V2471" s="6">
        <f t="shared" si="293"/>
        <v>3530.8160000000007</v>
      </c>
    </row>
    <row r="2472" spans="1:22" hidden="1" x14ac:dyDescent="0.35">
      <c r="A2472" s="6" t="s">
        <v>2714</v>
      </c>
      <c r="B2472" s="6" t="s">
        <v>2699</v>
      </c>
      <c r="C2472" s="6" t="s">
        <v>2700</v>
      </c>
      <c r="D2472" s="6">
        <f t="shared" si="291"/>
        <v>0.5</v>
      </c>
      <c r="E2472" s="6" t="s">
        <v>23</v>
      </c>
      <c r="F2472" s="6" t="str">
        <f>MID(A2472,19,1)</f>
        <v>C</v>
      </c>
      <c r="G2472" s="6">
        <v>-22.87447363888398</v>
      </c>
      <c r="H2472" s="6">
        <v>-47.253869495898513</v>
      </c>
      <c r="I2472" s="9">
        <v>5615.46</v>
      </c>
      <c r="J2472" s="9">
        <f t="shared" si="294"/>
        <v>11.230919999999999</v>
      </c>
      <c r="K2472" s="6">
        <v>2.95</v>
      </c>
      <c r="L2472" s="6">
        <v>80</v>
      </c>
      <c r="N2472" s="1">
        <f t="shared" si="286"/>
        <v>0</v>
      </c>
      <c r="O2472" s="6" t="s">
        <v>20</v>
      </c>
      <c r="Q2472" s="6" t="s">
        <v>21</v>
      </c>
      <c r="R2472" s="6" t="s">
        <v>21</v>
      </c>
      <c r="S2472" s="6" t="s">
        <v>21</v>
      </c>
      <c r="T2472" s="6" t="s">
        <v>21</v>
      </c>
      <c r="U2472" s="6">
        <f t="shared" si="287"/>
        <v>4492.3680000000004</v>
      </c>
      <c r="V2472" s="6">
        <f t="shared" si="293"/>
        <v>4492.3680000000004</v>
      </c>
    </row>
    <row r="2473" spans="1:22" x14ac:dyDescent="0.35">
      <c r="A2473" s="6" t="s">
        <v>2715</v>
      </c>
      <c r="B2473" s="6" t="s">
        <v>2699</v>
      </c>
      <c r="C2473" s="6" t="s">
        <v>2700</v>
      </c>
      <c r="D2473" s="6">
        <f t="shared" si="291"/>
        <v>0.5</v>
      </c>
      <c r="E2473" s="6" t="s">
        <v>19</v>
      </c>
      <c r="F2473" s="6" t="str">
        <f>MID(A2473,19,1)</f>
        <v>N</v>
      </c>
      <c r="G2473" s="6">
        <v>-22.875593894377921</v>
      </c>
      <c r="H2473" s="6">
        <v>-47.251750072139792</v>
      </c>
      <c r="I2473" s="9">
        <v>117.82</v>
      </c>
      <c r="K2473" s="6">
        <v>4.6900000000000004</v>
      </c>
      <c r="L2473" s="6">
        <v>70</v>
      </c>
      <c r="N2473" s="1">
        <f t="shared" si="286"/>
        <v>0</v>
      </c>
      <c r="O2473" s="6" t="s">
        <v>20</v>
      </c>
      <c r="Q2473" s="6" t="s">
        <v>21</v>
      </c>
      <c r="R2473" s="6" t="s">
        <v>21</v>
      </c>
      <c r="S2473" s="6" t="s">
        <v>21</v>
      </c>
      <c r="T2473" s="6" t="s">
        <v>21</v>
      </c>
      <c r="U2473" s="6">
        <f t="shared" si="287"/>
        <v>82.47399999999999</v>
      </c>
      <c r="V2473" s="6">
        <f t="shared" si="293"/>
        <v>82.47399999999999</v>
      </c>
    </row>
    <row r="2474" spans="1:22" hidden="1" x14ac:dyDescent="0.35">
      <c r="A2474" s="6" t="s">
        <v>2716</v>
      </c>
      <c r="B2474" s="6" t="s">
        <v>2699</v>
      </c>
      <c r="C2474" s="6" t="s">
        <v>2700</v>
      </c>
      <c r="D2474" s="6">
        <f t="shared" si="291"/>
        <v>0.5</v>
      </c>
      <c r="E2474" s="6" t="s">
        <v>19</v>
      </c>
      <c r="F2474" s="6" t="str">
        <f>MID(A2474,19,1)</f>
        <v>S</v>
      </c>
      <c r="G2474" s="6">
        <v>-22.82188616422517</v>
      </c>
      <c r="H2474" s="6">
        <v>-47.197074534604361</v>
      </c>
      <c r="I2474" s="9">
        <v>2648.6</v>
      </c>
      <c r="K2474" s="6">
        <v>4.45</v>
      </c>
      <c r="L2474" s="6">
        <v>55</v>
      </c>
      <c r="N2474" s="1">
        <f t="shared" si="286"/>
        <v>0</v>
      </c>
      <c r="O2474" s="6" t="s">
        <v>126</v>
      </c>
      <c r="Q2474" s="6" t="s">
        <v>21</v>
      </c>
      <c r="R2474" s="6" t="s">
        <v>21</v>
      </c>
      <c r="S2474" s="6" t="s">
        <v>21</v>
      </c>
      <c r="T2474" s="6" t="s">
        <v>21</v>
      </c>
      <c r="U2474" s="6">
        <f t="shared" si="287"/>
        <v>1456.73</v>
      </c>
      <c r="V2474" s="6">
        <f t="shared" si="293"/>
        <v>1456.73</v>
      </c>
    </row>
    <row r="2475" spans="1:22" x14ac:dyDescent="0.35">
      <c r="A2475" s="6" t="s">
        <v>2717</v>
      </c>
      <c r="B2475" s="6" t="s">
        <v>2699</v>
      </c>
      <c r="C2475" s="6" t="s">
        <v>2700</v>
      </c>
      <c r="D2475" s="6">
        <f t="shared" si="291"/>
        <v>0.5</v>
      </c>
      <c r="E2475" s="6" t="s">
        <v>19</v>
      </c>
      <c r="F2475" s="6" t="str">
        <f>MID(A2475,19,1)</f>
        <v>N</v>
      </c>
      <c r="G2475" s="6">
        <v>-22.818089276148399</v>
      </c>
      <c r="H2475" s="6">
        <v>-47.19541844221127</v>
      </c>
      <c r="I2475" s="9">
        <v>36.79</v>
      </c>
      <c r="K2475" s="6">
        <v>2.06</v>
      </c>
      <c r="N2475" s="1">
        <f t="shared" si="286"/>
        <v>0</v>
      </c>
      <c r="Q2475" s="6" t="s">
        <v>21</v>
      </c>
      <c r="R2475" s="6" t="s">
        <v>21</v>
      </c>
      <c r="S2475" s="6" t="s">
        <v>21</v>
      </c>
      <c r="T2475" s="6" t="s">
        <v>21</v>
      </c>
      <c r="U2475" s="6">
        <f t="shared" si="287"/>
        <v>0</v>
      </c>
      <c r="V2475" s="6">
        <f t="shared" si="293"/>
        <v>0</v>
      </c>
    </row>
    <row r="2476" spans="1:22" x14ac:dyDescent="0.35">
      <c r="A2476" s="6" t="s">
        <v>2718</v>
      </c>
      <c r="B2476" s="6" t="s">
        <v>2699</v>
      </c>
      <c r="C2476" s="6" t="s">
        <v>2700</v>
      </c>
      <c r="D2476" s="6">
        <f t="shared" si="291"/>
        <v>0.5</v>
      </c>
      <c r="E2476" s="6" t="s">
        <v>19</v>
      </c>
      <c r="F2476" s="6" t="str">
        <f>MID(A2476,19,1)</f>
        <v>N</v>
      </c>
      <c r="G2476" s="6">
        <v>-22.875280683573781</v>
      </c>
      <c r="H2476" s="6">
        <v>-47.252363018242278</v>
      </c>
      <c r="I2476" s="9">
        <v>2375.89</v>
      </c>
      <c r="K2476" s="6">
        <v>3.37</v>
      </c>
      <c r="L2476" s="6">
        <v>70</v>
      </c>
      <c r="N2476" s="1">
        <f t="shared" si="286"/>
        <v>0</v>
      </c>
      <c r="O2476" s="6" t="s">
        <v>20</v>
      </c>
      <c r="Q2476" s="6" t="s">
        <v>21</v>
      </c>
      <c r="R2476" s="6" t="s">
        <v>21</v>
      </c>
      <c r="S2476" s="6" t="s">
        <v>21</v>
      </c>
      <c r="T2476" s="6" t="s">
        <v>21</v>
      </c>
      <c r="U2476" s="6">
        <f t="shared" si="287"/>
        <v>1663.1229999999998</v>
      </c>
      <c r="V2476" s="6">
        <f t="shared" si="293"/>
        <v>1663.1229999999998</v>
      </c>
    </row>
    <row r="2477" spans="1:22" x14ac:dyDescent="0.35">
      <c r="A2477" s="6" t="s">
        <v>2719</v>
      </c>
      <c r="B2477" s="6" t="s">
        <v>2699</v>
      </c>
      <c r="C2477" s="6" t="s">
        <v>2700</v>
      </c>
      <c r="D2477" s="6">
        <f t="shared" si="291"/>
        <v>0.5</v>
      </c>
      <c r="E2477" s="6" t="s">
        <v>19</v>
      </c>
      <c r="F2477" s="6" t="str">
        <f>MID(A2477,19,1)</f>
        <v>N</v>
      </c>
      <c r="G2477" s="6">
        <v>-22.820431096251969</v>
      </c>
      <c r="H2477" s="6">
        <v>-47.196609937444073</v>
      </c>
      <c r="I2477" s="9">
        <v>114.64</v>
      </c>
      <c r="K2477" s="6">
        <v>4.6100000000000003</v>
      </c>
      <c r="L2477" s="6">
        <v>30</v>
      </c>
      <c r="N2477" s="1">
        <f t="shared" si="286"/>
        <v>0</v>
      </c>
      <c r="O2477" s="6" t="s">
        <v>20</v>
      </c>
      <c r="Q2477" s="6" t="s">
        <v>21</v>
      </c>
      <c r="R2477" s="6" t="s">
        <v>21</v>
      </c>
      <c r="S2477" s="6" t="s">
        <v>21</v>
      </c>
      <c r="T2477" s="6" t="s">
        <v>21</v>
      </c>
      <c r="U2477" s="6">
        <f t="shared" si="287"/>
        <v>34.391999999999996</v>
      </c>
      <c r="V2477" s="6">
        <f t="shared" si="293"/>
        <v>34.391999999999996</v>
      </c>
    </row>
    <row r="2478" spans="1:22" x14ac:dyDescent="0.35">
      <c r="A2478" s="6" t="s">
        <v>2720</v>
      </c>
      <c r="B2478" s="6" t="s">
        <v>2699</v>
      </c>
      <c r="C2478" s="6" t="s">
        <v>2700</v>
      </c>
      <c r="D2478" s="6">
        <f t="shared" si="291"/>
        <v>0.5</v>
      </c>
      <c r="E2478" s="6" t="s">
        <v>19</v>
      </c>
      <c r="F2478" s="6" t="str">
        <f>MID(A2478,19,1)</f>
        <v>N</v>
      </c>
      <c r="G2478" s="6">
        <v>-22.877248227801001</v>
      </c>
      <c r="H2478" s="6">
        <v>-47.250186888855993</v>
      </c>
      <c r="I2478" s="9">
        <v>1664.42</v>
      </c>
      <c r="K2478" s="6">
        <v>2.5299999999999998</v>
      </c>
      <c r="L2478" s="6">
        <v>70</v>
      </c>
      <c r="N2478" s="1">
        <f t="shared" si="286"/>
        <v>0</v>
      </c>
      <c r="O2478" s="6" t="s">
        <v>20</v>
      </c>
      <c r="Q2478" s="6" t="s">
        <v>21</v>
      </c>
      <c r="R2478" s="6" t="s">
        <v>21</v>
      </c>
      <c r="S2478" s="6" t="s">
        <v>21</v>
      </c>
      <c r="T2478" s="6" t="s">
        <v>21</v>
      </c>
      <c r="U2478" s="6">
        <f t="shared" si="287"/>
        <v>1165.0940000000001</v>
      </c>
      <c r="V2478" s="6">
        <f t="shared" si="293"/>
        <v>1165.0940000000001</v>
      </c>
    </row>
    <row r="2479" spans="1:22" x14ac:dyDescent="0.35">
      <c r="A2479" s="6" t="s">
        <v>2721</v>
      </c>
      <c r="B2479" s="6" t="s">
        <v>2699</v>
      </c>
      <c r="C2479" s="6" t="s">
        <v>2700</v>
      </c>
      <c r="D2479" s="6">
        <f t="shared" si="291"/>
        <v>0.5</v>
      </c>
      <c r="E2479" s="6" t="s">
        <v>19</v>
      </c>
      <c r="F2479" s="6" t="str">
        <f>MID(A2479,19,1)</f>
        <v>N</v>
      </c>
      <c r="G2479" s="6">
        <v>-22.82492079490677</v>
      </c>
      <c r="H2479" s="6">
        <v>-47.188611247113407</v>
      </c>
      <c r="I2479" s="9">
        <v>56.04</v>
      </c>
      <c r="K2479" s="6">
        <v>0.93</v>
      </c>
      <c r="L2479" s="6">
        <v>50</v>
      </c>
      <c r="N2479" s="1">
        <f t="shared" si="286"/>
        <v>0</v>
      </c>
      <c r="O2479" s="6" t="s">
        <v>20</v>
      </c>
      <c r="Q2479" s="6" t="s">
        <v>21</v>
      </c>
      <c r="R2479" s="6" t="s">
        <v>21</v>
      </c>
      <c r="S2479" s="6" t="s">
        <v>21</v>
      </c>
      <c r="T2479" s="6" t="s">
        <v>21</v>
      </c>
      <c r="U2479" s="6">
        <f t="shared" si="287"/>
        <v>28.02</v>
      </c>
      <c r="V2479" s="6">
        <f t="shared" si="293"/>
        <v>28.02</v>
      </c>
    </row>
    <row r="2480" spans="1:22" x14ac:dyDescent="0.35">
      <c r="A2480" s="6" t="s">
        <v>2722</v>
      </c>
      <c r="B2480" s="6" t="s">
        <v>2699</v>
      </c>
      <c r="C2480" s="6" t="s">
        <v>2700</v>
      </c>
      <c r="D2480" s="6">
        <f t="shared" si="291"/>
        <v>0.5</v>
      </c>
      <c r="E2480" s="6" t="s">
        <v>19</v>
      </c>
      <c r="F2480" s="6" t="str">
        <f>MID(A2480,19,1)</f>
        <v>N</v>
      </c>
      <c r="G2480" s="6">
        <v>-22.822910388553151</v>
      </c>
      <c r="H2480" s="6">
        <v>-47.191751089385889</v>
      </c>
      <c r="I2480" s="9">
        <v>228.52</v>
      </c>
      <c r="K2480" s="6">
        <v>2.78</v>
      </c>
      <c r="L2480" s="6">
        <v>30</v>
      </c>
      <c r="N2480" s="1">
        <f t="shared" si="286"/>
        <v>0</v>
      </c>
      <c r="O2480" s="6" t="s">
        <v>20</v>
      </c>
      <c r="Q2480" s="6" t="s">
        <v>21</v>
      </c>
      <c r="R2480" s="6" t="s">
        <v>21</v>
      </c>
      <c r="S2480" s="6" t="s">
        <v>21</v>
      </c>
      <c r="T2480" s="6" t="s">
        <v>21</v>
      </c>
      <c r="U2480" s="6">
        <f t="shared" si="287"/>
        <v>68.555999999999997</v>
      </c>
      <c r="V2480" s="6">
        <f t="shared" si="293"/>
        <v>68.555999999999997</v>
      </c>
    </row>
    <row r="2481" spans="1:22" x14ac:dyDescent="0.35">
      <c r="A2481" s="6" t="s">
        <v>2723</v>
      </c>
      <c r="B2481" s="6" t="s">
        <v>2699</v>
      </c>
      <c r="C2481" s="6" t="s">
        <v>2700</v>
      </c>
      <c r="D2481" s="6">
        <f t="shared" si="291"/>
        <v>0.5</v>
      </c>
      <c r="E2481" s="6" t="s">
        <v>19</v>
      </c>
      <c r="F2481" s="6" t="str">
        <f>MID(A2481,19,1)</f>
        <v>N</v>
      </c>
      <c r="G2481" s="6">
        <v>-22.82475593575839</v>
      </c>
      <c r="H2481" s="6">
        <v>-47.188511071548987</v>
      </c>
      <c r="I2481" s="9">
        <v>40.549999999999997</v>
      </c>
      <c r="K2481" s="6">
        <v>1.94</v>
      </c>
      <c r="L2481" s="6">
        <v>30</v>
      </c>
      <c r="N2481" s="1">
        <f t="shared" si="286"/>
        <v>0</v>
      </c>
      <c r="O2481" s="6" t="s">
        <v>20</v>
      </c>
      <c r="Q2481" s="6" t="s">
        <v>21</v>
      </c>
      <c r="R2481" s="6" t="s">
        <v>21</v>
      </c>
      <c r="S2481" s="6" t="s">
        <v>21</v>
      </c>
      <c r="T2481" s="6" t="s">
        <v>21</v>
      </c>
      <c r="U2481" s="6">
        <f t="shared" si="287"/>
        <v>12.164999999999999</v>
      </c>
      <c r="V2481" s="6">
        <f t="shared" si="293"/>
        <v>12.164999999999999</v>
      </c>
    </row>
    <row r="2482" spans="1:22" x14ac:dyDescent="0.35">
      <c r="A2482" s="6" t="s">
        <v>2724</v>
      </c>
      <c r="B2482" s="6" t="s">
        <v>2699</v>
      </c>
      <c r="C2482" s="6" t="s">
        <v>2700</v>
      </c>
      <c r="D2482" s="6">
        <f t="shared" si="291"/>
        <v>0.5</v>
      </c>
      <c r="E2482" s="6" t="s">
        <v>19</v>
      </c>
      <c r="F2482" s="6" t="str">
        <f>MID(A2482,19,1)</f>
        <v>N</v>
      </c>
      <c r="G2482" s="6">
        <v>-22.821093228503919</v>
      </c>
      <c r="H2482" s="6">
        <v>-47.195382402426013</v>
      </c>
      <c r="I2482" s="9">
        <v>680.08</v>
      </c>
      <c r="K2482" s="6">
        <v>4.7300000000000004</v>
      </c>
      <c r="L2482" s="6">
        <v>0</v>
      </c>
      <c r="N2482" s="1">
        <f t="shared" si="286"/>
        <v>0</v>
      </c>
      <c r="Q2482" s="6" t="s">
        <v>26</v>
      </c>
      <c r="R2482" s="6" t="s">
        <v>21</v>
      </c>
      <c r="S2482" s="6" t="s">
        <v>21</v>
      </c>
      <c r="T2482" s="6" t="s">
        <v>21</v>
      </c>
      <c r="U2482" s="6">
        <f t="shared" si="287"/>
        <v>0</v>
      </c>
    </row>
    <row r="2483" spans="1:22" x14ac:dyDescent="0.35">
      <c r="A2483" s="6" t="s">
        <v>2725</v>
      </c>
      <c r="B2483" s="6" t="s">
        <v>2699</v>
      </c>
      <c r="C2483" s="6" t="s">
        <v>2700</v>
      </c>
      <c r="D2483" s="6">
        <f t="shared" si="291"/>
        <v>0.5</v>
      </c>
      <c r="E2483" s="6" t="s">
        <v>19</v>
      </c>
      <c r="F2483" s="6" t="str">
        <f>MID(A2483,19,1)</f>
        <v>N</v>
      </c>
      <c r="G2483" s="6">
        <v>-22.82432591671235</v>
      </c>
      <c r="H2483" s="6">
        <v>-47.189325781201887</v>
      </c>
      <c r="I2483" s="9">
        <v>266.64</v>
      </c>
      <c r="K2483" s="6">
        <v>1.7</v>
      </c>
      <c r="L2483" s="6">
        <v>0</v>
      </c>
      <c r="N2483" s="1">
        <f t="shared" si="286"/>
        <v>0</v>
      </c>
      <c r="Q2483" s="6" t="s">
        <v>26</v>
      </c>
      <c r="R2483" s="6" t="s">
        <v>21</v>
      </c>
      <c r="S2483" s="6" t="s">
        <v>21</v>
      </c>
      <c r="T2483" s="6" t="s">
        <v>21</v>
      </c>
      <c r="U2483" s="6">
        <f t="shared" si="287"/>
        <v>0</v>
      </c>
    </row>
    <row r="2484" spans="1:22" hidden="1" x14ac:dyDescent="0.35">
      <c r="A2484" s="6" t="s">
        <v>2726</v>
      </c>
      <c r="B2484" s="6" t="s">
        <v>2699</v>
      </c>
      <c r="C2484" s="6" t="s">
        <v>2700</v>
      </c>
      <c r="D2484" s="6">
        <f t="shared" si="291"/>
        <v>0.5</v>
      </c>
      <c r="E2484" s="6" t="s">
        <v>19</v>
      </c>
      <c r="F2484" s="6" t="str">
        <f>MID(A2484,19,1)</f>
        <v>S</v>
      </c>
      <c r="G2484" s="6">
        <v>-22.825181814808531</v>
      </c>
      <c r="H2484" s="6">
        <v>-47.188549323134808</v>
      </c>
      <c r="I2484" s="9">
        <v>101.65</v>
      </c>
      <c r="K2484" s="6">
        <v>0.77</v>
      </c>
      <c r="L2484" s="6">
        <v>0</v>
      </c>
      <c r="N2484" s="1">
        <f t="shared" si="286"/>
        <v>0</v>
      </c>
      <c r="Q2484" s="6" t="s">
        <v>26</v>
      </c>
      <c r="R2484" s="6" t="s">
        <v>21</v>
      </c>
      <c r="S2484" s="6" t="s">
        <v>21</v>
      </c>
      <c r="T2484" s="6" t="s">
        <v>21</v>
      </c>
      <c r="U2484" s="6">
        <f t="shared" si="287"/>
        <v>0</v>
      </c>
    </row>
    <row r="2485" spans="1:22" hidden="1" x14ac:dyDescent="0.35">
      <c r="A2485" s="6" t="s">
        <v>2727</v>
      </c>
      <c r="B2485" s="6" t="s">
        <v>2699</v>
      </c>
      <c r="C2485" s="6" t="s">
        <v>2700</v>
      </c>
      <c r="D2485" s="6">
        <f t="shared" si="291"/>
        <v>0.5</v>
      </c>
      <c r="E2485" s="6" t="s">
        <v>19</v>
      </c>
      <c r="F2485" s="6" t="str">
        <f>MID(A2485,19,1)</f>
        <v>S</v>
      </c>
      <c r="G2485" s="6">
        <v>-22.876281981423169</v>
      </c>
      <c r="H2485" s="6">
        <v>-47.252383239713417</v>
      </c>
      <c r="I2485" s="9">
        <v>0.05</v>
      </c>
      <c r="K2485" s="6">
        <v>2.36</v>
      </c>
      <c r="N2485" s="1">
        <f t="shared" si="286"/>
        <v>0</v>
      </c>
      <c r="Q2485" s="6" t="s">
        <v>21</v>
      </c>
      <c r="R2485" s="6" t="s">
        <v>21</v>
      </c>
      <c r="S2485" s="6" t="s">
        <v>21</v>
      </c>
      <c r="T2485" s="6" t="s">
        <v>21</v>
      </c>
      <c r="U2485" s="6">
        <f t="shared" si="287"/>
        <v>0</v>
      </c>
      <c r="V2485" s="6">
        <f t="shared" ref="V2485:V2491" si="295">(I2485*(L2485/100))</f>
        <v>0</v>
      </c>
    </row>
    <row r="2486" spans="1:22" hidden="1" x14ac:dyDescent="0.35">
      <c r="A2486" s="6" t="s">
        <v>2728</v>
      </c>
      <c r="B2486" s="6" t="s">
        <v>2699</v>
      </c>
      <c r="C2486" s="6" t="s">
        <v>2700</v>
      </c>
      <c r="D2486" s="6">
        <f t="shared" si="291"/>
        <v>0.5</v>
      </c>
      <c r="E2486" s="6" t="s">
        <v>19</v>
      </c>
      <c r="F2486" s="6" t="str">
        <f>MID(A2486,19,1)</f>
        <v>S</v>
      </c>
      <c r="G2486" s="6">
        <v>-22.82513848506677</v>
      </c>
      <c r="H2486" s="6">
        <v>-47.189095875584023</v>
      </c>
      <c r="I2486" s="9">
        <v>296.86</v>
      </c>
      <c r="K2486" s="6">
        <v>1.0900000000000001</v>
      </c>
      <c r="L2486" s="6">
        <v>30</v>
      </c>
      <c r="N2486" s="1">
        <f t="shared" si="286"/>
        <v>0</v>
      </c>
      <c r="O2486" s="6" t="s">
        <v>20</v>
      </c>
      <c r="Q2486" s="6" t="s">
        <v>21</v>
      </c>
      <c r="R2486" s="6" t="s">
        <v>21</v>
      </c>
      <c r="S2486" s="6" t="s">
        <v>21</v>
      </c>
      <c r="T2486" s="6" t="s">
        <v>21</v>
      </c>
      <c r="U2486" s="6">
        <f t="shared" si="287"/>
        <v>89.058000000000007</v>
      </c>
      <c r="V2486" s="6">
        <f t="shared" si="295"/>
        <v>89.058000000000007</v>
      </c>
    </row>
    <row r="2487" spans="1:22" hidden="1" x14ac:dyDescent="0.35">
      <c r="A2487" s="6" t="s">
        <v>2729</v>
      </c>
      <c r="B2487" s="6" t="s">
        <v>2699</v>
      </c>
      <c r="C2487" s="6" t="s">
        <v>2700</v>
      </c>
      <c r="D2487" s="6">
        <f t="shared" si="291"/>
        <v>0.5</v>
      </c>
      <c r="E2487" s="6" t="s">
        <v>23</v>
      </c>
      <c r="F2487" s="6" t="str">
        <f>MID(A2487,19,1)</f>
        <v>C</v>
      </c>
      <c r="G2487" s="6">
        <v>-22.875972059267809</v>
      </c>
      <c r="H2487" s="6">
        <v>-47.252028768264623</v>
      </c>
      <c r="I2487" s="9">
        <v>258.52</v>
      </c>
      <c r="J2487" s="9">
        <f>I2487/500</f>
        <v>0.51703999999999994</v>
      </c>
      <c r="K2487" s="6">
        <v>2.88</v>
      </c>
      <c r="L2487" s="6">
        <v>80</v>
      </c>
      <c r="N2487" s="1">
        <f t="shared" si="286"/>
        <v>0</v>
      </c>
      <c r="O2487" s="6" t="s">
        <v>20</v>
      </c>
      <c r="Q2487" s="6" t="s">
        <v>21</v>
      </c>
      <c r="R2487" s="6" t="s">
        <v>21</v>
      </c>
      <c r="S2487" s="6" t="s">
        <v>21</v>
      </c>
      <c r="T2487" s="6" t="s">
        <v>21</v>
      </c>
      <c r="U2487" s="6">
        <f t="shared" si="287"/>
        <v>206.816</v>
      </c>
      <c r="V2487" s="6">
        <f t="shared" si="295"/>
        <v>206.816</v>
      </c>
    </row>
    <row r="2488" spans="1:22" hidden="1" x14ac:dyDescent="0.35">
      <c r="A2488" s="6" t="s">
        <v>2730</v>
      </c>
      <c r="B2488" s="6" t="s">
        <v>2699</v>
      </c>
      <c r="C2488" s="6" t="s">
        <v>2700</v>
      </c>
      <c r="D2488" s="6">
        <f t="shared" si="291"/>
        <v>0.5</v>
      </c>
      <c r="E2488" s="6" t="s">
        <v>19</v>
      </c>
      <c r="F2488" s="6" t="str">
        <f>MID(A2488,19,1)</f>
        <v>S</v>
      </c>
      <c r="G2488" s="6">
        <v>-22.822458124430181</v>
      </c>
      <c r="H2488" s="6">
        <v>-47.194902205417087</v>
      </c>
      <c r="I2488" s="9">
        <v>2278.29</v>
      </c>
      <c r="K2488" s="6">
        <v>3.48</v>
      </c>
      <c r="L2488" s="6">
        <v>30</v>
      </c>
      <c r="N2488" s="1">
        <f t="shared" si="286"/>
        <v>0</v>
      </c>
      <c r="O2488" s="6" t="s">
        <v>20</v>
      </c>
      <c r="Q2488" s="6" t="s">
        <v>21</v>
      </c>
      <c r="R2488" s="6" t="s">
        <v>21</v>
      </c>
      <c r="S2488" s="6" t="s">
        <v>21</v>
      </c>
      <c r="T2488" s="6" t="s">
        <v>21</v>
      </c>
      <c r="U2488" s="6">
        <f t="shared" si="287"/>
        <v>683.48699999999997</v>
      </c>
      <c r="V2488" s="6">
        <f t="shared" si="295"/>
        <v>683.48699999999997</v>
      </c>
    </row>
    <row r="2489" spans="1:22" x14ac:dyDescent="0.35">
      <c r="A2489" s="6" t="s">
        <v>2731</v>
      </c>
      <c r="B2489" s="6" t="s">
        <v>2699</v>
      </c>
      <c r="C2489" s="6" t="s">
        <v>2700</v>
      </c>
      <c r="D2489" s="6">
        <f t="shared" si="291"/>
        <v>0.5</v>
      </c>
      <c r="E2489" s="6" t="s">
        <v>19</v>
      </c>
      <c r="F2489" s="6" t="str">
        <f>MID(A2489,19,1)</f>
        <v>N</v>
      </c>
      <c r="G2489" s="6">
        <v>-22.874245834827239</v>
      </c>
      <c r="H2489" s="6">
        <v>-47.253703097791337</v>
      </c>
      <c r="I2489" s="9">
        <v>1941.55</v>
      </c>
      <c r="K2489" s="6">
        <v>2.98</v>
      </c>
      <c r="L2489" s="6">
        <v>70</v>
      </c>
      <c r="N2489" s="1">
        <f t="shared" si="286"/>
        <v>0</v>
      </c>
      <c r="O2489" s="6" t="s">
        <v>20</v>
      </c>
      <c r="Q2489" s="6" t="s">
        <v>21</v>
      </c>
      <c r="R2489" s="6" t="s">
        <v>21</v>
      </c>
      <c r="S2489" s="6" t="s">
        <v>21</v>
      </c>
      <c r="T2489" s="6" t="s">
        <v>21</v>
      </c>
      <c r="U2489" s="6">
        <f t="shared" si="287"/>
        <v>1359.0849999999998</v>
      </c>
      <c r="V2489" s="6">
        <f t="shared" si="295"/>
        <v>1359.0849999999998</v>
      </c>
    </row>
    <row r="2490" spans="1:22" hidden="1" x14ac:dyDescent="0.35">
      <c r="A2490" s="6" t="s">
        <v>2732</v>
      </c>
      <c r="B2490" s="6" t="s">
        <v>2699</v>
      </c>
      <c r="C2490" s="6" t="s">
        <v>2700</v>
      </c>
      <c r="D2490" s="6">
        <f t="shared" si="291"/>
        <v>0.5</v>
      </c>
      <c r="E2490" s="6" t="s">
        <v>19</v>
      </c>
      <c r="F2490" s="6" t="str">
        <f>MID(A2490,19,1)</f>
        <v>S</v>
      </c>
      <c r="G2490" s="6">
        <v>-22.823597194408212</v>
      </c>
      <c r="H2490" s="6">
        <v>-47.192022757297003</v>
      </c>
      <c r="I2490" s="9">
        <v>517.63</v>
      </c>
      <c r="K2490" s="6">
        <v>2.33</v>
      </c>
      <c r="L2490" s="6">
        <v>30</v>
      </c>
      <c r="N2490" s="1">
        <f t="shared" si="286"/>
        <v>0</v>
      </c>
      <c r="O2490" s="6" t="s">
        <v>20</v>
      </c>
      <c r="Q2490" s="6" t="s">
        <v>21</v>
      </c>
      <c r="R2490" s="6" t="s">
        <v>21</v>
      </c>
      <c r="S2490" s="6" t="s">
        <v>21</v>
      </c>
      <c r="T2490" s="6" t="s">
        <v>21</v>
      </c>
      <c r="U2490" s="6">
        <f t="shared" si="287"/>
        <v>155.28899999999999</v>
      </c>
      <c r="V2490" s="6">
        <f t="shared" si="295"/>
        <v>155.28899999999999</v>
      </c>
    </row>
    <row r="2491" spans="1:22" hidden="1" x14ac:dyDescent="0.35">
      <c r="A2491" s="6" t="s">
        <v>2733</v>
      </c>
      <c r="B2491" s="6" t="s">
        <v>2699</v>
      </c>
      <c r="C2491" s="6" t="s">
        <v>2700</v>
      </c>
      <c r="D2491" s="6">
        <f t="shared" si="291"/>
        <v>0.5</v>
      </c>
      <c r="E2491" s="6" t="s">
        <v>19</v>
      </c>
      <c r="F2491" s="6" t="str">
        <f>MID(A2491,19,1)</f>
        <v>S</v>
      </c>
      <c r="G2491" s="6">
        <v>-22.82422249094677</v>
      </c>
      <c r="H2491" s="6">
        <v>-47.190851461910569</v>
      </c>
      <c r="I2491" s="9">
        <v>1359.15</v>
      </c>
      <c r="K2491" s="6">
        <v>2.4500000000000002</v>
      </c>
      <c r="L2491" s="6">
        <v>30</v>
      </c>
      <c r="N2491" s="1">
        <f t="shared" si="286"/>
        <v>0</v>
      </c>
      <c r="O2491" s="6" t="s">
        <v>20</v>
      </c>
      <c r="Q2491" s="6" t="s">
        <v>21</v>
      </c>
      <c r="R2491" s="6" t="s">
        <v>21</v>
      </c>
      <c r="S2491" s="6" t="s">
        <v>21</v>
      </c>
      <c r="T2491" s="6" t="s">
        <v>21</v>
      </c>
      <c r="U2491" s="6">
        <f t="shared" si="287"/>
        <v>407.745</v>
      </c>
      <c r="V2491" s="6">
        <f t="shared" si="295"/>
        <v>407.745</v>
      </c>
    </row>
    <row r="2492" spans="1:22" hidden="1" x14ac:dyDescent="0.35">
      <c r="A2492" s="6" t="s">
        <v>2734</v>
      </c>
      <c r="B2492" s="6" t="s">
        <v>2699</v>
      </c>
      <c r="C2492" s="6" t="s">
        <v>2700</v>
      </c>
      <c r="D2492" s="6">
        <f t="shared" si="291"/>
        <v>0.5</v>
      </c>
      <c r="E2492" s="6" t="s">
        <v>19</v>
      </c>
      <c r="F2492" s="6" t="str">
        <f>MID(A2492,19,1)</f>
        <v>S</v>
      </c>
      <c r="G2492" s="6">
        <v>-22.824993659151151</v>
      </c>
      <c r="H2492" s="6">
        <v>-47.188977572664001</v>
      </c>
      <c r="I2492" s="9">
        <v>154</v>
      </c>
      <c r="K2492" s="6">
        <v>1.35</v>
      </c>
      <c r="L2492" s="6">
        <v>0</v>
      </c>
      <c r="N2492" s="1">
        <f t="shared" si="286"/>
        <v>0</v>
      </c>
      <c r="Q2492" s="6" t="s">
        <v>26</v>
      </c>
      <c r="R2492" s="6" t="s">
        <v>21</v>
      </c>
      <c r="S2492" s="6" t="s">
        <v>21</v>
      </c>
      <c r="T2492" s="6" t="s">
        <v>21</v>
      </c>
      <c r="U2492" s="6">
        <f t="shared" si="287"/>
        <v>0</v>
      </c>
    </row>
    <row r="2493" spans="1:22" hidden="1" x14ac:dyDescent="0.35">
      <c r="A2493" s="6" t="s">
        <v>2735</v>
      </c>
      <c r="B2493" s="6" t="s">
        <v>2699</v>
      </c>
      <c r="C2493" s="6" t="s">
        <v>2700</v>
      </c>
      <c r="D2493" s="6">
        <f t="shared" si="291"/>
        <v>0.5</v>
      </c>
      <c r="E2493" s="6" t="s">
        <v>19</v>
      </c>
      <c r="F2493" s="6" t="str">
        <f>MID(A2493,19,1)</f>
        <v>S</v>
      </c>
      <c r="G2493" s="6">
        <v>-22.824878379768961</v>
      </c>
      <c r="H2493" s="6">
        <v>-47.18946256429733</v>
      </c>
      <c r="I2493" s="9">
        <v>286.33</v>
      </c>
      <c r="K2493" s="6">
        <v>1.64</v>
      </c>
      <c r="L2493" s="6">
        <v>30</v>
      </c>
      <c r="N2493" s="1">
        <f t="shared" si="286"/>
        <v>0</v>
      </c>
      <c r="O2493" s="6" t="s">
        <v>20</v>
      </c>
      <c r="Q2493" s="6" t="s">
        <v>21</v>
      </c>
      <c r="R2493" s="6" t="s">
        <v>21</v>
      </c>
      <c r="S2493" s="6" t="s">
        <v>21</v>
      </c>
      <c r="T2493" s="6" t="s">
        <v>21</v>
      </c>
      <c r="U2493" s="6">
        <f t="shared" si="287"/>
        <v>85.898999999999987</v>
      </c>
      <c r="V2493" s="6">
        <f t="shared" ref="V2493:V2496" si="296">(I2493*(L2493/100))</f>
        <v>85.898999999999987</v>
      </c>
    </row>
    <row r="2494" spans="1:22" hidden="1" x14ac:dyDescent="0.35">
      <c r="A2494" s="6" t="s">
        <v>2736</v>
      </c>
      <c r="B2494" s="6" t="s">
        <v>2699</v>
      </c>
      <c r="C2494" s="6" t="s">
        <v>2700</v>
      </c>
      <c r="D2494" s="6">
        <f t="shared" si="291"/>
        <v>0.5</v>
      </c>
      <c r="E2494" s="6" t="s">
        <v>19</v>
      </c>
      <c r="F2494" s="6" t="str">
        <f>MID(A2494,19,1)</f>
        <v>S</v>
      </c>
      <c r="G2494" s="6">
        <v>-22.87474911202678</v>
      </c>
      <c r="H2494" s="6">
        <v>-47.253997231978651</v>
      </c>
      <c r="I2494" s="9">
        <v>1972.89</v>
      </c>
      <c r="K2494" s="6">
        <v>2.65</v>
      </c>
      <c r="L2494" s="6">
        <v>70</v>
      </c>
      <c r="N2494" s="1">
        <f t="shared" si="286"/>
        <v>0</v>
      </c>
      <c r="O2494" s="6" t="s">
        <v>20</v>
      </c>
      <c r="Q2494" s="6" t="s">
        <v>21</v>
      </c>
      <c r="R2494" s="6" t="s">
        <v>21</v>
      </c>
      <c r="S2494" s="6" t="s">
        <v>21</v>
      </c>
      <c r="T2494" s="6" t="s">
        <v>21</v>
      </c>
      <c r="U2494" s="6">
        <f t="shared" si="287"/>
        <v>1381.0229999999999</v>
      </c>
      <c r="V2494" s="6">
        <f t="shared" si="296"/>
        <v>1381.0229999999999</v>
      </c>
    </row>
    <row r="2495" spans="1:22" x14ac:dyDescent="0.35">
      <c r="A2495" s="6" t="s">
        <v>2737</v>
      </c>
      <c r="B2495" s="6" t="s">
        <v>2699</v>
      </c>
      <c r="C2495" s="6" t="s">
        <v>2700</v>
      </c>
      <c r="D2495" s="6">
        <f t="shared" si="291"/>
        <v>0.5</v>
      </c>
      <c r="E2495" s="6" t="s">
        <v>19</v>
      </c>
      <c r="F2495" s="6" t="str">
        <f>MID(A2495,19,1)</f>
        <v>N</v>
      </c>
      <c r="G2495" s="6">
        <v>-22.821828175186749</v>
      </c>
      <c r="H2495" s="6">
        <v>-47.194395929470417</v>
      </c>
      <c r="I2495" s="9">
        <v>3692.27</v>
      </c>
      <c r="K2495" s="6">
        <v>2.93</v>
      </c>
      <c r="L2495" s="6">
        <v>50</v>
      </c>
      <c r="N2495" s="1">
        <f t="shared" si="286"/>
        <v>0</v>
      </c>
      <c r="O2495" s="6" t="s">
        <v>20</v>
      </c>
      <c r="Q2495" s="6" t="s">
        <v>21</v>
      </c>
      <c r="R2495" s="6" t="s">
        <v>21</v>
      </c>
      <c r="S2495" s="6" t="s">
        <v>21</v>
      </c>
      <c r="T2495" s="6" t="s">
        <v>21</v>
      </c>
      <c r="U2495" s="6">
        <f t="shared" si="287"/>
        <v>1846.135</v>
      </c>
      <c r="V2495" s="6">
        <f t="shared" si="296"/>
        <v>1846.135</v>
      </c>
    </row>
    <row r="2496" spans="1:22" hidden="1" x14ac:dyDescent="0.35">
      <c r="A2496" s="6" t="s">
        <v>2738</v>
      </c>
      <c r="B2496" s="6" t="s">
        <v>2699</v>
      </c>
      <c r="C2496" s="6" t="s">
        <v>2700</v>
      </c>
      <c r="D2496" s="6">
        <f t="shared" si="291"/>
        <v>0.5</v>
      </c>
      <c r="E2496" s="6" t="s">
        <v>19</v>
      </c>
      <c r="F2496" s="6" t="str">
        <f>MID(A2496,19,1)</f>
        <v>S</v>
      </c>
      <c r="G2496" s="6">
        <v>-22.82542061567484</v>
      </c>
      <c r="H2496" s="6">
        <v>-47.18861236957499</v>
      </c>
      <c r="I2496" s="9">
        <v>362.37</v>
      </c>
      <c r="K2496" s="6">
        <v>1.1299999999999999</v>
      </c>
      <c r="L2496" s="6">
        <v>30</v>
      </c>
      <c r="N2496" s="1">
        <f t="shared" si="286"/>
        <v>0</v>
      </c>
      <c r="O2496" s="6" t="s">
        <v>20</v>
      </c>
      <c r="Q2496" s="6" t="s">
        <v>21</v>
      </c>
      <c r="R2496" s="6" t="s">
        <v>21</v>
      </c>
      <c r="S2496" s="6" t="s">
        <v>21</v>
      </c>
      <c r="T2496" s="6" t="s">
        <v>21</v>
      </c>
      <c r="U2496" s="6">
        <f t="shared" si="287"/>
        <v>108.711</v>
      </c>
      <c r="V2496" s="6">
        <f t="shared" si="296"/>
        <v>108.711</v>
      </c>
    </row>
    <row r="2497" spans="1:22" x14ac:dyDescent="0.35">
      <c r="A2497" s="6" t="s">
        <v>2739</v>
      </c>
      <c r="B2497" s="6" t="s">
        <v>2699</v>
      </c>
      <c r="C2497" s="6" t="s">
        <v>2700</v>
      </c>
      <c r="D2497" s="6">
        <f t="shared" si="291"/>
        <v>0.5</v>
      </c>
      <c r="E2497" s="6" t="s">
        <v>19</v>
      </c>
      <c r="F2497" s="6" t="str">
        <f>MID(A2497,19,1)</f>
        <v>N</v>
      </c>
      <c r="G2497" s="6">
        <v>-22.824629061769791</v>
      </c>
      <c r="H2497" s="6">
        <v>-47.188750285899523</v>
      </c>
      <c r="I2497" s="9">
        <v>204.76</v>
      </c>
      <c r="K2497" s="6">
        <v>1.47</v>
      </c>
      <c r="L2497" s="6">
        <v>0</v>
      </c>
      <c r="N2497" s="1">
        <f t="shared" si="286"/>
        <v>0</v>
      </c>
      <c r="Q2497" s="6" t="s">
        <v>26</v>
      </c>
      <c r="R2497" s="6" t="s">
        <v>21</v>
      </c>
      <c r="S2497" s="6" t="s">
        <v>21</v>
      </c>
      <c r="T2497" s="6" t="s">
        <v>21</v>
      </c>
      <c r="U2497" s="6">
        <f t="shared" si="287"/>
        <v>0</v>
      </c>
    </row>
    <row r="2498" spans="1:22" x14ac:dyDescent="0.35">
      <c r="A2498" s="6" t="s">
        <v>2740</v>
      </c>
      <c r="B2498" s="6" t="s">
        <v>2699</v>
      </c>
      <c r="C2498" s="6" t="s">
        <v>2700</v>
      </c>
      <c r="D2498" s="6">
        <f t="shared" si="291"/>
        <v>0.5</v>
      </c>
      <c r="E2498" s="6" t="s">
        <v>19</v>
      </c>
      <c r="F2498" s="6" t="str">
        <f>MID(A2498,19,1)</f>
        <v>N</v>
      </c>
      <c r="G2498" s="6">
        <v>-22.82384143859683</v>
      </c>
      <c r="H2498" s="6">
        <v>-47.190626021252179</v>
      </c>
      <c r="I2498" s="9">
        <v>3805.78</v>
      </c>
      <c r="K2498" s="6">
        <v>1.95</v>
      </c>
      <c r="L2498" s="6">
        <v>50</v>
      </c>
      <c r="N2498" s="1">
        <f t="shared" ref="N2498:N2561" si="297">IF(OR(R2498="Sim",S2498="Sim",T2498="Sim"),(L2498/100)*I2498,0)</f>
        <v>0</v>
      </c>
      <c r="O2498" s="6" t="s">
        <v>20</v>
      </c>
      <c r="Q2498" s="6" t="s">
        <v>21</v>
      </c>
      <c r="R2498" s="6" t="s">
        <v>21</v>
      </c>
      <c r="S2498" s="6" t="s">
        <v>21</v>
      </c>
      <c r="T2498" s="6" t="s">
        <v>21</v>
      </c>
      <c r="U2498" s="6">
        <f t="shared" si="287"/>
        <v>1902.89</v>
      </c>
      <c r="V2498" s="6">
        <f t="shared" ref="V2498:V2500" si="298">(I2498*(L2498/100))</f>
        <v>1902.89</v>
      </c>
    </row>
    <row r="2499" spans="1:22" hidden="1" x14ac:dyDescent="0.35">
      <c r="A2499" s="6" t="s">
        <v>2741</v>
      </c>
      <c r="B2499" s="6" t="s">
        <v>2699</v>
      </c>
      <c r="C2499" s="6" t="s">
        <v>2700</v>
      </c>
      <c r="D2499" s="6">
        <f t="shared" si="291"/>
        <v>0.5</v>
      </c>
      <c r="E2499" s="6" t="s">
        <v>23</v>
      </c>
      <c r="F2499" s="6" t="str">
        <f>MID(A2499,19,1)</f>
        <v>C</v>
      </c>
      <c r="G2499" s="6">
        <v>-22.821245714331379</v>
      </c>
      <c r="H2499" s="6">
        <v>-47.196963285619852</v>
      </c>
      <c r="I2499" s="9">
        <v>3622.4</v>
      </c>
      <c r="J2499" s="9">
        <f>I2499/500</f>
        <v>7.2448000000000006</v>
      </c>
      <c r="K2499" s="6">
        <v>3.04</v>
      </c>
      <c r="L2499" s="6">
        <v>40</v>
      </c>
      <c r="N2499" s="1">
        <f t="shared" si="297"/>
        <v>0</v>
      </c>
      <c r="O2499" s="6" t="s">
        <v>126</v>
      </c>
      <c r="Q2499" s="6" t="s">
        <v>21</v>
      </c>
      <c r="R2499" s="6" t="s">
        <v>21</v>
      </c>
      <c r="S2499" s="6" t="s">
        <v>21</v>
      </c>
      <c r="T2499" s="6" t="s">
        <v>21</v>
      </c>
      <c r="U2499" s="6">
        <f t="shared" ref="U2499:U2562" si="299">IF(N2499=0,(I2499*(L2499/100)),0)</f>
        <v>1448.96</v>
      </c>
      <c r="V2499" s="6">
        <f t="shared" si="298"/>
        <v>1448.96</v>
      </c>
    </row>
    <row r="2500" spans="1:22" x14ac:dyDescent="0.35">
      <c r="A2500" s="6" t="s">
        <v>2742</v>
      </c>
      <c r="B2500" s="6" t="s">
        <v>2699</v>
      </c>
      <c r="C2500" s="6" t="s">
        <v>2700</v>
      </c>
      <c r="D2500" s="6">
        <f t="shared" si="291"/>
        <v>0.5</v>
      </c>
      <c r="E2500" s="6" t="s">
        <v>19</v>
      </c>
      <c r="F2500" s="6" t="str">
        <f>MID(A2500,19,1)</f>
        <v>N</v>
      </c>
      <c r="G2500" s="6">
        <v>-22.875745497314998</v>
      </c>
      <c r="H2500" s="6">
        <v>-47.251859866366331</v>
      </c>
      <c r="I2500" s="9">
        <v>526.73</v>
      </c>
      <c r="K2500" s="6">
        <v>4.6100000000000003</v>
      </c>
      <c r="L2500" s="6">
        <v>70</v>
      </c>
      <c r="N2500" s="1">
        <f t="shared" si="297"/>
        <v>0</v>
      </c>
      <c r="O2500" s="6" t="s">
        <v>20</v>
      </c>
      <c r="Q2500" s="6" t="s">
        <v>21</v>
      </c>
      <c r="R2500" s="6" t="s">
        <v>21</v>
      </c>
      <c r="S2500" s="6" t="s">
        <v>21</v>
      </c>
      <c r="T2500" s="6" t="s">
        <v>21</v>
      </c>
      <c r="U2500" s="6">
        <f t="shared" si="299"/>
        <v>368.71100000000001</v>
      </c>
      <c r="V2500" s="6">
        <f t="shared" si="298"/>
        <v>368.71100000000001</v>
      </c>
    </row>
    <row r="2501" spans="1:22" hidden="1" x14ac:dyDescent="0.35">
      <c r="A2501" s="6" t="s">
        <v>2743</v>
      </c>
      <c r="B2501" s="6" t="s">
        <v>2699</v>
      </c>
      <c r="C2501" s="6" t="s">
        <v>2700</v>
      </c>
      <c r="D2501" s="6">
        <f t="shared" si="291"/>
        <v>0.5</v>
      </c>
      <c r="E2501" s="6" t="s">
        <v>23</v>
      </c>
      <c r="F2501" s="6" t="str">
        <f>MID(A2501,19,1)</f>
        <v>C</v>
      </c>
      <c r="G2501" s="6">
        <v>-22.82205561991686</v>
      </c>
      <c r="H2501" s="6">
        <v>-47.194355894120513</v>
      </c>
      <c r="I2501" s="9">
        <v>1518.62</v>
      </c>
      <c r="J2501" s="9">
        <f>I2501/500</f>
        <v>3.0372399999999997</v>
      </c>
      <c r="K2501" s="6">
        <v>2.99</v>
      </c>
      <c r="L2501" s="6">
        <v>0</v>
      </c>
      <c r="N2501" s="1">
        <f t="shared" si="297"/>
        <v>0</v>
      </c>
      <c r="Q2501" s="6" t="s">
        <v>26</v>
      </c>
      <c r="R2501" s="6" t="s">
        <v>21</v>
      </c>
      <c r="S2501" s="6" t="s">
        <v>21</v>
      </c>
      <c r="T2501" s="6" t="s">
        <v>21</v>
      </c>
      <c r="U2501" s="6">
        <f t="shared" si="299"/>
        <v>0</v>
      </c>
    </row>
    <row r="2502" spans="1:22" hidden="1" x14ac:dyDescent="0.35">
      <c r="A2502" s="6" t="s">
        <v>2744</v>
      </c>
      <c r="B2502" s="6" t="s">
        <v>2699</v>
      </c>
      <c r="C2502" s="6" t="s">
        <v>2700</v>
      </c>
      <c r="D2502" s="6">
        <f t="shared" si="291"/>
        <v>0.5</v>
      </c>
      <c r="E2502" s="6" t="s">
        <v>19</v>
      </c>
      <c r="F2502" s="6" t="str">
        <f>MID(A2502,19,1)</f>
        <v>S</v>
      </c>
      <c r="G2502" s="6">
        <v>-22.825105955853338</v>
      </c>
      <c r="H2502" s="6">
        <v>-47.188725074898947</v>
      </c>
      <c r="I2502" s="9">
        <v>22.71</v>
      </c>
      <c r="K2502" s="6">
        <v>1.1399999999999999</v>
      </c>
      <c r="L2502" s="6">
        <v>30</v>
      </c>
      <c r="N2502" s="1">
        <f t="shared" si="297"/>
        <v>0</v>
      </c>
      <c r="O2502" s="6" t="s">
        <v>20</v>
      </c>
      <c r="Q2502" s="6" t="s">
        <v>21</v>
      </c>
      <c r="R2502" s="6" t="s">
        <v>21</v>
      </c>
      <c r="S2502" s="6" t="s">
        <v>21</v>
      </c>
      <c r="T2502" s="6" t="s">
        <v>21</v>
      </c>
      <c r="U2502" s="6">
        <f t="shared" si="299"/>
        <v>6.8129999999999997</v>
      </c>
      <c r="V2502" s="6">
        <f t="shared" ref="V2502:V2508" si="300">(I2502*(L2502/100))</f>
        <v>6.8129999999999997</v>
      </c>
    </row>
    <row r="2503" spans="1:22" hidden="1" x14ac:dyDescent="0.35">
      <c r="A2503" s="6" t="s">
        <v>2745</v>
      </c>
      <c r="B2503" s="6" t="s">
        <v>2699</v>
      </c>
      <c r="C2503" s="6" t="s">
        <v>2700</v>
      </c>
      <c r="D2503" s="6">
        <f t="shared" si="291"/>
        <v>0.5</v>
      </c>
      <c r="E2503" s="6" t="s">
        <v>19</v>
      </c>
      <c r="F2503" s="6" t="str">
        <f>MID(A2503,19,1)</f>
        <v>S</v>
      </c>
      <c r="G2503" s="6">
        <v>-22.876179402912111</v>
      </c>
      <c r="H2503" s="6">
        <v>-47.252213517814987</v>
      </c>
      <c r="I2503" s="9">
        <v>315.98</v>
      </c>
      <c r="K2503" s="6">
        <v>2.82</v>
      </c>
      <c r="L2503" s="6">
        <v>70</v>
      </c>
      <c r="N2503" s="1">
        <f t="shared" si="297"/>
        <v>0</v>
      </c>
      <c r="O2503" s="6" t="s">
        <v>20</v>
      </c>
      <c r="Q2503" s="6" t="s">
        <v>21</v>
      </c>
      <c r="R2503" s="6" t="s">
        <v>21</v>
      </c>
      <c r="S2503" s="6" t="s">
        <v>21</v>
      </c>
      <c r="T2503" s="6" t="s">
        <v>21</v>
      </c>
      <c r="U2503" s="6">
        <f t="shared" si="299"/>
        <v>221.18600000000001</v>
      </c>
      <c r="V2503" s="6">
        <f t="shared" si="300"/>
        <v>221.18600000000001</v>
      </c>
    </row>
    <row r="2504" spans="1:22" hidden="1" x14ac:dyDescent="0.35">
      <c r="A2504" s="6" t="s">
        <v>2746</v>
      </c>
      <c r="B2504" s="6" t="s">
        <v>2699</v>
      </c>
      <c r="C2504" s="6" t="s">
        <v>2700</v>
      </c>
      <c r="D2504" s="6">
        <f t="shared" si="291"/>
        <v>0.5</v>
      </c>
      <c r="E2504" s="6" t="s">
        <v>19</v>
      </c>
      <c r="F2504" s="6" t="str">
        <f>MID(A2504,19,1)</f>
        <v>S</v>
      </c>
      <c r="G2504" s="6">
        <v>-22.877630026700299</v>
      </c>
      <c r="H2504" s="6">
        <v>-47.250521331191067</v>
      </c>
      <c r="I2504" s="9">
        <v>1460.52</v>
      </c>
      <c r="K2504" s="6">
        <v>2.73</v>
      </c>
      <c r="L2504" s="6">
        <v>70</v>
      </c>
      <c r="N2504" s="1">
        <f t="shared" si="297"/>
        <v>0</v>
      </c>
      <c r="O2504" s="6" t="s">
        <v>20</v>
      </c>
      <c r="Q2504" s="6" t="s">
        <v>21</v>
      </c>
      <c r="R2504" s="6" t="s">
        <v>21</v>
      </c>
      <c r="S2504" s="6" t="s">
        <v>21</v>
      </c>
      <c r="T2504" s="6" t="s">
        <v>21</v>
      </c>
      <c r="U2504" s="6">
        <f t="shared" si="299"/>
        <v>1022.3639999999999</v>
      </c>
      <c r="V2504" s="6">
        <f t="shared" si="300"/>
        <v>1022.3639999999999</v>
      </c>
    </row>
    <row r="2505" spans="1:22" hidden="1" x14ac:dyDescent="0.35">
      <c r="A2505" s="6" t="s">
        <v>2747</v>
      </c>
      <c r="B2505" s="6" t="s">
        <v>2699</v>
      </c>
      <c r="C2505" s="6" t="s">
        <v>2700</v>
      </c>
      <c r="D2505" s="6">
        <f t="shared" si="291"/>
        <v>0.5</v>
      </c>
      <c r="E2505" s="6" t="s">
        <v>23</v>
      </c>
      <c r="F2505" s="6" t="str">
        <f>MID(A2505,19,1)</f>
        <v>C</v>
      </c>
      <c r="G2505" s="6">
        <v>-22.82078545748066</v>
      </c>
      <c r="H2505" s="6">
        <v>-47.196749208131699</v>
      </c>
      <c r="I2505" s="9">
        <v>133.31</v>
      </c>
      <c r="J2505" s="9">
        <f t="shared" ref="J2505:J2507" si="301">I2505/500</f>
        <v>0.26662000000000002</v>
      </c>
      <c r="K2505" s="6">
        <v>2.75</v>
      </c>
      <c r="L2505" s="6">
        <v>30</v>
      </c>
      <c r="N2505" s="1">
        <f t="shared" si="297"/>
        <v>0</v>
      </c>
      <c r="O2505" s="6" t="s">
        <v>20</v>
      </c>
      <c r="Q2505" s="6" t="s">
        <v>21</v>
      </c>
      <c r="R2505" s="6" t="s">
        <v>21</v>
      </c>
      <c r="S2505" s="6" t="s">
        <v>21</v>
      </c>
      <c r="T2505" s="6" t="s">
        <v>21</v>
      </c>
      <c r="U2505" s="6">
        <f t="shared" si="299"/>
        <v>39.993000000000002</v>
      </c>
      <c r="V2505" s="6">
        <f t="shared" si="300"/>
        <v>39.993000000000002</v>
      </c>
    </row>
    <row r="2506" spans="1:22" hidden="1" x14ac:dyDescent="0.35">
      <c r="A2506" s="6" t="s">
        <v>2748</v>
      </c>
      <c r="B2506" s="6" t="s">
        <v>2699</v>
      </c>
      <c r="C2506" s="6" t="s">
        <v>2700</v>
      </c>
      <c r="D2506" s="6">
        <f t="shared" si="291"/>
        <v>0.5</v>
      </c>
      <c r="E2506" s="6" t="s">
        <v>23</v>
      </c>
      <c r="F2506" s="6" t="str">
        <f>MID(A2506,19,1)</f>
        <v>C</v>
      </c>
      <c r="G2506" s="6">
        <v>-22.821691329523802</v>
      </c>
      <c r="H2506" s="6">
        <v>-47.1961373706676</v>
      </c>
      <c r="I2506" s="9">
        <v>7218.73</v>
      </c>
      <c r="J2506" s="9">
        <f t="shared" si="301"/>
        <v>14.43746</v>
      </c>
      <c r="K2506" s="6">
        <v>3.39</v>
      </c>
      <c r="L2506" s="6">
        <v>30</v>
      </c>
      <c r="N2506" s="1">
        <f t="shared" si="297"/>
        <v>0</v>
      </c>
      <c r="O2506" s="6" t="s">
        <v>20</v>
      </c>
      <c r="Q2506" s="6" t="s">
        <v>21</v>
      </c>
      <c r="R2506" s="6" t="s">
        <v>21</v>
      </c>
      <c r="S2506" s="6" t="s">
        <v>21</v>
      </c>
      <c r="T2506" s="6" t="s">
        <v>21</v>
      </c>
      <c r="U2506" s="6">
        <f t="shared" si="299"/>
        <v>2165.6189999999997</v>
      </c>
      <c r="V2506" s="6">
        <f t="shared" si="300"/>
        <v>2165.6189999999997</v>
      </c>
    </row>
    <row r="2507" spans="1:22" hidden="1" x14ac:dyDescent="0.35">
      <c r="A2507" s="6" t="s">
        <v>2749</v>
      </c>
      <c r="B2507" s="6" t="s">
        <v>2750</v>
      </c>
      <c r="C2507" s="6" t="s">
        <v>2751</v>
      </c>
      <c r="D2507" s="6">
        <f t="shared" si="291"/>
        <v>0.5</v>
      </c>
      <c r="E2507" s="6" t="s">
        <v>23</v>
      </c>
      <c r="F2507" s="6" t="str">
        <f>MID(A2507,19,1)</f>
        <v>C</v>
      </c>
      <c r="G2507" s="6">
        <v>-22.871923597305191</v>
      </c>
      <c r="H2507" s="6">
        <v>-47.263191483300268</v>
      </c>
      <c r="I2507" s="9">
        <v>3328.52</v>
      </c>
      <c r="J2507" s="9">
        <f t="shared" si="301"/>
        <v>6.6570400000000003</v>
      </c>
      <c r="K2507" s="6">
        <v>4.1500000000000004</v>
      </c>
      <c r="L2507" s="6">
        <v>80</v>
      </c>
      <c r="N2507" s="1">
        <f t="shared" si="297"/>
        <v>0</v>
      </c>
      <c r="O2507" s="6" t="s">
        <v>20</v>
      </c>
      <c r="Q2507" s="6" t="s">
        <v>21</v>
      </c>
      <c r="R2507" s="6" t="s">
        <v>21</v>
      </c>
      <c r="S2507" s="6" t="s">
        <v>21</v>
      </c>
      <c r="T2507" s="6" t="s">
        <v>21</v>
      </c>
      <c r="U2507" s="6">
        <f t="shared" si="299"/>
        <v>2662.8160000000003</v>
      </c>
      <c r="V2507" s="6">
        <f t="shared" si="300"/>
        <v>2662.8160000000003</v>
      </c>
    </row>
    <row r="2508" spans="1:22" hidden="1" x14ac:dyDescent="0.35">
      <c r="A2508" s="6" t="s">
        <v>2752</v>
      </c>
      <c r="B2508" s="6" t="s">
        <v>2750</v>
      </c>
      <c r="C2508" s="6" t="s">
        <v>2751</v>
      </c>
      <c r="D2508" s="6">
        <f t="shared" si="291"/>
        <v>0.5</v>
      </c>
      <c r="E2508" s="6" t="s">
        <v>19</v>
      </c>
      <c r="F2508" s="6" t="str">
        <f>MID(A2508,19,1)</f>
        <v>S</v>
      </c>
      <c r="G2508" s="6">
        <v>-22.819676119968651</v>
      </c>
      <c r="H2508" s="6">
        <v>-47.198969640739982</v>
      </c>
      <c r="I2508" s="9">
        <v>5881.06</v>
      </c>
      <c r="K2508" s="6">
        <v>3.17</v>
      </c>
      <c r="L2508" s="6">
        <v>30</v>
      </c>
      <c r="N2508" s="1">
        <f t="shared" si="297"/>
        <v>0</v>
      </c>
      <c r="O2508" s="6" t="s">
        <v>20</v>
      </c>
      <c r="Q2508" s="6" t="s">
        <v>21</v>
      </c>
      <c r="R2508" s="6" t="s">
        <v>21</v>
      </c>
      <c r="S2508" s="6" t="s">
        <v>21</v>
      </c>
      <c r="T2508" s="6" t="s">
        <v>21</v>
      </c>
      <c r="U2508" s="6">
        <f t="shared" si="299"/>
        <v>1764.318</v>
      </c>
      <c r="V2508" s="6">
        <f t="shared" si="300"/>
        <v>1764.318</v>
      </c>
    </row>
    <row r="2509" spans="1:22" x14ac:dyDescent="0.35">
      <c r="A2509" s="6" t="s">
        <v>2753</v>
      </c>
      <c r="B2509" s="6" t="s">
        <v>2750</v>
      </c>
      <c r="C2509" s="6" t="s">
        <v>2751</v>
      </c>
      <c r="D2509" s="6">
        <f t="shared" si="291"/>
        <v>0.5</v>
      </c>
      <c r="E2509" s="6" t="s">
        <v>19</v>
      </c>
      <c r="F2509" s="6" t="str">
        <f>MID(A2509,19,1)</f>
        <v>N</v>
      </c>
      <c r="G2509" s="6">
        <v>-22.816567744805599</v>
      </c>
      <c r="H2509" s="6">
        <v>-47.203834509533372</v>
      </c>
      <c r="I2509" s="9">
        <v>1074.23</v>
      </c>
      <c r="K2509" s="6">
        <v>2.4700000000000002</v>
      </c>
      <c r="L2509" s="6">
        <v>0</v>
      </c>
      <c r="N2509" s="1">
        <f t="shared" si="297"/>
        <v>0</v>
      </c>
      <c r="Q2509" s="6" t="s">
        <v>26</v>
      </c>
      <c r="R2509" s="6" t="s">
        <v>21</v>
      </c>
      <c r="S2509" s="6" t="s">
        <v>21</v>
      </c>
      <c r="T2509" s="6" t="s">
        <v>21</v>
      </c>
      <c r="U2509" s="6">
        <f t="shared" si="299"/>
        <v>0</v>
      </c>
    </row>
    <row r="2510" spans="1:22" hidden="1" x14ac:dyDescent="0.35">
      <c r="A2510" s="6" t="s">
        <v>2754</v>
      </c>
      <c r="B2510" s="6" t="s">
        <v>2750</v>
      </c>
      <c r="C2510" s="6" t="s">
        <v>2751</v>
      </c>
      <c r="D2510" s="6">
        <f t="shared" ref="D2510:D2573" si="302">C2510-B2510</f>
        <v>0.5</v>
      </c>
      <c r="E2510" s="6" t="s">
        <v>23</v>
      </c>
      <c r="F2510" s="6" t="str">
        <f>MID(A2510,19,1)</f>
        <v>C</v>
      </c>
      <c r="G2510" s="6">
        <v>-22.87200961205453</v>
      </c>
      <c r="H2510" s="6">
        <v>-47.260821744768627</v>
      </c>
      <c r="I2510" s="9">
        <v>2055.1799999999998</v>
      </c>
      <c r="J2510" s="9">
        <f>I2510/500</f>
        <v>4.11036</v>
      </c>
      <c r="K2510" s="6">
        <v>4.6100000000000003</v>
      </c>
      <c r="L2510" s="6">
        <v>80</v>
      </c>
      <c r="N2510" s="1">
        <f t="shared" si="297"/>
        <v>0</v>
      </c>
      <c r="O2510" s="6" t="s">
        <v>20</v>
      </c>
      <c r="Q2510" s="6" t="s">
        <v>21</v>
      </c>
      <c r="R2510" s="6" t="s">
        <v>21</v>
      </c>
      <c r="S2510" s="6" t="s">
        <v>21</v>
      </c>
      <c r="T2510" s="6" t="s">
        <v>21</v>
      </c>
      <c r="U2510" s="6">
        <f t="shared" si="299"/>
        <v>1644.144</v>
      </c>
      <c r="V2510" s="6">
        <f t="shared" ref="V2510:V2525" si="303">(I2510*(L2510/100))</f>
        <v>1644.144</v>
      </c>
    </row>
    <row r="2511" spans="1:22" hidden="1" x14ac:dyDescent="0.35">
      <c r="A2511" s="6" t="s">
        <v>2755</v>
      </c>
      <c r="B2511" s="6" t="s">
        <v>2750</v>
      </c>
      <c r="C2511" s="6" t="s">
        <v>2751</v>
      </c>
      <c r="D2511" s="6">
        <f t="shared" si="302"/>
        <v>0.5</v>
      </c>
      <c r="E2511" s="6" t="s">
        <v>19</v>
      </c>
      <c r="F2511" s="6" t="str">
        <f>MID(A2511,19,1)</f>
        <v>S</v>
      </c>
      <c r="G2511" s="6">
        <v>-22.819963819697701</v>
      </c>
      <c r="H2511" s="6">
        <v>-47.19915120099602</v>
      </c>
      <c r="I2511" s="9">
        <v>2277.88</v>
      </c>
      <c r="K2511" s="6">
        <v>4.38</v>
      </c>
      <c r="L2511" s="6">
        <v>30</v>
      </c>
      <c r="N2511" s="1">
        <f t="shared" si="297"/>
        <v>0</v>
      </c>
      <c r="O2511" s="6" t="s">
        <v>20</v>
      </c>
      <c r="Q2511" s="6" t="s">
        <v>21</v>
      </c>
      <c r="R2511" s="6" t="s">
        <v>21</v>
      </c>
      <c r="S2511" s="6" t="s">
        <v>21</v>
      </c>
      <c r="T2511" s="6" t="s">
        <v>21</v>
      </c>
      <c r="U2511" s="6">
        <f t="shared" si="299"/>
        <v>683.36400000000003</v>
      </c>
      <c r="V2511" s="6">
        <f t="shared" si="303"/>
        <v>683.36400000000003</v>
      </c>
    </row>
    <row r="2512" spans="1:22" x14ac:dyDescent="0.35">
      <c r="A2512" s="6" t="s">
        <v>2756</v>
      </c>
      <c r="B2512" s="6" t="s">
        <v>2750</v>
      </c>
      <c r="C2512" s="6" t="s">
        <v>2751</v>
      </c>
      <c r="D2512" s="6">
        <f t="shared" si="302"/>
        <v>0.5</v>
      </c>
      <c r="E2512" s="6" t="s">
        <v>19</v>
      </c>
      <c r="F2512" s="6" t="str">
        <f>MID(A2512,19,1)</f>
        <v>N</v>
      </c>
      <c r="G2512" s="6">
        <v>-22.819715615526938</v>
      </c>
      <c r="H2512" s="6">
        <v>-47.197853675016241</v>
      </c>
      <c r="I2512" s="9">
        <v>2690.25</v>
      </c>
      <c r="K2512" s="6">
        <v>3.67</v>
      </c>
      <c r="L2512" s="6">
        <v>30</v>
      </c>
      <c r="N2512" s="1">
        <f t="shared" si="297"/>
        <v>0</v>
      </c>
      <c r="O2512" s="6" t="s">
        <v>20</v>
      </c>
      <c r="Q2512" s="6" t="s">
        <v>21</v>
      </c>
      <c r="R2512" s="6" t="s">
        <v>21</v>
      </c>
      <c r="S2512" s="6" t="s">
        <v>21</v>
      </c>
      <c r="T2512" s="6" t="s">
        <v>21</v>
      </c>
      <c r="U2512" s="6">
        <f t="shared" si="299"/>
        <v>807.07499999999993</v>
      </c>
      <c r="V2512" s="6">
        <f t="shared" si="303"/>
        <v>807.07499999999993</v>
      </c>
    </row>
    <row r="2513" spans="1:22" hidden="1" x14ac:dyDescent="0.35">
      <c r="A2513" s="6" t="s">
        <v>2757</v>
      </c>
      <c r="B2513" s="6" t="s">
        <v>2750</v>
      </c>
      <c r="C2513" s="6" t="s">
        <v>2751</v>
      </c>
      <c r="D2513" s="6">
        <f t="shared" si="302"/>
        <v>0.5</v>
      </c>
      <c r="E2513" s="6" t="s">
        <v>23</v>
      </c>
      <c r="F2513" s="6" t="str">
        <f>MID(A2513,19,1)</f>
        <v>C</v>
      </c>
      <c r="G2513" s="6">
        <v>-22.818830053804341</v>
      </c>
      <c r="H2513" s="6">
        <v>-47.200020247103467</v>
      </c>
      <c r="I2513" s="9">
        <v>3169.59</v>
      </c>
      <c r="J2513" s="9">
        <f>I2513/500</f>
        <v>6.3391800000000007</v>
      </c>
      <c r="K2513" s="6">
        <v>2.94</v>
      </c>
      <c r="L2513" s="6">
        <v>50</v>
      </c>
      <c r="N2513" s="1">
        <f t="shared" si="297"/>
        <v>0</v>
      </c>
      <c r="O2513" s="6" t="s">
        <v>20</v>
      </c>
      <c r="Q2513" s="6" t="s">
        <v>21</v>
      </c>
      <c r="R2513" s="6" t="s">
        <v>21</v>
      </c>
      <c r="S2513" s="6" t="s">
        <v>21</v>
      </c>
      <c r="T2513" s="6" t="s">
        <v>21</v>
      </c>
      <c r="U2513" s="6">
        <f t="shared" si="299"/>
        <v>1584.7950000000001</v>
      </c>
      <c r="V2513" s="6">
        <f t="shared" si="303"/>
        <v>1584.7950000000001</v>
      </c>
    </row>
    <row r="2514" spans="1:22" hidden="1" x14ac:dyDescent="0.35">
      <c r="A2514" s="6" t="s">
        <v>2758</v>
      </c>
      <c r="B2514" s="6" t="s">
        <v>2750</v>
      </c>
      <c r="C2514" s="6" t="s">
        <v>2751</v>
      </c>
      <c r="D2514" s="6">
        <f t="shared" si="302"/>
        <v>0.5</v>
      </c>
      <c r="E2514" s="6" t="s">
        <v>19</v>
      </c>
      <c r="F2514" s="6" t="str">
        <f>MID(A2514,19,1)</f>
        <v>S</v>
      </c>
      <c r="G2514" s="6">
        <v>-22.82111945116646</v>
      </c>
      <c r="H2514" s="6">
        <v>-47.197327977826077</v>
      </c>
      <c r="I2514" s="9">
        <v>3176.51</v>
      </c>
      <c r="K2514" s="6">
        <v>4</v>
      </c>
      <c r="L2514" s="6">
        <v>35</v>
      </c>
      <c r="N2514" s="1">
        <f t="shared" si="297"/>
        <v>0</v>
      </c>
      <c r="O2514" s="6" t="s">
        <v>71</v>
      </c>
      <c r="Q2514" s="6" t="s">
        <v>21</v>
      </c>
      <c r="R2514" s="6" t="s">
        <v>21</v>
      </c>
      <c r="S2514" s="6" t="s">
        <v>21</v>
      </c>
      <c r="T2514" s="6" t="s">
        <v>21</v>
      </c>
      <c r="U2514" s="6">
        <f t="shared" si="299"/>
        <v>1111.7784999999999</v>
      </c>
      <c r="V2514" s="6">
        <f t="shared" si="303"/>
        <v>1111.7784999999999</v>
      </c>
    </row>
    <row r="2515" spans="1:22" hidden="1" x14ac:dyDescent="0.35">
      <c r="A2515" s="6" t="s">
        <v>2759</v>
      </c>
      <c r="B2515" s="6" t="s">
        <v>2750</v>
      </c>
      <c r="C2515" s="6" t="s">
        <v>2751</v>
      </c>
      <c r="D2515" s="6">
        <f t="shared" si="302"/>
        <v>0.5</v>
      </c>
      <c r="E2515" s="6" t="s">
        <v>19</v>
      </c>
      <c r="F2515" s="6" t="str">
        <f>MID(A2515,19,1)</f>
        <v>S</v>
      </c>
      <c r="G2515" s="6">
        <v>-22.818431717281332</v>
      </c>
      <c r="H2515" s="6">
        <v>-47.201615485819282</v>
      </c>
      <c r="I2515" s="9">
        <v>230.69</v>
      </c>
      <c r="K2515" s="6">
        <v>3.42</v>
      </c>
      <c r="L2515" s="6">
        <v>30</v>
      </c>
      <c r="N2515" s="1">
        <f t="shared" si="297"/>
        <v>0</v>
      </c>
      <c r="O2515" s="6" t="s">
        <v>20</v>
      </c>
      <c r="Q2515" s="6" t="s">
        <v>21</v>
      </c>
      <c r="R2515" s="6" t="s">
        <v>21</v>
      </c>
      <c r="S2515" s="6" t="s">
        <v>21</v>
      </c>
      <c r="T2515" s="6" t="s">
        <v>21</v>
      </c>
      <c r="U2515" s="6">
        <f t="shared" si="299"/>
        <v>69.206999999999994</v>
      </c>
      <c r="V2515" s="6">
        <f t="shared" si="303"/>
        <v>69.206999999999994</v>
      </c>
    </row>
    <row r="2516" spans="1:22" hidden="1" x14ac:dyDescent="0.35">
      <c r="A2516" s="6" t="s">
        <v>2760</v>
      </c>
      <c r="B2516" s="6" t="s">
        <v>2750</v>
      </c>
      <c r="C2516" s="6" t="s">
        <v>2751</v>
      </c>
      <c r="D2516" s="6">
        <f t="shared" si="302"/>
        <v>0.5</v>
      </c>
      <c r="E2516" s="6" t="s">
        <v>19</v>
      </c>
      <c r="F2516" s="6" t="str">
        <f>MID(A2516,19,1)</f>
        <v>S</v>
      </c>
      <c r="G2516" s="6">
        <v>-22.818521320668449</v>
      </c>
      <c r="H2516" s="6">
        <v>-47.201144483876142</v>
      </c>
      <c r="I2516" s="9">
        <v>156.41999999999999</v>
      </c>
      <c r="K2516" s="6">
        <v>4.08</v>
      </c>
      <c r="L2516" s="6">
        <v>30</v>
      </c>
      <c r="N2516" s="1">
        <f t="shared" si="297"/>
        <v>0</v>
      </c>
      <c r="O2516" s="6" t="s">
        <v>20</v>
      </c>
      <c r="Q2516" s="6" t="s">
        <v>21</v>
      </c>
      <c r="R2516" s="6" t="s">
        <v>21</v>
      </c>
      <c r="S2516" s="6" t="s">
        <v>21</v>
      </c>
      <c r="T2516" s="6" t="s">
        <v>21</v>
      </c>
      <c r="U2516" s="6">
        <f t="shared" si="299"/>
        <v>46.925999999999995</v>
      </c>
      <c r="V2516" s="6">
        <f t="shared" si="303"/>
        <v>46.925999999999995</v>
      </c>
    </row>
    <row r="2517" spans="1:22" hidden="1" x14ac:dyDescent="0.35">
      <c r="A2517" s="6" t="s">
        <v>2761</v>
      </c>
      <c r="B2517" s="6" t="s">
        <v>2750</v>
      </c>
      <c r="C2517" s="6" t="s">
        <v>2751</v>
      </c>
      <c r="D2517" s="6">
        <f t="shared" si="302"/>
        <v>0.5</v>
      </c>
      <c r="E2517" s="6" t="s">
        <v>19</v>
      </c>
      <c r="F2517" s="6" t="str">
        <f>MID(A2517,19,1)</f>
        <v>S</v>
      </c>
      <c r="G2517" s="6">
        <v>-22.817992307186461</v>
      </c>
      <c r="H2517" s="6">
        <v>-47.202058322892277</v>
      </c>
      <c r="I2517" s="9">
        <v>1088.23</v>
      </c>
      <c r="K2517" s="6">
        <v>4</v>
      </c>
      <c r="L2517" s="6">
        <v>30</v>
      </c>
      <c r="N2517" s="1">
        <f t="shared" si="297"/>
        <v>0</v>
      </c>
      <c r="O2517" s="6" t="s">
        <v>20</v>
      </c>
      <c r="Q2517" s="6" t="s">
        <v>21</v>
      </c>
      <c r="R2517" s="6" t="s">
        <v>21</v>
      </c>
      <c r="S2517" s="6" t="s">
        <v>21</v>
      </c>
      <c r="T2517" s="6" t="s">
        <v>21</v>
      </c>
      <c r="U2517" s="6">
        <f t="shared" si="299"/>
        <v>326.46899999999999</v>
      </c>
      <c r="V2517" s="6">
        <f t="shared" si="303"/>
        <v>326.46899999999999</v>
      </c>
    </row>
    <row r="2518" spans="1:22" x14ac:dyDescent="0.35">
      <c r="A2518" s="6" t="s">
        <v>2762</v>
      </c>
      <c r="B2518" s="6" t="s">
        <v>2750</v>
      </c>
      <c r="C2518" s="6" t="s">
        <v>2751</v>
      </c>
      <c r="D2518" s="6">
        <f t="shared" si="302"/>
        <v>0.5</v>
      </c>
      <c r="E2518" s="6" t="s">
        <v>19</v>
      </c>
      <c r="F2518" s="6" t="str">
        <f>MID(A2518,19,1)</f>
        <v>N</v>
      </c>
      <c r="G2518" s="6">
        <v>-22.819292387303701</v>
      </c>
      <c r="H2518" s="6">
        <v>-47.196971925827583</v>
      </c>
      <c r="I2518" s="9">
        <v>7139.61</v>
      </c>
      <c r="K2518" s="6">
        <v>4.16</v>
      </c>
      <c r="L2518" s="6">
        <v>30</v>
      </c>
      <c r="N2518" s="1">
        <f t="shared" si="297"/>
        <v>0</v>
      </c>
      <c r="O2518" s="6" t="s">
        <v>20</v>
      </c>
      <c r="Q2518" s="6" t="s">
        <v>21</v>
      </c>
      <c r="R2518" s="6" t="s">
        <v>21</v>
      </c>
      <c r="S2518" s="6" t="s">
        <v>21</v>
      </c>
      <c r="T2518" s="6" t="s">
        <v>21</v>
      </c>
      <c r="U2518" s="6">
        <f t="shared" si="299"/>
        <v>2141.8829999999998</v>
      </c>
      <c r="V2518" s="6">
        <f t="shared" si="303"/>
        <v>2141.8829999999998</v>
      </c>
    </row>
    <row r="2519" spans="1:22" hidden="1" x14ac:dyDescent="0.35">
      <c r="A2519" s="6" t="s">
        <v>2763</v>
      </c>
      <c r="B2519" s="6" t="s">
        <v>2750</v>
      </c>
      <c r="C2519" s="6" t="s">
        <v>2751</v>
      </c>
      <c r="D2519" s="6">
        <f t="shared" si="302"/>
        <v>0.5</v>
      </c>
      <c r="E2519" s="6" t="s">
        <v>23</v>
      </c>
      <c r="F2519" s="6" t="str">
        <f>MID(A2519,19,1)</f>
        <v>C</v>
      </c>
      <c r="G2519" s="6">
        <v>-22.82003104302391</v>
      </c>
      <c r="H2519" s="6">
        <v>-47.197776239801378</v>
      </c>
      <c r="I2519" s="9">
        <v>2390.73</v>
      </c>
      <c r="J2519" s="9">
        <f t="shared" ref="J2519:J2521" si="304">I2519/500</f>
        <v>4.78146</v>
      </c>
      <c r="K2519" s="6">
        <v>3.45</v>
      </c>
      <c r="L2519" s="6">
        <v>50</v>
      </c>
      <c r="N2519" s="1">
        <f t="shared" si="297"/>
        <v>0</v>
      </c>
      <c r="O2519" s="6" t="s">
        <v>20</v>
      </c>
      <c r="Q2519" s="6" t="s">
        <v>21</v>
      </c>
      <c r="R2519" s="6" t="s">
        <v>21</v>
      </c>
      <c r="S2519" s="6" t="s">
        <v>21</v>
      </c>
      <c r="T2519" s="6" t="s">
        <v>21</v>
      </c>
      <c r="U2519" s="6">
        <f t="shared" si="299"/>
        <v>1195.365</v>
      </c>
      <c r="V2519" s="6">
        <f t="shared" si="303"/>
        <v>1195.365</v>
      </c>
    </row>
    <row r="2520" spans="1:22" hidden="1" x14ac:dyDescent="0.35">
      <c r="A2520" s="6" t="s">
        <v>2764</v>
      </c>
      <c r="B2520" s="6" t="s">
        <v>2750</v>
      </c>
      <c r="C2520" s="6" t="s">
        <v>2751</v>
      </c>
      <c r="D2520" s="6">
        <f t="shared" si="302"/>
        <v>0.5</v>
      </c>
      <c r="E2520" s="6" t="s">
        <v>23</v>
      </c>
      <c r="F2520" s="6" t="str">
        <f>MID(A2520,19,1)</f>
        <v>C</v>
      </c>
      <c r="G2520" s="6">
        <v>-22.817820722106681</v>
      </c>
      <c r="H2520" s="6">
        <v>-47.201905662819343</v>
      </c>
      <c r="I2520" s="9">
        <v>1750.76</v>
      </c>
      <c r="J2520" s="9">
        <f t="shared" si="304"/>
        <v>3.5015200000000002</v>
      </c>
      <c r="K2520" s="6">
        <v>3.92</v>
      </c>
      <c r="L2520" s="6">
        <v>50</v>
      </c>
      <c r="N2520" s="1">
        <f t="shared" si="297"/>
        <v>0</v>
      </c>
      <c r="O2520" s="6" t="s">
        <v>20</v>
      </c>
      <c r="Q2520" s="6" t="s">
        <v>21</v>
      </c>
      <c r="R2520" s="6" t="s">
        <v>21</v>
      </c>
      <c r="S2520" s="6" t="s">
        <v>21</v>
      </c>
      <c r="T2520" s="6" t="s">
        <v>21</v>
      </c>
      <c r="U2520" s="6">
        <f t="shared" si="299"/>
        <v>875.38</v>
      </c>
      <c r="V2520" s="6">
        <f t="shared" si="303"/>
        <v>875.38</v>
      </c>
    </row>
    <row r="2521" spans="1:22" hidden="1" x14ac:dyDescent="0.35">
      <c r="A2521" s="6" t="s">
        <v>2765</v>
      </c>
      <c r="B2521" s="6" t="s">
        <v>2750</v>
      </c>
      <c r="C2521" s="6" t="s">
        <v>2751</v>
      </c>
      <c r="D2521" s="6">
        <f t="shared" si="302"/>
        <v>0.5</v>
      </c>
      <c r="E2521" s="6" t="s">
        <v>23</v>
      </c>
      <c r="F2521" s="6" t="str">
        <f>MID(A2521,19,1)</f>
        <v>C</v>
      </c>
      <c r="G2521" s="6">
        <v>-22.81675611401586</v>
      </c>
      <c r="H2521" s="6">
        <v>-47.203900842745703</v>
      </c>
      <c r="I2521" s="9">
        <v>3044.88</v>
      </c>
      <c r="J2521" s="9">
        <f t="shared" si="304"/>
        <v>6.0897600000000001</v>
      </c>
      <c r="K2521" s="6">
        <v>2.86</v>
      </c>
      <c r="L2521" s="6">
        <v>50</v>
      </c>
      <c r="N2521" s="1">
        <f t="shared" si="297"/>
        <v>0</v>
      </c>
      <c r="O2521" s="6" t="s">
        <v>20</v>
      </c>
      <c r="Q2521" s="6" t="s">
        <v>21</v>
      </c>
      <c r="R2521" s="6" t="s">
        <v>21</v>
      </c>
      <c r="S2521" s="6" t="s">
        <v>21</v>
      </c>
      <c r="T2521" s="6" t="s">
        <v>21</v>
      </c>
      <c r="U2521" s="6">
        <f t="shared" si="299"/>
        <v>1522.44</v>
      </c>
      <c r="V2521" s="6">
        <f t="shared" si="303"/>
        <v>1522.44</v>
      </c>
    </row>
    <row r="2522" spans="1:22" x14ac:dyDescent="0.35">
      <c r="A2522" s="6" t="s">
        <v>2766</v>
      </c>
      <c r="B2522" s="6" t="s">
        <v>2750</v>
      </c>
      <c r="C2522" s="6" t="s">
        <v>2751</v>
      </c>
      <c r="D2522" s="6">
        <f t="shared" si="302"/>
        <v>0.5</v>
      </c>
      <c r="E2522" s="6" t="s">
        <v>19</v>
      </c>
      <c r="F2522" s="6" t="str">
        <f>MID(A2522,19,1)</f>
        <v>N</v>
      </c>
      <c r="G2522" s="6">
        <v>-22.820037987551359</v>
      </c>
      <c r="H2522" s="6">
        <v>-47.196796989859799</v>
      </c>
      <c r="I2522" s="9">
        <v>1488.67</v>
      </c>
      <c r="K2522" s="6">
        <v>5.05</v>
      </c>
      <c r="L2522" s="6">
        <v>30</v>
      </c>
      <c r="N2522" s="1">
        <f t="shared" si="297"/>
        <v>0</v>
      </c>
      <c r="O2522" s="6" t="s">
        <v>20</v>
      </c>
      <c r="Q2522" s="6" t="s">
        <v>21</v>
      </c>
      <c r="R2522" s="6" t="s">
        <v>21</v>
      </c>
      <c r="S2522" s="6" t="s">
        <v>21</v>
      </c>
      <c r="T2522" s="6" t="s">
        <v>21</v>
      </c>
      <c r="U2522" s="6">
        <f t="shared" si="299"/>
        <v>446.601</v>
      </c>
      <c r="V2522" s="6">
        <f t="shared" si="303"/>
        <v>446.601</v>
      </c>
    </row>
    <row r="2523" spans="1:22" x14ac:dyDescent="0.35">
      <c r="A2523" s="6" t="s">
        <v>2767</v>
      </c>
      <c r="B2523" s="6" t="s">
        <v>2750</v>
      </c>
      <c r="C2523" s="6" t="s">
        <v>2751</v>
      </c>
      <c r="D2523" s="6">
        <f t="shared" si="302"/>
        <v>0.5</v>
      </c>
      <c r="E2523" s="6" t="s">
        <v>19</v>
      </c>
      <c r="F2523" s="6" t="str">
        <f>MID(A2523,19,1)</f>
        <v>N</v>
      </c>
      <c r="G2523" s="6">
        <v>-22.87233423000831</v>
      </c>
      <c r="H2523" s="6">
        <v>-47.257786086442273</v>
      </c>
      <c r="I2523" s="9">
        <v>1868.82</v>
      </c>
      <c r="K2523" s="6">
        <v>2.2200000000000002</v>
      </c>
      <c r="L2523" s="6">
        <v>70</v>
      </c>
      <c r="N2523" s="1">
        <f t="shared" si="297"/>
        <v>0</v>
      </c>
      <c r="O2523" s="6" t="s">
        <v>20</v>
      </c>
      <c r="Q2523" s="6" t="s">
        <v>21</v>
      </c>
      <c r="R2523" s="6" t="s">
        <v>21</v>
      </c>
      <c r="S2523" s="6" t="s">
        <v>21</v>
      </c>
      <c r="T2523" s="6" t="s">
        <v>21</v>
      </c>
      <c r="U2523" s="6">
        <f t="shared" si="299"/>
        <v>1308.174</v>
      </c>
      <c r="V2523" s="6">
        <f t="shared" si="303"/>
        <v>1308.174</v>
      </c>
    </row>
    <row r="2524" spans="1:22" x14ac:dyDescent="0.35">
      <c r="A2524" s="6" t="s">
        <v>2768</v>
      </c>
      <c r="B2524" s="6" t="s">
        <v>2750</v>
      </c>
      <c r="C2524" s="6" t="s">
        <v>2751</v>
      </c>
      <c r="D2524" s="6">
        <f t="shared" si="302"/>
        <v>0.5</v>
      </c>
      <c r="E2524" s="6" t="s">
        <v>19</v>
      </c>
      <c r="F2524" s="6" t="str">
        <f>MID(A2524,19,1)</f>
        <v>N</v>
      </c>
      <c r="G2524" s="6">
        <v>-22.817957509278209</v>
      </c>
      <c r="H2524" s="6">
        <v>-47.200971402083169</v>
      </c>
      <c r="I2524" s="9">
        <v>197.09</v>
      </c>
      <c r="K2524" s="6">
        <v>1.94</v>
      </c>
      <c r="L2524" s="6">
        <v>30</v>
      </c>
      <c r="N2524" s="1">
        <f t="shared" si="297"/>
        <v>0</v>
      </c>
      <c r="O2524" s="6" t="s">
        <v>20</v>
      </c>
      <c r="Q2524" s="6" t="s">
        <v>21</v>
      </c>
      <c r="R2524" s="6" t="s">
        <v>21</v>
      </c>
      <c r="S2524" s="6" t="s">
        <v>21</v>
      </c>
      <c r="T2524" s="6" t="s">
        <v>21</v>
      </c>
      <c r="U2524" s="6">
        <f t="shared" si="299"/>
        <v>59.126999999999995</v>
      </c>
      <c r="V2524" s="6">
        <f t="shared" si="303"/>
        <v>59.126999999999995</v>
      </c>
    </row>
    <row r="2525" spans="1:22" hidden="1" x14ac:dyDescent="0.35">
      <c r="A2525" s="6" t="s">
        <v>2769</v>
      </c>
      <c r="B2525" s="6" t="s">
        <v>2750</v>
      </c>
      <c r="C2525" s="6" t="s">
        <v>2751</v>
      </c>
      <c r="D2525" s="6">
        <f t="shared" si="302"/>
        <v>0.5</v>
      </c>
      <c r="E2525" s="6" t="s">
        <v>23</v>
      </c>
      <c r="F2525" s="6" t="str">
        <f>MID(A2525,19,1)</f>
        <v>C</v>
      </c>
      <c r="G2525" s="6">
        <v>-22.87253496217475</v>
      </c>
      <c r="H2525" s="6">
        <v>-47.257817793802012</v>
      </c>
      <c r="I2525" s="9">
        <v>5254.52</v>
      </c>
      <c r="J2525" s="9">
        <f>I2525/500</f>
        <v>10.509040000000001</v>
      </c>
      <c r="K2525" s="6">
        <v>2.31</v>
      </c>
      <c r="L2525" s="6">
        <v>80</v>
      </c>
      <c r="N2525" s="1">
        <f t="shared" si="297"/>
        <v>0</v>
      </c>
      <c r="O2525" s="6" t="s">
        <v>20</v>
      </c>
      <c r="Q2525" s="6" t="s">
        <v>21</v>
      </c>
      <c r="R2525" s="6" t="s">
        <v>21</v>
      </c>
      <c r="S2525" s="6" t="s">
        <v>21</v>
      </c>
      <c r="T2525" s="6" t="s">
        <v>21</v>
      </c>
      <c r="U2525" s="6">
        <f t="shared" si="299"/>
        <v>4203.6160000000009</v>
      </c>
      <c r="V2525" s="6">
        <f t="shared" si="303"/>
        <v>4203.6160000000009</v>
      </c>
    </row>
    <row r="2526" spans="1:22" x14ac:dyDescent="0.35">
      <c r="A2526" s="6" t="s">
        <v>2770</v>
      </c>
      <c r="B2526" s="6" t="s">
        <v>2750</v>
      </c>
      <c r="C2526" s="6" t="s">
        <v>2751</v>
      </c>
      <c r="D2526" s="6">
        <f t="shared" si="302"/>
        <v>0.5</v>
      </c>
      <c r="E2526" s="6" t="s">
        <v>19</v>
      </c>
      <c r="F2526" s="6" t="str">
        <f>MID(A2526,19,1)</f>
        <v>N</v>
      </c>
      <c r="G2526" s="6">
        <v>-22.817659939334071</v>
      </c>
      <c r="H2526" s="6">
        <v>-47.201788752632197</v>
      </c>
      <c r="I2526" s="9">
        <v>548.01</v>
      </c>
      <c r="K2526" s="6">
        <v>3.59</v>
      </c>
      <c r="L2526" s="6">
        <v>0</v>
      </c>
      <c r="N2526" s="1">
        <f t="shared" si="297"/>
        <v>0</v>
      </c>
      <c r="Q2526" s="6" t="s">
        <v>26</v>
      </c>
      <c r="R2526" s="6" t="s">
        <v>21</v>
      </c>
      <c r="S2526" s="6" t="s">
        <v>21</v>
      </c>
      <c r="T2526" s="6" t="s">
        <v>21</v>
      </c>
      <c r="U2526" s="6">
        <f t="shared" si="299"/>
        <v>0</v>
      </c>
    </row>
    <row r="2527" spans="1:22" hidden="1" x14ac:dyDescent="0.35">
      <c r="A2527" s="6" t="s">
        <v>2771</v>
      </c>
      <c r="B2527" s="6" t="s">
        <v>2750</v>
      </c>
      <c r="C2527" s="6" t="s">
        <v>2751</v>
      </c>
      <c r="D2527" s="6">
        <f t="shared" si="302"/>
        <v>0.5</v>
      </c>
      <c r="E2527" s="6" t="s">
        <v>19</v>
      </c>
      <c r="F2527" s="6" t="str">
        <f>MID(A2527,19,1)</f>
        <v>S</v>
      </c>
      <c r="G2527" s="6">
        <v>-22.872162035651058</v>
      </c>
      <c r="H2527" s="6">
        <v>-47.262296211858718</v>
      </c>
      <c r="I2527" s="9">
        <v>1930.1</v>
      </c>
      <c r="K2527" s="6">
        <v>4.74</v>
      </c>
      <c r="L2527" s="6">
        <v>70</v>
      </c>
      <c r="N2527" s="1">
        <f t="shared" si="297"/>
        <v>0</v>
      </c>
      <c r="O2527" s="6" t="s">
        <v>20</v>
      </c>
      <c r="Q2527" s="6" t="s">
        <v>21</v>
      </c>
      <c r="R2527" s="6" t="s">
        <v>21</v>
      </c>
      <c r="S2527" s="6" t="s">
        <v>21</v>
      </c>
      <c r="T2527" s="6" t="s">
        <v>21</v>
      </c>
      <c r="U2527" s="6">
        <f t="shared" si="299"/>
        <v>1351.07</v>
      </c>
      <c r="V2527" s="6">
        <f t="shared" ref="V2527:V2541" si="305">(I2527*(L2527/100))</f>
        <v>1351.07</v>
      </c>
    </row>
    <row r="2528" spans="1:22" hidden="1" x14ac:dyDescent="0.35">
      <c r="A2528" s="6" t="s">
        <v>2772</v>
      </c>
      <c r="B2528" s="6" t="s">
        <v>2750</v>
      </c>
      <c r="C2528" s="6" t="s">
        <v>2751</v>
      </c>
      <c r="D2528" s="6">
        <f t="shared" si="302"/>
        <v>0.5</v>
      </c>
      <c r="E2528" s="6" t="s">
        <v>19</v>
      </c>
      <c r="F2528" s="6" t="str">
        <f>MID(A2528,19,1)</f>
        <v>S</v>
      </c>
      <c r="G2528" s="6">
        <v>-22.872731019155371</v>
      </c>
      <c r="H2528" s="6">
        <v>-47.257860766101857</v>
      </c>
      <c r="I2528" s="9">
        <v>1771.92</v>
      </c>
      <c r="K2528" s="6">
        <v>2.0099999999999998</v>
      </c>
      <c r="L2528" s="6">
        <v>70</v>
      </c>
      <c r="N2528" s="1">
        <f t="shared" si="297"/>
        <v>0</v>
      </c>
      <c r="O2528" s="6" t="s">
        <v>20</v>
      </c>
      <c r="Q2528" s="6" t="s">
        <v>21</v>
      </c>
      <c r="R2528" s="6" t="s">
        <v>21</v>
      </c>
      <c r="S2528" s="6" t="s">
        <v>21</v>
      </c>
      <c r="T2528" s="6" t="s">
        <v>21</v>
      </c>
      <c r="U2528" s="6">
        <f t="shared" si="299"/>
        <v>1240.3440000000001</v>
      </c>
      <c r="V2528" s="6">
        <f t="shared" si="305"/>
        <v>1240.3440000000001</v>
      </c>
    </row>
    <row r="2529" spans="1:22" hidden="1" x14ac:dyDescent="0.35">
      <c r="A2529" s="6" t="s">
        <v>2773</v>
      </c>
      <c r="B2529" s="6" t="s">
        <v>2750</v>
      </c>
      <c r="C2529" s="6" t="s">
        <v>2751</v>
      </c>
      <c r="D2529" s="6">
        <f t="shared" si="302"/>
        <v>0.5</v>
      </c>
      <c r="E2529" s="6" t="s">
        <v>19</v>
      </c>
      <c r="F2529" s="6" t="str">
        <f>MID(A2529,19,1)</f>
        <v>S</v>
      </c>
      <c r="G2529" s="6">
        <v>-22.81688012642422</v>
      </c>
      <c r="H2529" s="6">
        <v>-47.204135513993222</v>
      </c>
      <c r="I2529" s="9">
        <v>1464.01</v>
      </c>
      <c r="K2529" s="6">
        <v>4.05</v>
      </c>
      <c r="L2529" s="6">
        <v>30</v>
      </c>
      <c r="N2529" s="1">
        <f t="shared" si="297"/>
        <v>0</v>
      </c>
      <c r="O2529" s="6" t="s">
        <v>20</v>
      </c>
      <c r="Q2529" s="6" t="s">
        <v>21</v>
      </c>
      <c r="R2529" s="6" t="s">
        <v>21</v>
      </c>
      <c r="S2529" s="6" t="s">
        <v>21</v>
      </c>
      <c r="T2529" s="6" t="s">
        <v>21</v>
      </c>
      <c r="U2529" s="6">
        <f t="shared" si="299"/>
        <v>439.20299999999997</v>
      </c>
      <c r="V2529" s="6">
        <f t="shared" si="305"/>
        <v>439.20299999999997</v>
      </c>
    </row>
    <row r="2530" spans="1:22" hidden="1" x14ac:dyDescent="0.35">
      <c r="A2530" s="6" t="s">
        <v>2774</v>
      </c>
      <c r="B2530" s="6" t="s">
        <v>2750</v>
      </c>
      <c r="C2530" s="6" t="s">
        <v>2751</v>
      </c>
      <c r="D2530" s="6">
        <f t="shared" si="302"/>
        <v>0.5</v>
      </c>
      <c r="E2530" s="6" t="s">
        <v>19</v>
      </c>
      <c r="F2530" s="6" t="str">
        <f>MID(A2530,19,1)</f>
        <v>S</v>
      </c>
      <c r="G2530" s="6">
        <v>-22.817600907292341</v>
      </c>
      <c r="H2530" s="6">
        <v>-47.20306646455569</v>
      </c>
      <c r="I2530" s="9">
        <v>206.71</v>
      </c>
      <c r="K2530" s="6">
        <v>3.31</v>
      </c>
      <c r="L2530" s="6">
        <v>30</v>
      </c>
      <c r="N2530" s="1">
        <f t="shared" si="297"/>
        <v>0</v>
      </c>
      <c r="O2530" s="6" t="s">
        <v>20</v>
      </c>
      <c r="Q2530" s="6" t="s">
        <v>21</v>
      </c>
      <c r="R2530" s="6" t="s">
        <v>21</v>
      </c>
      <c r="S2530" s="6" t="s">
        <v>21</v>
      </c>
      <c r="T2530" s="6" t="s">
        <v>21</v>
      </c>
      <c r="U2530" s="6">
        <f t="shared" si="299"/>
        <v>62.012999999999998</v>
      </c>
      <c r="V2530" s="6">
        <f t="shared" si="305"/>
        <v>62.012999999999998</v>
      </c>
    </row>
    <row r="2531" spans="1:22" hidden="1" x14ac:dyDescent="0.35">
      <c r="A2531" s="6" t="s">
        <v>2775</v>
      </c>
      <c r="B2531" s="6" t="s">
        <v>2750</v>
      </c>
      <c r="C2531" s="6" t="s">
        <v>2751</v>
      </c>
      <c r="D2531" s="6">
        <f t="shared" si="302"/>
        <v>0.5</v>
      </c>
      <c r="E2531" s="6" t="s">
        <v>19</v>
      </c>
      <c r="F2531" s="6" t="str">
        <f>MID(A2531,19,1)</f>
        <v>S</v>
      </c>
      <c r="G2531" s="6">
        <v>-22.820828677754388</v>
      </c>
      <c r="H2531" s="6">
        <v>-47.197594247425577</v>
      </c>
      <c r="I2531" s="9">
        <v>3006.57</v>
      </c>
      <c r="K2531" s="6">
        <v>4.37</v>
      </c>
      <c r="L2531" s="6">
        <v>55</v>
      </c>
      <c r="N2531" s="1">
        <f t="shared" si="297"/>
        <v>0</v>
      </c>
      <c r="O2531" s="6" t="s">
        <v>71</v>
      </c>
      <c r="Q2531" s="6" t="s">
        <v>21</v>
      </c>
      <c r="R2531" s="6" t="s">
        <v>21</v>
      </c>
      <c r="S2531" s="6" t="s">
        <v>21</v>
      </c>
      <c r="T2531" s="6" t="s">
        <v>21</v>
      </c>
      <c r="U2531" s="6">
        <f t="shared" si="299"/>
        <v>1653.6135000000002</v>
      </c>
      <c r="V2531" s="6">
        <f t="shared" si="305"/>
        <v>1653.6135000000002</v>
      </c>
    </row>
    <row r="2532" spans="1:22" hidden="1" x14ac:dyDescent="0.35">
      <c r="A2532" s="6" t="s">
        <v>2776</v>
      </c>
      <c r="B2532" s="6" t="s">
        <v>2750</v>
      </c>
      <c r="C2532" s="6" t="s">
        <v>2751</v>
      </c>
      <c r="D2532" s="6">
        <f t="shared" si="302"/>
        <v>0.5</v>
      </c>
      <c r="E2532" s="6" t="s">
        <v>19</v>
      </c>
      <c r="F2532" s="6" t="str">
        <f>MID(A2532,19,1)</f>
        <v>S</v>
      </c>
      <c r="G2532" s="6">
        <v>-22.818067168740871</v>
      </c>
      <c r="H2532" s="6">
        <v>-47.202206482303588</v>
      </c>
      <c r="I2532" s="9">
        <v>748.39</v>
      </c>
      <c r="K2532" s="6">
        <v>4.55</v>
      </c>
      <c r="L2532" s="6">
        <v>30</v>
      </c>
      <c r="N2532" s="1">
        <f t="shared" si="297"/>
        <v>0</v>
      </c>
      <c r="O2532" s="6" t="s">
        <v>20</v>
      </c>
      <c r="Q2532" s="6" t="s">
        <v>21</v>
      </c>
      <c r="R2532" s="6" t="s">
        <v>21</v>
      </c>
      <c r="S2532" s="6" t="s">
        <v>21</v>
      </c>
      <c r="T2532" s="6" t="s">
        <v>21</v>
      </c>
      <c r="U2532" s="6">
        <f t="shared" si="299"/>
        <v>224.517</v>
      </c>
      <c r="V2532" s="6">
        <f t="shared" si="305"/>
        <v>224.517</v>
      </c>
    </row>
    <row r="2533" spans="1:22" x14ac:dyDescent="0.35">
      <c r="A2533" s="6" t="s">
        <v>2777</v>
      </c>
      <c r="B2533" s="6" t="s">
        <v>2750</v>
      </c>
      <c r="C2533" s="6" t="s">
        <v>2751</v>
      </c>
      <c r="D2533" s="6">
        <f t="shared" si="302"/>
        <v>0.5</v>
      </c>
      <c r="E2533" s="6" t="s">
        <v>19</v>
      </c>
      <c r="F2533" s="6" t="str">
        <f>MID(A2533,19,1)</f>
        <v>N</v>
      </c>
      <c r="G2533" s="6">
        <v>-22.81632700099146</v>
      </c>
      <c r="H2533" s="6">
        <v>-47.203992060815096</v>
      </c>
      <c r="I2533" s="9">
        <v>940.15</v>
      </c>
      <c r="K2533" s="6">
        <v>2.27</v>
      </c>
      <c r="L2533" s="6">
        <v>30</v>
      </c>
      <c r="N2533" s="1">
        <f t="shared" si="297"/>
        <v>0</v>
      </c>
      <c r="O2533" s="6" t="s">
        <v>20</v>
      </c>
      <c r="Q2533" s="6" t="s">
        <v>21</v>
      </c>
      <c r="R2533" s="6" t="s">
        <v>21</v>
      </c>
      <c r="S2533" s="6" t="s">
        <v>21</v>
      </c>
      <c r="T2533" s="6" t="s">
        <v>21</v>
      </c>
      <c r="U2533" s="6">
        <f t="shared" si="299"/>
        <v>282.04499999999996</v>
      </c>
      <c r="V2533" s="6">
        <f t="shared" si="305"/>
        <v>282.04499999999996</v>
      </c>
    </row>
    <row r="2534" spans="1:22" x14ac:dyDescent="0.35">
      <c r="A2534" s="6" t="s">
        <v>2778</v>
      </c>
      <c r="B2534" s="6" t="s">
        <v>2750</v>
      </c>
      <c r="C2534" s="6" t="s">
        <v>2751</v>
      </c>
      <c r="D2534" s="6">
        <f t="shared" si="302"/>
        <v>0.5</v>
      </c>
      <c r="E2534" s="6" t="s">
        <v>19</v>
      </c>
      <c r="F2534" s="6" t="str">
        <f>MID(A2534,19,1)</f>
        <v>N</v>
      </c>
      <c r="G2534" s="6">
        <v>-22.817432083222641</v>
      </c>
      <c r="H2534" s="6">
        <v>-47.201925935295122</v>
      </c>
      <c r="I2534" s="9">
        <v>883.75</v>
      </c>
      <c r="K2534" s="6">
        <v>3.27</v>
      </c>
      <c r="L2534" s="6">
        <v>30</v>
      </c>
      <c r="N2534" s="1">
        <f t="shared" si="297"/>
        <v>0</v>
      </c>
      <c r="O2534" s="6" t="s">
        <v>20</v>
      </c>
      <c r="Q2534" s="6" t="s">
        <v>21</v>
      </c>
      <c r="R2534" s="6" t="s">
        <v>21</v>
      </c>
      <c r="S2534" s="6" t="s">
        <v>21</v>
      </c>
      <c r="T2534" s="6" t="s">
        <v>21</v>
      </c>
      <c r="U2534" s="6">
        <f t="shared" si="299"/>
        <v>265.125</v>
      </c>
      <c r="V2534" s="6">
        <f t="shared" si="305"/>
        <v>265.125</v>
      </c>
    </row>
    <row r="2535" spans="1:22" x14ac:dyDescent="0.35">
      <c r="A2535" s="6" t="s">
        <v>2779</v>
      </c>
      <c r="B2535" s="6" t="s">
        <v>2750</v>
      </c>
      <c r="C2535" s="6" t="s">
        <v>2751</v>
      </c>
      <c r="D2535" s="6">
        <f t="shared" si="302"/>
        <v>0.5</v>
      </c>
      <c r="E2535" s="6" t="s">
        <v>19</v>
      </c>
      <c r="F2535" s="6" t="str">
        <f>MID(A2535,19,1)</f>
        <v>N</v>
      </c>
      <c r="G2535" s="6">
        <v>-22.818717159668989</v>
      </c>
      <c r="H2535" s="6">
        <v>-47.199302580196829</v>
      </c>
      <c r="I2535" s="9">
        <v>2393.25</v>
      </c>
      <c r="K2535" s="6">
        <v>3.58</v>
      </c>
      <c r="L2535" s="6">
        <v>30</v>
      </c>
      <c r="N2535" s="1">
        <f t="shared" si="297"/>
        <v>0</v>
      </c>
      <c r="O2535" s="6" t="s">
        <v>20</v>
      </c>
      <c r="Q2535" s="6" t="s">
        <v>21</v>
      </c>
      <c r="R2535" s="6" t="s">
        <v>21</v>
      </c>
      <c r="S2535" s="6" t="s">
        <v>21</v>
      </c>
      <c r="T2535" s="6" t="s">
        <v>21</v>
      </c>
      <c r="U2535" s="6">
        <f t="shared" si="299"/>
        <v>717.97500000000002</v>
      </c>
      <c r="V2535" s="6">
        <f t="shared" si="305"/>
        <v>717.97500000000002</v>
      </c>
    </row>
    <row r="2536" spans="1:22" x14ac:dyDescent="0.35">
      <c r="A2536" s="6" t="s">
        <v>2780</v>
      </c>
      <c r="B2536" s="6" t="s">
        <v>2750</v>
      </c>
      <c r="C2536" s="6" t="s">
        <v>2751</v>
      </c>
      <c r="D2536" s="6">
        <f t="shared" si="302"/>
        <v>0.5</v>
      </c>
      <c r="E2536" s="6" t="s">
        <v>19</v>
      </c>
      <c r="F2536" s="6" t="str">
        <f>MID(A2536,19,1)</f>
        <v>N</v>
      </c>
      <c r="G2536" s="6">
        <v>-22.818844894269489</v>
      </c>
      <c r="H2536" s="6">
        <v>-47.199488993311419</v>
      </c>
      <c r="I2536" s="9">
        <v>2658.9</v>
      </c>
      <c r="K2536" s="6">
        <v>3.19</v>
      </c>
      <c r="L2536" s="6">
        <v>30</v>
      </c>
      <c r="N2536" s="1">
        <f t="shared" si="297"/>
        <v>0</v>
      </c>
      <c r="O2536" s="6" t="s">
        <v>20</v>
      </c>
      <c r="Q2536" s="6" t="s">
        <v>21</v>
      </c>
      <c r="R2536" s="6" t="s">
        <v>21</v>
      </c>
      <c r="S2536" s="6" t="s">
        <v>21</v>
      </c>
      <c r="T2536" s="6" t="s">
        <v>21</v>
      </c>
      <c r="U2536" s="6">
        <f t="shared" si="299"/>
        <v>797.67</v>
      </c>
      <c r="V2536" s="6">
        <f t="shared" si="305"/>
        <v>797.67</v>
      </c>
    </row>
    <row r="2537" spans="1:22" x14ac:dyDescent="0.35">
      <c r="A2537" s="6" t="s">
        <v>2781</v>
      </c>
      <c r="B2537" s="6" t="s">
        <v>2750</v>
      </c>
      <c r="C2537" s="6" t="s">
        <v>2751</v>
      </c>
      <c r="D2537" s="6">
        <f t="shared" si="302"/>
        <v>0.5</v>
      </c>
      <c r="E2537" s="6" t="s">
        <v>19</v>
      </c>
      <c r="F2537" s="6" t="str">
        <f>MID(A2537,19,1)</f>
        <v>N</v>
      </c>
      <c r="G2537" s="6">
        <v>-22.871741519502951</v>
      </c>
      <c r="H2537" s="6">
        <v>-47.2623354219619</v>
      </c>
      <c r="I2537" s="9">
        <v>1926.76</v>
      </c>
      <c r="K2537" s="6">
        <v>4.07</v>
      </c>
      <c r="L2537" s="6">
        <v>70</v>
      </c>
      <c r="N2537" s="1">
        <f t="shared" si="297"/>
        <v>0</v>
      </c>
      <c r="O2537" s="6" t="s">
        <v>20</v>
      </c>
      <c r="Q2537" s="6" t="s">
        <v>21</v>
      </c>
      <c r="R2537" s="6" t="s">
        <v>21</v>
      </c>
      <c r="S2537" s="6" t="s">
        <v>21</v>
      </c>
      <c r="T2537" s="6" t="s">
        <v>21</v>
      </c>
      <c r="U2537" s="6">
        <f t="shared" si="299"/>
        <v>1348.732</v>
      </c>
      <c r="V2537" s="6">
        <f t="shared" si="305"/>
        <v>1348.732</v>
      </c>
    </row>
    <row r="2538" spans="1:22" hidden="1" x14ac:dyDescent="0.35">
      <c r="A2538" s="6" t="s">
        <v>2782</v>
      </c>
      <c r="B2538" s="6" t="s">
        <v>2783</v>
      </c>
      <c r="C2538" s="6" t="s">
        <v>2784</v>
      </c>
      <c r="D2538" s="6">
        <f t="shared" si="302"/>
        <v>0.5</v>
      </c>
      <c r="E2538" s="6" t="s">
        <v>23</v>
      </c>
      <c r="F2538" s="6" t="str">
        <f>MID(A2538,19,1)</f>
        <v>C</v>
      </c>
      <c r="G2538" s="6">
        <v>-22.871400384699591</v>
      </c>
      <c r="H2538" s="6">
        <v>-47.271873060226667</v>
      </c>
      <c r="I2538" s="9">
        <v>7177.5</v>
      </c>
      <c r="J2538" s="9">
        <f>I2538/500</f>
        <v>14.355</v>
      </c>
      <c r="K2538" s="6">
        <v>3.43</v>
      </c>
      <c r="L2538" s="6">
        <v>80</v>
      </c>
      <c r="N2538" s="1">
        <f t="shared" si="297"/>
        <v>0</v>
      </c>
      <c r="O2538" s="6" t="s">
        <v>20</v>
      </c>
      <c r="Q2538" s="6" t="s">
        <v>21</v>
      </c>
      <c r="R2538" s="6" t="s">
        <v>21</v>
      </c>
      <c r="S2538" s="6" t="s">
        <v>21</v>
      </c>
      <c r="T2538" s="6" t="s">
        <v>21</v>
      </c>
      <c r="U2538" s="6">
        <f t="shared" si="299"/>
        <v>5742</v>
      </c>
      <c r="V2538" s="6">
        <f t="shared" si="305"/>
        <v>5742</v>
      </c>
    </row>
    <row r="2539" spans="1:22" hidden="1" x14ac:dyDescent="0.35">
      <c r="A2539" s="6" t="s">
        <v>2785</v>
      </c>
      <c r="B2539" s="6" t="s">
        <v>2783</v>
      </c>
      <c r="C2539" s="6" t="s">
        <v>2784</v>
      </c>
      <c r="D2539" s="6">
        <f t="shared" si="302"/>
        <v>0.5</v>
      </c>
      <c r="E2539" s="6" t="s">
        <v>19</v>
      </c>
      <c r="F2539" s="6" t="str">
        <f>MID(A2539,19,1)</f>
        <v>S</v>
      </c>
      <c r="G2539" s="6">
        <v>-22.81438257247855</v>
      </c>
      <c r="H2539" s="6">
        <v>-47.209028063601977</v>
      </c>
      <c r="I2539" s="9">
        <v>279.60000000000002</v>
      </c>
      <c r="K2539" s="6">
        <v>5.39</v>
      </c>
      <c r="L2539" s="6">
        <v>30</v>
      </c>
      <c r="N2539" s="1">
        <f t="shared" si="297"/>
        <v>0</v>
      </c>
      <c r="O2539" s="6" t="s">
        <v>20</v>
      </c>
      <c r="Q2539" s="6" t="s">
        <v>21</v>
      </c>
      <c r="R2539" s="6" t="s">
        <v>21</v>
      </c>
      <c r="S2539" s="6" t="s">
        <v>21</v>
      </c>
      <c r="T2539" s="6" t="s">
        <v>21</v>
      </c>
      <c r="U2539" s="6">
        <f t="shared" si="299"/>
        <v>83.88000000000001</v>
      </c>
      <c r="V2539" s="6">
        <f t="shared" si="305"/>
        <v>83.88000000000001</v>
      </c>
    </row>
    <row r="2540" spans="1:22" hidden="1" x14ac:dyDescent="0.35">
      <c r="A2540" s="6" t="s">
        <v>2786</v>
      </c>
      <c r="B2540" s="6" t="s">
        <v>2783</v>
      </c>
      <c r="C2540" s="6" t="s">
        <v>2784</v>
      </c>
      <c r="D2540" s="6">
        <f t="shared" si="302"/>
        <v>0.5</v>
      </c>
      <c r="E2540" s="6" t="s">
        <v>19</v>
      </c>
      <c r="F2540" s="6" t="str">
        <f>MID(A2540,19,1)</f>
        <v>S</v>
      </c>
      <c r="G2540" s="6">
        <v>-22.815268924645771</v>
      </c>
      <c r="H2540" s="6">
        <v>-47.207071441689919</v>
      </c>
      <c r="I2540" s="9">
        <v>2136.11</v>
      </c>
      <c r="K2540" s="6">
        <v>4.53</v>
      </c>
      <c r="L2540" s="6">
        <v>30</v>
      </c>
      <c r="N2540" s="1">
        <f t="shared" si="297"/>
        <v>0</v>
      </c>
      <c r="O2540" s="6" t="s">
        <v>20</v>
      </c>
      <c r="Q2540" s="6" t="s">
        <v>21</v>
      </c>
      <c r="R2540" s="6" t="s">
        <v>21</v>
      </c>
      <c r="S2540" s="6" t="s">
        <v>21</v>
      </c>
      <c r="T2540" s="6" t="s">
        <v>21</v>
      </c>
      <c r="U2540" s="6">
        <f t="shared" si="299"/>
        <v>640.83299999999997</v>
      </c>
      <c r="V2540" s="6">
        <f t="shared" si="305"/>
        <v>640.83299999999997</v>
      </c>
    </row>
    <row r="2541" spans="1:22" x14ac:dyDescent="0.35">
      <c r="A2541" s="6" t="s">
        <v>2787</v>
      </c>
      <c r="B2541" s="6" t="s">
        <v>2783</v>
      </c>
      <c r="C2541" s="6" t="s">
        <v>2784</v>
      </c>
      <c r="D2541" s="6">
        <f t="shared" si="302"/>
        <v>0.5</v>
      </c>
      <c r="E2541" s="6" t="s">
        <v>19</v>
      </c>
      <c r="F2541" s="6" t="str">
        <f>MID(A2541,19,1)</f>
        <v>N</v>
      </c>
      <c r="G2541" s="6">
        <v>-22.811215165541729</v>
      </c>
      <c r="H2541" s="6">
        <v>-47.211705573419643</v>
      </c>
      <c r="I2541" s="9">
        <v>817.04</v>
      </c>
      <c r="K2541" s="6">
        <v>4.84</v>
      </c>
      <c r="L2541" s="6">
        <v>30</v>
      </c>
      <c r="N2541" s="1">
        <f t="shared" si="297"/>
        <v>0</v>
      </c>
      <c r="O2541" s="6" t="s">
        <v>20</v>
      </c>
      <c r="Q2541" s="6" t="s">
        <v>21</v>
      </c>
      <c r="R2541" s="6" t="s">
        <v>21</v>
      </c>
      <c r="S2541" s="6" t="s">
        <v>21</v>
      </c>
      <c r="T2541" s="6" t="s">
        <v>21</v>
      </c>
      <c r="U2541" s="6">
        <f t="shared" si="299"/>
        <v>245.11199999999997</v>
      </c>
      <c r="V2541" s="6">
        <f t="shared" si="305"/>
        <v>245.11199999999997</v>
      </c>
    </row>
    <row r="2542" spans="1:22" hidden="1" x14ac:dyDescent="0.35">
      <c r="A2542" s="6" t="s">
        <v>2788</v>
      </c>
      <c r="B2542" s="6" t="s">
        <v>2783</v>
      </c>
      <c r="C2542" s="6" t="s">
        <v>2784</v>
      </c>
      <c r="D2542" s="6">
        <f t="shared" si="302"/>
        <v>0.5</v>
      </c>
      <c r="E2542" s="6" t="s">
        <v>19</v>
      </c>
      <c r="F2542" s="6" t="str">
        <f>MID(A2542,19,1)</f>
        <v>S</v>
      </c>
      <c r="G2542" s="6">
        <v>-22.814003692258741</v>
      </c>
      <c r="H2542" s="6">
        <v>-47.209612633914233</v>
      </c>
      <c r="I2542" s="9">
        <v>403.56</v>
      </c>
      <c r="K2542" s="6">
        <v>4.88</v>
      </c>
      <c r="L2542" s="6">
        <v>0</v>
      </c>
      <c r="N2542" s="1">
        <f t="shared" si="297"/>
        <v>0</v>
      </c>
      <c r="Q2542" s="6" t="s">
        <v>26</v>
      </c>
      <c r="R2542" s="6" t="s">
        <v>21</v>
      </c>
      <c r="S2542" s="6" t="s">
        <v>21</v>
      </c>
      <c r="T2542" s="6" t="s">
        <v>21</v>
      </c>
      <c r="U2542" s="6">
        <f t="shared" si="299"/>
        <v>0</v>
      </c>
    </row>
    <row r="2543" spans="1:22" hidden="1" x14ac:dyDescent="0.35">
      <c r="A2543" s="6" t="s">
        <v>2789</v>
      </c>
      <c r="B2543" s="6" t="s">
        <v>2783</v>
      </c>
      <c r="C2543" s="6" t="s">
        <v>2784</v>
      </c>
      <c r="D2543" s="6">
        <f t="shared" si="302"/>
        <v>0.5</v>
      </c>
      <c r="E2543" s="6" t="s">
        <v>19</v>
      </c>
      <c r="F2543" s="6" t="str">
        <f>MID(A2543,19,1)</f>
        <v>S</v>
      </c>
      <c r="G2543" s="6">
        <v>-22.814661992435639</v>
      </c>
      <c r="H2543" s="6">
        <v>-47.208638006520253</v>
      </c>
      <c r="I2543" s="9">
        <v>223.58</v>
      </c>
      <c r="K2543" s="6">
        <v>4.84</v>
      </c>
      <c r="L2543" s="6">
        <v>30</v>
      </c>
      <c r="N2543" s="1">
        <f t="shared" si="297"/>
        <v>0</v>
      </c>
      <c r="O2543" s="6" t="s">
        <v>20</v>
      </c>
      <c r="Q2543" s="6" t="s">
        <v>21</v>
      </c>
      <c r="R2543" s="6" t="s">
        <v>21</v>
      </c>
      <c r="S2543" s="6" t="s">
        <v>21</v>
      </c>
      <c r="T2543" s="6" t="s">
        <v>21</v>
      </c>
      <c r="U2543" s="6">
        <f t="shared" si="299"/>
        <v>67.073999999999998</v>
      </c>
      <c r="V2543" s="6">
        <f t="shared" ref="V2543:V2545" si="306">(I2543*(L2543/100))</f>
        <v>67.073999999999998</v>
      </c>
    </row>
    <row r="2544" spans="1:22" x14ac:dyDescent="0.35">
      <c r="A2544" s="6" t="s">
        <v>2790</v>
      </c>
      <c r="B2544" s="6" t="s">
        <v>2783</v>
      </c>
      <c r="C2544" s="6" t="s">
        <v>2784</v>
      </c>
      <c r="D2544" s="6">
        <f t="shared" si="302"/>
        <v>0.5</v>
      </c>
      <c r="E2544" s="6" t="s">
        <v>19</v>
      </c>
      <c r="F2544" s="6" t="str">
        <f>MID(A2544,19,1)</f>
        <v>N</v>
      </c>
      <c r="G2544" s="6">
        <v>-22.812784517642271</v>
      </c>
      <c r="H2544" s="6">
        <v>-47.209689709305437</v>
      </c>
      <c r="I2544" s="9">
        <v>108.46</v>
      </c>
      <c r="K2544" s="6">
        <v>5.89</v>
      </c>
      <c r="L2544" s="6">
        <v>30</v>
      </c>
      <c r="N2544" s="1">
        <f t="shared" si="297"/>
        <v>0</v>
      </c>
      <c r="O2544" s="6" t="s">
        <v>20</v>
      </c>
      <c r="Q2544" s="6" t="s">
        <v>21</v>
      </c>
      <c r="R2544" s="6" t="s">
        <v>21</v>
      </c>
      <c r="S2544" s="6" t="s">
        <v>21</v>
      </c>
      <c r="T2544" s="6" t="s">
        <v>21</v>
      </c>
      <c r="U2544" s="6">
        <f t="shared" si="299"/>
        <v>32.537999999999997</v>
      </c>
      <c r="V2544" s="6">
        <f t="shared" si="306"/>
        <v>32.537999999999997</v>
      </c>
    </row>
    <row r="2545" spans="1:22" hidden="1" x14ac:dyDescent="0.35">
      <c r="A2545" s="6" t="s">
        <v>2791</v>
      </c>
      <c r="B2545" s="6" t="s">
        <v>2783</v>
      </c>
      <c r="C2545" s="6" t="s">
        <v>2784</v>
      </c>
      <c r="D2545" s="6">
        <f t="shared" si="302"/>
        <v>0.5</v>
      </c>
      <c r="E2545" s="6" t="s">
        <v>19</v>
      </c>
      <c r="F2545" s="6" t="str">
        <f>MID(A2545,19,1)</f>
        <v>S</v>
      </c>
      <c r="G2545" s="6">
        <v>-22.814807994259471</v>
      </c>
      <c r="H2545" s="6">
        <v>-47.208414591484789</v>
      </c>
      <c r="I2545" s="9">
        <v>194.9</v>
      </c>
      <c r="K2545" s="6">
        <v>4.28</v>
      </c>
      <c r="L2545" s="6">
        <v>30</v>
      </c>
      <c r="N2545" s="1">
        <f t="shared" si="297"/>
        <v>0</v>
      </c>
      <c r="O2545" s="6" t="s">
        <v>20</v>
      </c>
      <c r="Q2545" s="6" t="s">
        <v>21</v>
      </c>
      <c r="R2545" s="6" t="s">
        <v>21</v>
      </c>
      <c r="S2545" s="6" t="s">
        <v>21</v>
      </c>
      <c r="T2545" s="6" t="s">
        <v>21</v>
      </c>
      <c r="U2545" s="6">
        <f t="shared" si="299"/>
        <v>58.47</v>
      </c>
      <c r="V2545" s="6">
        <f t="shared" si="306"/>
        <v>58.47</v>
      </c>
    </row>
    <row r="2546" spans="1:22" x14ac:dyDescent="0.35">
      <c r="A2546" s="6" t="s">
        <v>2792</v>
      </c>
      <c r="B2546" s="6" t="s">
        <v>2783</v>
      </c>
      <c r="C2546" s="6" t="s">
        <v>2784</v>
      </c>
      <c r="D2546" s="6">
        <f t="shared" si="302"/>
        <v>0.5</v>
      </c>
      <c r="E2546" s="6" t="s">
        <v>19</v>
      </c>
      <c r="F2546" s="6" t="str">
        <f>MID(A2546,19,1)</f>
        <v>N</v>
      </c>
      <c r="G2546" s="6">
        <v>-22.81475919846692</v>
      </c>
      <c r="H2546" s="6">
        <v>-47.207069320725033</v>
      </c>
      <c r="I2546" s="9">
        <v>2120.5300000000002</v>
      </c>
      <c r="K2546" s="6">
        <v>4.08</v>
      </c>
      <c r="L2546" s="6">
        <v>0</v>
      </c>
      <c r="N2546" s="1">
        <f t="shared" si="297"/>
        <v>0</v>
      </c>
      <c r="Q2546" s="6" t="s">
        <v>26</v>
      </c>
      <c r="R2546" s="6" t="s">
        <v>21</v>
      </c>
      <c r="S2546" s="6" t="s">
        <v>21</v>
      </c>
      <c r="T2546" s="6" t="s">
        <v>21</v>
      </c>
      <c r="U2546" s="6">
        <f t="shared" si="299"/>
        <v>0</v>
      </c>
    </row>
    <row r="2547" spans="1:22" x14ac:dyDescent="0.35">
      <c r="A2547" s="6" t="s">
        <v>2793</v>
      </c>
      <c r="B2547" s="6" t="s">
        <v>2783</v>
      </c>
      <c r="C2547" s="6" t="s">
        <v>2784</v>
      </c>
      <c r="D2547" s="6">
        <f t="shared" si="302"/>
        <v>0.5</v>
      </c>
      <c r="E2547" s="6" t="s">
        <v>19</v>
      </c>
      <c r="F2547" s="6" t="str">
        <f>MID(A2547,19,1)</f>
        <v>N</v>
      </c>
      <c r="G2547" s="6">
        <v>-22.814808875241312</v>
      </c>
      <c r="H2547" s="6">
        <v>-47.206705012086879</v>
      </c>
      <c r="I2547" s="9">
        <v>162.01</v>
      </c>
      <c r="K2547" s="6">
        <v>4.54</v>
      </c>
      <c r="L2547" s="6">
        <v>30</v>
      </c>
      <c r="N2547" s="1">
        <f t="shared" si="297"/>
        <v>0</v>
      </c>
      <c r="O2547" s="6" t="s">
        <v>20</v>
      </c>
      <c r="Q2547" s="6" t="s">
        <v>21</v>
      </c>
      <c r="R2547" s="6" t="s">
        <v>21</v>
      </c>
      <c r="S2547" s="6" t="s">
        <v>21</v>
      </c>
      <c r="T2547" s="6" t="s">
        <v>21</v>
      </c>
      <c r="U2547" s="6">
        <f t="shared" si="299"/>
        <v>48.602999999999994</v>
      </c>
      <c r="V2547" s="6">
        <f t="shared" ref="V2547:V2554" si="307">(I2547*(L2547/100))</f>
        <v>48.602999999999994</v>
      </c>
    </row>
    <row r="2548" spans="1:22" hidden="1" x14ac:dyDescent="0.35">
      <c r="A2548" s="6" t="s">
        <v>2794</v>
      </c>
      <c r="B2548" s="6" t="s">
        <v>2783</v>
      </c>
      <c r="C2548" s="6" t="s">
        <v>2784</v>
      </c>
      <c r="D2548" s="6">
        <f t="shared" si="302"/>
        <v>0.5</v>
      </c>
      <c r="E2548" s="6" t="s">
        <v>19</v>
      </c>
      <c r="F2548" s="6" t="str">
        <f>MID(A2548,19,1)</f>
        <v>S</v>
      </c>
      <c r="G2548" s="6">
        <v>-22.815285446944319</v>
      </c>
      <c r="H2548" s="6">
        <v>-47.207546334505963</v>
      </c>
      <c r="I2548" s="9">
        <v>756.59</v>
      </c>
      <c r="K2548" s="6">
        <v>3.35</v>
      </c>
      <c r="L2548" s="6">
        <v>30</v>
      </c>
      <c r="N2548" s="1">
        <f t="shared" si="297"/>
        <v>0</v>
      </c>
      <c r="O2548" s="6" t="s">
        <v>20</v>
      </c>
      <c r="Q2548" s="6" t="s">
        <v>21</v>
      </c>
      <c r="R2548" s="6" t="s">
        <v>21</v>
      </c>
      <c r="S2548" s="6" t="s">
        <v>21</v>
      </c>
      <c r="T2548" s="6" t="s">
        <v>21</v>
      </c>
      <c r="U2548" s="6">
        <f t="shared" si="299"/>
        <v>226.977</v>
      </c>
      <c r="V2548" s="6">
        <f t="shared" si="307"/>
        <v>226.977</v>
      </c>
    </row>
    <row r="2549" spans="1:22" hidden="1" x14ac:dyDescent="0.35">
      <c r="A2549" s="6" t="s">
        <v>2795</v>
      </c>
      <c r="B2549" s="6" t="s">
        <v>2783</v>
      </c>
      <c r="C2549" s="6" t="s">
        <v>2784</v>
      </c>
      <c r="D2549" s="6">
        <f t="shared" si="302"/>
        <v>0.5</v>
      </c>
      <c r="E2549" s="6" t="s">
        <v>19</v>
      </c>
      <c r="F2549" s="6" t="str">
        <f>MID(A2549,19,1)</f>
        <v>S</v>
      </c>
      <c r="G2549" s="6">
        <v>-22.812478416349869</v>
      </c>
      <c r="H2549" s="6">
        <v>-47.21151020709133</v>
      </c>
      <c r="I2549" s="9">
        <v>1593.97</v>
      </c>
      <c r="K2549" s="6">
        <v>2.77</v>
      </c>
      <c r="L2549" s="6">
        <v>30</v>
      </c>
      <c r="N2549" s="1">
        <f t="shared" si="297"/>
        <v>0</v>
      </c>
      <c r="O2549" s="6" t="s">
        <v>20</v>
      </c>
      <c r="Q2549" s="6" t="s">
        <v>21</v>
      </c>
      <c r="R2549" s="6" t="s">
        <v>21</v>
      </c>
      <c r="S2549" s="6" t="s">
        <v>21</v>
      </c>
      <c r="T2549" s="6" t="s">
        <v>21</v>
      </c>
      <c r="U2549" s="6">
        <f t="shared" si="299"/>
        <v>478.19099999999997</v>
      </c>
      <c r="V2549" s="6">
        <f t="shared" si="307"/>
        <v>478.19099999999997</v>
      </c>
    </row>
    <row r="2550" spans="1:22" hidden="1" x14ac:dyDescent="0.35">
      <c r="A2550" s="6" t="s">
        <v>2796</v>
      </c>
      <c r="B2550" s="6" t="s">
        <v>2783</v>
      </c>
      <c r="C2550" s="6" t="s">
        <v>2784</v>
      </c>
      <c r="D2550" s="6">
        <f t="shared" si="302"/>
        <v>0.5</v>
      </c>
      <c r="E2550" s="6" t="s">
        <v>19</v>
      </c>
      <c r="F2550" s="6" t="str">
        <f>MID(A2550,19,1)</f>
        <v>S</v>
      </c>
      <c r="G2550" s="6">
        <v>-22.815846515230081</v>
      </c>
      <c r="H2550" s="6">
        <v>-47.206651066200934</v>
      </c>
      <c r="I2550" s="9">
        <v>73.13</v>
      </c>
      <c r="K2550" s="6">
        <v>4.3600000000000003</v>
      </c>
      <c r="L2550" s="6">
        <v>30</v>
      </c>
      <c r="N2550" s="1">
        <f t="shared" si="297"/>
        <v>0</v>
      </c>
      <c r="O2550" s="6" t="s">
        <v>20</v>
      </c>
      <c r="Q2550" s="6" t="s">
        <v>21</v>
      </c>
      <c r="R2550" s="6" t="s">
        <v>21</v>
      </c>
      <c r="S2550" s="6" t="s">
        <v>21</v>
      </c>
      <c r="T2550" s="6" t="s">
        <v>21</v>
      </c>
      <c r="U2550" s="6">
        <f t="shared" si="299"/>
        <v>21.938999999999997</v>
      </c>
      <c r="V2550" s="6">
        <f t="shared" si="307"/>
        <v>21.938999999999997</v>
      </c>
    </row>
    <row r="2551" spans="1:22" hidden="1" x14ac:dyDescent="0.35">
      <c r="A2551" s="6" t="s">
        <v>2797</v>
      </c>
      <c r="B2551" s="6" t="s">
        <v>2783</v>
      </c>
      <c r="C2551" s="6" t="s">
        <v>2784</v>
      </c>
      <c r="D2551" s="6">
        <f t="shared" si="302"/>
        <v>0.5</v>
      </c>
      <c r="E2551" s="6" t="s">
        <v>23</v>
      </c>
      <c r="F2551" s="6" t="str">
        <f>MID(A2551,19,1)</f>
        <v>C</v>
      </c>
      <c r="G2551" s="6">
        <v>-22.87175974329725</v>
      </c>
      <c r="H2551" s="6">
        <v>-47.267736882465847</v>
      </c>
      <c r="I2551" s="9">
        <v>2804.43</v>
      </c>
      <c r="J2551" s="9">
        <f t="shared" ref="J2551:J2552" si="308">I2551/500</f>
        <v>5.60886</v>
      </c>
      <c r="K2551" s="6">
        <v>3.64</v>
      </c>
      <c r="L2551" s="6">
        <v>80</v>
      </c>
      <c r="N2551" s="1">
        <f t="shared" si="297"/>
        <v>0</v>
      </c>
      <c r="O2551" s="6" t="s">
        <v>20</v>
      </c>
      <c r="Q2551" s="6" t="s">
        <v>21</v>
      </c>
      <c r="R2551" s="6" t="s">
        <v>21</v>
      </c>
      <c r="S2551" s="6" t="s">
        <v>21</v>
      </c>
      <c r="T2551" s="6" t="s">
        <v>21</v>
      </c>
      <c r="U2551" s="6">
        <f t="shared" si="299"/>
        <v>2243.5439999999999</v>
      </c>
      <c r="V2551" s="6">
        <f t="shared" si="307"/>
        <v>2243.5439999999999</v>
      </c>
    </row>
    <row r="2552" spans="1:22" hidden="1" x14ac:dyDescent="0.35">
      <c r="A2552" s="6" t="s">
        <v>2798</v>
      </c>
      <c r="B2552" s="6" t="s">
        <v>2783</v>
      </c>
      <c r="C2552" s="6" t="s">
        <v>2784</v>
      </c>
      <c r="D2552" s="6">
        <f t="shared" si="302"/>
        <v>0.5</v>
      </c>
      <c r="E2552" s="6" t="s">
        <v>23</v>
      </c>
      <c r="F2552" s="6" t="str">
        <f>MID(A2552,19,1)</f>
        <v>C</v>
      </c>
      <c r="G2552" s="6">
        <v>-22.812480118495021</v>
      </c>
      <c r="H2552" s="6">
        <v>-47.210740343964652</v>
      </c>
      <c r="I2552" s="9">
        <v>5461.31</v>
      </c>
      <c r="J2552" s="9">
        <f t="shared" si="308"/>
        <v>10.92262</v>
      </c>
      <c r="K2552" s="6">
        <v>3.89</v>
      </c>
      <c r="L2552" s="6">
        <v>50</v>
      </c>
      <c r="N2552" s="1">
        <f t="shared" si="297"/>
        <v>0</v>
      </c>
      <c r="O2552" s="6" t="s">
        <v>20</v>
      </c>
      <c r="Q2552" s="6" t="s">
        <v>21</v>
      </c>
      <c r="R2552" s="6" t="s">
        <v>21</v>
      </c>
      <c r="S2552" s="6" t="s">
        <v>21</v>
      </c>
      <c r="T2552" s="6" t="s">
        <v>21</v>
      </c>
      <c r="U2552" s="6">
        <f t="shared" si="299"/>
        <v>2730.6550000000002</v>
      </c>
      <c r="V2552" s="6">
        <f t="shared" si="307"/>
        <v>2730.6550000000002</v>
      </c>
    </row>
    <row r="2553" spans="1:22" x14ac:dyDescent="0.35">
      <c r="A2553" s="6" t="s">
        <v>2799</v>
      </c>
      <c r="B2553" s="6" t="s">
        <v>2783</v>
      </c>
      <c r="C2553" s="6" t="s">
        <v>2784</v>
      </c>
      <c r="D2553" s="6">
        <f t="shared" si="302"/>
        <v>0.5</v>
      </c>
      <c r="E2553" s="6" t="s">
        <v>19</v>
      </c>
      <c r="F2553" s="6" t="str">
        <f>MID(A2553,19,1)</f>
        <v>N</v>
      </c>
      <c r="G2553" s="6">
        <v>-22.8124375795033</v>
      </c>
      <c r="H2553" s="6">
        <v>-47.210079312259651</v>
      </c>
      <c r="I2553" s="9">
        <v>293.94</v>
      </c>
      <c r="K2553" s="6">
        <v>4.1900000000000004</v>
      </c>
      <c r="L2553" s="6">
        <v>30</v>
      </c>
      <c r="N2553" s="1">
        <f t="shared" si="297"/>
        <v>0</v>
      </c>
      <c r="O2553" s="6" t="s">
        <v>20</v>
      </c>
      <c r="Q2553" s="6" t="s">
        <v>21</v>
      </c>
      <c r="R2553" s="6" t="s">
        <v>21</v>
      </c>
      <c r="S2553" s="6" t="s">
        <v>21</v>
      </c>
      <c r="T2553" s="6" t="s">
        <v>21</v>
      </c>
      <c r="U2553" s="6">
        <f t="shared" si="299"/>
        <v>88.182000000000002</v>
      </c>
      <c r="V2553" s="6">
        <f t="shared" si="307"/>
        <v>88.182000000000002</v>
      </c>
    </row>
    <row r="2554" spans="1:22" hidden="1" x14ac:dyDescent="0.35">
      <c r="A2554" s="6" t="s">
        <v>2800</v>
      </c>
      <c r="B2554" s="6" t="s">
        <v>2783</v>
      </c>
      <c r="C2554" s="6" t="s">
        <v>2784</v>
      </c>
      <c r="D2554" s="6">
        <f t="shared" si="302"/>
        <v>0.5</v>
      </c>
      <c r="E2554" s="6" t="s">
        <v>19</v>
      </c>
      <c r="F2554" s="6" t="str">
        <f>MID(A2554,19,1)</f>
        <v>S</v>
      </c>
      <c r="G2554" s="6">
        <v>-22.811784150951091</v>
      </c>
      <c r="H2554" s="6">
        <v>-47.212457228062497</v>
      </c>
      <c r="I2554" s="9">
        <v>3287.54</v>
      </c>
      <c r="K2554" s="6">
        <v>2.4</v>
      </c>
      <c r="L2554" s="6">
        <v>30</v>
      </c>
      <c r="N2554" s="1">
        <f t="shared" si="297"/>
        <v>0</v>
      </c>
      <c r="O2554" s="6" t="s">
        <v>20</v>
      </c>
      <c r="Q2554" s="6" t="s">
        <v>21</v>
      </c>
      <c r="R2554" s="6" t="s">
        <v>21</v>
      </c>
      <c r="S2554" s="6" t="s">
        <v>21</v>
      </c>
      <c r="T2554" s="6" t="s">
        <v>21</v>
      </c>
      <c r="U2554" s="6">
        <f t="shared" si="299"/>
        <v>986.26199999999994</v>
      </c>
      <c r="V2554" s="6">
        <f t="shared" si="307"/>
        <v>986.26199999999994</v>
      </c>
    </row>
    <row r="2555" spans="1:22" hidden="1" x14ac:dyDescent="0.35">
      <c r="A2555" s="8" t="s">
        <v>2801</v>
      </c>
      <c r="B2555" s="8" t="s">
        <v>2783</v>
      </c>
      <c r="C2555" s="8" t="s">
        <v>2784</v>
      </c>
      <c r="D2555" s="6">
        <f t="shared" si="302"/>
        <v>0.5</v>
      </c>
      <c r="E2555" s="8" t="s">
        <v>19</v>
      </c>
      <c r="F2555" s="6" t="str">
        <f>MID(A2555,19,1)</f>
        <v>S</v>
      </c>
      <c r="G2555" s="8">
        <v>-22.81341003576706</v>
      </c>
      <c r="H2555" s="8">
        <v>-47.211041826681083</v>
      </c>
      <c r="I2555" s="7">
        <v>1072.1099999999999</v>
      </c>
      <c r="J2555" s="7"/>
      <c r="K2555" s="8">
        <v>3.82</v>
      </c>
      <c r="L2555" s="8">
        <v>80</v>
      </c>
      <c r="M2555" s="8"/>
      <c r="N2555" s="11">
        <f t="shared" si="297"/>
        <v>857.68799999999999</v>
      </c>
      <c r="O2555" s="8" t="s">
        <v>71</v>
      </c>
      <c r="P2555" s="8"/>
      <c r="Q2555" s="8" t="s">
        <v>21</v>
      </c>
      <c r="R2555" s="8" t="s">
        <v>21</v>
      </c>
      <c r="S2555" s="8" t="s">
        <v>21</v>
      </c>
      <c r="T2555" s="8" t="s">
        <v>26</v>
      </c>
      <c r="U2555" s="6">
        <f t="shared" si="299"/>
        <v>0</v>
      </c>
    </row>
    <row r="2556" spans="1:22" hidden="1" x14ac:dyDescent="0.35">
      <c r="A2556" s="6" t="s">
        <v>2802</v>
      </c>
      <c r="B2556" s="6" t="s">
        <v>2783</v>
      </c>
      <c r="C2556" s="6" t="s">
        <v>2784</v>
      </c>
      <c r="D2556" s="6">
        <f t="shared" si="302"/>
        <v>0.5</v>
      </c>
      <c r="E2556" s="6" t="s">
        <v>23</v>
      </c>
      <c r="F2556" s="6" t="str">
        <f>MID(A2556,19,1)</f>
        <v>C</v>
      </c>
      <c r="G2556" s="6">
        <v>-22.811659660832358</v>
      </c>
      <c r="H2556" s="6">
        <v>-47.212105301833262</v>
      </c>
      <c r="I2556" s="9">
        <v>1009.2</v>
      </c>
      <c r="J2556" s="9">
        <f>I2556/500</f>
        <v>2.0184000000000002</v>
      </c>
      <c r="K2556" s="6">
        <v>3.71</v>
      </c>
      <c r="L2556" s="6">
        <v>30</v>
      </c>
      <c r="N2556" s="1">
        <f t="shared" si="297"/>
        <v>0</v>
      </c>
      <c r="O2556" s="6" t="s">
        <v>20</v>
      </c>
      <c r="Q2556" s="6" t="s">
        <v>21</v>
      </c>
      <c r="R2556" s="6" t="s">
        <v>21</v>
      </c>
      <c r="S2556" s="6" t="s">
        <v>21</v>
      </c>
      <c r="T2556" s="6" t="s">
        <v>21</v>
      </c>
      <c r="U2556" s="6">
        <f t="shared" si="299"/>
        <v>302.76</v>
      </c>
      <c r="V2556" s="6">
        <f>(I2556*(L2556/100))</f>
        <v>302.76</v>
      </c>
    </row>
    <row r="2557" spans="1:22" hidden="1" x14ac:dyDescent="0.35">
      <c r="A2557" s="8" t="s">
        <v>2803</v>
      </c>
      <c r="B2557" s="8" t="s">
        <v>2783</v>
      </c>
      <c r="C2557" s="8" t="s">
        <v>2784</v>
      </c>
      <c r="D2557" s="6">
        <f t="shared" si="302"/>
        <v>0.5</v>
      </c>
      <c r="E2557" s="8" t="s">
        <v>19</v>
      </c>
      <c r="F2557" s="6" t="str">
        <f>MID(A2557,19,1)</f>
        <v>S</v>
      </c>
      <c r="G2557" s="8">
        <v>-22.872032155937191</v>
      </c>
      <c r="H2557" s="8">
        <v>-47.265492537961592</v>
      </c>
      <c r="I2557" s="7">
        <v>710.33</v>
      </c>
      <c r="J2557" s="7"/>
      <c r="K2557" s="8">
        <v>2.71</v>
      </c>
      <c r="L2557" s="8">
        <v>80</v>
      </c>
      <c r="M2557" s="8"/>
      <c r="N2557" s="11">
        <f t="shared" si="297"/>
        <v>568.26400000000001</v>
      </c>
      <c r="O2557" s="8" t="s">
        <v>25</v>
      </c>
      <c r="P2557" s="8"/>
      <c r="Q2557" s="8" t="s">
        <v>21</v>
      </c>
      <c r="R2557" s="8" t="s">
        <v>21</v>
      </c>
      <c r="S2557" s="8" t="s">
        <v>21</v>
      </c>
      <c r="T2557" s="8" t="s">
        <v>26</v>
      </c>
      <c r="U2557" s="6">
        <f t="shared" si="299"/>
        <v>0</v>
      </c>
    </row>
    <row r="2558" spans="1:22" hidden="1" x14ac:dyDescent="0.35">
      <c r="A2558" s="6" t="s">
        <v>2804</v>
      </c>
      <c r="B2558" s="6" t="s">
        <v>2783</v>
      </c>
      <c r="C2558" s="6" t="s">
        <v>2784</v>
      </c>
      <c r="D2558" s="6">
        <f t="shared" si="302"/>
        <v>0.5</v>
      </c>
      <c r="E2558" s="6" t="s">
        <v>19</v>
      </c>
      <c r="F2558" s="6" t="str">
        <f>MID(A2558,19,1)</f>
        <v>S</v>
      </c>
      <c r="G2558" s="6">
        <v>-22.811671670946609</v>
      </c>
      <c r="H2558" s="6">
        <v>-47.212775489137456</v>
      </c>
      <c r="I2558" s="9">
        <v>576.16</v>
      </c>
      <c r="K2558" s="6">
        <v>2.44</v>
      </c>
      <c r="L2558" s="6">
        <v>30</v>
      </c>
      <c r="N2558" s="1">
        <f t="shared" si="297"/>
        <v>0</v>
      </c>
      <c r="O2558" s="6" t="s">
        <v>20</v>
      </c>
      <c r="Q2558" s="6" t="s">
        <v>21</v>
      </c>
      <c r="R2558" s="6" t="s">
        <v>21</v>
      </c>
      <c r="S2558" s="6" t="s">
        <v>21</v>
      </c>
      <c r="T2558" s="6" t="s">
        <v>21</v>
      </c>
      <c r="U2558" s="6">
        <f t="shared" si="299"/>
        <v>172.84799999999998</v>
      </c>
      <c r="V2558" s="6">
        <f t="shared" ref="V2558:V2567" si="309">(I2558*(L2558/100))</f>
        <v>172.84799999999998</v>
      </c>
    </row>
    <row r="2559" spans="1:22" hidden="1" x14ac:dyDescent="0.35">
      <c r="A2559" s="6" t="s">
        <v>2805</v>
      </c>
      <c r="B2559" s="6" t="s">
        <v>2783</v>
      </c>
      <c r="C2559" s="6" t="s">
        <v>2784</v>
      </c>
      <c r="D2559" s="6">
        <f t="shared" si="302"/>
        <v>0.5</v>
      </c>
      <c r="E2559" s="6" t="s">
        <v>19</v>
      </c>
      <c r="F2559" s="6" t="str">
        <f>MID(A2559,19,1)</f>
        <v>S</v>
      </c>
      <c r="G2559" s="6">
        <v>-22.81236460393924</v>
      </c>
      <c r="H2559" s="6">
        <v>-47.211766088659452</v>
      </c>
      <c r="I2559" s="9">
        <v>2180.7600000000002</v>
      </c>
      <c r="K2559" s="6">
        <v>3.13</v>
      </c>
      <c r="L2559" s="6">
        <v>30</v>
      </c>
      <c r="N2559" s="1">
        <f t="shared" si="297"/>
        <v>0</v>
      </c>
      <c r="O2559" s="6" t="s">
        <v>20</v>
      </c>
      <c r="Q2559" s="6" t="s">
        <v>21</v>
      </c>
      <c r="R2559" s="6" t="s">
        <v>21</v>
      </c>
      <c r="S2559" s="6" t="s">
        <v>21</v>
      </c>
      <c r="T2559" s="6" t="s">
        <v>21</v>
      </c>
      <c r="U2559" s="6">
        <f t="shared" si="299"/>
        <v>654.22800000000007</v>
      </c>
      <c r="V2559" s="6">
        <f t="shared" si="309"/>
        <v>654.22800000000007</v>
      </c>
    </row>
    <row r="2560" spans="1:22" x14ac:dyDescent="0.35">
      <c r="A2560" s="6" t="s">
        <v>2806</v>
      </c>
      <c r="B2560" s="6" t="s">
        <v>2783</v>
      </c>
      <c r="C2560" s="6" t="s">
        <v>2784</v>
      </c>
      <c r="D2560" s="6">
        <f t="shared" si="302"/>
        <v>0.5</v>
      </c>
      <c r="E2560" s="6" t="s">
        <v>19</v>
      </c>
      <c r="F2560" s="6" t="str">
        <f>MID(A2560,19,1)</f>
        <v>N</v>
      </c>
      <c r="G2560" s="6">
        <v>-22.813025821396351</v>
      </c>
      <c r="H2560" s="6">
        <v>-47.209694580308721</v>
      </c>
      <c r="I2560" s="9">
        <v>1715.57</v>
      </c>
      <c r="K2560" s="6">
        <v>3.41</v>
      </c>
      <c r="L2560" s="6">
        <v>30</v>
      </c>
      <c r="N2560" s="1">
        <f t="shared" si="297"/>
        <v>0</v>
      </c>
      <c r="O2560" s="6" t="s">
        <v>20</v>
      </c>
      <c r="Q2560" s="6" t="s">
        <v>21</v>
      </c>
      <c r="R2560" s="6" t="s">
        <v>21</v>
      </c>
      <c r="S2560" s="6" t="s">
        <v>21</v>
      </c>
      <c r="T2560" s="6" t="s">
        <v>21</v>
      </c>
      <c r="U2560" s="6">
        <f t="shared" si="299"/>
        <v>514.67099999999994</v>
      </c>
      <c r="V2560" s="6">
        <f t="shared" si="309"/>
        <v>514.67099999999994</v>
      </c>
    </row>
    <row r="2561" spans="1:22" x14ac:dyDescent="0.35">
      <c r="A2561" s="6" t="s">
        <v>2807</v>
      </c>
      <c r="B2561" s="6" t="s">
        <v>2783</v>
      </c>
      <c r="C2561" s="6" t="s">
        <v>2784</v>
      </c>
      <c r="D2561" s="6">
        <f t="shared" si="302"/>
        <v>0.5</v>
      </c>
      <c r="E2561" s="6" t="s">
        <v>19</v>
      </c>
      <c r="F2561" s="6" t="str">
        <f>MID(A2561,19,1)</f>
        <v>N</v>
      </c>
      <c r="G2561" s="6">
        <v>-22.815414085817501</v>
      </c>
      <c r="H2561" s="6">
        <v>-47.205692300098733</v>
      </c>
      <c r="I2561" s="9">
        <v>722.04</v>
      </c>
      <c r="K2561" s="6">
        <v>3.61</v>
      </c>
      <c r="L2561" s="6">
        <v>30</v>
      </c>
      <c r="N2561" s="1">
        <f t="shared" si="297"/>
        <v>0</v>
      </c>
      <c r="O2561" s="6" t="s">
        <v>20</v>
      </c>
      <c r="Q2561" s="6" t="s">
        <v>21</v>
      </c>
      <c r="R2561" s="6" t="s">
        <v>21</v>
      </c>
      <c r="S2561" s="6" t="s">
        <v>21</v>
      </c>
      <c r="T2561" s="6" t="s">
        <v>21</v>
      </c>
      <c r="U2561" s="6">
        <f t="shared" si="299"/>
        <v>216.61199999999999</v>
      </c>
      <c r="V2561" s="6">
        <f t="shared" si="309"/>
        <v>216.61199999999999</v>
      </c>
    </row>
    <row r="2562" spans="1:22" hidden="1" x14ac:dyDescent="0.35">
      <c r="A2562" s="6" t="s">
        <v>2808</v>
      </c>
      <c r="B2562" s="6" t="s">
        <v>2783</v>
      </c>
      <c r="C2562" s="6" t="s">
        <v>2784</v>
      </c>
      <c r="D2562" s="6">
        <f t="shared" si="302"/>
        <v>0.5</v>
      </c>
      <c r="E2562" s="6" t="s">
        <v>19</v>
      </c>
      <c r="F2562" s="6" t="str">
        <f>MID(A2562,19,1)</f>
        <v>S</v>
      </c>
      <c r="G2562" s="6">
        <v>-22.81356414387691</v>
      </c>
      <c r="H2562" s="6">
        <v>-47.210108826093922</v>
      </c>
      <c r="I2562" s="9">
        <v>591.25</v>
      </c>
      <c r="K2562" s="6">
        <v>2.6</v>
      </c>
      <c r="L2562" s="6">
        <v>30</v>
      </c>
      <c r="N2562" s="1">
        <f t="shared" ref="N2562:N2625" si="310">IF(OR(R2562="Sim",S2562="Sim",T2562="Sim"),(L2562/100)*I2562,0)</f>
        <v>0</v>
      </c>
      <c r="O2562" s="6" t="s">
        <v>20</v>
      </c>
      <c r="Q2562" s="6" t="s">
        <v>21</v>
      </c>
      <c r="R2562" s="6" t="s">
        <v>21</v>
      </c>
      <c r="S2562" s="6" t="s">
        <v>21</v>
      </c>
      <c r="T2562" s="6" t="s">
        <v>21</v>
      </c>
      <c r="U2562" s="6">
        <f t="shared" si="299"/>
        <v>177.375</v>
      </c>
      <c r="V2562" s="6">
        <f t="shared" si="309"/>
        <v>177.375</v>
      </c>
    </row>
    <row r="2563" spans="1:22" hidden="1" x14ac:dyDescent="0.35">
      <c r="A2563" s="6" t="s">
        <v>2809</v>
      </c>
      <c r="B2563" s="6" t="s">
        <v>2783</v>
      </c>
      <c r="C2563" s="6" t="s">
        <v>2784</v>
      </c>
      <c r="D2563" s="6">
        <f t="shared" si="302"/>
        <v>0.5</v>
      </c>
      <c r="E2563" s="6" t="s">
        <v>19</v>
      </c>
      <c r="F2563" s="6" t="str">
        <f>MID(A2563,19,1)</f>
        <v>S</v>
      </c>
      <c r="G2563" s="6">
        <v>-22.814204508988261</v>
      </c>
      <c r="H2563" s="6">
        <v>-47.209377083295443</v>
      </c>
      <c r="I2563" s="9">
        <v>50.85</v>
      </c>
      <c r="K2563" s="6">
        <v>5.81</v>
      </c>
      <c r="L2563" s="6">
        <v>30</v>
      </c>
      <c r="N2563" s="1">
        <f t="shared" si="310"/>
        <v>0</v>
      </c>
      <c r="O2563" s="6" t="s">
        <v>20</v>
      </c>
      <c r="Q2563" s="6" t="s">
        <v>21</v>
      </c>
      <c r="R2563" s="6" t="s">
        <v>21</v>
      </c>
      <c r="S2563" s="6" t="s">
        <v>21</v>
      </c>
      <c r="T2563" s="6" t="s">
        <v>21</v>
      </c>
      <c r="U2563" s="6">
        <f t="shared" ref="U2563:U2626" si="311">IF(N2563=0,(I2563*(L2563/100)),0)</f>
        <v>15.254999999999999</v>
      </c>
      <c r="V2563" s="6">
        <f t="shared" si="309"/>
        <v>15.254999999999999</v>
      </c>
    </row>
    <row r="2564" spans="1:22" x14ac:dyDescent="0.35">
      <c r="A2564" s="6" t="s">
        <v>2810</v>
      </c>
      <c r="B2564" s="6" t="s">
        <v>2783</v>
      </c>
      <c r="C2564" s="6" t="s">
        <v>2784</v>
      </c>
      <c r="D2564" s="6">
        <f t="shared" si="302"/>
        <v>0.5</v>
      </c>
      <c r="E2564" s="6" t="s">
        <v>19</v>
      </c>
      <c r="F2564" s="6" t="str">
        <f>MID(A2564,19,1)</f>
        <v>N</v>
      </c>
      <c r="G2564" s="6">
        <v>-22.870784706364599</v>
      </c>
      <c r="H2564" s="6">
        <v>-47.265986204664877</v>
      </c>
      <c r="I2564" s="9">
        <v>6.27</v>
      </c>
      <c r="K2564" s="6">
        <v>3.02</v>
      </c>
      <c r="N2564" s="1">
        <f t="shared" si="310"/>
        <v>0</v>
      </c>
      <c r="Q2564" s="6" t="s">
        <v>21</v>
      </c>
      <c r="R2564" s="6" t="s">
        <v>21</v>
      </c>
      <c r="S2564" s="6" t="s">
        <v>21</v>
      </c>
      <c r="T2564" s="6" t="s">
        <v>21</v>
      </c>
      <c r="U2564" s="6">
        <f t="shared" si="311"/>
        <v>0</v>
      </c>
      <c r="V2564" s="6">
        <f t="shared" si="309"/>
        <v>0</v>
      </c>
    </row>
    <row r="2565" spans="1:22" x14ac:dyDescent="0.35">
      <c r="A2565" s="6" t="s">
        <v>2811</v>
      </c>
      <c r="B2565" s="6" t="s">
        <v>2783</v>
      </c>
      <c r="C2565" s="6" t="s">
        <v>2784</v>
      </c>
      <c r="D2565" s="6">
        <f t="shared" si="302"/>
        <v>0.5</v>
      </c>
      <c r="E2565" s="6" t="s">
        <v>19</v>
      </c>
      <c r="F2565" s="6" t="str">
        <f>MID(A2565,19,1)</f>
        <v>N</v>
      </c>
      <c r="G2565" s="6">
        <v>-22.811503227079822</v>
      </c>
      <c r="H2565" s="6">
        <v>-47.211590768702123</v>
      </c>
      <c r="I2565" s="9">
        <v>1599.94</v>
      </c>
      <c r="K2565" s="6">
        <v>4.4800000000000004</v>
      </c>
      <c r="L2565" s="6">
        <v>30</v>
      </c>
      <c r="N2565" s="1">
        <f t="shared" si="310"/>
        <v>0</v>
      </c>
      <c r="O2565" s="6" t="s">
        <v>20</v>
      </c>
      <c r="Q2565" s="6" t="s">
        <v>21</v>
      </c>
      <c r="R2565" s="6" t="s">
        <v>21</v>
      </c>
      <c r="S2565" s="6" t="s">
        <v>21</v>
      </c>
      <c r="T2565" s="6" t="s">
        <v>21</v>
      </c>
      <c r="U2565" s="6">
        <f t="shared" si="311"/>
        <v>479.98199999999997</v>
      </c>
      <c r="V2565" s="6">
        <f t="shared" si="309"/>
        <v>479.98199999999997</v>
      </c>
    </row>
    <row r="2566" spans="1:22" hidden="1" x14ac:dyDescent="0.35">
      <c r="A2566" s="6" t="s">
        <v>2812</v>
      </c>
      <c r="B2566" s="6" t="s">
        <v>2783</v>
      </c>
      <c r="C2566" s="6" t="s">
        <v>2784</v>
      </c>
      <c r="D2566" s="6">
        <f t="shared" si="302"/>
        <v>0.5</v>
      </c>
      <c r="E2566" s="6" t="s">
        <v>19</v>
      </c>
      <c r="F2566" s="6" t="str">
        <f>MID(A2566,19,1)</f>
        <v>S</v>
      </c>
      <c r="G2566" s="6">
        <v>-22.813716958677361</v>
      </c>
      <c r="H2566" s="6">
        <v>-47.209509701381108</v>
      </c>
      <c r="I2566" s="9">
        <v>775</v>
      </c>
      <c r="K2566" s="6">
        <v>4.3499999999999996</v>
      </c>
      <c r="L2566" s="6">
        <v>30</v>
      </c>
      <c r="N2566" s="1">
        <f t="shared" si="310"/>
        <v>0</v>
      </c>
      <c r="O2566" s="6" t="s">
        <v>20</v>
      </c>
      <c r="Q2566" s="6" t="s">
        <v>21</v>
      </c>
      <c r="R2566" s="6" t="s">
        <v>21</v>
      </c>
      <c r="S2566" s="6" t="s">
        <v>21</v>
      </c>
      <c r="T2566" s="6" t="s">
        <v>21</v>
      </c>
      <c r="U2566" s="6">
        <f t="shared" si="311"/>
        <v>232.5</v>
      </c>
      <c r="V2566" s="6">
        <f t="shared" si="309"/>
        <v>232.5</v>
      </c>
    </row>
    <row r="2567" spans="1:22" hidden="1" x14ac:dyDescent="0.35">
      <c r="A2567" s="6" t="s">
        <v>2813</v>
      </c>
      <c r="B2567" s="6" t="s">
        <v>2783</v>
      </c>
      <c r="C2567" s="6" t="s">
        <v>2784</v>
      </c>
      <c r="D2567" s="6">
        <f t="shared" si="302"/>
        <v>0.5</v>
      </c>
      <c r="E2567" s="6" t="s">
        <v>23</v>
      </c>
      <c r="F2567" s="6" t="str">
        <f>MID(A2567,19,1)</f>
        <v>C</v>
      </c>
      <c r="G2567" s="6">
        <v>-22.87183612250443</v>
      </c>
      <c r="H2567" s="6">
        <v>-47.265526835630361</v>
      </c>
      <c r="I2567" s="9">
        <v>1781.72</v>
      </c>
      <c r="J2567" s="9">
        <f>I2567/500</f>
        <v>3.5634399999999999</v>
      </c>
      <c r="K2567" s="6">
        <v>2.4900000000000002</v>
      </c>
      <c r="L2567" s="6">
        <v>80</v>
      </c>
      <c r="N2567" s="1">
        <f t="shared" si="310"/>
        <v>0</v>
      </c>
      <c r="O2567" s="6" t="s">
        <v>20</v>
      </c>
      <c r="Q2567" s="6" t="s">
        <v>21</v>
      </c>
      <c r="R2567" s="6" t="s">
        <v>21</v>
      </c>
      <c r="S2567" s="6" t="s">
        <v>21</v>
      </c>
      <c r="T2567" s="6" t="s">
        <v>21</v>
      </c>
      <c r="U2567" s="6">
        <f t="shared" si="311"/>
        <v>1425.3760000000002</v>
      </c>
      <c r="V2567" s="6">
        <f t="shared" si="309"/>
        <v>1425.3760000000002</v>
      </c>
    </row>
    <row r="2568" spans="1:22" hidden="1" x14ac:dyDescent="0.35">
      <c r="A2568" s="8" t="s">
        <v>2814</v>
      </c>
      <c r="B2568" s="8" t="s">
        <v>2783</v>
      </c>
      <c r="C2568" s="8" t="s">
        <v>2784</v>
      </c>
      <c r="D2568" s="6">
        <f t="shared" si="302"/>
        <v>0.5</v>
      </c>
      <c r="E2568" s="8" t="s">
        <v>19</v>
      </c>
      <c r="F2568" s="6" t="str">
        <f>MID(A2568,19,1)</f>
        <v>S</v>
      </c>
      <c r="G2568" s="8">
        <v>-22.87160198656365</v>
      </c>
      <c r="H2568" s="8">
        <v>-47.271909391478459</v>
      </c>
      <c r="I2568" s="7">
        <v>2418.63</v>
      </c>
      <c r="J2568" s="7"/>
      <c r="K2568" s="8">
        <v>3.37</v>
      </c>
      <c r="L2568" s="8">
        <v>45</v>
      </c>
      <c r="M2568" s="8"/>
      <c r="N2568" s="11">
        <f t="shared" si="310"/>
        <v>1088.3835000000001</v>
      </c>
      <c r="O2568" s="8" t="s">
        <v>25</v>
      </c>
      <c r="P2568" s="8"/>
      <c r="Q2568" s="8" t="s">
        <v>21</v>
      </c>
      <c r="R2568" s="8" t="s">
        <v>26</v>
      </c>
      <c r="S2568" s="8" t="s">
        <v>21</v>
      </c>
      <c r="T2568" s="8" t="s">
        <v>26</v>
      </c>
      <c r="U2568" s="6">
        <f t="shared" si="311"/>
        <v>0</v>
      </c>
    </row>
    <row r="2569" spans="1:22" x14ac:dyDescent="0.35">
      <c r="A2569" s="8" t="s">
        <v>2815</v>
      </c>
      <c r="B2569" s="8" t="s">
        <v>2783</v>
      </c>
      <c r="C2569" s="8" t="s">
        <v>2784</v>
      </c>
      <c r="D2569" s="6">
        <f t="shared" si="302"/>
        <v>0.5</v>
      </c>
      <c r="E2569" s="8" t="s">
        <v>19</v>
      </c>
      <c r="F2569" s="6" t="str">
        <f>MID(A2569,19,1)</f>
        <v>N</v>
      </c>
      <c r="G2569" s="8">
        <v>-22.871625083030931</v>
      </c>
      <c r="H2569" s="8">
        <v>-47.265512296552821</v>
      </c>
      <c r="I2569" s="7">
        <v>684.17</v>
      </c>
      <c r="J2569" s="7"/>
      <c r="K2569" s="8">
        <v>2.25</v>
      </c>
      <c r="L2569" s="8">
        <v>80</v>
      </c>
      <c r="M2569" s="8"/>
      <c r="N2569" s="11">
        <f t="shared" si="310"/>
        <v>547.33600000000001</v>
      </c>
      <c r="O2569" s="8" t="s">
        <v>25</v>
      </c>
      <c r="P2569" s="8"/>
      <c r="Q2569" s="8" t="s">
        <v>21</v>
      </c>
      <c r="R2569" s="8" t="s">
        <v>21</v>
      </c>
      <c r="S2569" s="8" t="s">
        <v>21</v>
      </c>
      <c r="T2569" s="8" t="s">
        <v>26</v>
      </c>
      <c r="U2569" s="6">
        <f t="shared" si="311"/>
        <v>0</v>
      </c>
    </row>
    <row r="2570" spans="1:22" x14ac:dyDescent="0.35">
      <c r="A2570" s="8" t="s">
        <v>2816</v>
      </c>
      <c r="B2570" s="8" t="s">
        <v>2783</v>
      </c>
      <c r="C2570" s="8" t="s">
        <v>2784</v>
      </c>
      <c r="D2570" s="6">
        <f t="shared" si="302"/>
        <v>0.5</v>
      </c>
      <c r="E2570" s="8" t="s">
        <v>19</v>
      </c>
      <c r="F2570" s="6" t="str">
        <f>MID(A2570,19,1)</f>
        <v>N</v>
      </c>
      <c r="G2570" s="8">
        <v>-22.87155438313269</v>
      </c>
      <c r="H2570" s="8">
        <v>-47.267749212959593</v>
      </c>
      <c r="I2570" s="7">
        <v>975.05</v>
      </c>
      <c r="J2570" s="7"/>
      <c r="K2570" s="8">
        <v>2.89</v>
      </c>
      <c r="L2570" s="8">
        <v>80</v>
      </c>
      <c r="M2570" s="8"/>
      <c r="N2570" s="11">
        <f t="shared" si="310"/>
        <v>780.04</v>
      </c>
      <c r="O2570" s="8" t="s">
        <v>25</v>
      </c>
      <c r="P2570" s="8"/>
      <c r="Q2570" s="8" t="s">
        <v>21</v>
      </c>
      <c r="R2570" s="8" t="s">
        <v>26</v>
      </c>
      <c r="S2570" s="8" t="s">
        <v>21</v>
      </c>
      <c r="T2570" s="8" t="s">
        <v>21</v>
      </c>
      <c r="U2570" s="6">
        <f t="shared" si="311"/>
        <v>0</v>
      </c>
    </row>
    <row r="2571" spans="1:22" hidden="1" x14ac:dyDescent="0.35">
      <c r="A2571" s="6" t="s">
        <v>2817</v>
      </c>
      <c r="B2571" s="6" t="s">
        <v>2783</v>
      </c>
      <c r="C2571" s="6" t="s">
        <v>2784</v>
      </c>
      <c r="D2571" s="6">
        <f t="shared" si="302"/>
        <v>0.5</v>
      </c>
      <c r="E2571" s="6" t="s">
        <v>23</v>
      </c>
      <c r="F2571" s="6" t="str">
        <f>MID(A2571,19,1)</f>
        <v>C</v>
      </c>
      <c r="G2571" s="6">
        <v>-22.81500534628497</v>
      </c>
      <c r="H2571" s="6">
        <v>-47.207049296279493</v>
      </c>
      <c r="I2571" s="9">
        <v>5155.49</v>
      </c>
      <c r="J2571" s="9">
        <f>I2571/500</f>
        <v>10.310979999999999</v>
      </c>
      <c r="K2571" s="6">
        <v>4.66</v>
      </c>
      <c r="L2571" s="6">
        <v>50</v>
      </c>
      <c r="N2571" s="1">
        <f t="shared" si="310"/>
        <v>0</v>
      </c>
      <c r="O2571" s="6" t="s">
        <v>20</v>
      </c>
      <c r="Q2571" s="6" t="s">
        <v>21</v>
      </c>
      <c r="R2571" s="6" t="s">
        <v>21</v>
      </c>
      <c r="S2571" s="6" t="s">
        <v>21</v>
      </c>
      <c r="T2571" s="6" t="s">
        <v>21</v>
      </c>
      <c r="U2571" s="6">
        <f t="shared" si="311"/>
        <v>2577.7449999999999</v>
      </c>
      <c r="V2571" s="6">
        <f>(I2571*(L2571/100))</f>
        <v>2577.7449999999999</v>
      </c>
    </row>
    <row r="2572" spans="1:22" hidden="1" x14ac:dyDescent="0.35">
      <c r="A2572" s="8" t="s">
        <v>2818</v>
      </c>
      <c r="B2572" s="8" t="s">
        <v>2783</v>
      </c>
      <c r="C2572" s="8" t="s">
        <v>2784</v>
      </c>
      <c r="D2572" s="6">
        <f t="shared" si="302"/>
        <v>0.5</v>
      </c>
      <c r="E2572" s="8" t="s">
        <v>19</v>
      </c>
      <c r="F2572" s="6" t="str">
        <f>MID(A2572,19,1)</f>
        <v>S</v>
      </c>
      <c r="G2572" s="8">
        <v>-22.871955784576269</v>
      </c>
      <c r="H2572" s="8">
        <v>-47.267795209585799</v>
      </c>
      <c r="I2572" s="7">
        <v>988.46</v>
      </c>
      <c r="J2572" s="7"/>
      <c r="K2572" s="8">
        <v>4.92</v>
      </c>
      <c r="L2572" s="8">
        <v>80</v>
      </c>
      <c r="M2572" s="8"/>
      <c r="N2572" s="11">
        <f t="shared" si="310"/>
        <v>790.76800000000003</v>
      </c>
      <c r="O2572" s="8" t="s">
        <v>25</v>
      </c>
      <c r="P2572" s="8"/>
      <c r="Q2572" s="8" t="s">
        <v>21</v>
      </c>
      <c r="R2572" s="8" t="s">
        <v>21</v>
      </c>
      <c r="S2572" s="8" t="s">
        <v>21</v>
      </c>
      <c r="T2572" s="8" t="s">
        <v>26</v>
      </c>
      <c r="U2572" s="6">
        <f t="shared" si="311"/>
        <v>0</v>
      </c>
    </row>
    <row r="2573" spans="1:22" x14ac:dyDescent="0.35">
      <c r="A2573" s="8" t="s">
        <v>2819</v>
      </c>
      <c r="B2573" s="8" t="s">
        <v>2783</v>
      </c>
      <c r="C2573" s="8" t="s">
        <v>2784</v>
      </c>
      <c r="D2573" s="6">
        <f t="shared" si="302"/>
        <v>0.5</v>
      </c>
      <c r="E2573" s="8" t="s">
        <v>19</v>
      </c>
      <c r="F2573" s="6" t="str">
        <f>MID(A2573,19,1)</f>
        <v>N</v>
      </c>
      <c r="G2573" s="8">
        <v>-22.871196628190528</v>
      </c>
      <c r="H2573" s="8">
        <v>-47.271790100569838</v>
      </c>
      <c r="I2573" s="7">
        <v>2372.02</v>
      </c>
      <c r="J2573" s="7"/>
      <c r="K2573" s="8">
        <v>3.09</v>
      </c>
      <c r="L2573" s="8">
        <v>70</v>
      </c>
      <c r="M2573" s="8"/>
      <c r="N2573" s="11">
        <f t="shared" si="310"/>
        <v>1660.414</v>
      </c>
      <c r="O2573" s="8" t="s">
        <v>25</v>
      </c>
      <c r="P2573" s="8"/>
      <c r="Q2573" s="8" t="s">
        <v>21</v>
      </c>
      <c r="R2573" s="8" t="s">
        <v>26</v>
      </c>
      <c r="S2573" s="8" t="s">
        <v>21</v>
      </c>
      <c r="T2573" s="8" t="s">
        <v>21</v>
      </c>
      <c r="U2573" s="6">
        <f t="shared" si="311"/>
        <v>0</v>
      </c>
    </row>
    <row r="2574" spans="1:22" hidden="1" x14ac:dyDescent="0.35">
      <c r="A2574" s="6" t="s">
        <v>2820</v>
      </c>
      <c r="B2574" s="6" t="s">
        <v>2783</v>
      </c>
      <c r="C2574" s="6" t="s">
        <v>2784</v>
      </c>
      <c r="D2574" s="6">
        <f t="shared" ref="D2574:D2637" si="312">C2574-B2574</f>
        <v>0.5</v>
      </c>
      <c r="E2574" s="6" t="s">
        <v>19</v>
      </c>
      <c r="F2574" s="6" t="str">
        <f>MID(A2574,19,1)</f>
        <v>S</v>
      </c>
      <c r="G2574" s="6">
        <v>-22.813799870681091</v>
      </c>
      <c r="H2574" s="6">
        <v>-47.209761318285103</v>
      </c>
      <c r="I2574" s="9">
        <v>650.88</v>
      </c>
      <c r="K2574" s="6">
        <v>4.55</v>
      </c>
      <c r="L2574" s="6">
        <v>30</v>
      </c>
      <c r="N2574" s="1">
        <f t="shared" si="310"/>
        <v>0</v>
      </c>
      <c r="O2574" s="6" t="s">
        <v>20</v>
      </c>
      <c r="Q2574" s="6" t="s">
        <v>21</v>
      </c>
      <c r="R2574" s="6" t="s">
        <v>21</v>
      </c>
      <c r="S2574" s="6" t="s">
        <v>21</v>
      </c>
      <c r="T2574" s="6" t="s">
        <v>21</v>
      </c>
      <c r="U2574" s="6">
        <f t="shared" si="311"/>
        <v>195.26399999999998</v>
      </c>
      <c r="V2574" s="6">
        <f t="shared" ref="V2574:V2576" si="313">(I2574*(L2574/100))</f>
        <v>195.26399999999998</v>
      </c>
    </row>
    <row r="2575" spans="1:22" x14ac:dyDescent="0.35">
      <c r="A2575" s="6" t="s">
        <v>2821</v>
      </c>
      <c r="B2575" s="6" t="s">
        <v>2822</v>
      </c>
      <c r="C2575" s="6" t="s">
        <v>2823</v>
      </c>
      <c r="D2575" s="6">
        <f t="shared" si="312"/>
        <v>0.5</v>
      </c>
      <c r="E2575" s="6" t="s">
        <v>19</v>
      </c>
      <c r="F2575" s="6" t="str">
        <f>MID(A2575,19,1)</f>
        <v>N</v>
      </c>
      <c r="G2575" s="6">
        <v>-22.866819489036079</v>
      </c>
      <c r="H2575" s="6">
        <v>-47.279841768447277</v>
      </c>
      <c r="I2575" s="9">
        <v>1853.09</v>
      </c>
      <c r="K2575" s="6">
        <v>4.17</v>
      </c>
      <c r="L2575" s="6">
        <v>70</v>
      </c>
      <c r="N2575" s="1">
        <f t="shared" si="310"/>
        <v>0</v>
      </c>
      <c r="O2575" s="6" t="s">
        <v>20</v>
      </c>
      <c r="Q2575" s="6" t="s">
        <v>21</v>
      </c>
      <c r="R2575" s="6" t="s">
        <v>21</v>
      </c>
      <c r="S2575" s="6" t="s">
        <v>21</v>
      </c>
      <c r="T2575" s="6" t="s">
        <v>21</v>
      </c>
      <c r="U2575" s="6">
        <f t="shared" si="311"/>
        <v>1297.1629999999998</v>
      </c>
      <c r="V2575" s="6">
        <f t="shared" si="313"/>
        <v>1297.1629999999998</v>
      </c>
    </row>
    <row r="2576" spans="1:22" hidden="1" x14ac:dyDescent="0.35">
      <c r="A2576" s="6" t="s">
        <v>2824</v>
      </c>
      <c r="B2576" s="6" t="s">
        <v>2822</v>
      </c>
      <c r="C2576" s="6" t="s">
        <v>2823</v>
      </c>
      <c r="D2576" s="6">
        <f t="shared" si="312"/>
        <v>0.5</v>
      </c>
      <c r="E2576" s="6" t="s">
        <v>23</v>
      </c>
      <c r="F2576" s="6" t="str">
        <f>MID(A2576,19,1)</f>
        <v>C</v>
      </c>
      <c r="G2576" s="6">
        <v>-22.869630755015169</v>
      </c>
      <c r="H2576" s="6">
        <v>-47.276572715007177</v>
      </c>
      <c r="I2576" s="9">
        <v>5301.15</v>
      </c>
      <c r="J2576" s="9">
        <f t="shared" ref="J2576:J2577" si="314">I2576/500</f>
        <v>10.6023</v>
      </c>
      <c r="K2576" s="6">
        <v>3.46</v>
      </c>
      <c r="L2576" s="6">
        <v>80</v>
      </c>
      <c r="N2576" s="1">
        <f t="shared" si="310"/>
        <v>0</v>
      </c>
      <c r="O2576" s="6" t="s">
        <v>20</v>
      </c>
      <c r="Q2576" s="6" t="s">
        <v>21</v>
      </c>
      <c r="R2576" s="6" t="s">
        <v>21</v>
      </c>
      <c r="S2576" s="6" t="s">
        <v>21</v>
      </c>
      <c r="T2576" s="6" t="s">
        <v>21</v>
      </c>
      <c r="U2576" s="6">
        <f t="shared" si="311"/>
        <v>4240.92</v>
      </c>
      <c r="V2576" s="6">
        <f t="shared" si="313"/>
        <v>4240.92</v>
      </c>
    </row>
    <row r="2577" spans="1:22" hidden="1" x14ac:dyDescent="0.35">
      <c r="A2577" s="6" t="s">
        <v>2825</v>
      </c>
      <c r="B2577" s="6" t="s">
        <v>2822</v>
      </c>
      <c r="C2577" s="6" t="s">
        <v>2823</v>
      </c>
      <c r="D2577" s="6">
        <f t="shared" si="312"/>
        <v>0.5</v>
      </c>
      <c r="E2577" s="6" t="s">
        <v>23</v>
      </c>
      <c r="F2577" s="6" t="str">
        <f>MID(A2577,19,1)</f>
        <v>C</v>
      </c>
      <c r="G2577" s="6">
        <v>-22.80596089539349</v>
      </c>
      <c r="H2577" s="6">
        <v>-47.217495146101648</v>
      </c>
      <c r="I2577" s="9">
        <v>1605.11</v>
      </c>
      <c r="J2577" s="9">
        <f t="shared" si="314"/>
        <v>3.2102199999999996</v>
      </c>
      <c r="K2577" s="6">
        <v>3.49</v>
      </c>
      <c r="L2577" s="6">
        <v>0</v>
      </c>
      <c r="N2577" s="1">
        <f t="shared" si="310"/>
        <v>0</v>
      </c>
      <c r="Q2577" s="6" t="s">
        <v>26</v>
      </c>
      <c r="R2577" s="6" t="s">
        <v>21</v>
      </c>
      <c r="S2577" s="6" t="s">
        <v>21</v>
      </c>
      <c r="T2577" s="6" t="s">
        <v>21</v>
      </c>
      <c r="U2577" s="6">
        <f t="shared" si="311"/>
        <v>0</v>
      </c>
    </row>
    <row r="2578" spans="1:22" x14ac:dyDescent="0.35">
      <c r="A2578" s="6" t="s">
        <v>2826</v>
      </c>
      <c r="B2578" s="6" t="s">
        <v>2822</v>
      </c>
      <c r="C2578" s="6" t="s">
        <v>2823</v>
      </c>
      <c r="D2578" s="6">
        <f t="shared" si="312"/>
        <v>0.5</v>
      </c>
      <c r="E2578" s="6" t="s">
        <v>19</v>
      </c>
      <c r="F2578" s="6" t="str">
        <f>MID(A2578,19,1)</f>
        <v>N</v>
      </c>
      <c r="G2578" s="6">
        <v>-22.805418691146389</v>
      </c>
      <c r="H2578" s="6">
        <v>-47.217620776894947</v>
      </c>
      <c r="I2578" s="9">
        <v>17.45</v>
      </c>
      <c r="K2578" s="6">
        <v>4.26</v>
      </c>
      <c r="L2578" s="6">
        <v>30</v>
      </c>
      <c r="N2578" s="1">
        <f t="shared" si="310"/>
        <v>0</v>
      </c>
      <c r="O2578" s="6" t="s">
        <v>20</v>
      </c>
      <c r="Q2578" s="6" t="s">
        <v>21</v>
      </c>
      <c r="R2578" s="6" t="s">
        <v>21</v>
      </c>
      <c r="S2578" s="6" t="s">
        <v>21</v>
      </c>
      <c r="T2578" s="6" t="s">
        <v>21</v>
      </c>
      <c r="U2578" s="6">
        <f t="shared" si="311"/>
        <v>5.2349999999999994</v>
      </c>
      <c r="V2578" s="6">
        <f t="shared" ref="V2578:V2579" si="315">(I2578*(L2578/100))</f>
        <v>5.2349999999999994</v>
      </c>
    </row>
    <row r="2579" spans="1:22" x14ac:dyDescent="0.35">
      <c r="A2579" s="6" t="s">
        <v>2827</v>
      </c>
      <c r="B2579" s="6" t="s">
        <v>2822</v>
      </c>
      <c r="C2579" s="6" t="s">
        <v>2823</v>
      </c>
      <c r="D2579" s="6">
        <f t="shared" si="312"/>
        <v>0.5</v>
      </c>
      <c r="E2579" s="6" t="s">
        <v>19</v>
      </c>
      <c r="F2579" s="6" t="str">
        <f>MID(A2579,19,1)</f>
        <v>N</v>
      </c>
      <c r="G2579" s="6">
        <v>-22.810098438491881</v>
      </c>
      <c r="H2579" s="6">
        <v>-47.212932899959483</v>
      </c>
      <c r="I2579" s="9">
        <v>1561.7</v>
      </c>
      <c r="K2579" s="6">
        <v>2.95</v>
      </c>
      <c r="L2579" s="6">
        <v>30</v>
      </c>
      <c r="N2579" s="1">
        <f t="shared" si="310"/>
        <v>0</v>
      </c>
      <c r="O2579" s="6" t="s">
        <v>20</v>
      </c>
      <c r="Q2579" s="6" t="s">
        <v>21</v>
      </c>
      <c r="R2579" s="6" t="s">
        <v>21</v>
      </c>
      <c r="S2579" s="6" t="s">
        <v>21</v>
      </c>
      <c r="T2579" s="6" t="s">
        <v>21</v>
      </c>
      <c r="U2579" s="6">
        <f t="shared" si="311"/>
        <v>468.51</v>
      </c>
      <c r="V2579" s="6">
        <f t="shared" si="315"/>
        <v>468.51</v>
      </c>
    </row>
    <row r="2580" spans="1:22" hidden="1" x14ac:dyDescent="0.35">
      <c r="A2580" s="6" t="s">
        <v>2828</v>
      </c>
      <c r="B2580" s="6" t="s">
        <v>2822</v>
      </c>
      <c r="C2580" s="6" t="s">
        <v>2823</v>
      </c>
      <c r="D2580" s="6">
        <f t="shared" si="312"/>
        <v>0.5</v>
      </c>
      <c r="E2580" s="6" t="s">
        <v>19</v>
      </c>
      <c r="F2580" s="6" t="str">
        <f>MID(A2580,19,1)</f>
        <v>S</v>
      </c>
      <c r="G2580" s="6">
        <v>-22.81015186606253</v>
      </c>
      <c r="H2580" s="6">
        <v>-47.213689776446742</v>
      </c>
      <c r="I2580" s="9">
        <v>947.79</v>
      </c>
      <c r="K2580" s="6">
        <v>4.8499999999999996</v>
      </c>
      <c r="L2580" s="6">
        <v>0</v>
      </c>
      <c r="N2580" s="1">
        <f t="shared" si="310"/>
        <v>0</v>
      </c>
      <c r="Q2580" s="6" t="s">
        <v>26</v>
      </c>
      <c r="R2580" s="6" t="s">
        <v>21</v>
      </c>
      <c r="S2580" s="6" t="s">
        <v>21</v>
      </c>
      <c r="T2580" s="6" t="s">
        <v>21</v>
      </c>
      <c r="U2580" s="6">
        <f t="shared" si="311"/>
        <v>0</v>
      </c>
    </row>
    <row r="2581" spans="1:22" hidden="1" x14ac:dyDescent="0.35">
      <c r="A2581" s="6" t="s">
        <v>2829</v>
      </c>
      <c r="B2581" s="6" t="s">
        <v>2822</v>
      </c>
      <c r="C2581" s="6" t="s">
        <v>2823</v>
      </c>
      <c r="D2581" s="6">
        <f t="shared" si="312"/>
        <v>0.5</v>
      </c>
      <c r="E2581" s="6" t="s">
        <v>23</v>
      </c>
      <c r="F2581" s="6" t="str">
        <f>MID(A2581,19,1)</f>
        <v>C</v>
      </c>
      <c r="G2581" s="6">
        <v>-22.809862130768231</v>
      </c>
      <c r="H2581" s="6">
        <v>-47.213721006322153</v>
      </c>
      <c r="I2581" s="9">
        <v>1380.54</v>
      </c>
      <c r="J2581" s="9">
        <f>I2581/500</f>
        <v>2.7610799999999998</v>
      </c>
      <c r="K2581" s="6">
        <v>4.09</v>
      </c>
      <c r="L2581" s="6">
        <v>50</v>
      </c>
      <c r="N2581" s="1">
        <f t="shared" si="310"/>
        <v>0</v>
      </c>
      <c r="O2581" s="6" t="s">
        <v>20</v>
      </c>
      <c r="Q2581" s="6" t="s">
        <v>21</v>
      </c>
      <c r="R2581" s="6" t="s">
        <v>21</v>
      </c>
      <c r="S2581" s="6" t="s">
        <v>21</v>
      </c>
      <c r="T2581" s="6" t="s">
        <v>21</v>
      </c>
      <c r="U2581" s="6">
        <f t="shared" si="311"/>
        <v>690.27</v>
      </c>
      <c r="V2581" s="6">
        <f t="shared" ref="V2581:V2582" si="316">(I2581*(L2581/100))</f>
        <v>690.27</v>
      </c>
    </row>
    <row r="2582" spans="1:22" hidden="1" x14ac:dyDescent="0.35">
      <c r="A2582" s="6" t="s">
        <v>2830</v>
      </c>
      <c r="B2582" s="6" t="s">
        <v>2822</v>
      </c>
      <c r="C2582" s="6" t="s">
        <v>2823</v>
      </c>
      <c r="D2582" s="6">
        <f t="shared" si="312"/>
        <v>0.5</v>
      </c>
      <c r="E2582" s="6" t="s">
        <v>19</v>
      </c>
      <c r="F2582" s="6" t="str">
        <f>MID(A2582,19,1)</f>
        <v>S</v>
      </c>
      <c r="G2582" s="6">
        <v>-22.80733661155778</v>
      </c>
      <c r="H2582" s="6">
        <v>-47.216621577030537</v>
      </c>
      <c r="I2582" s="9">
        <v>28.82</v>
      </c>
      <c r="K2582" s="6">
        <v>4.9000000000000004</v>
      </c>
      <c r="L2582" s="6">
        <v>0</v>
      </c>
      <c r="N2582" s="1">
        <f t="shared" si="310"/>
        <v>0</v>
      </c>
      <c r="Q2582" s="6" t="s">
        <v>21</v>
      </c>
      <c r="R2582" s="6" t="s">
        <v>21</v>
      </c>
      <c r="S2582" s="6" t="s">
        <v>21</v>
      </c>
      <c r="T2582" s="6" t="s">
        <v>21</v>
      </c>
      <c r="U2582" s="6">
        <f t="shared" si="311"/>
        <v>0</v>
      </c>
      <c r="V2582" s="6">
        <f t="shared" si="316"/>
        <v>0</v>
      </c>
    </row>
    <row r="2583" spans="1:22" hidden="1" x14ac:dyDescent="0.35">
      <c r="A2583" s="6" t="s">
        <v>2831</v>
      </c>
      <c r="B2583" s="6" t="s">
        <v>2822</v>
      </c>
      <c r="C2583" s="6" t="s">
        <v>2823</v>
      </c>
      <c r="D2583" s="6">
        <f t="shared" si="312"/>
        <v>0.5</v>
      </c>
      <c r="E2583" s="6" t="s">
        <v>19</v>
      </c>
      <c r="F2583" s="6" t="str">
        <f>MID(A2583,19,1)</f>
        <v>S</v>
      </c>
      <c r="G2583" s="6">
        <v>-22.804028325634452</v>
      </c>
      <c r="H2583" s="6">
        <v>-47.219347883556608</v>
      </c>
      <c r="I2583" s="9">
        <v>489.3</v>
      </c>
      <c r="K2583" s="6">
        <v>4.84</v>
      </c>
      <c r="L2583" s="6">
        <v>0</v>
      </c>
      <c r="N2583" s="1">
        <f t="shared" si="310"/>
        <v>0</v>
      </c>
      <c r="Q2583" s="6" t="s">
        <v>26</v>
      </c>
      <c r="R2583" s="6" t="s">
        <v>21</v>
      </c>
      <c r="S2583" s="6" t="s">
        <v>21</v>
      </c>
      <c r="T2583" s="6" t="s">
        <v>21</v>
      </c>
      <c r="U2583" s="6">
        <f t="shared" si="311"/>
        <v>0</v>
      </c>
    </row>
    <row r="2584" spans="1:22" x14ac:dyDescent="0.35">
      <c r="A2584" s="6" t="s">
        <v>2832</v>
      </c>
      <c r="B2584" s="6" t="s">
        <v>2822</v>
      </c>
      <c r="C2584" s="6" t="s">
        <v>2823</v>
      </c>
      <c r="D2584" s="6">
        <f t="shared" si="312"/>
        <v>0.5</v>
      </c>
      <c r="E2584" s="6" t="s">
        <v>19</v>
      </c>
      <c r="F2584" s="6" t="str">
        <f>MID(A2584,19,1)</f>
        <v>N</v>
      </c>
      <c r="G2584" s="6">
        <v>-22.808277499709391</v>
      </c>
      <c r="H2584" s="6">
        <v>-47.214280689108122</v>
      </c>
      <c r="I2584" s="9">
        <v>1411.05</v>
      </c>
      <c r="K2584" s="6">
        <v>2.4700000000000002</v>
      </c>
      <c r="L2584" s="6">
        <v>30</v>
      </c>
      <c r="N2584" s="1">
        <f t="shared" si="310"/>
        <v>0</v>
      </c>
      <c r="O2584" s="6" t="s">
        <v>20</v>
      </c>
      <c r="Q2584" s="6" t="s">
        <v>21</v>
      </c>
      <c r="R2584" s="6" t="s">
        <v>21</v>
      </c>
      <c r="S2584" s="6" t="s">
        <v>21</v>
      </c>
      <c r="T2584" s="6" t="s">
        <v>21</v>
      </c>
      <c r="U2584" s="6">
        <f t="shared" si="311"/>
        <v>423.315</v>
      </c>
      <c r="V2584" s="6">
        <f t="shared" ref="V2584:V2591" si="317">(I2584*(L2584/100))</f>
        <v>423.315</v>
      </c>
    </row>
    <row r="2585" spans="1:22" x14ac:dyDescent="0.35">
      <c r="A2585" s="6" t="s">
        <v>2833</v>
      </c>
      <c r="B2585" s="6" t="s">
        <v>2822</v>
      </c>
      <c r="C2585" s="6" t="s">
        <v>2823</v>
      </c>
      <c r="D2585" s="6">
        <f t="shared" si="312"/>
        <v>0.5</v>
      </c>
      <c r="E2585" s="6" t="s">
        <v>19</v>
      </c>
      <c r="F2585" s="6" t="str">
        <f>MID(A2585,19,1)</f>
        <v>N</v>
      </c>
      <c r="G2585" s="6">
        <v>-22.804370049050949</v>
      </c>
      <c r="H2585" s="6">
        <v>-47.218532307060727</v>
      </c>
      <c r="I2585" s="9">
        <v>173.62</v>
      </c>
      <c r="K2585" s="6">
        <v>3.91</v>
      </c>
      <c r="L2585" s="6">
        <v>30</v>
      </c>
      <c r="N2585" s="1">
        <f t="shared" si="310"/>
        <v>0</v>
      </c>
      <c r="O2585" s="6" t="s">
        <v>20</v>
      </c>
      <c r="Q2585" s="6" t="s">
        <v>21</v>
      </c>
      <c r="R2585" s="6" t="s">
        <v>21</v>
      </c>
      <c r="S2585" s="6" t="s">
        <v>21</v>
      </c>
      <c r="T2585" s="6" t="s">
        <v>21</v>
      </c>
      <c r="U2585" s="6">
        <f t="shared" si="311"/>
        <v>52.085999999999999</v>
      </c>
      <c r="V2585" s="6">
        <f t="shared" si="317"/>
        <v>52.085999999999999</v>
      </c>
    </row>
    <row r="2586" spans="1:22" x14ac:dyDescent="0.35">
      <c r="A2586" s="6" t="s">
        <v>2834</v>
      </c>
      <c r="B2586" s="6" t="s">
        <v>2822</v>
      </c>
      <c r="C2586" s="6" t="s">
        <v>2823</v>
      </c>
      <c r="D2586" s="6">
        <f t="shared" si="312"/>
        <v>0.5</v>
      </c>
      <c r="E2586" s="6" t="s">
        <v>19</v>
      </c>
      <c r="F2586" s="6" t="str">
        <f>MID(A2586,19,1)</f>
        <v>N</v>
      </c>
      <c r="G2586" s="6">
        <v>-22.869460749373779</v>
      </c>
      <c r="H2586" s="6">
        <v>-47.27643673477192</v>
      </c>
      <c r="I2586" s="9">
        <v>1802.96</v>
      </c>
      <c r="K2586" s="6">
        <v>3.48</v>
      </c>
      <c r="L2586" s="6">
        <v>70</v>
      </c>
      <c r="N2586" s="1">
        <f t="shared" si="310"/>
        <v>0</v>
      </c>
      <c r="O2586" s="6" t="s">
        <v>20</v>
      </c>
      <c r="Q2586" s="6" t="s">
        <v>21</v>
      </c>
      <c r="R2586" s="6" t="s">
        <v>21</v>
      </c>
      <c r="S2586" s="6" t="s">
        <v>21</v>
      </c>
      <c r="T2586" s="6" t="s">
        <v>21</v>
      </c>
      <c r="U2586" s="6">
        <f t="shared" si="311"/>
        <v>1262.0719999999999</v>
      </c>
      <c r="V2586" s="6">
        <f t="shared" si="317"/>
        <v>1262.0719999999999</v>
      </c>
    </row>
    <row r="2587" spans="1:22" x14ac:dyDescent="0.35">
      <c r="A2587" s="6" t="s">
        <v>2835</v>
      </c>
      <c r="B2587" s="6" t="s">
        <v>2822</v>
      </c>
      <c r="C2587" s="6" t="s">
        <v>2823</v>
      </c>
      <c r="D2587" s="6">
        <f t="shared" si="312"/>
        <v>0.5</v>
      </c>
      <c r="E2587" s="6" t="s">
        <v>19</v>
      </c>
      <c r="F2587" s="6" t="str">
        <f>MID(A2587,19,1)</f>
        <v>N</v>
      </c>
      <c r="G2587" s="6">
        <v>-22.806778517332461</v>
      </c>
      <c r="H2587" s="6">
        <v>-47.216308634367273</v>
      </c>
      <c r="I2587" s="9">
        <v>151.09</v>
      </c>
      <c r="K2587" s="6">
        <v>4.63</v>
      </c>
      <c r="L2587" s="6">
        <v>30</v>
      </c>
      <c r="N2587" s="1">
        <f t="shared" si="310"/>
        <v>0</v>
      </c>
      <c r="O2587" s="6" t="s">
        <v>20</v>
      </c>
      <c r="Q2587" s="6" t="s">
        <v>21</v>
      </c>
      <c r="R2587" s="6" t="s">
        <v>21</v>
      </c>
      <c r="S2587" s="6" t="s">
        <v>21</v>
      </c>
      <c r="T2587" s="6" t="s">
        <v>21</v>
      </c>
      <c r="U2587" s="6">
        <f t="shared" si="311"/>
        <v>45.326999999999998</v>
      </c>
      <c r="V2587" s="6">
        <f t="shared" si="317"/>
        <v>45.326999999999998</v>
      </c>
    </row>
    <row r="2588" spans="1:22" x14ac:dyDescent="0.35">
      <c r="A2588" s="6" t="s">
        <v>2836</v>
      </c>
      <c r="B2588" s="6" t="s">
        <v>2822</v>
      </c>
      <c r="C2588" s="6" t="s">
        <v>2823</v>
      </c>
      <c r="D2588" s="6">
        <f t="shared" si="312"/>
        <v>0.5</v>
      </c>
      <c r="E2588" s="6" t="s">
        <v>19</v>
      </c>
      <c r="F2588" s="6" t="str">
        <f>MID(A2588,19,1)</f>
        <v>N</v>
      </c>
      <c r="G2588" s="6">
        <v>-22.809795489162031</v>
      </c>
      <c r="H2588" s="6">
        <v>-47.21354219461859</v>
      </c>
      <c r="I2588" s="9">
        <v>986.22</v>
      </c>
      <c r="K2588" s="6">
        <v>3.89</v>
      </c>
      <c r="L2588" s="6">
        <v>30</v>
      </c>
      <c r="N2588" s="1">
        <f t="shared" si="310"/>
        <v>0</v>
      </c>
      <c r="O2588" s="6" t="s">
        <v>20</v>
      </c>
      <c r="Q2588" s="6" t="s">
        <v>21</v>
      </c>
      <c r="R2588" s="6" t="s">
        <v>21</v>
      </c>
      <c r="S2588" s="6" t="s">
        <v>21</v>
      </c>
      <c r="T2588" s="6" t="s">
        <v>21</v>
      </c>
      <c r="U2588" s="6">
        <f t="shared" si="311"/>
        <v>295.86599999999999</v>
      </c>
      <c r="V2588" s="6">
        <f t="shared" si="317"/>
        <v>295.86599999999999</v>
      </c>
    </row>
    <row r="2589" spans="1:22" hidden="1" x14ac:dyDescent="0.35">
      <c r="A2589" s="6" t="s">
        <v>2837</v>
      </c>
      <c r="B2589" s="6" t="s">
        <v>2822</v>
      </c>
      <c r="C2589" s="6" t="s">
        <v>2823</v>
      </c>
      <c r="D2589" s="6">
        <f t="shared" si="312"/>
        <v>0.5</v>
      </c>
      <c r="E2589" s="6" t="s">
        <v>23</v>
      </c>
      <c r="F2589" s="6" t="str">
        <f>MID(A2589,19,1)</f>
        <v>C</v>
      </c>
      <c r="G2589" s="6">
        <v>-22.80850755675463</v>
      </c>
      <c r="H2589" s="6">
        <v>-47.215527029404541</v>
      </c>
      <c r="I2589" s="9">
        <v>3616.03</v>
      </c>
      <c r="J2589" s="9">
        <f t="shared" ref="J2589:J2594" si="318">I2589/500</f>
        <v>7.2320600000000006</v>
      </c>
      <c r="K2589" s="6">
        <v>3.53</v>
      </c>
      <c r="L2589" s="6">
        <v>30</v>
      </c>
      <c r="N2589" s="1">
        <f t="shared" si="310"/>
        <v>0</v>
      </c>
      <c r="O2589" s="6" t="s">
        <v>20</v>
      </c>
      <c r="Q2589" s="6" t="s">
        <v>21</v>
      </c>
      <c r="R2589" s="6" t="s">
        <v>21</v>
      </c>
      <c r="S2589" s="6" t="s">
        <v>21</v>
      </c>
      <c r="T2589" s="6" t="s">
        <v>21</v>
      </c>
      <c r="U2589" s="6">
        <f t="shared" si="311"/>
        <v>1084.809</v>
      </c>
      <c r="V2589" s="6">
        <f t="shared" si="317"/>
        <v>1084.809</v>
      </c>
    </row>
    <row r="2590" spans="1:22" hidden="1" x14ac:dyDescent="0.35">
      <c r="A2590" s="6" t="s">
        <v>2838</v>
      </c>
      <c r="B2590" s="6" t="s">
        <v>2822</v>
      </c>
      <c r="C2590" s="6" t="s">
        <v>2823</v>
      </c>
      <c r="D2590" s="6">
        <f t="shared" si="312"/>
        <v>0.5</v>
      </c>
      <c r="E2590" s="6" t="s">
        <v>23</v>
      </c>
      <c r="F2590" s="6" t="str">
        <f>MID(A2590,19,1)</f>
        <v>C</v>
      </c>
      <c r="G2590" s="6">
        <v>-22.809328429709101</v>
      </c>
      <c r="H2590" s="6">
        <v>-47.214785322523781</v>
      </c>
      <c r="I2590" s="9">
        <v>3143.21</v>
      </c>
      <c r="J2590" s="9">
        <f t="shared" si="318"/>
        <v>6.2864199999999997</v>
      </c>
      <c r="K2590" s="6">
        <v>5.91</v>
      </c>
      <c r="L2590" s="6">
        <v>30</v>
      </c>
      <c r="N2590" s="1">
        <f t="shared" si="310"/>
        <v>0</v>
      </c>
      <c r="O2590" s="6" t="s">
        <v>20</v>
      </c>
      <c r="Q2590" s="6" t="s">
        <v>21</v>
      </c>
      <c r="R2590" s="6" t="s">
        <v>21</v>
      </c>
      <c r="S2590" s="6" t="s">
        <v>21</v>
      </c>
      <c r="T2590" s="6" t="s">
        <v>21</v>
      </c>
      <c r="U2590" s="6">
        <f t="shared" si="311"/>
        <v>942.96299999999997</v>
      </c>
      <c r="V2590" s="6">
        <f t="shared" si="317"/>
        <v>942.96299999999997</v>
      </c>
    </row>
    <row r="2591" spans="1:22" hidden="1" x14ac:dyDescent="0.35">
      <c r="A2591" s="6" t="s">
        <v>2839</v>
      </c>
      <c r="B2591" s="6" t="s">
        <v>2822</v>
      </c>
      <c r="C2591" s="6" t="s">
        <v>2823</v>
      </c>
      <c r="D2591" s="6">
        <f t="shared" si="312"/>
        <v>0.5</v>
      </c>
      <c r="E2591" s="6" t="s">
        <v>23</v>
      </c>
      <c r="F2591" s="6" t="str">
        <f>MID(A2591,19,1)</f>
        <v>C</v>
      </c>
      <c r="G2591" s="6">
        <v>-22.803771270185699</v>
      </c>
      <c r="H2591" s="6">
        <v>-47.219268051469847</v>
      </c>
      <c r="I2591" s="9">
        <v>2148.1</v>
      </c>
      <c r="J2591" s="9">
        <f t="shared" si="318"/>
        <v>4.2961999999999998</v>
      </c>
      <c r="K2591" s="6">
        <v>4.17</v>
      </c>
      <c r="L2591" s="6">
        <v>30</v>
      </c>
      <c r="N2591" s="1">
        <f t="shared" si="310"/>
        <v>0</v>
      </c>
      <c r="O2591" s="6" t="s">
        <v>20</v>
      </c>
      <c r="Q2591" s="6" t="s">
        <v>21</v>
      </c>
      <c r="R2591" s="6" t="s">
        <v>21</v>
      </c>
      <c r="S2591" s="6" t="s">
        <v>21</v>
      </c>
      <c r="T2591" s="6" t="s">
        <v>21</v>
      </c>
      <c r="U2591" s="6">
        <f t="shared" si="311"/>
        <v>644.42999999999995</v>
      </c>
      <c r="V2591" s="6">
        <f t="shared" si="317"/>
        <v>644.42999999999995</v>
      </c>
    </row>
    <row r="2592" spans="1:22" hidden="1" x14ac:dyDescent="0.35">
      <c r="A2592" s="6" t="s">
        <v>2840</v>
      </c>
      <c r="B2592" s="6" t="s">
        <v>2822</v>
      </c>
      <c r="C2592" s="6" t="s">
        <v>2823</v>
      </c>
      <c r="D2592" s="6">
        <f t="shared" si="312"/>
        <v>0.5</v>
      </c>
      <c r="E2592" s="6" t="s">
        <v>23</v>
      </c>
      <c r="F2592" s="6" t="str">
        <f>MID(A2592,19,1)</f>
        <v>C</v>
      </c>
      <c r="G2592" s="6">
        <v>-22.804547994811799</v>
      </c>
      <c r="H2592" s="6">
        <v>-47.21885071905249</v>
      </c>
      <c r="I2592" s="9">
        <v>295.08999999999997</v>
      </c>
      <c r="J2592" s="9">
        <f t="shared" si="318"/>
        <v>0.59017999999999993</v>
      </c>
      <c r="K2592" s="6">
        <v>4.42</v>
      </c>
      <c r="L2592" s="6">
        <v>0</v>
      </c>
      <c r="N2592" s="1">
        <f t="shared" si="310"/>
        <v>0</v>
      </c>
      <c r="Q2592" s="6" t="s">
        <v>26</v>
      </c>
      <c r="R2592" s="6" t="s">
        <v>21</v>
      </c>
      <c r="S2592" s="6" t="s">
        <v>21</v>
      </c>
      <c r="T2592" s="6" t="s">
        <v>21</v>
      </c>
      <c r="U2592" s="6">
        <f t="shared" si="311"/>
        <v>0</v>
      </c>
    </row>
    <row r="2593" spans="1:22" hidden="1" x14ac:dyDescent="0.35">
      <c r="A2593" s="6" t="s">
        <v>2841</v>
      </c>
      <c r="B2593" s="6" t="s">
        <v>2822</v>
      </c>
      <c r="C2593" s="6" t="s">
        <v>2823</v>
      </c>
      <c r="D2593" s="6">
        <f t="shared" si="312"/>
        <v>0.5</v>
      </c>
      <c r="E2593" s="6" t="s">
        <v>23</v>
      </c>
      <c r="F2593" s="6" t="str">
        <f>MID(A2593,19,1)</f>
        <v>C</v>
      </c>
      <c r="G2593" s="6">
        <v>-22.807858594590851</v>
      </c>
      <c r="H2593" s="6">
        <v>-47.21566667543096</v>
      </c>
      <c r="I2593" s="9">
        <v>940.74</v>
      </c>
      <c r="J2593" s="9">
        <f t="shared" si="318"/>
        <v>1.88148</v>
      </c>
      <c r="K2593" s="6">
        <v>3.28</v>
      </c>
      <c r="L2593" s="6">
        <v>0</v>
      </c>
      <c r="N2593" s="1">
        <f t="shared" si="310"/>
        <v>0</v>
      </c>
      <c r="Q2593" s="6" t="s">
        <v>26</v>
      </c>
      <c r="R2593" s="6" t="s">
        <v>21</v>
      </c>
      <c r="S2593" s="6" t="s">
        <v>21</v>
      </c>
      <c r="T2593" s="6" t="s">
        <v>21</v>
      </c>
      <c r="U2593" s="6">
        <f t="shared" si="311"/>
        <v>0</v>
      </c>
    </row>
    <row r="2594" spans="1:22" hidden="1" x14ac:dyDescent="0.35">
      <c r="A2594" s="6" t="s">
        <v>2842</v>
      </c>
      <c r="B2594" s="6" t="s">
        <v>2822</v>
      </c>
      <c r="C2594" s="6" t="s">
        <v>2823</v>
      </c>
      <c r="D2594" s="6">
        <f t="shared" si="312"/>
        <v>0.5</v>
      </c>
      <c r="E2594" s="6" t="s">
        <v>23</v>
      </c>
      <c r="F2594" s="6" t="str">
        <f>MID(A2594,19,1)</f>
        <v>C</v>
      </c>
      <c r="G2594" s="6">
        <v>-22.86695909857653</v>
      </c>
      <c r="H2594" s="6">
        <v>-47.280015100563872</v>
      </c>
      <c r="I2594" s="9">
        <v>5373.8</v>
      </c>
      <c r="J2594" s="9">
        <f t="shared" si="318"/>
        <v>10.7476</v>
      </c>
      <c r="K2594" s="6">
        <v>4.68</v>
      </c>
      <c r="L2594" s="6">
        <v>80</v>
      </c>
      <c r="N2594" s="1">
        <f t="shared" si="310"/>
        <v>0</v>
      </c>
      <c r="O2594" s="6" t="s">
        <v>20</v>
      </c>
      <c r="Q2594" s="6" t="s">
        <v>21</v>
      </c>
      <c r="R2594" s="6" t="s">
        <v>21</v>
      </c>
      <c r="S2594" s="6" t="s">
        <v>21</v>
      </c>
      <c r="T2594" s="6" t="s">
        <v>21</v>
      </c>
      <c r="U2594" s="6">
        <f t="shared" si="311"/>
        <v>4299.04</v>
      </c>
      <c r="V2594" s="6">
        <f t="shared" ref="V2594:V2657" si="319">(I2594*(L2594/100))</f>
        <v>4299.04</v>
      </c>
    </row>
    <row r="2595" spans="1:22" x14ac:dyDescent="0.35">
      <c r="A2595" s="6" t="s">
        <v>2843</v>
      </c>
      <c r="B2595" s="6" t="s">
        <v>2822</v>
      </c>
      <c r="C2595" s="6" t="s">
        <v>2823</v>
      </c>
      <c r="D2595" s="6">
        <f t="shared" si="312"/>
        <v>0.5</v>
      </c>
      <c r="E2595" s="6" t="s">
        <v>19</v>
      </c>
      <c r="F2595" s="6" t="str">
        <f>MID(A2595,19,1)</f>
        <v>N</v>
      </c>
      <c r="G2595" s="6">
        <v>-22.80920547859024</v>
      </c>
      <c r="H2595" s="6">
        <v>-47.213782768354783</v>
      </c>
      <c r="I2595" s="9">
        <v>6138.1</v>
      </c>
      <c r="K2595" s="6">
        <v>3.67</v>
      </c>
      <c r="L2595" s="6">
        <v>30</v>
      </c>
      <c r="N2595" s="1">
        <f t="shared" si="310"/>
        <v>0</v>
      </c>
      <c r="O2595" s="6" t="s">
        <v>20</v>
      </c>
      <c r="Q2595" s="6" t="s">
        <v>21</v>
      </c>
      <c r="R2595" s="6" t="s">
        <v>21</v>
      </c>
      <c r="S2595" s="6" t="s">
        <v>21</v>
      </c>
      <c r="T2595" s="6" t="s">
        <v>21</v>
      </c>
      <c r="U2595" s="6">
        <f t="shared" si="311"/>
        <v>1841.43</v>
      </c>
      <c r="V2595" s="6">
        <f t="shared" si="319"/>
        <v>1841.43</v>
      </c>
    </row>
    <row r="2596" spans="1:22" x14ac:dyDescent="0.35">
      <c r="A2596" s="6" t="s">
        <v>2844</v>
      </c>
      <c r="B2596" s="6" t="s">
        <v>2822</v>
      </c>
      <c r="C2596" s="6" t="s">
        <v>2823</v>
      </c>
      <c r="D2596" s="6">
        <f t="shared" si="312"/>
        <v>0.5</v>
      </c>
      <c r="E2596" s="6" t="s">
        <v>19</v>
      </c>
      <c r="F2596" s="6" t="str">
        <f>MID(A2596,19,1)</f>
        <v>N</v>
      </c>
      <c r="G2596" s="6">
        <v>-22.809337544257819</v>
      </c>
      <c r="H2596" s="6">
        <v>-47.213321370041797</v>
      </c>
      <c r="I2596" s="9">
        <v>1401.16</v>
      </c>
      <c r="K2596" s="6">
        <v>3.67</v>
      </c>
      <c r="L2596" s="6">
        <v>30</v>
      </c>
      <c r="N2596" s="1">
        <f t="shared" si="310"/>
        <v>0</v>
      </c>
      <c r="O2596" s="6" t="s">
        <v>20</v>
      </c>
      <c r="Q2596" s="6" t="s">
        <v>21</v>
      </c>
      <c r="R2596" s="6" t="s">
        <v>21</v>
      </c>
      <c r="S2596" s="6" t="s">
        <v>21</v>
      </c>
      <c r="T2596" s="6" t="s">
        <v>21</v>
      </c>
      <c r="U2596" s="6">
        <f t="shared" si="311"/>
        <v>420.34800000000001</v>
      </c>
      <c r="V2596" s="6">
        <f t="shared" si="319"/>
        <v>420.34800000000001</v>
      </c>
    </row>
    <row r="2597" spans="1:22" hidden="1" x14ac:dyDescent="0.35">
      <c r="A2597" s="6" t="s">
        <v>2845</v>
      </c>
      <c r="B2597" s="6" t="s">
        <v>2822</v>
      </c>
      <c r="C2597" s="6" t="s">
        <v>2823</v>
      </c>
      <c r="D2597" s="6">
        <f t="shared" si="312"/>
        <v>0.5</v>
      </c>
      <c r="E2597" s="6" t="s">
        <v>19</v>
      </c>
      <c r="F2597" s="6" t="str">
        <f>MID(A2597,19,1)</f>
        <v>S</v>
      </c>
      <c r="G2597" s="6">
        <v>-22.810435901426221</v>
      </c>
      <c r="H2597" s="6">
        <v>-47.21357640161024</v>
      </c>
      <c r="I2597" s="9">
        <v>534.94000000000005</v>
      </c>
      <c r="K2597" s="6">
        <v>3.62</v>
      </c>
      <c r="L2597" s="6">
        <v>30</v>
      </c>
      <c r="N2597" s="1">
        <f t="shared" si="310"/>
        <v>0</v>
      </c>
      <c r="O2597" s="6" t="s">
        <v>20</v>
      </c>
      <c r="Q2597" s="6" t="s">
        <v>21</v>
      </c>
      <c r="R2597" s="6" t="s">
        <v>21</v>
      </c>
      <c r="S2597" s="6" t="s">
        <v>21</v>
      </c>
      <c r="T2597" s="6" t="s">
        <v>21</v>
      </c>
      <c r="U2597" s="6">
        <f t="shared" si="311"/>
        <v>160.482</v>
      </c>
      <c r="V2597" s="6">
        <f t="shared" si="319"/>
        <v>160.482</v>
      </c>
    </row>
    <row r="2598" spans="1:22" hidden="1" x14ac:dyDescent="0.35">
      <c r="A2598" s="6" t="s">
        <v>2846</v>
      </c>
      <c r="B2598" s="6" t="s">
        <v>2822</v>
      </c>
      <c r="C2598" s="6" t="s">
        <v>2823</v>
      </c>
      <c r="D2598" s="6">
        <f t="shared" si="312"/>
        <v>0.5</v>
      </c>
      <c r="E2598" s="6" t="s">
        <v>19</v>
      </c>
      <c r="F2598" s="6" t="str">
        <f>MID(A2598,19,1)</f>
        <v>S</v>
      </c>
      <c r="G2598" s="6">
        <v>-22.809104885178979</v>
      </c>
      <c r="H2598" s="6">
        <v>-47.215342763030797</v>
      </c>
      <c r="I2598" s="9">
        <v>1377.68</v>
      </c>
      <c r="K2598" s="6">
        <v>5.51</v>
      </c>
      <c r="L2598" s="6">
        <v>30</v>
      </c>
      <c r="N2598" s="1">
        <f t="shared" si="310"/>
        <v>0</v>
      </c>
      <c r="O2598" s="6" t="s">
        <v>20</v>
      </c>
      <c r="Q2598" s="6" t="s">
        <v>21</v>
      </c>
      <c r="R2598" s="6" t="s">
        <v>21</v>
      </c>
      <c r="S2598" s="6" t="s">
        <v>21</v>
      </c>
      <c r="T2598" s="6" t="s">
        <v>21</v>
      </c>
      <c r="U2598" s="6">
        <f t="shared" si="311"/>
        <v>413.30400000000003</v>
      </c>
      <c r="V2598" s="6">
        <f t="shared" si="319"/>
        <v>413.30400000000003</v>
      </c>
    </row>
    <row r="2599" spans="1:22" x14ac:dyDescent="0.35">
      <c r="A2599" s="6" t="s">
        <v>2847</v>
      </c>
      <c r="B2599" s="6" t="s">
        <v>2822</v>
      </c>
      <c r="C2599" s="6" t="s">
        <v>2823</v>
      </c>
      <c r="D2599" s="6">
        <f t="shared" si="312"/>
        <v>0.5</v>
      </c>
      <c r="E2599" s="6" t="s">
        <v>19</v>
      </c>
      <c r="F2599" s="6" t="str">
        <f>MID(A2599,19,1)</f>
        <v>N</v>
      </c>
      <c r="G2599" s="6">
        <v>-22.80808750613177</v>
      </c>
      <c r="H2599" s="6">
        <v>-47.214454481719329</v>
      </c>
      <c r="I2599" s="9">
        <v>79.17</v>
      </c>
      <c r="K2599" s="6">
        <v>2.3199999999999998</v>
      </c>
      <c r="L2599" s="6">
        <v>30</v>
      </c>
      <c r="N2599" s="1">
        <f t="shared" si="310"/>
        <v>0</v>
      </c>
      <c r="O2599" s="6" t="s">
        <v>20</v>
      </c>
      <c r="Q2599" s="6" t="s">
        <v>21</v>
      </c>
      <c r="R2599" s="6" t="s">
        <v>21</v>
      </c>
      <c r="S2599" s="6" t="s">
        <v>21</v>
      </c>
      <c r="T2599" s="6" t="s">
        <v>21</v>
      </c>
      <c r="U2599" s="6">
        <f t="shared" si="311"/>
        <v>23.751000000000001</v>
      </c>
      <c r="V2599" s="6">
        <f t="shared" si="319"/>
        <v>23.751000000000001</v>
      </c>
    </row>
    <row r="2600" spans="1:22" x14ac:dyDescent="0.35">
      <c r="A2600" s="6" t="s">
        <v>2848</v>
      </c>
      <c r="B2600" s="6" t="s">
        <v>2822</v>
      </c>
      <c r="C2600" s="6" t="s">
        <v>2823</v>
      </c>
      <c r="D2600" s="6">
        <f t="shared" si="312"/>
        <v>0.5</v>
      </c>
      <c r="E2600" s="6" t="s">
        <v>19</v>
      </c>
      <c r="F2600" s="6" t="str">
        <f>MID(A2600,19,1)</f>
        <v>N</v>
      </c>
      <c r="G2600" s="6">
        <v>-22.805796251550181</v>
      </c>
      <c r="H2600" s="6">
        <v>-47.217413516920253</v>
      </c>
      <c r="I2600" s="9">
        <v>1535.39</v>
      </c>
      <c r="K2600" s="6">
        <v>3.83</v>
      </c>
      <c r="L2600" s="6">
        <v>30</v>
      </c>
      <c r="N2600" s="1">
        <f t="shared" si="310"/>
        <v>0</v>
      </c>
      <c r="O2600" s="6" t="s">
        <v>20</v>
      </c>
      <c r="Q2600" s="6" t="s">
        <v>21</v>
      </c>
      <c r="R2600" s="6" t="s">
        <v>21</v>
      </c>
      <c r="S2600" s="6" t="s">
        <v>21</v>
      </c>
      <c r="T2600" s="6" t="s">
        <v>21</v>
      </c>
      <c r="U2600" s="6">
        <f t="shared" si="311"/>
        <v>460.61700000000002</v>
      </c>
      <c r="V2600" s="6">
        <f t="shared" si="319"/>
        <v>460.61700000000002</v>
      </c>
    </row>
    <row r="2601" spans="1:22" x14ac:dyDescent="0.35">
      <c r="A2601" s="6" t="s">
        <v>2849</v>
      </c>
      <c r="B2601" s="6" t="s">
        <v>2822</v>
      </c>
      <c r="C2601" s="6" t="s">
        <v>2823</v>
      </c>
      <c r="D2601" s="6">
        <f t="shared" si="312"/>
        <v>0.5</v>
      </c>
      <c r="E2601" s="6" t="s">
        <v>19</v>
      </c>
      <c r="F2601" s="6" t="str">
        <f>MID(A2601,19,1)</f>
        <v>N</v>
      </c>
      <c r="G2601" s="6">
        <v>-22.804436848089448</v>
      </c>
      <c r="H2601" s="6">
        <v>-47.21869301380795</v>
      </c>
      <c r="I2601" s="9">
        <v>425.49</v>
      </c>
      <c r="K2601" s="6">
        <v>3.87</v>
      </c>
      <c r="L2601" s="6">
        <v>30</v>
      </c>
      <c r="N2601" s="1">
        <f t="shared" si="310"/>
        <v>0</v>
      </c>
      <c r="O2601" s="6" t="s">
        <v>20</v>
      </c>
      <c r="Q2601" s="6" t="s">
        <v>21</v>
      </c>
      <c r="R2601" s="6" t="s">
        <v>21</v>
      </c>
      <c r="S2601" s="6" t="s">
        <v>21</v>
      </c>
      <c r="T2601" s="6" t="s">
        <v>21</v>
      </c>
      <c r="U2601" s="6">
        <f t="shared" si="311"/>
        <v>127.64699999999999</v>
      </c>
      <c r="V2601" s="6">
        <f t="shared" si="319"/>
        <v>127.64699999999999</v>
      </c>
    </row>
    <row r="2602" spans="1:22" hidden="1" x14ac:dyDescent="0.35">
      <c r="A2602" s="6" t="s">
        <v>2850</v>
      </c>
      <c r="B2602" s="6" t="s">
        <v>2822</v>
      </c>
      <c r="C2602" s="6" t="s">
        <v>2823</v>
      </c>
      <c r="D2602" s="6">
        <f t="shared" si="312"/>
        <v>0.5</v>
      </c>
      <c r="E2602" s="6" t="s">
        <v>19</v>
      </c>
      <c r="F2602" s="6" t="str">
        <f>MID(A2602,19,1)</f>
        <v>S</v>
      </c>
      <c r="G2602" s="6">
        <v>-22.869817033123319</v>
      </c>
      <c r="H2602" s="6">
        <v>-47.276671897693262</v>
      </c>
      <c r="I2602" s="9">
        <v>1864.06</v>
      </c>
      <c r="K2602" s="6">
        <v>3.49</v>
      </c>
      <c r="L2602" s="6">
        <v>70</v>
      </c>
      <c r="N2602" s="1">
        <f t="shared" si="310"/>
        <v>0</v>
      </c>
      <c r="O2602" s="6" t="s">
        <v>20</v>
      </c>
      <c r="Q2602" s="6" t="s">
        <v>21</v>
      </c>
      <c r="R2602" s="6" t="s">
        <v>21</v>
      </c>
      <c r="S2602" s="6" t="s">
        <v>21</v>
      </c>
      <c r="T2602" s="6" t="s">
        <v>21</v>
      </c>
      <c r="U2602" s="6">
        <f t="shared" si="311"/>
        <v>1304.8419999999999</v>
      </c>
      <c r="V2602" s="6">
        <f t="shared" si="319"/>
        <v>1304.8419999999999</v>
      </c>
    </row>
    <row r="2603" spans="1:22" x14ac:dyDescent="0.35">
      <c r="A2603" s="6" t="s">
        <v>2851</v>
      </c>
      <c r="B2603" s="6" t="s">
        <v>2822</v>
      </c>
      <c r="C2603" s="6" t="s">
        <v>2823</v>
      </c>
      <c r="D2603" s="6">
        <f t="shared" si="312"/>
        <v>0.5</v>
      </c>
      <c r="E2603" s="6" t="s">
        <v>19</v>
      </c>
      <c r="F2603" s="6" t="str">
        <f>MID(A2603,19,1)</f>
        <v>N</v>
      </c>
      <c r="G2603" s="6">
        <v>-22.808271571822669</v>
      </c>
      <c r="H2603" s="6">
        <v>-47.215046837536129</v>
      </c>
      <c r="I2603" s="9">
        <v>258.33</v>
      </c>
      <c r="K2603" s="6">
        <v>2.82</v>
      </c>
      <c r="L2603" s="6">
        <v>30</v>
      </c>
      <c r="N2603" s="1">
        <f t="shared" si="310"/>
        <v>0</v>
      </c>
      <c r="O2603" s="6" t="s">
        <v>20</v>
      </c>
      <c r="Q2603" s="6" t="s">
        <v>21</v>
      </c>
      <c r="R2603" s="6" t="s">
        <v>21</v>
      </c>
      <c r="S2603" s="6" t="s">
        <v>21</v>
      </c>
      <c r="T2603" s="6" t="s">
        <v>21</v>
      </c>
      <c r="U2603" s="6">
        <f t="shared" si="311"/>
        <v>77.498999999999995</v>
      </c>
      <c r="V2603" s="6">
        <f t="shared" si="319"/>
        <v>77.498999999999995</v>
      </c>
    </row>
    <row r="2604" spans="1:22" x14ac:dyDescent="0.35">
      <c r="A2604" s="6" t="s">
        <v>2852</v>
      </c>
      <c r="B2604" s="6" t="s">
        <v>2822</v>
      </c>
      <c r="C2604" s="6" t="s">
        <v>2823</v>
      </c>
      <c r="D2604" s="6">
        <f t="shared" si="312"/>
        <v>0.5</v>
      </c>
      <c r="E2604" s="6" t="s">
        <v>19</v>
      </c>
      <c r="F2604" s="6" t="str">
        <f>MID(A2604,19,1)</f>
        <v>N</v>
      </c>
      <c r="G2604" s="6">
        <v>-22.805031801769861</v>
      </c>
      <c r="H2604" s="6">
        <v>-47.217956458649937</v>
      </c>
      <c r="I2604" s="9">
        <v>112.28</v>
      </c>
      <c r="K2604" s="6">
        <v>4.82</v>
      </c>
      <c r="L2604" s="6">
        <v>30</v>
      </c>
      <c r="N2604" s="1">
        <f t="shared" si="310"/>
        <v>0</v>
      </c>
      <c r="O2604" s="6" t="s">
        <v>20</v>
      </c>
      <c r="Q2604" s="6" t="s">
        <v>21</v>
      </c>
      <c r="R2604" s="6" t="s">
        <v>21</v>
      </c>
      <c r="S2604" s="6" t="s">
        <v>21</v>
      </c>
      <c r="T2604" s="6" t="s">
        <v>21</v>
      </c>
      <c r="U2604" s="6">
        <f t="shared" si="311"/>
        <v>33.683999999999997</v>
      </c>
      <c r="V2604" s="6">
        <f t="shared" si="319"/>
        <v>33.683999999999997</v>
      </c>
    </row>
    <row r="2605" spans="1:22" x14ac:dyDescent="0.35">
      <c r="A2605" s="6" t="s">
        <v>2853</v>
      </c>
      <c r="B2605" s="6" t="s">
        <v>2822</v>
      </c>
      <c r="C2605" s="6" t="s">
        <v>2823</v>
      </c>
      <c r="D2605" s="6">
        <f t="shared" si="312"/>
        <v>0.5</v>
      </c>
      <c r="E2605" s="6" t="s">
        <v>19</v>
      </c>
      <c r="F2605" s="6" t="str">
        <f>MID(A2605,19,1)</f>
        <v>N</v>
      </c>
      <c r="G2605" s="6">
        <v>-22.807472345468401</v>
      </c>
      <c r="H2605" s="6">
        <v>-47.2158116964901</v>
      </c>
      <c r="I2605" s="9">
        <v>441.9</v>
      </c>
      <c r="K2605" s="6">
        <v>3.35</v>
      </c>
      <c r="L2605" s="6">
        <v>30</v>
      </c>
      <c r="N2605" s="1">
        <f t="shared" si="310"/>
        <v>0</v>
      </c>
      <c r="O2605" s="6" t="s">
        <v>20</v>
      </c>
      <c r="Q2605" s="6" t="s">
        <v>21</v>
      </c>
      <c r="R2605" s="6" t="s">
        <v>21</v>
      </c>
      <c r="S2605" s="6" t="s">
        <v>21</v>
      </c>
      <c r="T2605" s="6" t="s">
        <v>21</v>
      </c>
      <c r="U2605" s="6">
        <f t="shared" si="311"/>
        <v>132.57</v>
      </c>
      <c r="V2605" s="6">
        <f t="shared" si="319"/>
        <v>132.57</v>
      </c>
    </row>
    <row r="2606" spans="1:22" x14ac:dyDescent="0.35">
      <c r="A2606" s="6" t="s">
        <v>2854</v>
      </c>
      <c r="B2606" s="6" t="s">
        <v>2822</v>
      </c>
      <c r="C2606" s="6" t="s">
        <v>2823</v>
      </c>
      <c r="D2606" s="6">
        <f t="shared" si="312"/>
        <v>0.5</v>
      </c>
      <c r="E2606" s="6" t="s">
        <v>19</v>
      </c>
      <c r="F2606" s="6" t="str">
        <f>MID(A2606,19,1)</f>
        <v>N</v>
      </c>
      <c r="G2606" s="6">
        <v>-22.807826711962779</v>
      </c>
      <c r="H2606" s="6">
        <v>-47.215243586105458</v>
      </c>
      <c r="I2606" s="9">
        <v>1246.7</v>
      </c>
      <c r="K2606" s="6">
        <v>3.02</v>
      </c>
      <c r="L2606" s="6">
        <v>30</v>
      </c>
      <c r="N2606" s="1">
        <f t="shared" si="310"/>
        <v>0</v>
      </c>
      <c r="O2606" s="6" t="s">
        <v>20</v>
      </c>
      <c r="Q2606" s="6" t="s">
        <v>21</v>
      </c>
      <c r="R2606" s="6" t="s">
        <v>21</v>
      </c>
      <c r="S2606" s="6" t="s">
        <v>21</v>
      </c>
      <c r="T2606" s="6" t="s">
        <v>21</v>
      </c>
      <c r="U2606" s="6">
        <f t="shared" si="311"/>
        <v>374.01</v>
      </c>
      <c r="V2606" s="6">
        <f t="shared" si="319"/>
        <v>374.01</v>
      </c>
    </row>
    <row r="2607" spans="1:22" hidden="1" x14ac:dyDescent="0.35">
      <c r="A2607" s="6" t="s">
        <v>2855</v>
      </c>
      <c r="B2607" s="6" t="s">
        <v>2822</v>
      </c>
      <c r="C2607" s="6" t="s">
        <v>2823</v>
      </c>
      <c r="D2607" s="6">
        <f t="shared" si="312"/>
        <v>0.5</v>
      </c>
      <c r="E2607" s="6" t="s">
        <v>19</v>
      </c>
      <c r="F2607" s="6" t="str">
        <f>MID(A2607,19,1)</f>
        <v>S</v>
      </c>
      <c r="G2607" s="6">
        <v>-22.867131167656019</v>
      </c>
      <c r="H2607" s="6">
        <v>-47.280139886774897</v>
      </c>
      <c r="I2607" s="9">
        <v>1856.08</v>
      </c>
      <c r="K2607" s="6">
        <v>5.14</v>
      </c>
      <c r="L2607" s="6">
        <v>70</v>
      </c>
      <c r="N2607" s="1">
        <f t="shared" si="310"/>
        <v>0</v>
      </c>
      <c r="O2607" s="6" t="s">
        <v>20</v>
      </c>
      <c r="Q2607" s="6" t="s">
        <v>21</v>
      </c>
      <c r="R2607" s="6" t="s">
        <v>21</v>
      </c>
      <c r="S2607" s="6" t="s">
        <v>21</v>
      </c>
      <c r="T2607" s="6" t="s">
        <v>21</v>
      </c>
      <c r="U2607" s="6">
        <f t="shared" si="311"/>
        <v>1299.2559999999999</v>
      </c>
      <c r="V2607" s="6">
        <f t="shared" si="319"/>
        <v>1299.2559999999999</v>
      </c>
    </row>
    <row r="2608" spans="1:22" hidden="1" x14ac:dyDescent="0.35">
      <c r="A2608" s="6" t="s">
        <v>2856</v>
      </c>
      <c r="B2608" s="6" t="s">
        <v>2822</v>
      </c>
      <c r="C2608" s="6" t="s">
        <v>2823</v>
      </c>
      <c r="D2608" s="6">
        <f t="shared" si="312"/>
        <v>0.5</v>
      </c>
      <c r="E2608" s="6" t="s">
        <v>19</v>
      </c>
      <c r="F2608" s="6" t="str">
        <f>MID(A2608,19,1)</f>
        <v>S</v>
      </c>
      <c r="G2608" s="6">
        <v>-22.809316088234151</v>
      </c>
      <c r="H2608" s="6">
        <v>-47.214989690100253</v>
      </c>
      <c r="I2608" s="9">
        <v>2286.39</v>
      </c>
      <c r="K2608" s="6">
        <v>4.3</v>
      </c>
      <c r="L2608" s="6">
        <v>30</v>
      </c>
      <c r="N2608" s="1">
        <f t="shared" si="310"/>
        <v>0</v>
      </c>
      <c r="O2608" s="6" t="s">
        <v>20</v>
      </c>
      <c r="Q2608" s="6" t="s">
        <v>21</v>
      </c>
      <c r="R2608" s="6" t="s">
        <v>21</v>
      </c>
      <c r="S2608" s="6" t="s">
        <v>21</v>
      </c>
      <c r="T2608" s="6" t="s">
        <v>21</v>
      </c>
      <c r="U2608" s="6">
        <f t="shared" si="311"/>
        <v>685.91699999999992</v>
      </c>
      <c r="V2608" s="6">
        <f t="shared" si="319"/>
        <v>685.91699999999992</v>
      </c>
    </row>
    <row r="2609" spans="1:22" x14ac:dyDescent="0.35">
      <c r="A2609" s="6" t="s">
        <v>2857</v>
      </c>
      <c r="B2609" s="6" t="s">
        <v>2858</v>
      </c>
      <c r="C2609" s="6" t="s">
        <v>2859</v>
      </c>
      <c r="D2609" s="6">
        <f t="shared" si="312"/>
        <v>0.5</v>
      </c>
      <c r="E2609" s="6" t="s">
        <v>19</v>
      </c>
      <c r="F2609" s="6" t="str">
        <f>MID(A2609,19,1)</f>
        <v>N</v>
      </c>
      <c r="G2609" s="6">
        <v>-22.863013291545549</v>
      </c>
      <c r="H2609" s="6">
        <v>-47.284337125766818</v>
      </c>
      <c r="I2609" s="9">
        <v>1012.38</v>
      </c>
      <c r="K2609" s="6">
        <v>3.01</v>
      </c>
      <c r="L2609" s="6">
        <v>70</v>
      </c>
      <c r="N2609" s="1">
        <f t="shared" si="310"/>
        <v>0</v>
      </c>
      <c r="O2609" s="6" t="s">
        <v>20</v>
      </c>
      <c r="Q2609" s="6" t="s">
        <v>21</v>
      </c>
      <c r="R2609" s="6" t="s">
        <v>21</v>
      </c>
      <c r="S2609" s="6" t="s">
        <v>21</v>
      </c>
      <c r="T2609" s="6" t="s">
        <v>21</v>
      </c>
      <c r="U2609" s="6">
        <f t="shared" si="311"/>
        <v>708.66599999999994</v>
      </c>
      <c r="V2609" s="6">
        <f t="shared" si="319"/>
        <v>708.66599999999994</v>
      </c>
    </row>
    <row r="2610" spans="1:22" hidden="1" x14ac:dyDescent="0.35">
      <c r="A2610" s="6" t="s">
        <v>2860</v>
      </c>
      <c r="B2610" s="6" t="s">
        <v>2858</v>
      </c>
      <c r="C2610" s="6" t="s">
        <v>2859</v>
      </c>
      <c r="D2610" s="6">
        <f t="shared" si="312"/>
        <v>0.5</v>
      </c>
      <c r="E2610" s="6" t="s">
        <v>19</v>
      </c>
      <c r="F2610" s="6" t="str">
        <f>MID(A2610,19,1)</f>
        <v>S</v>
      </c>
      <c r="G2610" s="6">
        <v>-22.803285885707378</v>
      </c>
      <c r="H2610" s="6">
        <v>-47.221609511237183</v>
      </c>
      <c r="I2610" s="9">
        <v>19.350000000000001</v>
      </c>
      <c r="K2610" s="6">
        <v>1.77</v>
      </c>
      <c r="L2610" s="6">
        <v>0</v>
      </c>
      <c r="N2610" s="1">
        <f t="shared" si="310"/>
        <v>0</v>
      </c>
      <c r="Q2610" s="6" t="s">
        <v>21</v>
      </c>
      <c r="R2610" s="6" t="s">
        <v>21</v>
      </c>
      <c r="S2610" s="6" t="s">
        <v>21</v>
      </c>
      <c r="T2610" s="6" t="s">
        <v>21</v>
      </c>
      <c r="U2610" s="6">
        <f t="shared" si="311"/>
        <v>0</v>
      </c>
      <c r="V2610" s="6">
        <f t="shared" si="319"/>
        <v>0</v>
      </c>
    </row>
    <row r="2611" spans="1:22" hidden="1" x14ac:dyDescent="0.35">
      <c r="A2611" s="6" t="s">
        <v>2861</v>
      </c>
      <c r="B2611" s="6" t="s">
        <v>2858</v>
      </c>
      <c r="C2611" s="6" t="s">
        <v>2859</v>
      </c>
      <c r="D2611" s="6">
        <f t="shared" si="312"/>
        <v>0.5</v>
      </c>
      <c r="E2611" s="6" t="s">
        <v>23</v>
      </c>
      <c r="F2611" s="6" t="str">
        <f>MID(A2611,19,1)</f>
        <v>C</v>
      </c>
      <c r="G2611" s="6">
        <v>-22.865378744449441</v>
      </c>
      <c r="H2611" s="6">
        <v>-47.281889816989242</v>
      </c>
      <c r="I2611" s="9">
        <v>342.01</v>
      </c>
      <c r="J2611" s="9">
        <f>I2611/500</f>
        <v>0.68401999999999996</v>
      </c>
      <c r="K2611" s="6">
        <v>1.32</v>
      </c>
      <c r="L2611" s="6">
        <v>80</v>
      </c>
      <c r="N2611" s="1">
        <f t="shared" si="310"/>
        <v>0</v>
      </c>
      <c r="O2611" s="6" t="s">
        <v>20</v>
      </c>
      <c r="Q2611" s="6" t="s">
        <v>21</v>
      </c>
      <c r="R2611" s="6" t="s">
        <v>21</v>
      </c>
      <c r="S2611" s="6" t="s">
        <v>21</v>
      </c>
      <c r="T2611" s="6" t="s">
        <v>21</v>
      </c>
      <c r="U2611" s="6">
        <f t="shared" si="311"/>
        <v>273.608</v>
      </c>
      <c r="V2611" s="6">
        <f t="shared" si="319"/>
        <v>273.608</v>
      </c>
    </row>
    <row r="2612" spans="1:22" hidden="1" x14ac:dyDescent="0.35">
      <c r="A2612" s="6" t="s">
        <v>2862</v>
      </c>
      <c r="B2612" s="6" t="s">
        <v>2858</v>
      </c>
      <c r="C2612" s="6" t="s">
        <v>2859</v>
      </c>
      <c r="D2612" s="6">
        <f t="shared" si="312"/>
        <v>0.5</v>
      </c>
      <c r="E2612" s="6" t="s">
        <v>19</v>
      </c>
      <c r="F2612" s="6" t="str">
        <f>MID(A2612,19,1)</f>
        <v>S</v>
      </c>
      <c r="G2612" s="6">
        <v>-22.860429318456269</v>
      </c>
      <c r="H2612" s="6">
        <v>-47.289393764709793</v>
      </c>
      <c r="I2612" s="9">
        <v>3548.25</v>
      </c>
      <c r="K2612" s="6">
        <v>5.1100000000000003</v>
      </c>
      <c r="L2612" s="6">
        <v>70</v>
      </c>
      <c r="N2612" s="1">
        <f t="shared" si="310"/>
        <v>0</v>
      </c>
      <c r="O2612" s="6" t="s">
        <v>20</v>
      </c>
      <c r="Q2612" s="6" t="s">
        <v>21</v>
      </c>
      <c r="R2612" s="6" t="s">
        <v>21</v>
      </c>
      <c r="S2612" s="6" t="s">
        <v>21</v>
      </c>
      <c r="T2612" s="6" t="s">
        <v>21</v>
      </c>
      <c r="U2612" s="6">
        <f t="shared" si="311"/>
        <v>2483.7749999999996</v>
      </c>
      <c r="V2612" s="6">
        <f t="shared" si="319"/>
        <v>2483.7749999999996</v>
      </c>
    </row>
    <row r="2613" spans="1:22" hidden="1" x14ac:dyDescent="0.35">
      <c r="A2613" s="6" t="s">
        <v>2863</v>
      </c>
      <c r="B2613" s="6" t="s">
        <v>2858</v>
      </c>
      <c r="C2613" s="6" t="s">
        <v>2859</v>
      </c>
      <c r="D2613" s="6">
        <f t="shared" si="312"/>
        <v>0.5</v>
      </c>
      <c r="E2613" s="6" t="s">
        <v>19</v>
      </c>
      <c r="F2613" s="6" t="str">
        <f>MID(A2613,19,1)</f>
        <v>S</v>
      </c>
      <c r="G2613" s="6">
        <v>-22.86403295668439</v>
      </c>
      <c r="H2613" s="6">
        <v>-47.283834295294248</v>
      </c>
      <c r="I2613" s="9">
        <v>1850.83</v>
      </c>
      <c r="K2613" s="6">
        <v>2.97</v>
      </c>
      <c r="L2613" s="6">
        <v>70</v>
      </c>
      <c r="N2613" s="1">
        <f t="shared" si="310"/>
        <v>0</v>
      </c>
      <c r="O2613" s="6" t="s">
        <v>20</v>
      </c>
      <c r="Q2613" s="6" t="s">
        <v>21</v>
      </c>
      <c r="R2613" s="6" t="s">
        <v>21</v>
      </c>
      <c r="S2613" s="6" t="s">
        <v>21</v>
      </c>
      <c r="T2613" s="6" t="s">
        <v>21</v>
      </c>
      <c r="U2613" s="6">
        <f t="shared" si="311"/>
        <v>1295.5809999999999</v>
      </c>
      <c r="V2613" s="6">
        <f t="shared" si="319"/>
        <v>1295.5809999999999</v>
      </c>
    </row>
    <row r="2614" spans="1:22" hidden="1" x14ac:dyDescent="0.35">
      <c r="A2614" s="6" t="s">
        <v>2864</v>
      </c>
      <c r="B2614" s="6" t="s">
        <v>2858</v>
      </c>
      <c r="C2614" s="6" t="s">
        <v>2859</v>
      </c>
      <c r="D2614" s="6">
        <f t="shared" si="312"/>
        <v>0.5</v>
      </c>
      <c r="E2614" s="6" t="s">
        <v>19</v>
      </c>
      <c r="F2614" s="6" t="str">
        <f>MID(A2614,19,1)</f>
        <v>S</v>
      </c>
      <c r="G2614" s="6">
        <v>-22.86125698180382</v>
      </c>
      <c r="H2614" s="6">
        <v>-47.287910357833788</v>
      </c>
      <c r="I2614" s="9">
        <v>2290.12</v>
      </c>
      <c r="K2614" s="6">
        <v>4.9800000000000004</v>
      </c>
      <c r="L2614" s="6">
        <v>70</v>
      </c>
      <c r="N2614" s="1">
        <f t="shared" si="310"/>
        <v>0</v>
      </c>
      <c r="O2614" s="6" t="s">
        <v>20</v>
      </c>
      <c r="Q2614" s="6" t="s">
        <v>21</v>
      </c>
      <c r="R2614" s="6" t="s">
        <v>21</v>
      </c>
      <c r="S2614" s="6" t="s">
        <v>21</v>
      </c>
      <c r="T2614" s="6" t="s">
        <v>21</v>
      </c>
      <c r="U2614" s="6">
        <f t="shared" si="311"/>
        <v>1603.0839999999998</v>
      </c>
      <c r="V2614" s="6">
        <f t="shared" si="319"/>
        <v>1603.0839999999998</v>
      </c>
    </row>
    <row r="2615" spans="1:22" x14ac:dyDescent="0.35">
      <c r="A2615" s="6" t="s">
        <v>2865</v>
      </c>
      <c r="B2615" s="6" t="s">
        <v>2858</v>
      </c>
      <c r="C2615" s="6" t="s">
        <v>2859</v>
      </c>
      <c r="D2615" s="6">
        <f t="shared" si="312"/>
        <v>0.5</v>
      </c>
      <c r="E2615" s="6" t="s">
        <v>19</v>
      </c>
      <c r="F2615" s="6" t="str">
        <f>MID(A2615,19,1)</f>
        <v>N</v>
      </c>
      <c r="G2615" s="6">
        <v>-22.798449701359061</v>
      </c>
      <c r="H2615" s="6">
        <v>-47.222680983155378</v>
      </c>
      <c r="I2615" s="9">
        <v>1751.7</v>
      </c>
      <c r="K2615" s="6">
        <v>3.32</v>
      </c>
      <c r="L2615" s="6">
        <v>30</v>
      </c>
      <c r="N2615" s="1">
        <f t="shared" si="310"/>
        <v>0</v>
      </c>
      <c r="O2615" s="6" t="s">
        <v>20</v>
      </c>
      <c r="Q2615" s="6" t="s">
        <v>21</v>
      </c>
      <c r="R2615" s="6" t="s">
        <v>21</v>
      </c>
      <c r="S2615" s="6" t="s">
        <v>21</v>
      </c>
      <c r="T2615" s="6" t="s">
        <v>21</v>
      </c>
      <c r="U2615" s="6">
        <f t="shared" si="311"/>
        <v>525.51</v>
      </c>
      <c r="V2615" s="6">
        <f t="shared" si="319"/>
        <v>525.51</v>
      </c>
    </row>
    <row r="2616" spans="1:22" hidden="1" x14ac:dyDescent="0.35">
      <c r="A2616" s="6" t="s">
        <v>2866</v>
      </c>
      <c r="B2616" s="6" t="s">
        <v>2858</v>
      </c>
      <c r="C2616" s="6" t="s">
        <v>2859</v>
      </c>
      <c r="D2616" s="6">
        <f t="shared" si="312"/>
        <v>0.5</v>
      </c>
      <c r="E2616" s="6" t="s">
        <v>23</v>
      </c>
      <c r="F2616" s="6" t="str">
        <f>MID(A2616,19,1)</f>
        <v>C</v>
      </c>
      <c r="G2616" s="6">
        <v>-22.797672735920411</v>
      </c>
      <c r="H2616" s="6">
        <v>-47.223492516208857</v>
      </c>
      <c r="I2616" s="9">
        <v>2289.84</v>
      </c>
      <c r="J2616" s="9">
        <f>I2616/500</f>
        <v>4.5796800000000006</v>
      </c>
      <c r="K2616" s="6">
        <v>3.21</v>
      </c>
      <c r="L2616" s="6">
        <v>50</v>
      </c>
      <c r="N2616" s="1">
        <f t="shared" si="310"/>
        <v>0</v>
      </c>
      <c r="O2616" s="6" t="s">
        <v>20</v>
      </c>
      <c r="Q2616" s="6" t="s">
        <v>21</v>
      </c>
      <c r="R2616" s="6" t="s">
        <v>21</v>
      </c>
      <c r="S2616" s="6" t="s">
        <v>21</v>
      </c>
      <c r="T2616" s="6" t="s">
        <v>21</v>
      </c>
      <c r="U2616" s="6">
        <f t="shared" si="311"/>
        <v>1144.92</v>
      </c>
      <c r="V2616" s="6">
        <f t="shared" si="319"/>
        <v>1144.92</v>
      </c>
    </row>
    <row r="2617" spans="1:22" hidden="1" x14ac:dyDescent="0.35">
      <c r="A2617" s="6" t="s">
        <v>2867</v>
      </c>
      <c r="B2617" s="6" t="s">
        <v>2858</v>
      </c>
      <c r="C2617" s="6" t="s">
        <v>2859</v>
      </c>
      <c r="D2617" s="6">
        <f t="shared" si="312"/>
        <v>0.5</v>
      </c>
      <c r="E2617" s="6" t="s">
        <v>19</v>
      </c>
      <c r="F2617" s="6" t="str">
        <f>MID(A2617,19,1)</f>
        <v>S</v>
      </c>
      <c r="G2617" s="6">
        <v>-22.865511609052881</v>
      </c>
      <c r="H2617" s="6">
        <v>-47.282065548528692</v>
      </c>
      <c r="I2617" s="9">
        <v>82.51</v>
      </c>
      <c r="K2617" s="6">
        <v>0.93</v>
      </c>
      <c r="L2617" s="6">
        <v>0</v>
      </c>
      <c r="N2617" s="1">
        <f t="shared" si="310"/>
        <v>0</v>
      </c>
      <c r="Q2617" s="6" t="s">
        <v>21</v>
      </c>
      <c r="R2617" s="6" t="s">
        <v>21</v>
      </c>
      <c r="S2617" s="6" t="s">
        <v>21</v>
      </c>
      <c r="T2617" s="6" t="s">
        <v>21</v>
      </c>
      <c r="U2617" s="6">
        <f t="shared" si="311"/>
        <v>0</v>
      </c>
      <c r="V2617" s="6">
        <f t="shared" si="319"/>
        <v>0</v>
      </c>
    </row>
    <row r="2618" spans="1:22" hidden="1" x14ac:dyDescent="0.35">
      <c r="A2618" s="6" t="s">
        <v>2868</v>
      </c>
      <c r="B2618" s="6" t="s">
        <v>2858</v>
      </c>
      <c r="C2618" s="6" t="s">
        <v>2859</v>
      </c>
      <c r="D2618" s="6">
        <f t="shared" si="312"/>
        <v>0.5</v>
      </c>
      <c r="E2618" s="6" t="s">
        <v>19</v>
      </c>
      <c r="F2618" s="6" t="str">
        <f>MID(A2618,19,1)</f>
        <v>S</v>
      </c>
      <c r="G2618" s="6">
        <v>-22.801131891646261</v>
      </c>
      <c r="H2618" s="6">
        <v>-47.222099381599477</v>
      </c>
      <c r="I2618" s="9">
        <v>868.3</v>
      </c>
      <c r="K2618" s="6">
        <v>3.25</v>
      </c>
      <c r="L2618" s="6">
        <v>30</v>
      </c>
      <c r="N2618" s="1">
        <f t="shared" si="310"/>
        <v>0</v>
      </c>
      <c r="O2618" s="6" t="s">
        <v>20</v>
      </c>
      <c r="Q2618" s="6" t="s">
        <v>21</v>
      </c>
      <c r="R2618" s="6" t="s">
        <v>21</v>
      </c>
      <c r="S2618" s="6" t="s">
        <v>21</v>
      </c>
      <c r="T2618" s="6" t="s">
        <v>21</v>
      </c>
      <c r="U2618" s="6">
        <f t="shared" si="311"/>
        <v>260.48999999999995</v>
      </c>
      <c r="V2618" s="6">
        <f t="shared" si="319"/>
        <v>260.48999999999995</v>
      </c>
    </row>
    <row r="2619" spans="1:22" hidden="1" x14ac:dyDescent="0.35">
      <c r="A2619" s="6" t="s">
        <v>2869</v>
      </c>
      <c r="B2619" s="6" t="s">
        <v>2858</v>
      </c>
      <c r="C2619" s="6" t="s">
        <v>2859</v>
      </c>
      <c r="D2619" s="6">
        <f t="shared" si="312"/>
        <v>0.5</v>
      </c>
      <c r="E2619" s="6" t="s">
        <v>19</v>
      </c>
      <c r="F2619" s="6" t="str">
        <f>MID(A2619,19,1)</f>
        <v>S</v>
      </c>
      <c r="G2619" s="6">
        <v>-22.803435079457319</v>
      </c>
      <c r="H2619" s="6">
        <v>-47.220888048701077</v>
      </c>
      <c r="I2619" s="9">
        <v>7377.92</v>
      </c>
      <c r="K2619" s="6">
        <v>2.69</v>
      </c>
      <c r="L2619" s="6">
        <v>30</v>
      </c>
      <c r="N2619" s="1">
        <f t="shared" si="310"/>
        <v>0</v>
      </c>
      <c r="O2619" s="6" t="s">
        <v>20</v>
      </c>
      <c r="Q2619" s="6" t="s">
        <v>21</v>
      </c>
      <c r="R2619" s="6" t="s">
        <v>21</v>
      </c>
      <c r="S2619" s="6" t="s">
        <v>21</v>
      </c>
      <c r="T2619" s="6" t="s">
        <v>21</v>
      </c>
      <c r="U2619" s="6">
        <f t="shared" si="311"/>
        <v>2213.3759999999997</v>
      </c>
      <c r="V2619" s="6">
        <f t="shared" si="319"/>
        <v>2213.3759999999997</v>
      </c>
    </row>
    <row r="2620" spans="1:22" hidden="1" x14ac:dyDescent="0.35">
      <c r="A2620" s="6" t="s">
        <v>2870</v>
      </c>
      <c r="B2620" s="6" t="s">
        <v>2858</v>
      </c>
      <c r="C2620" s="6" t="s">
        <v>2859</v>
      </c>
      <c r="D2620" s="6">
        <f t="shared" si="312"/>
        <v>0.5</v>
      </c>
      <c r="E2620" s="6" t="s">
        <v>23</v>
      </c>
      <c r="F2620" s="6" t="str">
        <f>MID(A2620,19,1)</f>
        <v>C</v>
      </c>
      <c r="G2620" s="6">
        <v>-22.802696104562141</v>
      </c>
      <c r="H2620" s="6">
        <v>-47.220179100061713</v>
      </c>
      <c r="I2620" s="9">
        <v>3117.57</v>
      </c>
      <c r="J2620" s="9">
        <f>I2620/500</f>
        <v>6.2351400000000003</v>
      </c>
      <c r="K2620" s="6">
        <v>2.5</v>
      </c>
      <c r="L2620" s="6">
        <v>30</v>
      </c>
      <c r="N2620" s="1">
        <f t="shared" si="310"/>
        <v>0</v>
      </c>
      <c r="O2620" s="6" t="s">
        <v>20</v>
      </c>
      <c r="Q2620" s="6" t="s">
        <v>21</v>
      </c>
      <c r="R2620" s="6" t="s">
        <v>21</v>
      </c>
      <c r="S2620" s="6" t="s">
        <v>21</v>
      </c>
      <c r="T2620" s="6" t="s">
        <v>21</v>
      </c>
      <c r="U2620" s="6">
        <f t="shared" si="311"/>
        <v>935.27099999999996</v>
      </c>
      <c r="V2620" s="6">
        <f t="shared" si="319"/>
        <v>935.27099999999996</v>
      </c>
    </row>
    <row r="2621" spans="1:22" x14ac:dyDescent="0.35">
      <c r="A2621" s="6" t="s">
        <v>2871</v>
      </c>
      <c r="B2621" s="6" t="s">
        <v>2858</v>
      </c>
      <c r="C2621" s="6" t="s">
        <v>2859</v>
      </c>
      <c r="D2621" s="6">
        <f t="shared" si="312"/>
        <v>0.5</v>
      </c>
      <c r="E2621" s="6" t="s">
        <v>19</v>
      </c>
      <c r="F2621" s="6" t="str">
        <f>MID(A2621,19,1)</f>
        <v>N</v>
      </c>
      <c r="G2621" s="6">
        <v>-22.80223149777494</v>
      </c>
      <c r="H2621" s="6">
        <v>-47.220291834018241</v>
      </c>
      <c r="I2621" s="9">
        <v>2208.25</v>
      </c>
      <c r="K2621" s="6">
        <v>2.88</v>
      </c>
      <c r="L2621" s="6">
        <v>30</v>
      </c>
      <c r="N2621" s="1">
        <f t="shared" si="310"/>
        <v>0</v>
      </c>
      <c r="O2621" s="6" t="s">
        <v>20</v>
      </c>
      <c r="Q2621" s="6" t="s">
        <v>21</v>
      </c>
      <c r="R2621" s="6" t="s">
        <v>21</v>
      </c>
      <c r="S2621" s="6" t="s">
        <v>21</v>
      </c>
      <c r="T2621" s="6" t="s">
        <v>21</v>
      </c>
      <c r="U2621" s="6">
        <f t="shared" si="311"/>
        <v>662.47500000000002</v>
      </c>
      <c r="V2621" s="6">
        <f t="shared" si="319"/>
        <v>662.47500000000002</v>
      </c>
    </row>
    <row r="2622" spans="1:22" hidden="1" x14ac:dyDescent="0.35">
      <c r="A2622" s="6" t="s">
        <v>2872</v>
      </c>
      <c r="B2622" s="6" t="s">
        <v>2858</v>
      </c>
      <c r="C2622" s="6" t="s">
        <v>2859</v>
      </c>
      <c r="D2622" s="6">
        <f t="shared" si="312"/>
        <v>0.5</v>
      </c>
      <c r="E2622" s="6" t="s">
        <v>23</v>
      </c>
      <c r="F2622" s="6" t="str">
        <f>MID(A2622,19,1)</f>
        <v>C</v>
      </c>
      <c r="G2622" s="6">
        <v>-22.79946031289948</v>
      </c>
      <c r="H2622" s="6">
        <v>-47.222583878214998</v>
      </c>
      <c r="I2622" s="9">
        <v>2456</v>
      </c>
      <c r="J2622" s="9">
        <f t="shared" ref="J2622:J2625" si="320">I2622/500</f>
        <v>4.9119999999999999</v>
      </c>
      <c r="K2622" s="6">
        <v>3.23</v>
      </c>
      <c r="L2622" s="6">
        <v>50</v>
      </c>
      <c r="N2622" s="1">
        <f t="shared" si="310"/>
        <v>0</v>
      </c>
      <c r="O2622" s="6" t="s">
        <v>20</v>
      </c>
      <c r="Q2622" s="6" t="s">
        <v>21</v>
      </c>
      <c r="R2622" s="6" t="s">
        <v>21</v>
      </c>
      <c r="S2622" s="6" t="s">
        <v>21</v>
      </c>
      <c r="T2622" s="6" t="s">
        <v>21</v>
      </c>
      <c r="U2622" s="6">
        <f t="shared" si="311"/>
        <v>1228</v>
      </c>
      <c r="V2622" s="6">
        <f t="shared" si="319"/>
        <v>1228</v>
      </c>
    </row>
    <row r="2623" spans="1:22" hidden="1" x14ac:dyDescent="0.35">
      <c r="A2623" s="6" t="s">
        <v>2873</v>
      </c>
      <c r="B2623" s="6" t="s">
        <v>2858</v>
      </c>
      <c r="C2623" s="6" t="s">
        <v>2859</v>
      </c>
      <c r="D2623" s="6">
        <f t="shared" si="312"/>
        <v>0.5</v>
      </c>
      <c r="E2623" s="6" t="s">
        <v>23</v>
      </c>
      <c r="F2623" s="6" t="str">
        <f>MID(A2623,19,1)</f>
        <v>C</v>
      </c>
      <c r="G2623" s="6">
        <v>-22.863865880841779</v>
      </c>
      <c r="H2623" s="6">
        <v>-47.283699647117288</v>
      </c>
      <c r="I2623" s="9">
        <v>5667.03</v>
      </c>
      <c r="J2623" s="9">
        <f t="shared" si="320"/>
        <v>11.334059999999999</v>
      </c>
      <c r="K2623" s="6">
        <v>2.5299999999999998</v>
      </c>
      <c r="L2623" s="6">
        <v>80</v>
      </c>
      <c r="N2623" s="1">
        <f t="shared" si="310"/>
        <v>0</v>
      </c>
      <c r="O2623" s="6" t="s">
        <v>20</v>
      </c>
      <c r="Q2623" s="6" t="s">
        <v>21</v>
      </c>
      <c r="R2623" s="6" t="s">
        <v>21</v>
      </c>
      <c r="S2623" s="6" t="s">
        <v>21</v>
      </c>
      <c r="T2623" s="6" t="s">
        <v>21</v>
      </c>
      <c r="U2623" s="6">
        <f t="shared" si="311"/>
        <v>4533.6239999999998</v>
      </c>
      <c r="V2623" s="6">
        <f t="shared" si="319"/>
        <v>4533.6239999999998</v>
      </c>
    </row>
    <row r="2624" spans="1:22" hidden="1" x14ac:dyDescent="0.35">
      <c r="A2624" s="6" t="s">
        <v>2874</v>
      </c>
      <c r="B2624" s="6" t="s">
        <v>2858</v>
      </c>
      <c r="C2624" s="6" t="s">
        <v>2859</v>
      </c>
      <c r="D2624" s="6">
        <f t="shared" si="312"/>
        <v>0.5</v>
      </c>
      <c r="E2624" s="6" t="s">
        <v>23</v>
      </c>
      <c r="F2624" s="6" t="str">
        <f>MID(A2624,19,1)</f>
        <v>C</v>
      </c>
      <c r="G2624" s="6">
        <v>-22.860988419767221</v>
      </c>
      <c r="H2624" s="6">
        <v>-47.287758375191707</v>
      </c>
      <c r="I2624" s="9">
        <v>6706.23</v>
      </c>
      <c r="J2624" s="9">
        <f t="shared" si="320"/>
        <v>13.412459999999999</v>
      </c>
      <c r="K2624" s="6">
        <v>4.54</v>
      </c>
      <c r="L2624" s="6">
        <v>80</v>
      </c>
      <c r="N2624" s="1">
        <f t="shared" si="310"/>
        <v>0</v>
      </c>
      <c r="O2624" s="6" t="s">
        <v>20</v>
      </c>
      <c r="Q2624" s="6" t="s">
        <v>21</v>
      </c>
      <c r="R2624" s="6" t="s">
        <v>21</v>
      </c>
      <c r="S2624" s="6" t="s">
        <v>21</v>
      </c>
      <c r="T2624" s="6" t="s">
        <v>21</v>
      </c>
      <c r="U2624" s="6">
        <f t="shared" si="311"/>
        <v>5364.9840000000004</v>
      </c>
      <c r="V2624" s="6">
        <f t="shared" si="319"/>
        <v>5364.9840000000004</v>
      </c>
    </row>
    <row r="2625" spans="1:22" hidden="1" x14ac:dyDescent="0.35">
      <c r="A2625" s="6" t="s">
        <v>2875</v>
      </c>
      <c r="B2625" s="6" t="s">
        <v>2858</v>
      </c>
      <c r="C2625" s="6" t="s">
        <v>2859</v>
      </c>
      <c r="D2625" s="6">
        <f t="shared" si="312"/>
        <v>0.5</v>
      </c>
      <c r="E2625" s="6" t="s">
        <v>23</v>
      </c>
      <c r="F2625" s="6" t="str">
        <f>MID(A2625,19,1)</f>
        <v>C</v>
      </c>
      <c r="G2625" s="6">
        <v>-22.801713094705679</v>
      </c>
      <c r="H2625" s="6">
        <v>-47.221226420396668</v>
      </c>
      <c r="I2625" s="9">
        <v>4123.03</v>
      </c>
      <c r="J2625" s="9">
        <f t="shared" si="320"/>
        <v>8.2460599999999999</v>
      </c>
      <c r="K2625" s="6">
        <v>1.93</v>
      </c>
      <c r="L2625" s="6">
        <v>50</v>
      </c>
      <c r="N2625" s="1">
        <f t="shared" si="310"/>
        <v>0</v>
      </c>
      <c r="O2625" s="6" t="s">
        <v>20</v>
      </c>
      <c r="Q2625" s="6" t="s">
        <v>21</v>
      </c>
      <c r="R2625" s="6" t="s">
        <v>21</v>
      </c>
      <c r="S2625" s="6" t="s">
        <v>21</v>
      </c>
      <c r="T2625" s="6" t="s">
        <v>21</v>
      </c>
      <c r="U2625" s="6">
        <f t="shared" si="311"/>
        <v>2061.5149999999999</v>
      </c>
      <c r="V2625" s="6">
        <f t="shared" si="319"/>
        <v>2061.5149999999999</v>
      </c>
    </row>
    <row r="2626" spans="1:22" x14ac:dyDescent="0.35">
      <c r="A2626" s="6" t="s">
        <v>2876</v>
      </c>
      <c r="B2626" s="6" t="s">
        <v>2858</v>
      </c>
      <c r="C2626" s="6" t="s">
        <v>2859</v>
      </c>
      <c r="D2626" s="6">
        <f t="shared" si="312"/>
        <v>0.5</v>
      </c>
      <c r="E2626" s="6" t="s">
        <v>19</v>
      </c>
      <c r="F2626" s="6" t="str">
        <f>MID(A2626,19,1)</f>
        <v>N</v>
      </c>
      <c r="G2626" s="6">
        <v>-22.86095889981603</v>
      </c>
      <c r="H2626" s="6">
        <v>-47.287062385696068</v>
      </c>
      <c r="I2626" s="9">
        <v>1916.25</v>
      </c>
      <c r="K2626" s="6">
        <v>5.17</v>
      </c>
      <c r="L2626" s="6">
        <v>70</v>
      </c>
      <c r="N2626" s="1">
        <f t="shared" ref="N2626:N2689" si="321">IF(OR(R2626="Sim",S2626="Sim",T2626="Sim"),(L2626/100)*I2626,0)</f>
        <v>0</v>
      </c>
      <c r="O2626" s="6" t="s">
        <v>20</v>
      </c>
      <c r="Q2626" s="6" t="s">
        <v>21</v>
      </c>
      <c r="R2626" s="6" t="s">
        <v>21</v>
      </c>
      <c r="S2626" s="6" t="s">
        <v>21</v>
      </c>
      <c r="T2626" s="6" t="s">
        <v>21</v>
      </c>
      <c r="U2626" s="6">
        <f t="shared" si="311"/>
        <v>1341.375</v>
      </c>
      <c r="V2626" s="6">
        <f t="shared" si="319"/>
        <v>1341.375</v>
      </c>
    </row>
    <row r="2627" spans="1:22" x14ac:dyDescent="0.35">
      <c r="A2627" s="6" t="s">
        <v>2877</v>
      </c>
      <c r="B2627" s="6" t="s">
        <v>2858</v>
      </c>
      <c r="C2627" s="6" t="s">
        <v>2859</v>
      </c>
      <c r="D2627" s="6">
        <f t="shared" si="312"/>
        <v>0.5</v>
      </c>
      <c r="E2627" s="6" t="s">
        <v>19</v>
      </c>
      <c r="F2627" s="6" t="str">
        <f>MID(A2627,19,1)</f>
        <v>N</v>
      </c>
      <c r="G2627" s="6">
        <v>-22.86520658739833</v>
      </c>
      <c r="H2627" s="6">
        <v>-47.281773077447838</v>
      </c>
      <c r="I2627" s="9">
        <v>86.55</v>
      </c>
      <c r="K2627" s="6">
        <v>1.17</v>
      </c>
      <c r="L2627" s="6">
        <v>70</v>
      </c>
      <c r="N2627" s="1">
        <f t="shared" si="321"/>
        <v>0</v>
      </c>
      <c r="O2627" s="6" t="s">
        <v>20</v>
      </c>
      <c r="Q2627" s="6" t="s">
        <v>21</v>
      </c>
      <c r="R2627" s="6" t="s">
        <v>21</v>
      </c>
      <c r="S2627" s="6" t="s">
        <v>21</v>
      </c>
      <c r="T2627" s="6" t="s">
        <v>21</v>
      </c>
      <c r="U2627" s="6">
        <f t="shared" ref="U2627:U2690" si="322">IF(N2627=0,(I2627*(L2627/100)),0)</f>
        <v>60.584999999999994</v>
      </c>
      <c r="V2627" s="6">
        <f t="shared" si="319"/>
        <v>60.584999999999994</v>
      </c>
    </row>
    <row r="2628" spans="1:22" x14ac:dyDescent="0.35">
      <c r="A2628" s="6" t="s">
        <v>2878</v>
      </c>
      <c r="B2628" s="6" t="s">
        <v>2858</v>
      </c>
      <c r="C2628" s="6" t="s">
        <v>2859</v>
      </c>
      <c r="D2628" s="6">
        <f t="shared" si="312"/>
        <v>0.5</v>
      </c>
      <c r="E2628" s="6" t="s">
        <v>19</v>
      </c>
      <c r="F2628" s="6" t="str">
        <f>MID(A2628,19,1)</f>
        <v>N</v>
      </c>
      <c r="G2628" s="6">
        <v>-22.864626741156059</v>
      </c>
      <c r="H2628" s="6">
        <v>-47.282403982436428</v>
      </c>
      <c r="I2628" s="9">
        <v>643.30999999999995</v>
      </c>
      <c r="K2628" s="6">
        <v>1.72</v>
      </c>
      <c r="L2628" s="6">
        <v>70</v>
      </c>
      <c r="N2628" s="1">
        <f t="shared" si="321"/>
        <v>0</v>
      </c>
      <c r="O2628" s="6" t="s">
        <v>20</v>
      </c>
      <c r="Q2628" s="6" t="s">
        <v>21</v>
      </c>
      <c r="R2628" s="6" t="s">
        <v>21</v>
      </c>
      <c r="S2628" s="6" t="s">
        <v>21</v>
      </c>
      <c r="T2628" s="6" t="s">
        <v>21</v>
      </c>
      <c r="U2628" s="6">
        <f t="shared" si="322"/>
        <v>450.31699999999995</v>
      </c>
      <c r="V2628" s="6">
        <f t="shared" si="319"/>
        <v>450.31699999999995</v>
      </c>
    </row>
    <row r="2629" spans="1:22" hidden="1" x14ac:dyDescent="0.35">
      <c r="A2629" s="6" t="s">
        <v>2879</v>
      </c>
      <c r="B2629" s="6" t="s">
        <v>2858</v>
      </c>
      <c r="C2629" s="6" t="s">
        <v>2859</v>
      </c>
      <c r="D2629" s="6">
        <f t="shared" si="312"/>
        <v>0.5</v>
      </c>
      <c r="E2629" s="6" t="s">
        <v>19</v>
      </c>
      <c r="F2629" s="6" t="str">
        <f>MID(A2629,19,1)</f>
        <v>S</v>
      </c>
      <c r="G2629" s="6">
        <v>-22.79953880049931</v>
      </c>
      <c r="H2629" s="6">
        <v>-47.222922381848733</v>
      </c>
      <c r="I2629" s="9">
        <v>1339.22</v>
      </c>
      <c r="K2629" s="6">
        <v>3.34</v>
      </c>
      <c r="L2629" s="6">
        <v>30</v>
      </c>
      <c r="N2629" s="1">
        <f t="shared" si="321"/>
        <v>0</v>
      </c>
      <c r="O2629" s="6" t="s">
        <v>20</v>
      </c>
      <c r="Q2629" s="6" t="s">
        <v>21</v>
      </c>
      <c r="R2629" s="6" t="s">
        <v>21</v>
      </c>
      <c r="S2629" s="6" t="s">
        <v>21</v>
      </c>
      <c r="T2629" s="6" t="s">
        <v>21</v>
      </c>
      <c r="U2629" s="6">
        <f t="shared" si="322"/>
        <v>401.76600000000002</v>
      </c>
      <c r="V2629" s="6">
        <f t="shared" si="319"/>
        <v>401.76600000000002</v>
      </c>
    </row>
    <row r="2630" spans="1:22" x14ac:dyDescent="0.35">
      <c r="A2630" s="6" t="s">
        <v>2880</v>
      </c>
      <c r="B2630" s="6" t="s">
        <v>2858</v>
      </c>
      <c r="C2630" s="6" t="s">
        <v>2859</v>
      </c>
      <c r="D2630" s="6">
        <f t="shared" si="312"/>
        <v>0.5</v>
      </c>
      <c r="E2630" s="6" t="s">
        <v>19</v>
      </c>
      <c r="F2630" s="6" t="str">
        <f>MID(A2630,19,1)</f>
        <v>N</v>
      </c>
      <c r="G2630" s="6">
        <v>-22.860054305167271</v>
      </c>
      <c r="H2630" s="6">
        <v>-47.28903147672812</v>
      </c>
      <c r="I2630" s="9">
        <v>3306.84</v>
      </c>
      <c r="K2630" s="6">
        <v>5.08</v>
      </c>
      <c r="L2630" s="6">
        <v>70</v>
      </c>
      <c r="N2630" s="1">
        <f t="shared" si="321"/>
        <v>0</v>
      </c>
      <c r="O2630" s="6" t="s">
        <v>20</v>
      </c>
      <c r="Q2630" s="6" t="s">
        <v>21</v>
      </c>
      <c r="R2630" s="6" t="s">
        <v>21</v>
      </c>
      <c r="S2630" s="6" t="s">
        <v>21</v>
      </c>
      <c r="T2630" s="6" t="s">
        <v>21</v>
      </c>
      <c r="U2630" s="6">
        <f t="shared" si="322"/>
        <v>2314.788</v>
      </c>
      <c r="V2630" s="6">
        <f t="shared" si="319"/>
        <v>2314.788</v>
      </c>
    </row>
    <row r="2631" spans="1:22" hidden="1" x14ac:dyDescent="0.35">
      <c r="A2631" s="6" t="s">
        <v>2881</v>
      </c>
      <c r="B2631" s="6" t="s">
        <v>2858</v>
      </c>
      <c r="C2631" s="6" t="s">
        <v>2859</v>
      </c>
      <c r="D2631" s="6">
        <f t="shared" si="312"/>
        <v>0.5</v>
      </c>
      <c r="E2631" s="6" t="s">
        <v>19</v>
      </c>
      <c r="F2631" s="6" t="str">
        <f>MID(A2631,19,1)</f>
        <v>S</v>
      </c>
      <c r="G2631" s="6">
        <v>-22.797460009162659</v>
      </c>
      <c r="H2631" s="6">
        <v>-47.223989439982837</v>
      </c>
      <c r="I2631" s="9">
        <v>427.89</v>
      </c>
      <c r="K2631" s="6">
        <v>2.86</v>
      </c>
      <c r="L2631" s="6">
        <v>30</v>
      </c>
      <c r="N2631" s="1">
        <f t="shared" si="321"/>
        <v>0</v>
      </c>
      <c r="O2631" s="6" t="s">
        <v>20</v>
      </c>
      <c r="Q2631" s="6" t="s">
        <v>21</v>
      </c>
      <c r="R2631" s="6" t="s">
        <v>21</v>
      </c>
      <c r="S2631" s="6" t="s">
        <v>21</v>
      </c>
      <c r="T2631" s="6" t="s">
        <v>21</v>
      </c>
      <c r="U2631" s="6">
        <f t="shared" si="322"/>
        <v>128.36699999999999</v>
      </c>
      <c r="V2631" s="6">
        <f t="shared" si="319"/>
        <v>128.36699999999999</v>
      </c>
    </row>
    <row r="2632" spans="1:22" hidden="1" x14ac:dyDescent="0.35">
      <c r="A2632" s="6" t="s">
        <v>2882</v>
      </c>
      <c r="B2632" s="6" t="s">
        <v>2858</v>
      </c>
      <c r="C2632" s="6" t="s">
        <v>2859</v>
      </c>
      <c r="D2632" s="6">
        <f t="shared" si="312"/>
        <v>0.5</v>
      </c>
      <c r="E2632" s="6" t="s">
        <v>19</v>
      </c>
      <c r="F2632" s="6" t="str">
        <f>MID(A2632,19,1)</f>
        <v>S</v>
      </c>
      <c r="G2632" s="6">
        <v>-22.802916910267559</v>
      </c>
      <c r="H2632" s="6">
        <v>-47.221214249350901</v>
      </c>
      <c r="I2632" s="9">
        <v>1382.68</v>
      </c>
      <c r="K2632" s="6">
        <v>2.5</v>
      </c>
      <c r="L2632" s="6">
        <v>30</v>
      </c>
      <c r="N2632" s="1">
        <f t="shared" si="321"/>
        <v>0</v>
      </c>
      <c r="O2632" s="6" t="s">
        <v>20</v>
      </c>
      <c r="Q2632" s="6" t="s">
        <v>21</v>
      </c>
      <c r="R2632" s="6" t="s">
        <v>21</v>
      </c>
      <c r="S2632" s="6" t="s">
        <v>21</v>
      </c>
      <c r="T2632" s="6" t="s">
        <v>21</v>
      </c>
      <c r="U2632" s="6">
        <f t="shared" si="322"/>
        <v>414.80400000000003</v>
      </c>
      <c r="V2632" s="6">
        <f t="shared" si="319"/>
        <v>414.80400000000003</v>
      </c>
    </row>
    <row r="2633" spans="1:22" x14ac:dyDescent="0.35">
      <c r="A2633" s="6" t="s">
        <v>2883</v>
      </c>
      <c r="B2633" s="6" t="s">
        <v>2858</v>
      </c>
      <c r="C2633" s="6" t="s">
        <v>2859</v>
      </c>
      <c r="D2633" s="6">
        <f t="shared" si="312"/>
        <v>0.5</v>
      </c>
      <c r="E2633" s="6" t="s">
        <v>19</v>
      </c>
      <c r="F2633" s="6" t="str">
        <f>MID(A2633,19,1)</f>
        <v>N</v>
      </c>
      <c r="G2633" s="6">
        <v>-22.859694832849261</v>
      </c>
      <c r="H2633" s="6">
        <v>-47.289397181248681</v>
      </c>
      <c r="I2633" s="9">
        <v>643.52</v>
      </c>
      <c r="K2633" s="6">
        <v>5.69</v>
      </c>
      <c r="L2633" s="6">
        <v>70</v>
      </c>
      <c r="N2633" s="1">
        <f t="shared" si="321"/>
        <v>0</v>
      </c>
      <c r="O2633" s="6" t="s">
        <v>20</v>
      </c>
      <c r="Q2633" s="6" t="s">
        <v>21</v>
      </c>
      <c r="R2633" s="6" t="s">
        <v>21</v>
      </c>
      <c r="S2633" s="6" t="s">
        <v>21</v>
      </c>
      <c r="T2633" s="6" t="s">
        <v>21</v>
      </c>
      <c r="U2633" s="6">
        <f t="shared" si="322"/>
        <v>450.46399999999994</v>
      </c>
      <c r="V2633" s="6">
        <f t="shared" si="319"/>
        <v>450.46399999999994</v>
      </c>
    </row>
    <row r="2634" spans="1:22" hidden="1" x14ac:dyDescent="0.35">
      <c r="A2634" s="6" t="s">
        <v>2884</v>
      </c>
      <c r="B2634" s="6" t="s">
        <v>2885</v>
      </c>
      <c r="C2634" s="6" t="s">
        <v>2886</v>
      </c>
      <c r="D2634" s="6">
        <f t="shared" si="312"/>
        <v>0.5</v>
      </c>
      <c r="E2634" s="6" t="s">
        <v>19</v>
      </c>
      <c r="F2634" s="6" t="str">
        <f>MID(A2634,19,1)</f>
        <v>S</v>
      </c>
      <c r="G2634" s="6">
        <v>-22.79300782518407</v>
      </c>
      <c r="H2634" s="6">
        <v>-47.22740072886544</v>
      </c>
      <c r="I2634" s="9">
        <v>0.42</v>
      </c>
      <c r="K2634" s="6">
        <v>3.37</v>
      </c>
      <c r="N2634" s="1">
        <f t="shared" si="321"/>
        <v>0</v>
      </c>
      <c r="Q2634" s="6" t="s">
        <v>21</v>
      </c>
      <c r="R2634" s="6" t="s">
        <v>21</v>
      </c>
      <c r="S2634" s="6" t="s">
        <v>21</v>
      </c>
      <c r="T2634" s="6" t="s">
        <v>21</v>
      </c>
      <c r="U2634" s="6">
        <f t="shared" si="322"/>
        <v>0</v>
      </c>
      <c r="V2634" s="6">
        <f t="shared" si="319"/>
        <v>0</v>
      </c>
    </row>
    <row r="2635" spans="1:22" x14ac:dyDescent="0.35">
      <c r="A2635" s="6" t="s">
        <v>2887</v>
      </c>
      <c r="B2635" s="6" t="s">
        <v>2885</v>
      </c>
      <c r="C2635" s="6" t="s">
        <v>2886</v>
      </c>
      <c r="D2635" s="6">
        <f t="shared" si="312"/>
        <v>0.5</v>
      </c>
      <c r="E2635" s="6" t="s">
        <v>19</v>
      </c>
      <c r="F2635" s="6" t="str">
        <f>MID(A2635,19,1)</f>
        <v>N</v>
      </c>
      <c r="G2635" s="6">
        <v>-22.85837443876126</v>
      </c>
      <c r="H2635" s="6">
        <v>-47.290951990874653</v>
      </c>
      <c r="I2635" s="9">
        <v>158.91</v>
      </c>
      <c r="K2635" s="6">
        <v>1.06</v>
      </c>
      <c r="L2635" s="6">
        <v>70</v>
      </c>
      <c r="N2635" s="1">
        <f t="shared" si="321"/>
        <v>0</v>
      </c>
      <c r="O2635" s="6" t="s">
        <v>20</v>
      </c>
      <c r="Q2635" s="6" t="s">
        <v>21</v>
      </c>
      <c r="R2635" s="6" t="s">
        <v>21</v>
      </c>
      <c r="S2635" s="6" t="s">
        <v>21</v>
      </c>
      <c r="T2635" s="6" t="s">
        <v>21</v>
      </c>
      <c r="U2635" s="6">
        <f t="shared" si="322"/>
        <v>111.23699999999999</v>
      </c>
      <c r="V2635" s="6">
        <f t="shared" si="319"/>
        <v>111.23699999999999</v>
      </c>
    </row>
    <row r="2636" spans="1:22" x14ac:dyDescent="0.35">
      <c r="A2636" s="6" t="s">
        <v>2888</v>
      </c>
      <c r="B2636" s="6" t="s">
        <v>2885</v>
      </c>
      <c r="C2636" s="6" t="s">
        <v>2886</v>
      </c>
      <c r="D2636" s="6">
        <f t="shared" si="312"/>
        <v>0.5</v>
      </c>
      <c r="E2636" s="6" t="s">
        <v>19</v>
      </c>
      <c r="F2636" s="6" t="str">
        <f>MID(A2636,19,1)</f>
        <v>N</v>
      </c>
      <c r="G2636" s="6">
        <v>-22.791626380154099</v>
      </c>
      <c r="H2636" s="6">
        <v>-47.22530798448296</v>
      </c>
      <c r="I2636" s="9">
        <v>12.02</v>
      </c>
      <c r="K2636" s="6">
        <v>3.74</v>
      </c>
      <c r="L2636" s="6">
        <v>0</v>
      </c>
      <c r="N2636" s="1">
        <f t="shared" si="321"/>
        <v>0</v>
      </c>
      <c r="Q2636" s="6" t="s">
        <v>21</v>
      </c>
      <c r="R2636" s="6" t="s">
        <v>21</v>
      </c>
      <c r="S2636" s="6" t="s">
        <v>21</v>
      </c>
      <c r="T2636" s="6" t="s">
        <v>21</v>
      </c>
      <c r="U2636" s="6">
        <f t="shared" si="322"/>
        <v>0</v>
      </c>
      <c r="V2636" s="6">
        <f t="shared" si="319"/>
        <v>0</v>
      </c>
    </row>
    <row r="2637" spans="1:22" hidden="1" x14ac:dyDescent="0.35">
      <c r="A2637" s="6" t="s">
        <v>2889</v>
      </c>
      <c r="B2637" s="6" t="s">
        <v>2885</v>
      </c>
      <c r="C2637" s="6" t="s">
        <v>2886</v>
      </c>
      <c r="D2637" s="6">
        <f t="shared" si="312"/>
        <v>0.5</v>
      </c>
      <c r="E2637" s="6" t="s">
        <v>23</v>
      </c>
      <c r="F2637" s="6" t="str">
        <f>MID(A2637,19,1)</f>
        <v>C</v>
      </c>
      <c r="G2637" s="6">
        <v>-22.792351187908189</v>
      </c>
      <c r="H2637" s="6">
        <v>-47.227048022985748</v>
      </c>
      <c r="I2637" s="9">
        <v>6402.08</v>
      </c>
      <c r="J2637" s="9">
        <f t="shared" ref="J2637:J2638" si="323">I2637/500</f>
        <v>12.80416</v>
      </c>
      <c r="K2637" s="6">
        <v>3.09</v>
      </c>
      <c r="L2637" s="6">
        <v>30</v>
      </c>
      <c r="N2637" s="1">
        <f t="shared" si="321"/>
        <v>0</v>
      </c>
      <c r="O2637" s="6" t="s">
        <v>20</v>
      </c>
      <c r="Q2637" s="6" t="s">
        <v>21</v>
      </c>
      <c r="R2637" s="6" t="s">
        <v>21</v>
      </c>
      <c r="S2637" s="6" t="s">
        <v>21</v>
      </c>
      <c r="T2637" s="6" t="s">
        <v>21</v>
      </c>
      <c r="U2637" s="6">
        <f t="shared" si="322"/>
        <v>1920.6239999999998</v>
      </c>
      <c r="V2637" s="6">
        <f t="shared" si="319"/>
        <v>1920.6239999999998</v>
      </c>
    </row>
    <row r="2638" spans="1:22" hidden="1" x14ac:dyDescent="0.35">
      <c r="A2638" s="6" t="s">
        <v>2890</v>
      </c>
      <c r="B2638" s="6" t="s">
        <v>2885</v>
      </c>
      <c r="C2638" s="6" t="s">
        <v>2886</v>
      </c>
      <c r="D2638" s="6">
        <f t="shared" ref="D2638:D2701" si="324">C2638-B2638</f>
        <v>0.5</v>
      </c>
      <c r="E2638" s="6" t="s">
        <v>23</v>
      </c>
      <c r="F2638" s="6" t="str">
        <f>MID(A2638,19,1)</f>
        <v>C</v>
      </c>
      <c r="G2638" s="6">
        <v>-22.794733739672871</v>
      </c>
      <c r="H2638" s="6">
        <v>-47.224983612091663</v>
      </c>
      <c r="I2638" s="9">
        <v>6267.78</v>
      </c>
      <c r="J2638" s="9">
        <f t="shared" si="323"/>
        <v>12.53556</v>
      </c>
      <c r="K2638" s="6">
        <v>2.2000000000000002</v>
      </c>
      <c r="L2638" s="6">
        <v>50</v>
      </c>
      <c r="N2638" s="1">
        <f t="shared" si="321"/>
        <v>0</v>
      </c>
      <c r="O2638" s="6" t="s">
        <v>20</v>
      </c>
      <c r="Q2638" s="6" t="s">
        <v>21</v>
      </c>
      <c r="R2638" s="6" t="s">
        <v>21</v>
      </c>
      <c r="S2638" s="6" t="s">
        <v>21</v>
      </c>
      <c r="T2638" s="6" t="s">
        <v>21</v>
      </c>
      <c r="U2638" s="6">
        <f t="shared" si="322"/>
        <v>3133.89</v>
      </c>
      <c r="V2638" s="6">
        <f t="shared" si="319"/>
        <v>3133.89</v>
      </c>
    </row>
    <row r="2639" spans="1:22" hidden="1" x14ac:dyDescent="0.35">
      <c r="A2639" s="6" t="s">
        <v>2891</v>
      </c>
      <c r="B2639" s="6" t="s">
        <v>2885</v>
      </c>
      <c r="C2639" s="6" t="s">
        <v>2886</v>
      </c>
      <c r="D2639" s="6">
        <f t="shared" si="324"/>
        <v>0.5</v>
      </c>
      <c r="E2639" s="6" t="s">
        <v>19</v>
      </c>
      <c r="F2639" s="6" t="str">
        <f>MID(A2639,19,1)</f>
        <v>S</v>
      </c>
      <c r="G2639" s="6">
        <v>-22.858473018832321</v>
      </c>
      <c r="H2639" s="6">
        <v>-47.297673066387489</v>
      </c>
      <c r="I2639" s="9">
        <v>1994.04</v>
      </c>
      <c r="K2639" s="6">
        <v>2.73</v>
      </c>
      <c r="L2639" s="6">
        <v>70</v>
      </c>
      <c r="N2639" s="1">
        <f t="shared" si="321"/>
        <v>0</v>
      </c>
      <c r="O2639" s="6" t="s">
        <v>20</v>
      </c>
      <c r="Q2639" s="6" t="s">
        <v>21</v>
      </c>
      <c r="R2639" s="6" t="s">
        <v>21</v>
      </c>
      <c r="S2639" s="6" t="s">
        <v>21</v>
      </c>
      <c r="T2639" s="6" t="s">
        <v>21</v>
      </c>
      <c r="U2639" s="6">
        <f t="shared" si="322"/>
        <v>1395.828</v>
      </c>
      <c r="V2639" s="6">
        <f t="shared" si="319"/>
        <v>1395.828</v>
      </c>
    </row>
    <row r="2640" spans="1:22" x14ac:dyDescent="0.35">
      <c r="A2640" s="6" t="s">
        <v>2892</v>
      </c>
      <c r="B2640" s="6" t="s">
        <v>2885</v>
      </c>
      <c r="C2640" s="6" t="s">
        <v>2886</v>
      </c>
      <c r="D2640" s="6">
        <f t="shared" si="324"/>
        <v>0.5</v>
      </c>
      <c r="E2640" s="6" t="s">
        <v>19</v>
      </c>
      <c r="F2640" s="6" t="str">
        <f>MID(A2640,19,1)</f>
        <v>N</v>
      </c>
      <c r="G2640" s="6">
        <v>-22.792616746285759</v>
      </c>
      <c r="H2640" s="6">
        <v>-47.225275937829821</v>
      </c>
      <c r="I2640" s="9">
        <v>6475.16</v>
      </c>
      <c r="K2640" s="6">
        <v>4.16</v>
      </c>
      <c r="L2640" s="6">
        <v>30</v>
      </c>
      <c r="N2640" s="1">
        <f t="shared" si="321"/>
        <v>0</v>
      </c>
      <c r="O2640" s="6" t="s">
        <v>20</v>
      </c>
      <c r="Q2640" s="6" t="s">
        <v>21</v>
      </c>
      <c r="R2640" s="6" t="s">
        <v>21</v>
      </c>
      <c r="S2640" s="6" t="s">
        <v>21</v>
      </c>
      <c r="T2640" s="6" t="s">
        <v>21</v>
      </c>
      <c r="U2640" s="6">
        <f t="shared" si="322"/>
        <v>1942.5479999999998</v>
      </c>
      <c r="V2640" s="6">
        <f t="shared" si="319"/>
        <v>1942.5479999999998</v>
      </c>
    </row>
    <row r="2641" spans="1:22" hidden="1" x14ac:dyDescent="0.35">
      <c r="A2641" s="6" t="s">
        <v>2893</v>
      </c>
      <c r="B2641" s="6" t="s">
        <v>2885</v>
      </c>
      <c r="C2641" s="6" t="s">
        <v>2886</v>
      </c>
      <c r="D2641" s="6">
        <f t="shared" si="324"/>
        <v>0.5</v>
      </c>
      <c r="E2641" s="6" t="s">
        <v>23</v>
      </c>
      <c r="F2641" s="6" t="str">
        <f>MID(A2641,19,1)</f>
        <v>C</v>
      </c>
      <c r="G2641" s="6">
        <v>-22.793536724783969</v>
      </c>
      <c r="H2641" s="6">
        <v>-47.224994272864457</v>
      </c>
      <c r="I2641" s="9">
        <v>6438.68</v>
      </c>
      <c r="J2641" s="9">
        <f>I2641/500</f>
        <v>12.877360000000001</v>
      </c>
      <c r="K2641" s="6">
        <v>3.82</v>
      </c>
      <c r="L2641" s="6">
        <v>30</v>
      </c>
      <c r="N2641" s="1">
        <f t="shared" si="321"/>
        <v>0</v>
      </c>
      <c r="O2641" s="6" t="s">
        <v>20</v>
      </c>
      <c r="Q2641" s="6" t="s">
        <v>21</v>
      </c>
      <c r="R2641" s="6" t="s">
        <v>21</v>
      </c>
      <c r="S2641" s="6" t="s">
        <v>21</v>
      </c>
      <c r="T2641" s="6" t="s">
        <v>21</v>
      </c>
      <c r="U2641" s="6">
        <f t="shared" si="322"/>
        <v>1931.604</v>
      </c>
      <c r="V2641" s="6">
        <f t="shared" si="319"/>
        <v>1931.604</v>
      </c>
    </row>
    <row r="2642" spans="1:22" hidden="1" x14ac:dyDescent="0.35">
      <c r="A2642" s="6" t="s">
        <v>2894</v>
      </c>
      <c r="B2642" s="6" t="s">
        <v>2885</v>
      </c>
      <c r="C2642" s="6" t="s">
        <v>2886</v>
      </c>
      <c r="D2642" s="6">
        <f t="shared" si="324"/>
        <v>0.5</v>
      </c>
      <c r="E2642" s="6" t="s">
        <v>19</v>
      </c>
      <c r="F2642" s="6" t="str">
        <f>MID(A2642,19,1)</f>
        <v>S</v>
      </c>
      <c r="G2642" s="6">
        <v>-22.792305037779471</v>
      </c>
      <c r="H2642" s="6">
        <v>-47.227596886839869</v>
      </c>
      <c r="I2642" s="9">
        <v>1271.04</v>
      </c>
      <c r="K2642" s="6">
        <v>3.34</v>
      </c>
      <c r="L2642" s="6">
        <v>30</v>
      </c>
      <c r="N2642" s="1">
        <f t="shared" si="321"/>
        <v>0</v>
      </c>
      <c r="O2642" s="6" t="s">
        <v>20</v>
      </c>
      <c r="Q2642" s="6" t="s">
        <v>21</v>
      </c>
      <c r="R2642" s="6" t="s">
        <v>21</v>
      </c>
      <c r="S2642" s="6" t="s">
        <v>21</v>
      </c>
      <c r="T2642" s="6" t="s">
        <v>21</v>
      </c>
      <c r="U2642" s="6">
        <f t="shared" si="322"/>
        <v>381.31199999999995</v>
      </c>
      <c r="V2642" s="6">
        <f t="shared" si="319"/>
        <v>381.31199999999995</v>
      </c>
    </row>
    <row r="2643" spans="1:22" x14ac:dyDescent="0.35">
      <c r="A2643" s="6" t="s">
        <v>2895</v>
      </c>
      <c r="B2643" s="6" t="s">
        <v>2885</v>
      </c>
      <c r="C2643" s="6" t="s">
        <v>2886</v>
      </c>
      <c r="D2643" s="6">
        <f t="shared" si="324"/>
        <v>0.5</v>
      </c>
      <c r="E2643" s="6" t="s">
        <v>19</v>
      </c>
      <c r="F2643" s="6" t="str">
        <f>MID(A2643,19,1)</f>
        <v>N</v>
      </c>
      <c r="G2643" s="6">
        <v>-22.794233710168211</v>
      </c>
      <c r="H2643" s="6">
        <v>-47.224465811724798</v>
      </c>
      <c r="I2643" s="9">
        <v>2391.37</v>
      </c>
      <c r="K2643" s="6">
        <v>4.37</v>
      </c>
      <c r="L2643" s="6">
        <v>30</v>
      </c>
      <c r="N2643" s="1">
        <f t="shared" si="321"/>
        <v>0</v>
      </c>
      <c r="O2643" s="6" t="s">
        <v>20</v>
      </c>
      <c r="Q2643" s="6" t="s">
        <v>21</v>
      </c>
      <c r="R2643" s="6" t="s">
        <v>21</v>
      </c>
      <c r="S2643" s="6" t="s">
        <v>21</v>
      </c>
      <c r="T2643" s="6" t="s">
        <v>21</v>
      </c>
      <c r="U2643" s="6">
        <f t="shared" si="322"/>
        <v>717.41099999999994</v>
      </c>
      <c r="V2643" s="6">
        <f t="shared" si="319"/>
        <v>717.41099999999994</v>
      </c>
    </row>
    <row r="2644" spans="1:22" x14ac:dyDescent="0.35">
      <c r="A2644" s="6" t="s">
        <v>2896</v>
      </c>
      <c r="B2644" s="6" t="s">
        <v>2885</v>
      </c>
      <c r="C2644" s="6" t="s">
        <v>2886</v>
      </c>
      <c r="D2644" s="6">
        <f t="shared" si="324"/>
        <v>0.5</v>
      </c>
      <c r="E2644" s="6" t="s">
        <v>19</v>
      </c>
      <c r="F2644" s="6" t="str">
        <f>MID(A2644,19,1)</f>
        <v>N</v>
      </c>
      <c r="G2644" s="6">
        <v>-22.788667062845029</v>
      </c>
      <c r="H2644" s="6">
        <v>-47.227704177762767</v>
      </c>
      <c r="I2644" s="9">
        <v>803.83</v>
      </c>
      <c r="K2644" s="6">
        <v>2.17</v>
      </c>
      <c r="L2644" s="6">
        <v>30</v>
      </c>
      <c r="N2644" s="1">
        <f t="shared" si="321"/>
        <v>0</v>
      </c>
      <c r="O2644" s="6" t="s">
        <v>20</v>
      </c>
      <c r="Q2644" s="6" t="s">
        <v>21</v>
      </c>
      <c r="R2644" s="6" t="s">
        <v>21</v>
      </c>
      <c r="S2644" s="6" t="s">
        <v>21</v>
      </c>
      <c r="T2644" s="6" t="s">
        <v>21</v>
      </c>
      <c r="U2644" s="6">
        <f t="shared" si="322"/>
        <v>241.149</v>
      </c>
      <c r="V2644" s="6">
        <f t="shared" si="319"/>
        <v>241.149</v>
      </c>
    </row>
    <row r="2645" spans="1:22" hidden="1" x14ac:dyDescent="0.35">
      <c r="A2645" s="6" t="s">
        <v>2897</v>
      </c>
      <c r="B2645" s="6" t="s">
        <v>2885</v>
      </c>
      <c r="C2645" s="6" t="s">
        <v>2886</v>
      </c>
      <c r="D2645" s="6">
        <f t="shared" si="324"/>
        <v>0.5</v>
      </c>
      <c r="E2645" s="6" t="s">
        <v>19</v>
      </c>
      <c r="F2645" s="6" t="str">
        <f>MID(A2645,19,1)</f>
        <v>S</v>
      </c>
      <c r="G2645" s="6">
        <v>-22.793200162579769</v>
      </c>
      <c r="H2645" s="6">
        <v>-47.228044689886971</v>
      </c>
      <c r="I2645" s="9">
        <v>1828.96</v>
      </c>
      <c r="K2645" s="6">
        <v>4.3899999999999997</v>
      </c>
      <c r="L2645" s="6">
        <v>30</v>
      </c>
      <c r="N2645" s="1">
        <f t="shared" si="321"/>
        <v>0</v>
      </c>
      <c r="O2645" s="6" t="s">
        <v>20</v>
      </c>
      <c r="Q2645" s="6" t="s">
        <v>21</v>
      </c>
      <c r="R2645" s="6" t="s">
        <v>21</v>
      </c>
      <c r="S2645" s="6" t="s">
        <v>21</v>
      </c>
      <c r="T2645" s="6" t="s">
        <v>21</v>
      </c>
      <c r="U2645" s="6">
        <f t="shared" si="322"/>
        <v>548.68799999999999</v>
      </c>
      <c r="V2645" s="6">
        <f t="shared" si="319"/>
        <v>548.68799999999999</v>
      </c>
    </row>
    <row r="2646" spans="1:22" hidden="1" x14ac:dyDescent="0.35">
      <c r="A2646" s="6" t="s">
        <v>2898</v>
      </c>
      <c r="B2646" s="6" t="s">
        <v>2885</v>
      </c>
      <c r="C2646" s="6" t="s">
        <v>2886</v>
      </c>
      <c r="D2646" s="6">
        <f t="shared" si="324"/>
        <v>0.5</v>
      </c>
      <c r="E2646" s="6" t="s">
        <v>19</v>
      </c>
      <c r="F2646" s="6" t="str">
        <f>MID(A2646,19,1)</f>
        <v>S</v>
      </c>
      <c r="G2646" s="6">
        <v>-22.859653148536271</v>
      </c>
      <c r="H2646" s="6">
        <v>-47.292478258515402</v>
      </c>
      <c r="I2646" s="9">
        <v>4714.7299999999996</v>
      </c>
      <c r="K2646" s="6">
        <v>1.8</v>
      </c>
      <c r="L2646" s="6">
        <v>70</v>
      </c>
      <c r="N2646" s="1">
        <f t="shared" si="321"/>
        <v>0</v>
      </c>
      <c r="O2646" s="6" t="s">
        <v>20</v>
      </c>
      <c r="Q2646" s="6" t="s">
        <v>21</v>
      </c>
      <c r="R2646" s="6" t="s">
        <v>21</v>
      </c>
      <c r="S2646" s="6" t="s">
        <v>21</v>
      </c>
      <c r="T2646" s="6" t="s">
        <v>21</v>
      </c>
      <c r="U2646" s="6">
        <f t="shared" si="322"/>
        <v>3300.3109999999997</v>
      </c>
      <c r="V2646" s="6">
        <f t="shared" si="319"/>
        <v>3300.3109999999997</v>
      </c>
    </row>
    <row r="2647" spans="1:22" hidden="1" x14ac:dyDescent="0.35">
      <c r="A2647" s="6" t="s">
        <v>2899</v>
      </c>
      <c r="B2647" s="6" t="s">
        <v>2885</v>
      </c>
      <c r="C2647" s="6" t="s">
        <v>2886</v>
      </c>
      <c r="D2647" s="6">
        <f t="shared" si="324"/>
        <v>0.5</v>
      </c>
      <c r="E2647" s="6" t="s">
        <v>19</v>
      </c>
      <c r="F2647" s="6" t="str">
        <f>MID(A2647,19,1)</f>
        <v>S</v>
      </c>
      <c r="G2647" s="6">
        <v>-22.860176861583788</v>
      </c>
      <c r="H2647" s="6">
        <v>-47.292263493157442</v>
      </c>
      <c r="I2647" s="9">
        <v>699.43</v>
      </c>
      <c r="K2647" s="6">
        <v>1.43</v>
      </c>
      <c r="L2647" s="6">
        <v>70</v>
      </c>
      <c r="N2647" s="1">
        <f t="shared" si="321"/>
        <v>0</v>
      </c>
      <c r="O2647" s="6" t="s">
        <v>20</v>
      </c>
      <c r="Q2647" s="6" t="s">
        <v>21</v>
      </c>
      <c r="R2647" s="6" t="s">
        <v>21</v>
      </c>
      <c r="S2647" s="6" t="s">
        <v>21</v>
      </c>
      <c r="T2647" s="6" t="s">
        <v>21</v>
      </c>
      <c r="U2647" s="6">
        <f t="shared" si="322"/>
        <v>489.60099999999994</v>
      </c>
      <c r="V2647" s="6">
        <f t="shared" si="319"/>
        <v>489.60099999999994</v>
      </c>
    </row>
    <row r="2648" spans="1:22" x14ac:dyDescent="0.35">
      <c r="A2648" s="6" t="s">
        <v>2900</v>
      </c>
      <c r="B2648" s="6" t="s">
        <v>2885</v>
      </c>
      <c r="C2648" s="6" t="s">
        <v>2886</v>
      </c>
      <c r="D2648" s="6">
        <f t="shared" si="324"/>
        <v>0.5</v>
      </c>
      <c r="E2648" s="6" t="s">
        <v>19</v>
      </c>
      <c r="F2648" s="6" t="str">
        <f>MID(A2648,19,1)</f>
        <v>N</v>
      </c>
      <c r="G2648" s="6">
        <v>-22.858609946951461</v>
      </c>
      <c r="H2648" s="6">
        <v>-47.29130856120112</v>
      </c>
      <c r="I2648" s="9">
        <v>724.45</v>
      </c>
      <c r="K2648" s="6">
        <v>2.2000000000000002</v>
      </c>
      <c r="L2648" s="6">
        <v>70</v>
      </c>
      <c r="N2648" s="1">
        <f t="shared" si="321"/>
        <v>0</v>
      </c>
      <c r="O2648" s="6" t="s">
        <v>20</v>
      </c>
      <c r="Q2648" s="6" t="s">
        <v>21</v>
      </c>
      <c r="R2648" s="6" t="s">
        <v>21</v>
      </c>
      <c r="S2648" s="6" t="s">
        <v>21</v>
      </c>
      <c r="T2648" s="6" t="s">
        <v>21</v>
      </c>
      <c r="U2648" s="6">
        <f t="shared" si="322"/>
        <v>507.11500000000001</v>
      </c>
      <c r="V2648" s="6">
        <f t="shared" si="319"/>
        <v>507.11500000000001</v>
      </c>
    </row>
    <row r="2649" spans="1:22" hidden="1" x14ac:dyDescent="0.35">
      <c r="A2649" s="6" t="s">
        <v>2901</v>
      </c>
      <c r="B2649" s="6" t="s">
        <v>2885</v>
      </c>
      <c r="C2649" s="6" t="s">
        <v>2886</v>
      </c>
      <c r="D2649" s="6">
        <f t="shared" si="324"/>
        <v>0.5</v>
      </c>
      <c r="E2649" s="6" t="s">
        <v>19</v>
      </c>
      <c r="F2649" s="6" t="str">
        <f>MID(A2649,19,1)</f>
        <v>S</v>
      </c>
      <c r="G2649" s="6">
        <v>-22.860271290293809</v>
      </c>
      <c r="H2649" s="6">
        <v>-47.292030509925723</v>
      </c>
      <c r="I2649" s="9">
        <v>797.05</v>
      </c>
      <c r="K2649" s="6">
        <v>2.39</v>
      </c>
      <c r="L2649" s="6">
        <v>70</v>
      </c>
      <c r="N2649" s="1">
        <f t="shared" si="321"/>
        <v>0</v>
      </c>
      <c r="O2649" s="6" t="s">
        <v>20</v>
      </c>
      <c r="Q2649" s="6" t="s">
        <v>21</v>
      </c>
      <c r="R2649" s="6" t="s">
        <v>21</v>
      </c>
      <c r="S2649" s="6" t="s">
        <v>21</v>
      </c>
      <c r="T2649" s="6" t="s">
        <v>21</v>
      </c>
      <c r="U2649" s="6">
        <f t="shared" si="322"/>
        <v>557.93499999999995</v>
      </c>
      <c r="V2649" s="6">
        <f t="shared" si="319"/>
        <v>557.93499999999995</v>
      </c>
    </row>
    <row r="2650" spans="1:22" hidden="1" x14ac:dyDescent="0.35">
      <c r="A2650" s="6" t="s">
        <v>2902</v>
      </c>
      <c r="B2650" s="6" t="s">
        <v>2885</v>
      </c>
      <c r="C2650" s="6" t="s">
        <v>2886</v>
      </c>
      <c r="D2650" s="6">
        <f t="shared" si="324"/>
        <v>0.5</v>
      </c>
      <c r="E2650" s="6" t="s">
        <v>23</v>
      </c>
      <c r="F2650" s="6" t="str">
        <f>MID(A2650,19,1)</f>
        <v>C</v>
      </c>
      <c r="G2650" s="6">
        <v>-22.859645213782692</v>
      </c>
      <c r="H2650" s="6">
        <v>-47.290919127518727</v>
      </c>
      <c r="I2650" s="9">
        <v>1544.74</v>
      </c>
      <c r="J2650" s="9">
        <f>I2650/500</f>
        <v>3.08948</v>
      </c>
      <c r="K2650" s="6">
        <v>4.5999999999999996</v>
      </c>
      <c r="L2650" s="6">
        <v>80</v>
      </c>
      <c r="N2650" s="1">
        <f t="shared" si="321"/>
        <v>0</v>
      </c>
      <c r="O2650" s="6" t="s">
        <v>20</v>
      </c>
      <c r="Q2650" s="6" t="s">
        <v>21</v>
      </c>
      <c r="R2650" s="6" t="s">
        <v>21</v>
      </c>
      <c r="S2650" s="6" t="s">
        <v>21</v>
      </c>
      <c r="T2650" s="6" t="s">
        <v>21</v>
      </c>
      <c r="U2650" s="6">
        <f t="shared" si="322"/>
        <v>1235.7920000000001</v>
      </c>
      <c r="V2650" s="6">
        <f t="shared" si="319"/>
        <v>1235.7920000000001</v>
      </c>
    </row>
    <row r="2651" spans="1:22" hidden="1" x14ac:dyDescent="0.35">
      <c r="A2651" s="6" t="s">
        <v>2903</v>
      </c>
      <c r="B2651" s="6" t="s">
        <v>2885</v>
      </c>
      <c r="C2651" s="6" t="s">
        <v>2886</v>
      </c>
      <c r="D2651" s="6">
        <f t="shared" si="324"/>
        <v>0.5</v>
      </c>
      <c r="E2651" s="6" t="s">
        <v>19</v>
      </c>
      <c r="F2651" s="6" t="str">
        <f>MID(A2651,19,1)</f>
        <v>S</v>
      </c>
      <c r="G2651" s="6">
        <v>-22.86062131838499</v>
      </c>
      <c r="H2651" s="6">
        <v>-47.292284442021888</v>
      </c>
      <c r="I2651" s="9">
        <v>345.32</v>
      </c>
      <c r="K2651" s="6">
        <v>2.84</v>
      </c>
      <c r="L2651" s="6">
        <v>70</v>
      </c>
      <c r="N2651" s="1">
        <f t="shared" si="321"/>
        <v>0</v>
      </c>
      <c r="O2651" s="6" t="s">
        <v>20</v>
      </c>
      <c r="Q2651" s="6" t="s">
        <v>21</v>
      </c>
      <c r="R2651" s="6" t="s">
        <v>21</v>
      </c>
      <c r="S2651" s="6" t="s">
        <v>21</v>
      </c>
      <c r="T2651" s="6" t="s">
        <v>21</v>
      </c>
      <c r="U2651" s="6">
        <f t="shared" si="322"/>
        <v>241.72399999999999</v>
      </c>
      <c r="V2651" s="6">
        <f t="shared" si="319"/>
        <v>241.72399999999999</v>
      </c>
    </row>
    <row r="2652" spans="1:22" hidden="1" x14ac:dyDescent="0.35">
      <c r="A2652" s="6" t="s">
        <v>2904</v>
      </c>
      <c r="B2652" s="6" t="s">
        <v>2885</v>
      </c>
      <c r="C2652" s="6" t="s">
        <v>2886</v>
      </c>
      <c r="D2652" s="6">
        <f t="shared" si="324"/>
        <v>0.5</v>
      </c>
      <c r="E2652" s="6" t="s">
        <v>19</v>
      </c>
      <c r="F2652" s="6" t="str">
        <f>MID(A2652,19,1)</f>
        <v>S</v>
      </c>
      <c r="G2652" s="6">
        <v>-22.860497015918259</v>
      </c>
      <c r="H2652" s="6">
        <v>-47.291708057387332</v>
      </c>
      <c r="I2652" s="9">
        <v>1152.9000000000001</v>
      </c>
      <c r="K2652" s="6">
        <v>3.96</v>
      </c>
      <c r="L2652" s="6">
        <v>70</v>
      </c>
      <c r="N2652" s="1">
        <f t="shared" si="321"/>
        <v>0</v>
      </c>
      <c r="O2652" s="6" t="s">
        <v>20</v>
      </c>
      <c r="Q2652" s="6" t="s">
        <v>21</v>
      </c>
      <c r="R2652" s="6" t="s">
        <v>21</v>
      </c>
      <c r="S2652" s="6" t="s">
        <v>21</v>
      </c>
      <c r="T2652" s="6" t="s">
        <v>21</v>
      </c>
      <c r="U2652" s="6">
        <f t="shared" si="322"/>
        <v>807.03</v>
      </c>
      <c r="V2652" s="6">
        <f t="shared" si="319"/>
        <v>807.03</v>
      </c>
    </row>
    <row r="2653" spans="1:22" x14ac:dyDescent="0.35">
      <c r="A2653" s="6" t="s">
        <v>2905</v>
      </c>
      <c r="B2653" s="6" t="s">
        <v>2885</v>
      </c>
      <c r="C2653" s="6" t="s">
        <v>2886</v>
      </c>
      <c r="D2653" s="6">
        <f t="shared" si="324"/>
        <v>0.5</v>
      </c>
      <c r="E2653" s="6" t="s">
        <v>19</v>
      </c>
      <c r="F2653" s="6" t="str">
        <f>MID(A2653,19,1)</f>
        <v>N</v>
      </c>
      <c r="G2653" s="6">
        <v>-22.790927228179029</v>
      </c>
      <c r="H2653" s="6">
        <v>-47.226513156029952</v>
      </c>
      <c r="I2653" s="9">
        <v>855.14</v>
      </c>
      <c r="K2653" s="6">
        <v>3.54</v>
      </c>
      <c r="L2653" s="6">
        <v>30</v>
      </c>
      <c r="N2653" s="1">
        <f t="shared" si="321"/>
        <v>0</v>
      </c>
      <c r="O2653" s="6" t="s">
        <v>20</v>
      </c>
      <c r="Q2653" s="6" t="s">
        <v>21</v>
      </c>
      <c r="R2653" s="6" t="s">
        <v>21</v>
      </c>
      <c r="S2653" s="6" t="s">
        <v>21</v>
      </c>
      <c r="T2653" s="6" t="s">
        <v>21</v>
      </c>
      <c r="U2653" s="6">
        <f t="shared" si="322"/>
        <v>256.54199999999997</v>
      </c>
      <c r="V2653" s="6">
        <f t="shared" si="319"/>
        <v>256.54199999999997</v>
      </c>
    </row>
    <row r="2654" spans="1:22" hidden="1" x14ac:dyDescent="0.35">
      <c r="A2654" s="6" t="s">
        <v>2906</v>
      </c>
      <c r="B2654" s="6" t="s">
        <v>2885</v>
      </c>
      <c r="C2654" s="6" t="s">
        <v>2886</v>
      </c>
      <c r="D2654" s="6">
        <f t="shared" si="324"/>
        <v>0.5</v>
      </c>
      <c r="E2654" s="6" t="s">
        <v>19</v>
      </c>
      <c r="F2654" s="6" t="str">
        <f>MID(A2654,19,1)</f>
        <v>S</v>
      </c>
      <c r="G2654" s="6">
        <v>-22.79487857826112</v>
      </c>
      <c r="H2654" s="6">
        <v>-47.225319419518037</v>
      </c>
      <c r="I2654" s="9">
        <v>2493.77</v>
      </c>
      <c r="K2654" s="6">
        <v>2.9</v>
      </c>
      <c r="L2654" s="6">
        <v>30</v>
      </c>
      <c r="N2654" s="1">
        <f t="shared" si="321"/>
        <v>0</v>
      </c>
      <c r="O2654" s="6" t="s">
        <v>20</v>
      </c>
      <c r="Q2654" s="6" t="s">
        <v>21</v>
      </c>
      <c r="R2654" s="6" t="s">
        <v>21</v>
      </c>
      <c r="S2654" s="6" t="s">
        <v>21</v>
      </c>
      <c r="T2654" s="6" t="s">
        <v>21</v>
      </c>
      <c r="U2654" s="6">
        <f t="shared" si="322"/>
        <v>748.13099999999997</v>
      </c>
      <c r="V2654" s="6">
        <f t="shared" si="319"/>
        <v>748.13099999999997</v>
      </c>
    </row>
    <row r="2655" spans="1:22" hidden="1" x14ac:dyDescent="0.35">
      <c r="A2655" s="6" t="s">
        <v>2907</v>
      </c>
      <c r="B2655" s="6" t="s">
        <v>2885</v>
      </c>
      <c r="C2655" s="6" t="s">
        <v>2886</v>
      </c>
      <c r="D2655" s="6">
        <f t="shared" si="324"/>
        <v>0.5</v>
      </c>
      <c r="E2655" s="6" t="s">
        <v>23</v>
      </c>
      <c r="F2655" s="6" t="str">
        <f>MID(A2655,19,1)</f>
        <v>C</v>
      </c>
      <c r="G2655" s="6">
        <v>-22.792451801636719</v>
      </c>
      <c r="H2655" s="6">
        <v>-47.22653574935557</v>
      </c>
      <c r="I2655" s="9">
        <v>6</v>
      </c>
      <c r="J2655" s="9">
        <f>I2655/500</f>
        <v>1.2E-2</v>
      </c>
      <c r="K2655" s="6">
        <v>3.21</v>
      </c>
      <c r="L2655" s="6">
        <v>0</v>
      </c>
      <c r="N2655" s="1">
        <f t="shared" si="321"/>
        <v>0</v>
      </c>
      <c r="Q2655" s="6" t="s">
        <v>21</v>
      </c>
      <c r="R2655" s="6" t="s">
        <v>21</v>
      </c>
      <c r="S2655" s="6" t="s">
        <v>21</v>
      </c>
      <c r="T2655" s="6" t="s">
        <v>21</v>
      </c>
      <c r="U2655" s="6">
        <f t="shared" si="322"/>
        <v>0</v>
      </c>
      <c r="V2655" s="6">
        <f t="shared" si="319"/>
        <v>0</v>
      </c>
    </row>
    <row r="2656" spans="1:22" hidden="1" x14ac:dyDescent="0.35">
      <c r="A2656" s="6" t="s">
        <v>2908</v>
      </c>
      <c r="B2656" s="6" t="s">
        <v>2885</v>
      </c>
      <c r="C2656" s="6" t="s">
        <v>2886</v>
      </c>
      <c r="D2656" s="6">
        <f t="shared" si="324"/>
        <v>0.5</v>
      </c>
      <c r="E2656" s="6" t="s">
        <v>19</v>
      </c>
      <c r="F2656" s="6" t="str">
        <f>MID(A2656,19,1)</f>
        <v>S</v>
      </c>
      <c r="G2656" s="6">
        <v>-22.859943711900289</v>
      </c>
      <c r="H2656" s="6">
        <v>-47.291296155361621</v>
      </c>
      <c r="I2656" s="9">
        <v>4934.05</v>
      </c>
      <c r="K2656" s="6">
        <v>4.17</v>
      </c>
      <c r="L2656" s="6">
        <v>70</v>
      </c>
      <c r="N2656" s="1">
        <f t="shared" si="321"/>
        <v>0</v>
      </c>
      <c r="O2656" s="6" t="s">
        <v>20</v>
      </c>
      <c r="Q2656" s="6" t="s">
        <v>21</v>
      </c>
      <c r="R2656" s="6" t="s">
        <v>21</v>
      </c>
      <c r="S2656" s="6" t="s">
        <v>21</v>
      </c>
      <c r="T2656" s="6" t="s">
        <v>21</v>
      </c>
      <c r="U2656" s="6">
        <f t="shared" si="322"/>
        <v>3453.835</v>
      </c>
      <c r="V2656" s="6">
        <f t="shared" si="319"/>
        <v>3453.835</v>
      </c>
    </row>
    <row r="2657" spans="1:22" hidden="1" x14ac:dyDescent="0.35">
      <c r="A2657" s="6" t="s">
        <v>2909</v>
      </c>
      <c r="B2657" s="6" t="s">
        <v>2885</v>
      </c>
      <c r="C2657" s="6" t="s">
        <v>2886</v>
      </c>
      <c r="D2657" s="6">
        <f t="shared" si="324"/>
        <v>0.5</v>
      </c>
      <c r="E2657" s="6" t="s">
        <v>23</v>
      </c>
      <c r="F2657" s="6" t="str">
        <f>MID(A2657,19,1)</f>
        <v>C</v>
      </c>
      <c r="G2657" s="6">
        <v>-22.79005072902094</v>
      </c>
      <c r="H2657" s="6">
        <v>-47.227345948978282</v>
      </c>
      <c r="I2657" s="9">
        <v>6028.12</v>
      </c>
      <c r="J2657" s="9">
        <f>I2657/500</f>
        <v>12.056239999999999</v>
      </c>
      <c r="K2657" s="6">
        <v>2.79</v>
      </c>
      <c r="L2657" s="6">
        <v>50</v>
      </c>
      <c r="N2657" s="1">
        <f t="shared" si="321"/>
        <v>0</v>
      </c>
      <c r="O2657" s="6" t="s">
        <v>20</v>
      </c>
      <c r="Q2657" s="6" t="s">
        <v>21</v>
      </c>
      <c r="R2657" s="6" t="s">
        <v>21</v>
      </c>
      <c r="S2657" s="6" t="s">
        <v>21</v>
      </c>
      <c r="T2657" s="6" t="s">
        <v>21</v>
      </c>
      <c r="U2657" s="6">
        <f t="shared" si="322"/>
        <v>3014.06</v>
      </c>
      <c r="V2657" s="6">
        <f t="shared" si="319"/>
        <v>3014.06</v>
      </c>
    </row>
    <row r="2658" spans="1:22" hidden="1" x14ac:dyDescent="0.35">
      <c r="A2658" s="6" t="s">
        <v>2910</v>
      </c>
      <c r="B2658" s="6" t="s">
        <v>2885</v>
      </c>
      <c r="C2658" s="6" t="s">
        <v>2886</v>
      </c>
      <c r="D2658" s="6">
        <f t="shared" si="324"/>
        <v>0.5</v>
      </c>
      <c r="E2658" s="6" t="s">
        <v>19</v>
      </c>
      <c r="F2658" s="6" t="str">
        <f>MID(A2658,19,1)</f>
        <v>S</v>
      </c>
      <c r="G2658" s="6">
        <v>-22.7929427851752</v>
      </c>
      <c r="H2658" s="6">
        <v>-47.226573417628373</v>
      </c>
      <c r="I2658" s="9">
        <v>3752.34</v>
      </c>
      <c r="K2658" s="6">
        <v>3.72</v>
      </c>
      <c r="L2658" s="6">
        <v>30</v>
      </c>
      <c r="N2658" s="1">
        <f t="shared" si="321"/>
        <v>0</v>
      </c>
      <c r="O2658" s="6" t="s">
        <v>20</v>
      </c>
      <c r="Q2658" s="6" t="s">
        <v>21</v>
      </c>
      <c r="R2658" s="6" t="s">
        <v>21</v>
      </c>
      <c r="S2658" s="6" t="s">
        <v>21</v>
      </c>
      <c r="T2658" s="6" t="s">
        <v>21</v>
      </c>
      <c r="U2658" s="6">
        <f t="shared" si="322"/>
        <v>1125.702</v>
      </c>
      <c r="V2658" s="6">
        <f t="shared" ref="V2658:V2687" si="325">(I2658*(L2658/100))</f>
        <v>1125.702</v>
      </c>
    </row>
    <row r="2659" spans="1:22" hidden="1" x14ac:dyDescent="0.35">
      <c r="A2659" s="6" t="s">
        <v>2911</v>
      </c>
      <c r="B2659" s="6" t="s">
        <v>2885</v>
      </c>
      <c r="C2659" s="6" t="s">
        <v>2886</v>
      </c>
      <c r="D2659" s="6">
        <f t="shared" si="324"/>
        <v>0.5</v>
      </c>
      <c r="E2659" s="6" t="s">
        <v>19</v>
      </c>
      <c r="F2659" s="6" t="str">
        <f>MID(A2659,19,1)</f>
        <v>S</v>
      </c>
      <c r="G2659" s="6">
        <v>-22.85974535773294</v>
      </c>
      <c r="H2659" s="6">
        <v>-47.293449956755211</v>
      </c>
      <c r="I2659" s="9">
        <v>1849.28</v>
      </c>
      <c r="K2659" s="6">
        <v>1.89</v>
      </c>
      <c r="L2659" s="6">
        <v>70</v>
      </c>
      <c r="N2659" s="1">
        <f t="shared" si="321"/>
        <v>0</v>
      </c>
      <c r="O2659" s="6" t="s">
        <v>20</v>
      </c>
      <c r="Q2659" s="6" t="s">
        <v>21</v>
      </c>
      <c r="R2659" s="6" t="s">
        <v>21</v>
      </c>
      <c r="S2659" s="6" t="s">
        <v>21</v>
      </c>
      <c r="T2659" s="6" t="s">
        <v>21</v>
      </c>
      <c r="U2659" s="6">
        <f t="shared" si="322"/>
        <v>1294.4959999999999</v>
      </c>
      <c r="V2659" s="6">
        <f t="shared" si="325"/>
        <v>1294.4959999999999</v>
      </c>
    </row>
    <row r="2660" spans="1:22" x14ac:dyDescent="0.35">
      <c r="A2660" s="6" t="s">
        <v>2912</v>
      </c>
      <c r="B2660" s="6" t="s">
        <v>2885</v>
      </c>
      <c r="C2660" s="6" t="s">
        <v>2886</v>
      </c>
      <c r="D2660" s="6">
        <f t="shared" si="324"/>
        <v>0.5</v>
      </c>
      <c r="E2660" s="6" t="s">
        <v>19</v>
      </c>
      <c r="F2660" s="6" t="str">
        <f>MID(A2660,19,1)</f>
        <v>N</v>
      </c>
      <c r="G2660" s="6">
        <v>-22.857814300784401</v>
      </c>
      <c r="H2660" s="6">
        <v>-47.2977386805563</v>
      </c>
      <c r="I2660" s="9">
        <v>2248.09</v>
      </c>
      <c r="K2660" s="6">
        <v>1.82</v>
      </c>
      <c r="L2660" s="6">
        <v>70</v>
      </c>
      <c r="N2660" s="1">
        <f t="shared" si="321"/>
        <v>0</v>
      </c>
      <c r="O2660" s="6" t="s">
        <v>20</v>
      </c>
      <c r="Q2660" s="6" t="s">
        <v>21</v>
      </c>
      <c r="R2660" s="6" t="s">
        <v>21</v>
      </c>
      <c r="S2660" s="6" t="s">
        <v>21</v>
      </c>
      <c r="T2660" s="6" t="s">
        <v>21</v>
      </c>
      <c r="U2660" s="6">
        <f t="shared" si="322"/>
        <v>1573.663</v>
      </c>
      <c r="V2660" s="6">
        <f t="shared" si="325"/>
        <v>1573.663</v>
      </c>
    </row>
    <row r="2661" spans="1:22" x14ac:dyDescent="0.35">
      <c r="A2661" s="6" t="s">
        <v>2913</v>
      </c>
      <c r="B2661" s="6" t="s">
        <v>2885</v>
      </c>
      <c r="C2661" s="6" t="s">
        <v>2886</v>
      </c>
      <c r="D2661" s="6">
        <f t="shared" si="324"/>
        <v>0.5</v>
      </c>
      <c r="E2661" s="6" t="s">
        <v>19</v>
      </c>
      <c r="F2661" s="6" t="str">
        <f>MID(A2661,19,1)</f>
        <v>N</v>
      </c>
      <c r="G2661" s="6">
        <v>-22.791991957708721</v>
      </c>
      <c r="H2661" s="6">
        <v>-47.225214917172728</v>
      </c>
      <c r="I2661" s="9">
        <v>360.46</v>
      </c>
      <c r="K2661" s="6">
        <v>4.55</v>
      </c>
      <c r="L2661" s="6">
        <v>30</v>
      </c>
      <c r="N2661" s="1">
        <f t="shared" si="321"/>
        <v>0</v>
      </c>
      <c r="O2661" s="6" t="s">
        <v>20</v>
      </c>
      <c r="Q2661" s="6" t="s">
        <v>21</v>
      </c>
      <c r="R2661" s="6" t="s">
        <v>21</v>
      </c>
      <c r="S2661" s="6" t="s">
        <v>21</v>
      </c>
      <c r="T2661" s="6" t="s">
        <v>21</v>
      </c>
      <c r="U2661" s="6">
        <f t="shared" si="322"/>
        <v>108.13799999999999</v>
      </c>
      <c r="V2661" s="6">
        <f t="shared" si="325"/>
        <v>108.13799999999999</v>
      </c>
    </row>
    <row r="2662" spans="1:22" x14ac:dyDescent="0.35">
      <c r="A2662" s="6" t="s">
        <v>2914</v>
      </c>
      <c r="B2662" s="6" t="s">
        <v>2885</v>
      </c>
      <c r="C2662" s="6" t="s">
        <v>2886</v>
      </c>
      <c r="D2662" s="6">
        <f t="shared" si="324"/>
        <v>0.5</v>
      </c>
      <c r="E2662" s="6" t="s">
        <v>19</v>
      </c>
      <c r="F2662" s="6" t="str">
        <f>MID(A2662,19,1)</f>
        <v>N</v>
      </c>
      <c r="G2662" s="6">
        <v>-22.859266156894169</v>
      </c>
      <c r="H2662" s="6">
        <v>-47.290882326135637</v>
      </c>
      <c r="I2662" s="9">
        <v>4602.03</v>
      </c>
      <c r="K2662" s="6">
        <v>3.78</v>
      </c>
      <c r="L2662" s="6">
        <v>70</v>
      </c>
      <c r="N2662" s="1">
        <f t="shared" si="321"/>
        <v>0</v>
      </c>
      <c r="O2662" s="6" t="s">
        <v>20</v>
      </c>
      <c r="Q2662" s="6" t="s">
        <v>21</v>
      </c>
      <c r="R2662" s="6" t="s">
        <v>21</v>
      </c>
      <c r="S2662" s="6" t="s">
        <v>21</v>
      </c>
      <c r="T2662" s="6" t="s">
        <v>21</v>
      </c>
      <c r="U2662" s="6">
        <f t="shared" si="322"/>
        <v>3221.4209999999998</v>
      </c>
      <c r="V2662" s="6">
        <f t="shared" si="325"/>
        <v>3221.4209999999998</v>
      </c>
    </row>
    <row r="2663" spans="1:22" x14ac:dyDescent="0.35">
      <c r="A2663" s="6" t="s">
        <v>2915</v>
      </c>
      <c r="B2663" s="6" t="s">
        <v>2885</v>
      </c>
      <c r="C2663" s="6" t="s">
        <v>2886</v>
      </c>
      <c r="D2663" s="6">
        <f t="shared" si="324"/>
        <v>0.5</v>
      </c>
      <c r="E2663" s="6" t="s">
        <v>19</v>
      </c>
      <c r="F2663" s="6" t="str">
        <f>MID(A2663,19,1)</f>
        <v>N</v>
      </c>
      <c r="G2663" s="6">
        <v>-22.85900413205518</v>
      </c>
      <c r="H2663" s="6">
        <v>-47.291855788903781</v>
      </c>
      <c r="I2663" s="9">
        <v>3300.84</v>
      </c>
      <c r="K2663" s="6">
        <v>2.6</v>
      </c>
      <c r="L2663" s="6">
        <v>70</v>
      </c>
      <c r="N2663" s="1">
        <f t="shared" si="321"/>
        <v>0</v>
      </c>
      <c r="O2663" s="6" t="s">
        <v>20</v>
      </c>
      <c r="Q2663" s="6" t="s">
        <v>21</v>
      </c>
      <c r="R2663" s="6" t="s">
        <v>21</v>
      </c>
      <c r="S2663" s="6" t="s">
        <v>21</v>
      </c>
      <c r="T2663" s="6" t="s">
        <v>21</v>
      </c>
      <c r="U2663" s="6">
        <f t="shared" si="322"/>
        <v>2310.5879999999997</v>
      </c>
      <c r="V2663" s="6">
        <f t="shared" si="325"/>
        <v>2310.5879999999997</v>
      </c>
    </row>
    <row r="2664" spans="1:22" x14ac:dyDescent="0.35">
      <c r="A2664" s="6" t="s">
        <v>2916</v>
      </c>
      <c r="B2664" s="6" t="s">
        <v>2885</v>
      </c>
      <c r="C2664" s="6" t="s">
        <v>2886</v>
      </c>
      <c r="D2664" s="6">
        <f t="shared" si="324"/>
        <v>0.5</v>
      </c>
      <c r="E2664" s="6" t="s">
        <v>19</v>
      </c>
      <c r="F2664" s="6" t="str">
        <f>MID(A2664,19,1)</f>
        <v>N</v>
      </c>
      <c r="G2664" s="6">
        <v>-22.791936599436301</v>
      </c>
      <c r="H2664" s="6">
        <v>-47.225432306697677</v>
      </c>
      <c r="I2664" s="9">
        <v>146.65</v>
      </c>
      <c r="K2664" s="6">
        <v>3.7</v>
      </c>
      <c r="L2664" s="6">
        <v>30</v>
      </c>
      <c r="N2664" s="1">
        <f t="shared" si="321"/>
        <v>0</v>
      </c>
      <c r="O2664" s="6" t="s">
        <v>20</v>
      </c>
      <c r="Q2664" s="6" t="s">
        <v>21</v>
      </c>
      <c r="R2664" s="6" t="s">
        <v>21</v>
      </c>
      <c r="S2664" s="6" t="s">
        <v>21</v>
      </c>
      <c r="T2664" s="6" t="s">
        <v>21</v>
      </c>
      <c r="U2664" s="6">
        <f t="shared" si="322"/>
        <v>43.994999999999997</v>
      </c>
      <c r="V2664" s="6">
        <f t="shared" si="325"/>
        <v>43.994999999999997</v>
      </c>
    </row>
    <row r="2665" spans="1:22" x14ac:dyDescent="0.35">
      <c r="A2665" s="6" t="s">
        <v>2917</v>
      </c>
      <c r="B2665" s="6" t="s">
        <v>2885</v>
      </c>
      <c r="C2665" s="6" t="s">
        <v>2886</v>
      </c>
      <c r="D2665" s="6">
        <f t="shared" si="324"/>
        <v>0.5</v>
      </c>
      <c r="E2665" s="6" t="s">
        <v>19</v>
      </c>
      <c r="F2665" s="6" t="str">
        <f>MID(A2665,19,1)</f>
        <v>N</v>
      </c>
      <c r="G2665" s="6">
        <v>-22.792107235479801</v>
      </c>
      <c r="H2665" s="6">
        <v>-47.225751082832822</v>
      </c>
      <c r="I2665" s="9">
        <v>225.69</v>
      </c>
      <c r="K2665" s="6">
        <v>3.93</v>
      </c>
      <c r="L2665" s="6">
        <v>30</v>
      </c>
      <c r="N2665" s="1">
        <f t="shared" si="321"/>
        <v>0</v>
      </c>
      <c r="O2665" s="6" t="s">
        <v>20</v>
      </c>
      <c r="Q2665" s="6" t="s">
        <v>21</v>
      </c>
      <c r="R2665" s="6" t="s">
        <v>21</v>
      </c>
      <c r="S2665" s="6" t="s">
        <v>21</v>
      </c>
      <c r="T2665" s="6" t="s">
        <v>21</v>
      </c>
      <c r="U2665" s="6">
        <f t="shared" si="322"/>
        <v>67.706999999999994</v>
      </c>
      <c r="V2665" s="6">
        <f t="shared" si="325"/>
        <v>67.706999999999994</v>
      </c>
    </row>
    <row r="2666" spans="1:22" x14ac:dyDescent="0.35">
      <c r="A2666" s="6" t="s">
        <v>2918</v>
      </c>
      <c r="B2666" s="6" t="s">
        <v>2885</v>
      </c>
      <c r="C2666" s="6" t="s">
        <v>2886</v>
      </c>
      <c r="D2666" s="6">
        <f t="shared" si="324"/>
        <v>0.5</v>
      </c>
      <c r="E2666" s="6" t="s">
        <v>19</v>
      </c>
      <c r="F2666" s="6" t="str">
        <f>MID(A2666,19,1)</f>
        <v>N</v>
      </c>
      <c r="G2666" s="6">
        <v>-22.858651217865429</v>
      </c>
      <c r="H2666" s="6">
        <v>-47.290664141915713</v>
      </c>
      <c r="I2666" s="9">
        <v>942.98</v>
      </c>
      <c r="K2666" s="6">
        <v>3.83</v>
      </c>
      <c r="L2666" s="6">
        <v>70</v>
      </c>
      <c r="N2666" s="1">
        <f t="shared" si="321"/>
        <v>0</v>
      </c>
      <c r="O2666" s="6" t="s">
        <v>20</v>
      </c>
      <c r="Q2666" s="6" t="s">
        <v>21</v>
      </c>
      <c r="R2666" s="6" t="s">
        <v>21</v>
      </c>
      <c r="S2666" s="6" t="s">
        <v>21</v>
      </c>
      <c r="T2666" s="6" t="s">
        <v>21</v>
      </c>
      <c r="U2666" s="6">
        <f t="shared" si="322"/>
        <v>660.08600000000001</v>
      </c>
      <c r="V2666" s="6">
        <f t="shared" si="325"/>
        <v>660.08600000000001</v>
      </c>
    </row>
    <row r="2667" spans="1:22" hidden="1" x14ac:dyDescent="0.35">
      <c r="A2667" s="6" t="s">
        <v>2919</v>
      </c>
      <c r="B2667" s="6" t="s">
        <v>2885</v>
      </c>
      <c r="C2667" s="6" t="s">
        <v>2886</v>
      </c>
      <c r="D2667" s="6">
        <f t="shared" si="324"/>
        <v>0.5</v>
      </c>
      <c r="E2667" s="6" t="s">
        <v>19</v>
      </c>
      <c r="F2667" s="6" t="str">
        <f>MID(A2667,19,1)</f>
        <v>S</v>
      </c>
      <c r="G2667" s="6">
        <v>-22.860499853939121</v>
      </c>
      <c r="H2667" s="6">
        <v>-47.292394595549027</v>
      </c>
      <c r="I2667" s="9">
        <v>95.93</v>
      </c>
      <c r="K2667" s="6">
        <v>2.0499999999999998</v>
      </c>
      <c r="L2667" s="6">
        <v>0</v>
      </c>
      <c r="N2667" s="1">
        <f t="shared" si="321"/>
        <v>0</v>
      </c>
      <c r="Q2667" s="6" t="s">
        <v>21</v>
      </c>
      <c r="R2667" s="6" t="s">
        <v>21</v>
      </c>
      <c r="S2667" s="6" t="s">
        <v>21</v>
      </c>
      <c r="T2667" s="6" t="s">
        <v>21</v>
      </c>
      <c r="U2667" s="6">
        <f t="shared" si="322"/>
        <v>0</v>
      </c>
      <c r="V2667" s="6">
        <f t="shared" si="325"/>
        <v>0</v>
      </c>
    </row>
    <row r="2668" spans="1:22" x14ac:dyDescent="0.35">
      <c r="A2668" s="6" t="s">
        <v>2920</v>
      </c>
      <c r="B2668" s="6" t="s">
        <v>2885</v>
      </c>
      <c r="C2668" s="6" t="s">
        <v>2886</v>
      </c>
      <c r="D2668" s="6">
        <f t="shared" si="324"/>
        <v>0.5</v>
      </c>
      <c r="E2668" s="6" t="s">
        <v>19</v>
      </c>
      <c r="F2668" s="6" t="str">
        <f>MID(A2668,19,1)</f>
        <v>N</v>
      </c>
      <c r="G2668" s="6">
        <v>-22.858724070473588</v>
      </c>
      <c r="H2668" s="6">
        <v>-47.291081414916022</v>
      </c>
      <c r="I2668" s="9">
        <v>688.54</v>
      </c>
      <c r="K2668" s="6">
        <v>1.86</v>
      </c>
      <c r="L2668" s="6">
        <v>70</v>
      </c>
      <c r="N2668" s="1">
        <f t="shared" si="321"/>
        <v>0</v>
      </c>
      <c r="O2668" s="6" t="s">
        <v>20</v>
      </c>
      <c r="Q2668" s="6" t="s">
        <v>21</v>
      </c>
      <c r="R2668" s="6" t="s">
        <v>21</v>
      </c>
      <c r="S2668" s="6" t="s">
        <v>21</v>
      </c>
      <c r="T2668" s="6" t="s">
        <v>21</v>
      </c>
      <c r="U2668" s="6">
        <f t="shared" si="322"/>
        <v>481.97799999999995</v>
      </c>
      <c r="V2668" s="6">
        <f t="shared" si="325"/>
        <v>481.97799999999995</v>
      </c>
    </row>
    <row r="2669" spans="1:22" x14ac:dyDescent="0.35">
      <c r="A2669" s="6" t="s">
        <v>2921</v>
      </c>
      <c r="B2669" s="6" t="s">
        <v>2885</v>
      </c>
      <c r="C2669" s="6" t="s">
        <v>2886</v>
      </c>
      <c r="D2669" s="6">
        <f t="shared" si="324"/>
        <v>0.5</v>
      </c>
      <c r="E2669" s="6" t="s">
        <v>19</v>
      </c>
      <c r="F2669" s="6" t="str">
        <f>MID(A2669,19,1)</f>
        <v>N</v>
      </c>
      <c r="G2669" s="6">
        <v>-22.858582711493231</v>
      </c>
      <c r="H2669" s="6">
        <v>-47.292725108531052</v>
      </c>
      <c r="I2669" s="9">
        <v>2091.84</v>
      </c>
      <c r="K2669" s="6">
        <v>2.0099999999999998</v>
      </c>
      <c r="L2669" s="6">
        <v>70</v>
      </c>
      <c r="N2669" s="1">
        <f t="shared" si="321"/>
        <v>0</v>
      </c>
      <c r="O2669" s="6" t="s">
        <v>20</v>
      </c>
      <c r="Q2669" s="6" t="s">
        <v>21</v>
      </c>
      <c r="R2669" s="6" t="s">
        <v>21</v>
      </c>
      <c r="S2669" s="6" t="s">
        <v>21</v>
      </c>
      <c r="T2669" s="6" t="s">
        <v>21</v>
      </c>
      <c r="U2669" s="6">
        <f t="shared" si="322"/>
        <v>1464.288</v>
      </c>
      <c r="V2669" s="6">
        <f t="shared" si="325"/>
        <v>1464.288</v>
      </c>
    </row>
    <row r="2670" spans="1:22" hidden="1" x14ac:dyDescent="0.35">
      <c r="A2670" s="6" t="s">
        <v>2922</v>
      </c>
      <c r="B2670" s="6" t="s">
        <v>2885</v>
      </c>
      <c r="C2670" s="6" t="s">
        <v>2886</v>
      </c>
      <c r="D2670" s="6">
        <f t="shared" si="324"/>
        <v>0.5</v>
      </c>
      <c r="E2670" s="6" t="s">
        <v>19</v>
      </c>
      <c r="F2670" s="6" t="str">
        <f>MID(A2670,19,1)</f>
        <v>S</v>
      </c>
      <c r="G2670" s="6">
        <v>-22.792661746253689</v>
      </c>
      <c r="H2670" s="6">
        <v>-47.226751369577457</v>
      </c>
      <c r="I2670" s="9">
        <v>56.55</v>
      </c>
      <c r="K2670" s="6">
        <v>3.11</v>
      </c>
      <c r="L2670" s="6">
        <v>0</v>
      </c>
      <c r="N2670" s="1">
        <f t="shared" si="321"/>
        <v>0</v>
      </c>
      <c r="Q2670" s="6" t="s">
        <v>21</v>
      </c>
      <c r="R2670" s="6" t="s">
        <v>21</v>
      </c>
      <c r="S2670" s="6" t="s">
        <v>21</v>
      </c>
      <c r="T2670" s="6" t="s">
        <v>21</v>
      </c>
      <c r="U2670" s="6">
        <f t="shared" si="322"/>
        <v>0</v>
      </c>
      <c r="V2670" s="6">
        <f t="shared" si="325"/>
        <v>0</v>
      </c>
    </row>
    <row r="2671" spans="1:22" x14ac:dyDescent="0.35">
      <c r="A2671" s="6" t="s">
        <v>2923</v>
      </c>
      <c r="B2671" s="6" t="s">
        <v>2885</v>
      </c>
      <c r="C2671" s="6" t="s">
        <v>2886</v>
      </c>
      <c r="D2671" s="6">
        <f t="shared" si="324"/>
        <v>0.5</v>
      </c>
      <c r="E2671" s="6" t="s">
        <v>19</v>
      </c>
      <c r="F2671" s="6" t="str">
        <f>MID(A2671,19,1)</f>
        <v>N</v>
      </c>
      <c r="G2671" s="6">
        <v>-22.85825208712086</v>
      </c>
      <c r="H2671" s="6">
        <v>-47.291071390151863</v>
      </c>
      <c r="I2671" s="9">
        <v>413.77</v>
      </c>
      <c r="K2671" s="6">
        <v>1.35</v>
      </c>
      <c r="L2671" s="6">
        <v>70</v>
      </c>
      <c r="N2671" s="1">
        <f t="shared" si="321"/>
        <v>0</v>
      </c>
      <c r="O2671" s="6" t="s">
        <v>20</v>
      </c>
      <c r="Q2671" s="6" t="s">
        <v>21</v>
      </c>
      <c r="R2671" s="6" t="s">
        <v>21</v>
      </c>
      <c r="S2671" s="6" t="s">
        <v>21</v>
      </c>
      <c r="T2671" s="6" t="s">
        <v>21</v>
      </c>
      <c r="U2671" s="6">
        <f t="shared" si="322"/>
        <v>289.63899999999995</v>
      </c>
      <c r="V2671" s="6">
        <f t="shared" si="325"/>
        <v>289.63899999999995</v>
      </c>
    </row>
    <row r="2672" spans="1:22" hidden="1" x14ac:dyDescent="0.35">
      <c r="A2672" s="6" t="s">
        <v>2924</v>
      </c>
      <c r="B2672" s="6" t="s">
        <v>2885</v>
      </c>
      <c r="C2672" s="6" t="s">
        <v>2886</v>
      </c>
      <c r="D2672" s="6">
        <f t="shared" si="324"/>
        <v>0.5</v>
      </c>
      <c r="E2672" s="6" t="s">
        <v>23</v>
      </c>
      <c r="F2672" s="6" t="str">
        <f>MID(A2672,19,1)</f>
        <v>C</v>
      </c>
      <c r="G2672" s="6">
        <v>-22.859065826936551</v>
      </c>
      <c r="H2672" s="6">
        <v>-47.293494954752589</v>
      </c>
      <c r="I2672" s="9">
        <v>4388.22</v>
      </c>
      <c r="J2672" s="9">
        <f t="shared" ref="J2672:J2673" si="326">I2672/500</f>
        <v>8.7764400000000009</v>
      </c>
      <c r="K2672" s="6">
        <v>1.91</v>
      </c>
      <c r="L2672" s="6">
        <v>80</v>
      </c>
      <c r="N2672" s="1">
        <f t="shared" si="321"/>
        <v>0</v>
      </c>
      <c r="O2672" s="6" t="s">
        <v>20</v>
      </c>
      <c r="Q2672" s="6" t="s">
        <v>21</v>
      </c>
      <c r="R2672" s="6" t="s">
        <v>21</v>
      </c>
      <c r="S2672" s="6" t="s">
        <v>21</v>
      </c>
      <c r="T2672" s="6" t="s">
        <v>21</v>
      </c>
      <c r="U2672" s="6">
        <f t="shared" si="322"/>
        <v>3510.5760000000005</v>
      </c>
      <c r="V2672" s="6">
        <f t="shared" si="325"/>
        <v>3510.5760000000005</v>
      </c>
    </row>
    <row r="2673" spans="1:22" hidden="1" x14ac:dyDescent="0.35">
      <c r="A2673" s="6" t="s">
        <v>2925</v>
      </c>
      <c r="B2673" s="6" t="s">
        <v>2885</v>
      </c>
      <c r="C2673" s="6" t="s">
        <v>2886</v>
      </c>
      <c r="D2673" s="6">
        <f t="shared" si="324"/>
        <v>0.5</v>
      </c>
      <c r="E2673" s="6" t="s">
        <v>23</v>
      </c>
      <c r="F2673" s="6" t="str">
        <f>MID(A2673,19,1)</f>
        <v>C</v>
      </c>
      <c r="G2673" s="6">
        <v>-22.85822264088711</v>
      </c>
      <c r="H2673" s="6">
        <v>-47.29747028489021</v>
      </c>
      <c r="I2673" s="9">
        <v>5498.26</v>
      </c>
      <c r="J2673" s="9">
        <f t="shared" si="326"/>
        <v>10.99652</v>
      </c>
      <c r="K2673" s="6">
        <v>2.3199999999999998</v>
      </c>
      <c r="L2673" s="6">
        <v>80</v>
      </c>
      <c r="N2673" s="1">
        <f t="shared" si="321"/>
        <v>0</v>
      </c>
      <c r="O2673" s="6" t="s">
        <v>20</v>
      </c>
      <c r="Q2673" s="6" t="s">
        <v>21</v>
      </c>
      <c r="R2673" s="6" t="s">
        <v>21</v>
      </c>
      <c r="S2673" s="6" t="s">
        <v>21</v>
      </c>
      <c r="T2673" s="6" t="s">
        <v>21</v>
      </c>
      <c r="U2673" s="6">
        <f t="shared" si="322"/>
        <v>4398.6080000000002</v>
      </c>
      <c r="V2673" s="6">
        <f t="shared" si="325"/>
        <v>4398.6080000000002</v>
      </c>
    </row>
    <row r="2674" spans="1:22" x14ac:dyDescent="0.35">
      <c r="A2674" s="6" t="s">
        <v>2926</v>
      </c>
      <c r="B2674" s="6" t="s">
        <v>2885</v>
      </c>
      <c r="C2674" s="6" t="s">
        <v>2886</v>
      </c>
      <c r="D2674" s="6">
        <f t="shared" si="324"/>
        <v>0.5</v>
      </c>
      <c r="E2674" s="6" t="s">
        <v>19</v>
      </c>
      <c r="F2674" s="6" t="str">
        <f>MID(A2674,19,1)</f>
        <v>N</v>
      </c>
      <c r="G2674" s="6">
        <v>-22.792288126029241</v>
      </c>
      <c r="H2674" s="6">
        <v>-47.22621340813469</v>
      </c>
      <c r="I2674" s="9">
        <v>84.9</v>
      </c>
      <c r="K2674" s="6">
        <v>2.2999999999999998</v>
      </c>
      <c r="L2674" s="6">
        <v>50</v>
      </c>
      <c r="N2674" s="1">
        <f t="shared" si="321"/>
        <v>0</v>
      </c>
      <c r="O2674" s="6" t="s">
        <v>20</v>
      </c>
      <c r="Q2674" s="6" t="s">
        <v>21</v>
      </c>
      <c r="R2674" s="6" t="s">
        <v>21</v>
      </c>
      <c r="S2674" s="6" t="s">
        <v>21</v>
      </c>
      <c r="T2674" s="6" t="s">
        <v>21</v>
      </c>
      <c r="U2674" s="6">
        <f t="shared" si="322"/>
        <v>42.45</v>
      </c>
      <c r="V2674" s="6">
        <f t="shared" si="325"/>
        <v>42.45</v>
      </c>
    </row>
    <row r="2675" spans="1:22" hidden="1" x14ac:dyDescent="0.35">
      <c r="A2675" s="6" t="s">
        <v>2927</v>
      </c>
      <c r="B2675" s="6" t="s">
        <v>2928</v>
      </c>
      <c r="C2675" s="6" t="s">
        <v>2929</v>
      </c>
      <c r="D2675" s="6">
        <f t="shared" si="324"/>
        <v>0.5</v>
      </c>
      <c r="E2675" s="6" t="s">
        <v>23</v>
      </c>
      <c r="F2675" s="6" t="str">
        <f>MID(A2675,19,1)</f>
        <v>C</v>
      </c>
      <c r="G2675" s="6">
        <v>-22.85709469234007</v>
      </c>
      <c r="H2675" s="6">
        <v>-47.302769217822487</v>
      </c>
      <c r="I2675" s="9">
        <v>4677.38</v>
      </c>
      <c r="J2675" s="9">
        <f>I2675/500</f>
        <v>9.3547600000000006</v>
      </c>
      <c r="K2675" s="6">
        <v>4.76</v>
      </c>
      <c r="L2675" s="6">
        <v>80</v>
      </c>
      <c r="N2675" s="1">
        <f t="shared" si="321"/>
        <v>0</v>
      </c>
      <c r="O2675" s="6" t="s">
        <v>20</v>
      </c>
      <c r="Q2675" s="6" t="s">
        <v>21</v>
      </c>
      <c r="R2675" s="6" t="s">
        <v>21</v>
      </c>
      <c r="S2675" s="6" t="s">
        <v>21</v>
      </c>
      <c r="T2675" s="6" t="s">
        <v>21</v>
      </c>
      <c r="U2675" s="6">
        <f t="shared" si="322"/>
        <v>3741.9040000000005</v>
      </c>
      <c r="V2675" s="6">
        <f t="shared" si="325"/>
        <v>3741.9040000000005</v>
      </c>
    </row>
    <row r="2676" spans="1:22" x14ac:dyDescent="0.35">
      <c r="A2676" s="6" t="s">
        <v>2930</v>
      </c>
      <c r="B2676" s="6" t="s">
        <v>2928</v>
      </c>
      <c r="C2676" s="6" t="s">
        <v>2929</v>
      </c>
      <c r="D2676" s="6">
        <f t="shared" si="324"/>
        <v>0.5</v>
      </c>
      <c r="E2676" s="6" t="s">
        <v>19</v>
      </c>
      <c r="F2676" s="6" t="str">
        <f>MID(A2676,19,1)</f>
        <v>N</v>
      </c>
      <c r="G2676" s="6">
        <v>-22.78558107293313</v>
      </c>
      <c r="H2676" s="6">
        <v>-47.229210222205353</v>
      </c>
      <c r="I2676" s="9">
        <v>2022.99</v>
      </c>
      <c r="K2676" s="6">
        <v>3.45</v>
      </c>
      <c r="L2676" s="6">
        <v>30</v>
      </c>
      <c r="N2676" s="1">
        <f t="shared" si="321"/>
        <v>0</v>
      </c>
      <c r="O2676" s="6" t="s">
        <v>20</v>
      </c>
      <c r="Q2676" s="6" t="s">
        <v>21</v>
      </c>
      <c r="R2676" s="6" t="s">
        <v>21</v>
      </c>
      <c r="S2676" s="6" t="s">
        <v>21</v>
      </c>
      <c r="T2676" s="6" t="s">
        <v>21</v>
      </c>
      <c r="U2676" s="6">
        <f t="shared" si="322"/>
        <v>606.89699999999993</v>
      </c>
      <c r="V2676" s="6">
        <f t="shared" si="325"/>
        <v>606.89699999999993</v>
      </c>
    </row>
    <row r="2677" spans="1:22" x14ac:dyDescent="0.35">
      <c r="A2677" s="6" t="s">
        <v>2931</v>
      </c>
      <c r="B2677" s="6" t="s">
        <v>2928</v>
      </c>
      <c r="C2677" s="6" t="s">
        <v>2929</v>
      </c>
      <c r="D2677" s="6">
        <f t="shared" si="324"/>
        <v>0.5</v>
      </c>
      <c r="E2677" s="6" t="s">
        <v>19</v>
      </c>
      <c r="F2677" s="6" t="str">
        <f>MID(A2677,19,1)</f>
        <v>N</v>
      </c>
      <c r="G2677" s="6">
        <v>-22.78163495026412</v>
      </c>
      <c r="H2677" s="6">
        <v>-47.231249234355012</v>
      </c>
      <c r="I2677" s="9">
        <v>1737.37</v>
      </c>
      <c r="K2677" s="6">
        <v>2.2799999999999998</v>
      </c>
      <c r="L2677" s="6">
        <v>30</v>
      </c>
      <c r="N2677" s="1">
        <f t="shared" si="321"/>
        <v>0</v>
      </c>
      <c r="O2677" s="6" t="s">
        <v>20</v>
      </c>
      <c r="Q2677" s="6" t="s">
        <v>21</v>
      </c>
      <c r="R2677" s="6" t="s">
        <v>21</v>
      </c>
      <c r="S2677" s="6" t="s">
        <v>21</v>
      </c>
      <c r="T2677" s="6" t="s">
        <v>21</v>
      </c>
      <c r="U2677" s="6">
        <f t="shared" si="322"/>
        <v>521.2109999999999</v>
      </c>
      <c r="V2677" s="6">
        <f t="shared" si="325"/>
        <v>521.2109999999999</v>
      </c>
    </row>
    <row r="2678" spans="1:22" x14ac:dyDescent="0.35">
      <c r="A2678" s="6" t="s">
        <v>2932</v>
      </c>
      <c r="B2678" s="6" t="s">
        <v>2928</v>
      </c>
      <c r="C2678" s="6" t="s">
        <v>2929</v>
      </c>
      <c r="D2678" s="6">
        <f t="shared" si="324"/>
        <v>0.5</v>
      </c>
      <c r="E2678" s="6" t="s">
        <v>19</v>
      </c>
      <c r="F2678" s="6" t="str">
        <f>MID(A2678,19,1)</f>
        <v>N</v>
      </c>
      <c r="G2678" s="6">
        <v>-22.77959302353716</v>
      </c>
      <c r="H2678" s="6">
        <v>-47.232252767666182</v>
      </c>
      <c r="I2678" s="9">
        <v>198.15</v>
      </c>
      <c r="K2678" s="6">
        <v>3.38</v>
      </c>
      <c r="L2678" s="6">
        <v>30</v>
      </c>
      <c r="N2678" s="1">
        <f t="shared" si="321"/>
        <v>0</v>
      </c>
      <c r="O2678" s="6" t="s">
        <v>20</v>
      </c>
      <c r="Q2678" s="6" t="s">
        <v>21</v>
      </c>
      <c r="R2678" s="6" t="s">
        <v>21</v>
      </c>
      <c r="S2678" s="6" t="s">
        <v>21</v>
      </c>
      <c r="T2678" s="6" t="s">
        <v>21</v>
      </c>
      <c r="U2678" s="6">
        <f t="shared" si="322"/>
        <v>59.445</v>
      </c>
      <c r="V2678" s="6">
        <f t="shared" si="325"/>
        <v>59.445</v>
      </c>
    </row>
    <row r="2679" spans="1:22" hidden="1" x14ac:dyDescent="0.35">
      <c r="A2679" s="6" t="s">
        <v>2933</v>
      </c>
      <c r="B2679" s="6" t="s">
        <v>2928</v>
      </c>
      <c r="C2679" s="6" t="s">
        <v>2929</v>
      </c>
      <c r="D2679" s="6">
        <f t="shared" si="324"/>
        <v>0.5</v>
      </c>
      <c r="E2679" s="6" t="s">
        <v>19</v>
      </c>
      <c r="F2679" s="6" t="str">
        <f>MID(A2679,19,1)</f>
        <v>S</v>
      </c>
      <c r="G2679" s="6">
        <v>-22.779689054704139</v>
      </c>
      <c r="H2679" s="6">
        <v>-47.232845158054722</v>
      </c>
      <c r="I2679" s="9">
        <v>11.05</v>
      </c>
      <c r="K2679" s="6">
        <v>2.36</v>
      </c>
      <c r="L2679" s="6">
        <v>30</v>
      </c>
      <c r="N2679" s="1">
        <f t="shared" si="321"/>
        <v>0</v>
      </c>
      <c r="O2679" s="6" t="s">
        <v>20</v>
      </c>
      <c r="Q2679" s="6" t="s">
        <v>21</v>
      </c>
      <c r="R2679" s="6" t="s">
        <v>21</v>
      </c>
      <c r="S2679" s="6" t="s">
        <v>21</v>
      </c>
      <c r="T2679" s="6" t="s">
        <v>21</v>
      </c>
      <c r="U2679" s="6">
        <f t="shared" si="322"/>
        <v>3.3149999999999999</v>
      </c>
      <c r="V2679" s="6">
        <f t="shared" si="325"/>
        <v>3.3149999999999999</v>
      </c>
    </row>
    <row r="2680" spans="1:22" hidden="1" x14ac:dyDescent="0.35">
      <c r="A2680" s="6" t="s">
        <v>2934</v>
      </c>
      <c r="B2680" s="6" t="s">
        <v>2928</v>
      </c>
      <c r="C2680" s="6" t="s">
        <v>2929</v>
      </c>
      <c r="D2680" s="6">
        <f t="shared" si="324"/>
        <v>0.5</v>
      </c>
      <c r="E2680" s="6" t="s">
        <v>19</v>
      </c>
      <c r="F2680" s="6" t="str">
        <f>MID(A2680,19,1)</f>
        <v>S</v>
      </c>
      <c r="G2680" s="6">
        <v>-22.78142733064195</v>
      </c>
      <c r="H2680" s="6">
        <v>-47.231975949408877</v>
      </c>
      <c r="I2680" s="9">
        <v>858.53</v>
      </c>
      <c r="K2680" s="6">
        <v>2.56</v>
      </c>
      <c r="L2680" s="6">
        <v>30</v>
      </c>
      <c r="N2680" s="1">
        <f t="shared" si="321"/>
        <v>0</v>
      </c>
      <c r="O2680" s="6" t="s">
        <v>20</v>
      </c>
      <c r="Q2680" s="6" t="s">
        <v>21</v>
      </c>
      <c r="R2680" s="6" t="s">
        <v>21</v>
      </c>
      <c r="S2680" s="6" t="s">
        <v>21</v>
      </c>
      <c r="T2680" s="6" t="s">
        <v>21</v>
      </c>
      <c r="U2680" s="6">
        <f t="shared" si="322"/>
        <v>257.55899999999997</v>
      </c>
      <c r="V2680" s="6">
        <f t="shared" si="325"/>
        <v>257.55899999999997</v>
      </c>
    </row>
    <row r="2681" spans="1:22" hidden="1" x14ac:dyDescent="0.35">
      <c r="A2681" s="6" t="s">
        <v>2935</v>
      </c>
      <c r="B2681" s="6" t="s">
        <v>2928</v>
      </c>
      <c r="C2681" s="6" t="s">
        <v>2929</v>
      </c>
      <c r="D2681" s="6">
        <f t="shared" si="324"/>
        <v>0.5</v>
      </c>
      <c r="E2681" s="6" t="s">
        <v>19</v>
      </c>
      <c r="F2681" s="6" t="str">
        <f>MID(A2681,19,1)</f>
        <v>S</v>
      </c>
      <c r="G2681" s="6">
        <v>-22.78254708991129</v>
      </c>
      <c r="H2681" s="6">
        <v>-47.231454957681628</v>
      </c>
      <c r="I2681" s="9">
        <v>4.8099999999999996</v>
      </c>
      <c r="K2681" s="6">
        <v>2.92</v>
      </c>
      <c r="L2681" s="6">
        <v>0</v>
      </c>
      <c r="N2681" s="1">
        <f t="shared" si="321"/>
        <v>0</v>
      </c>
      <c r="Q2681" s="6" t="s">
        <v>21</v>
      </c>
      <c r="R2681" s="6" t="s">
        <v>21</v>
      </c>
      <c r="S2681" s="6" t="s">
        <v>21</v>
      </c>
      <c r="T2681" s="6" t="s">
        <v>21</v>
      </c>
      <c r="U2681" s="6">
        <f t="shared" si="322"/>
        <v>0</v>
      </c>
      <c r="V2681" s="6">
        <f t="shared" si="325"/>
        <v>0</v>
      </c>
    </row>
    <row r="2682" spans="1:22" hidden="1" x14ac:dyDescent="0.35">
      <c r="A2682" s="6" t="s">
        <v>2936</v>
      </c>
      <c r="B2682" s="6" t="s">
        <v>2928</v>
      </c>
      <c r="C2682" s="6" t="s">
        <v>2929</v>
      </c>
      <c r="D2682" s="6">
        <f t="shared" si="324"/>
        <v>0.5</v>
      </c>
      <c r="E2682" s="6" t="s">
        <v>23</v>
      </c>
      <c r="F2682" s="6" t="str">
        <f>MID(A2682,19,1)</f>
        <v>C</v>
      </c>
      <c r="G2682" s="6">
        <v>-22.7856728434929</v>
      </c>
      <c r="H2682" s="6">
        <v>-47.229561544438923</v>
      </c>
      <c r="I2682" s="9">
        <v>6109.3</v>
      </c>
      <c r="J2682" s="9">
        <f t="shared" ref="J2682:J2683" si="327">I2682/500</f>
        <v>12.2186</v>
      </c>
      <c r="K2682" s="6">
        <v>3.1</v>
      </c>
      <c r="L2682" s="6">
        <v>50</v>
      </c>
      <c r="N2682" s="1">
        <f t="shared" si="321"/>
        <v>0</v>
      </c>
      <c r="O2682" s="6" t="s">
        <v>20</v>
      </c>
      <c r="Q2682" s="6" t="s">
        <v>21</v>
      </c>
      <c r="R2682" s="6" t="s">
        <v>21</v>
      </c>
      <c r="S2682" s="6" t="s">
        <v>21</v>
      </c>
      <c r="T2682" s="6" t="s">
        <v>21</v>
      </c>
      <c r="U2682" s="6">
        <f t="shared" si="322"/>
        <v>3054.65</v>
      </c>
      <c r="V2682" s="6">
        <f t="shared" si="325"/>
        <v>3054.65</v>
      </c>
    </row>
    <row r="2683" spans="1:22" hidden="1" x14ac:dyDescent="0.35">
      <c r="A2683" s="6" t="s">
        <v>2937</v>
      </c>
      <c r="B2683" s="6" t="s">
        <v>2928</v>
      </c>
      <c r="C2683" s="6" t="s">
        <v>2929</v>
      </c>
      <c r="D2683" s="6">
        <f t="shared" si="324"/>
        <v>0.5</v>
      </c>
      <c r="E2683" s="6" t="s">
        <v>23</v>
      </c>
      <c r="F2683" s="6" t="str">
        <f>MID(A2683,19,1)</f>
        <v>C</v>
      </c>
      <c r="G2683" s="6">
        <v>-22.781560547433749</v>
      </c>
      <c r="H2683" s="6">
        <v>-47.23164067480365</v>
      </c>
      <c r="I2683" s="9">
        <v>5566.15</v>
      </c>
      <c r="J2683" s="9">
        <f t="shared" si="327"/>
        <v>11.132299999999999</v>
      </c>
      <c r="K2683" s="6">
        <v>2.5099999999999998</v>
      </c>
      <c r="L2683" s="6">
        <v>50</v>
      </c>
      <c r="N2683" s="1">
        <f t="shared" si="321"/>
        <v>0</v>
      </c>
      <c r="O2683" s="6" t="s">
        <v>20</v>
      </c>
      <c r="Q2683" s="6" t="s">
        <v>21</v>
      </c>
      <c r="R2683" s="6" t="s">
        <v>21</v>
      </c>
      <c r="S2683" s="6" t="s">
        <v>21</v>
      </c>
      <c r="T2683" s="6" t="s">
        <v>21</v>
      </c>
      <c r="U2683" s="6">
        <f t="shared" si="322"/>
        <v>2783.0749999999998</v>
      </c>
      <c r="V2683" s="6">
        <f t="shared" si="325"/>
        <v>2783.0749999999998</v>
      </c>
    </row>
    <row r="2684" spans="1:22" hidden="1" x14ac:dyDescent="0.35">
      <c r="A2684" s="6" t="s">
        <v>2938</v>
      </c>
      <c r="B2684" s="6" t="s">
        <v>2928</v>
      </c>
      <c r="C2684" s="6" t="s">
        <v>2929</v>
      </c>
      <c r="D2684" s="6">
        <f t="shared" si="324"/>
        <v>0.5</v>
      </c>
      <c r="E2684" s="6" t="s">
        <v>19</v>
      </c>
      <c r="F2684" s="6" t="str">
        <f>MID(A2684,19,1)</f>
        <v>S</v>
      </c>
      <c r="G2684" s="6">
        <v>-22.85644091650579</v>
      </c>
      <c r="H2684" s="6">
        <v>-47.306849604000917</v>
      </c>
      <c r="I2684" s="9">
        <v>1748.41</v>
      </c>
      <c r="K2684" s="6">
        <v>3.65</v>
      </c>
      <c r="L2684" s="6">
        <v>75</v>
      </c>
      <c r="N2684" s="1">
        <f t="shared" si="321"/>
        <v>0</v>
      </c>
      <c r="O2684" s="6" t="s">
        <v>20</v>
      </c>
      <c r="Q2684" s="6" t="s">
        <v>21</v>
      </c>
      <c r="R2684" s="6" t="s">
        <v>21</v>
      </c>
      <c r="S2684" s="6" t="s">
        <v>21</v>
      </c>
      <c r="T2684" s="6" t="s">
        <v>21</v>
      </c>
      <c r="U2684" s="6">
        <f t="shared" si="322"/>
        <v>1311.3075000000001</v>
      </c>
      <c r="V2684" s="6">
        <f t="shared" si="325"/>
        <v>1311.3075000000001</v>
      </c>
    </row>
    <row r="2685" spans="1:22" hidden="1" x14ac:dyDescent="0.35">
      <c r="A2685" s="6" t="s">
        <v>2939</v>
      </c>
      <c r="B2685" s="6" t="s">
        <v>2928</v>
      </c>
      <c r="C2685" s="6" t="s">
        <v>2929</v>
      </c>
      <c r="D2685" s="6">
        <f t="shared" si="324"/>
        <v>0.5</v>
      </c>
      <c r="E2685" s="6" t="s">
        <v>19</v>
      </c>
      <c r="F2685" s="6" t="str">
        <f>MID(A2685,19,1)</f>
        <v>S</v>
      </c>
      <c r="G2685" s="6">
        <v>-22.857638696864718</v>
      </c>
      <c r="H2685" s="6">
        <v>-47.300267806330737</v>
      </c>
      <c r="I2685" s="9">
        <v>322.85000000000002</v>
      </c>
      <c r="K2685" s="6">
        <v>2.16</v>
      </c>
      <c r="L2685" s="6">
        <v>0</v>
      </c>
      <c r="N2685" s="1">
        <f t="shared" si="321"/>
        <v>0</v>
      </c>
      <c r="Q2685" s="6" t="s">
        <v>21</v>
      </c>
      <c r="R2685" s="6" t="s">
        <v>21</v>
      </c>
      <c r="S2685" s="6" t="s">
        <v>21</v>
      </c>
      <c r="T2685" s="6" t="s">
        <v>21</v>
      </c>
      <c r="U2685" s="6">
        <f t="shared" si="322"/>
        <v>0</v>
      </c>
      <c r="V2685" s="6">
        <f t="shared" si="325"/>
        <v>0</v>
      </c>
    </row>
    <row r="2686" spans="1:22" x14ac:dyDescent="0.35">
      <c r="A2686" s="6" t="s">
        <v>2940</v>
      </c>
      <c r="B2686" s="6" t="s">
        <v>2928</v>
      </c>
      <c r="C2686" s="6" t="s">
        <v>2929</v>
      </c>
      <c r="D2686" s="6">
        <f t="shared" si="324"/>
        <v>0.5</v>
      </c>
      <c r="E2686" s="6" t="s">
        <v>19</v>
      </c>
      <c r="F2686" s="6" t="str">
        <f>MID(A2686,19,1)</f>
        <v>N</v>
      </c>
      <c r="G2686" s="6">
        <v>-22.856735163485311</v>
      </c>
      <c r="H2686" s="6">
        <v>-47.302233541535777</v>
      </c>
      <c r="I2686" s="9">
        <v>1955.81</v>
      </c>
      <c r="K2686" s="6">
        <v>3.44</v>
      </c>
      <c r="L2686" s="6">
        <v>70</v>
      </c>
      <c r="N2686" s="1">
        <f t="shared" si="321"/>
        <v>0</v>
      </c>
      <c r="O2686" s="6" t="s">
        <v>20</v>
      </c>
      <c r="Q2686" s="6" t="s">
        <v>21</v>
      </c>
      <c r="R2686" s="6" t="s">
        <v>21</v>
      </c>
      <c r="S2686" s="6" t="s">
        <v>21</v>
      </c>
      <c r="T2686" s="6" t="s">
        <v>21</v>
      </c>
      <c r="U2686" s="6">
        <f t="shared" si="322"/>
        <v>1369.0669999999998</v>
      </c>
      <c r="V2686" s="6">
        <f t="shared" si="325"/>
        <v>1369.0669999999998</v>
      </c>
    </row>
    <row r="2687" spans="1:22" hidden="1" x14ac:dyDescent="0.35">
      <c r="A2687" s="6" t="s">
        <v>2941</v>
      </c>
      <c r="B2687" s="6" t="s">
        <v>2928</v>
      </c>
      <c r="C2687" s="6" t="s">
        <v>2929</v>
      </c>
      <c r="D2687" s="6">
        <f t="shared" si="324"/>
        <v>0.5</v>
      </c>
      <c r="E2687" s="6" t="s">
        <v>19</v>
      </c>
      <c r="F2687" s="6" t="str">
        <f>MID(A2687,19,1)</f>
        <v>S</v>
      </c>
      <c r="G2687" s="6">
        <v>-22.857600385211011</v>
      </c>
      <c r="H2687" s="6">
        <v>-47.302390244666462</v>
      </c>
      <c r="I2687" s="9">
        <v>2079.0500000000002</v>
      </c>
      <c r="K2687" s="6">
        <v>4.08</v>
      </c>
      <c r="L2687" s="6">
        <v>70</v>
      </c>
      <c r="N2687" s="1">
        <f t="shared" si="321"/>
        <v>0</v>
      </c>
      <c r="O2687" s="6" t="s">
        <v>20</v>
      </c>
      <c r="Q2687" s="6" t="s">
        <v>21</v>
      </c>
      <c r="R2687" s="6" t="s">
        <v>21</v>
      </c>
      <c r="S2687" s="6" t="s">
        <v>21</v>
      </c>
      <c r="T2687" s="6" t="s">
        <v>21</v>
      </c>
      <c r="U2687" s="6">
        <f t="shared" si="322"/>
        <v>1455.335</v>
      </c>
      <c r="V2687" s="6">
        <f t="shared" si="325"/>
        <v>1455.335</v>
      </c>
    </row>
    <row r="2688" spans="1:22" x14ac:dyDescent="0.35">
      <c r="A2688" s="8" t="s">
        <v>2942</v>
      </c>
      <c r="B2688" s="8" t="s">
        <v>2928</v>
      </c>
      <c r="C2688" s="8" t="s">
        <v>2929</v>
      </c>
      <c r="D2688" s="6">
        <f t="shared" si="324"/>
        <v>0.5</v>
      </c>
      <c r="E2688" s="8" t="s">
        <v>19</v>
      </c>
      <c r="F2688" s="6" t="str">
        <f>MID(A2688,19,1)</f>
        <v>N</v>
      </c>
      <c r="G2688" s="8">
        <v>-22.856043255519172</v>
      </c>
      <c r="H2688" s="8">
        <v>-47.306706314896168</v>
      </c>
      <c r="I2688" s="7">
        <v>1811.77</v>
      </c>
      <c r="J2688" s="7"/>
      <c r="K2688" s="8">
        <v>3.41</v>
      </c>
      <c r="L2688" s="8">
        <v>60</v>
      </c>
      <c r="M2688" s="8"/>
      <c r="N2688" s="11">
        <f t="shared" si="321"/>
        <v>1087.0619999999999</v>
      </c>
      <c r="O2688" s="8" t="s">
        <v>25</v>
      </c>
      <c r="P2688" s="8"/>
      <c r="Q2688" s="8" t="s">
        <v>21</v>
      </c>
      <c r="R2688" s="8" t="s">
        <v>26</v>
      </c>
      <c r="S2688" s="8" t="s">
        <v>21</v>
      </c>
      <c r="T2688" s="8" t="s">
        <v>26</v>
      </c>
      <c r="U2688" s="6">
        <f t="shared" si="322"/>
        <v>0</v>
      </c>
    </row>
    <row r="2689" spans="1:22" hidden="1" x14ac:dyDescent="0.35">
      <c r="A2689" s="6" t="s">
        <v>2943</v>
      </c>
      <c r="B2689" s="6" t="s">
        <v>2928</v>
      </c>
      <c r="C2689" s="6" t="s">
        <v>2929</v>
      </c>
      <c r="D2689" s="6">
        <f t="shared" si="324"/>
        <v>0.5</v>
      </c>
      <c r="E2689" s="6" t="s">
        <v>23</v>
      </c>
      <c r="F2689" s="6" t="str">
        <f>MID(A2689,19,1)</f>
        <v>C</v>
      </c>
      <c r="G2689" s="6">
        <v>-22.856233790812379</v>
      </c>
      <c r="H2689" s="6">
        <v>-47.306787900956053</v>
      </c>
      <c r="I2689" s="9">
        <v>5288.38</v>
      </c>
      <c r="J2689" s="9">
        <f>I2689/500</f>
        <v>10.57676</v>
      </c>
      <c r="K2689" s="6">
        <v>3.54</v>
      </c>
      <c r="L2689" s="6">
        <v>80</v>
      </c>
      <c r="N2689" s="1">
        <f t="shared" si="321"/>
        <v>0</v>
      </c>
      <c r="O2689" s="6" t="s">
        <v>20</v>
      </c>
      <c r="Q2689" s="6" t="s">
        <v>21</v>
      </c>
      <c r="R2689" s="6" t="s">
        <v>21</v>
      </c>
      <c r="S2689" s="6" t="s">
        <v>21</v>
      </c>
      <c r="T2689" s="6" t="s">
        <v>21</v>
      </c>
      <c r="U2689" s="6">
        <f t="shared" si="322"/>
        <v>4230.7040000000006</v>
      </c>
      <c r="V2689" s="6">
        <f t="shared" ref="V2689:V2699" si="328">(I2689*(L2689/100))</f>
        <v>4230.7040000000006</v>
      </c>
    </row>
    <row r="2690" spans="1:22" hidden="1" x14ac:dyDescent="0.35">
      <c r="A2690" s="6" t="s">
        <v>2944</v>
      </c>
      <c r="B2690" s="6" t="s">
        <v>2945</v>
      </c>
      <c r="C2690" s="6" t="s">
        <v>2946</v>
      </c>
      <c r="D2690" s="6">
        <f t="shared" si="324"/>
        <v>0.5</v>
      </c>
      <c r="E2690" s="6" t="s">
        <v>19</v>
      </c>
      <c r="F2690" s="6" t="str">
        <f>MID(A2690,19,1)</f>
        <v>S</v>
      </c>
      <c r="G2690" s="6">
        <v>-22.85551539553866</v>
      </c>
      <c r="H2690" s="6">
        <v>-47.31114558779575</v>
      </c>
      <c r="I2690" s="9">
        <v>1874.35</v>
      </c>
      <c r="K2690" s="6">
        <v>4.3</v>
      </c>
      <c r="L2690" s="6">
        <v>90</v>
      </c>
      <c r="N2690" s="1">
        <f t="shared" ref="N2690:N2753" si="329">IF(OR(R2690="Sim",S2690="Sim",T2690="Sim"),(L2690/100)*I2690,0)</f>
        <v>0</v>
      </c>
      <c r="O2690" s="6" t="s">
        <v>20</v>
      </c>
      <c r="Q2690" s="6" t="s">
        <v>21</v>
      </c>
      <c r="R2690" s="6" t="s">
        <v>21</v>
      </c>
      <c r="S2690" s="6" t="s">
        <v>21</v>
      </c>
      <c r="T2690" s="6" t="s">
        <v>21</v>
      </c>
      <c r="U2690" s="6">
        <f t="shared" si="322"/>
        <v>1686.915</v>
      </c>
      <c r="V2690" s="6">
        <f t="shared" si="328"/>
        <v>1686.915</v>
      </c>
    </row>
    <row r="2691" spans="1:22" hidden="1" x14ac:dyDescent="0.35">
      <c r="A2691" s="6" t="s">
        <v>2947</v>
      </c>
      <c r="B2691" s="6" t="s">
        <v>2945</v>
      </c>
      <c r="C2691" s="6" t="s">
        <v>2946</v>
      </c>
      <c r="D2691" s="6">
        <f t="shared" si="324"/>
        <v>0.5</v>
      </c>
      <c r="E2691" s="6" t="s">
        <v>19</v>
      </c>
      <c r="F2691" s="6" t="str">
        <f>MID(A2691,19,1)</f>
        <v>S</v>
      </c>
      <c r="G2691" s="6">
        <v>-22.854343209189899</v>
      </c>
      <c r="H2691" s="6">
        <v>-47.317526561032381</v>
      </c>
      <c r="I2691" s="9">
        <v>1455.24</v>
      </c>
      <c r="K2691" s="6">
        <v>2.2200000000000002</v>
      </c>
      <c r="L2691" s="6">
        <v>70</v>
      </c>
      <c r="N2691" s="1">
        <f t="shared" si="329"/>
        <v>0</v>
      </c>
      <c r="O2691" s="6" t="s">
        <v>20</v>
      </c>
      <c r="Q2691" s="6" t="s">
        <v>21</v>
      </c>
      <c r="R2691" s="6" t="s">
        <v>21</v>
      </c>
      <c r="S2691" s="6" t="s">
        <v>21</v>
      </c>
      <c r="T2691" s="6" t="s">
        <v>21</v>
      </c>
      <c r="U2691" s="6">
        <f t="shared" ref="U2691:U2754" si="330">IF(N2691=0,(I2691*(L2691/100)),0)</f>
        <v>1018.6679999999999</v>
      </c>
      <c r="V2691" s="6">
        <f t="shared" si="328"/>
        <v>1018.6679999999999</v>
      </c>
    </row>
    <row r="2692" spans="1:22" hidden="1" x14ac:dyDescent="0.35">
      <c r="A2692" s="6" t="s">
        <v>2948</v>
      </c>
      <c r="B2692" s="6" t="s">
        <v>2945</v>
      </c>
      <c r="C2692" s="6" t="s">
        <v>2946</v>
      </c>
      <c r="D2692" s="6">
        <f t="shared" si="324"/>
        <v>0.5</v>
      </c>
      <c r="E2692" s="6" t="s">
        <v>19</v>
      </c>
      <c r="F2692" s="6" t="str">
        <f>MID(A2692,19,1)</f>
        <v>S</v>
      </c>
      <c r="G2692" s="6">
        <v>-22.854387496036232</v>
      </c>
      <c r="H2692" s="6">
        <v>-47.317155573307389</v>
      </c>
      <c r="I2692" s="9">
        <v>243.29</v>
      </c>
      <c r="K2692" s="6">
        <v>2.82</v>
      </c>
      <c r="L2692" s="6">
        <v>0</v>
      </c>
      <c r="N2692" s="1">
        <f t="shared" si="329"/>
        <v>0</v>
      </c>
      <c r="Q2692" s="6" t="s">
        <v>21</v>
      </c>
      <c r="R2692" s="6" t="s">
        <v>21</v>
      </c>
      <c r="S2692" s="6" t="s">
        <v>21</v>
      </c>
      <c r="T2692" s="6" t="s">
        <v>21</v>
      </c>
      <c r="U2692" s="6">
        <f t="shared" si="330"/>
        <v>0</v>
      </c>
      <c r="V2692" s="6">
        <f t="shared" si="328"/>
        <v>0</v>
      </c>
    </row>
    <row r="2693" spans="1:22" hidden="1" x14ac:dyDescent="0.35">
      <c r="A2693" s="6" t="s">
        <v>2949</v>
      </c>
      <c r="B2693" s="6" t="s">
        <v>2945</v>
      </c>
      <c r="C2693" s="6" t="s">
        <v>2946</v>
      </c>
      <c r="D2693" s="6">
        <f t="shared" si="324"/>
        <v>0.5</v>
      </c>
      <c r="E2693" s="6" t="s">
        <v>23</v>
      </c>
      <c r="F2693" s="6" t="str">
        <f>MID(A2693,19,1)</f>
        <v>C</v>
      </c>
      <c r="G2693" s="6">
        <v>-22.854358187441811</v>
      </c>
      <c r="H2693" s="6">
        <v>-47.315594789452717</v>
      </c>
      <c r="I2693" s="9">
        <v>5701.2</v>
      </c>
      <c r="J2693" s="9">
        <f t="shared" ref="J2693:J2695" si="331">I2693/500</f>
        <v>11.4024</v>
      </c>
      <c r="K2693" s="6">
        <v>2.83</v>
      </c>
      <c r="L2693" s="6">
        <v>80</v>
      </c>
      <c r="N2693" s="1">
        <f t="shared" si="329"/>
        <v>0</v>
      </c>
      <c r="O2693" s="6" t="s">
        <v>20</v>
      </c>
      <c r="Q2693" s="6" t="s">
        <v>21</v>
      </c>
      <c r="R2693" s="6" t="s">
        <v>21</v>
      </c>
      <c r="S2693" s="6" t="s">
        <v>21</v>
      </c>
      <c r="T2693" s="6" t="s">
        <v>21</v>
      </c>
      <c r="U2693" s="6">
        <f t="shared" si="330"/>
        <v>4560.96</v>
      </c>
      <c r="V2693" s="6">
        <f t="shared" si="328"/>
        <v>4560.96</v>
      </c>
    </row>
    <row r="2694" spans="1:22" hidden="1" x14ac:dyDescent="0.35">
      <c r="A2694" s="6" t="s">
        <v>2950</v>
      </c>
      <c r="B2694" s="6" t="s">
        <v>2945</v>
      </c>
      <c r="C2694" s="6" t="s">
        <v>2946</v>
      </c>
      <c r="D2694" s="6">
        <f t="shared" si="324"/>
        <v>0.5</v>
      </c>
      <c r="E2694" s="6" t="s">
        <v>23</v>
      </c>
      <c r="F2694" s="6" t="str">
        <f>MID(A2694,19,1)</f>
        <v>C</v>
      </c>
      <c r="G2694" s="6">
        <v>-22.85531878627015</v>
      </c>
      <c r="H2694" s="6">
        <v>-47.311085806119507</v>
      </c>
      <c r="I2694" s="9">
        <v>5650.29</v>
      </c>
      <c r="J2694" s="9">
        <f t="shared" si="331"/>
        <v>11.30058</v>
      </c>
      <c r="K2694" s="6">
        <v>4.16</v>
      </c>
      <c r="L2694" s="6">
        <v>80</v>
      </c>
      <c r="N2694" s="1">
        <f t="shared" si="329"/>
        <v>0</v>
      </c>
      <c r="O2694" s="6" t="s">
        <v>20</v>
      </c>
      <c r="Q2694" s="6" t="s">
        <v>21</v>
      </c>
      <c r="R2694" s="6" t="s">
        <v>21</v>
      </c>
      <c r="S2694" s="6" t="s">
        <v>21</v>
      </c>
      <c r="T2694" s="6" t="s">
        <v>21</v>
      </c>
      <c r="U2694" s="6">
        <f t="shared" si="330"/>
        <v>4520.232</v>
      </c>
      <c r="V2694" s="6">
        <f t="shared" si="328"/>
        <v>4520.232</v>
      </c>
    </row>
    <row r="2695" spans="1:22" hidden="1" x14ac:dyDescent="0.35">
      <c r="A2695" s="6" t="s">
        <v>2951</v>
      </c>
      <c r="B2695" s="6" t="s">
        <v>2945</v>
      </c>
      <c r="C2695" s="6" t="s">
        <v>2946</v>
      </c>
      <c r="D2695" s="6">
        <f t="shared" si="324"/>
        <v>0.5</v>
      </c>
      <c r="E2695" s="6" t="s">
        <v>23</v>
      </c>
      <c r="F2695" s="6" t="str">
        <f>MID(A2695,19,1)</f>
        <v>C</v>
      </c>
      <c r="G2695" s="6">
        <v>-22.773656971946181</v>
      </c>
      <c r="H2695" s="6">
        <v>-47.235922914372651</v>
      </c>
      <c r="I2695" s="9">
        <v>4855.03</v>
      </c>
      <c r="J2695" s="9">
        <f t="shared" si="331"/>
        <v>9.7100600000000004</v>
      </c>
      <c r="K2695" s="6">
        <v>2.96</v>
      </c>
      <c r="L2695" s="6">
        <v>50</v>
      </c>
      <c r="N2695" s="1">
        <f t="shared" si="329"/>
        <v>0</v>
      </c>
      <c r="O2695" s="6" t="s">
        <v>20</v>
      </c>
      <c r="Q2695" s="6" t="s">
        <v>21</v>
      </c>
      <c r="R2695" s="6" t="s">
        <v>21</v>
      </c>
      <c r="S2695" s="6" t="s">
        <v>21</v>
      </c>
      <c r="T2695" s="6" t="s">
        <v>21</v>
      </c>
      <c r="U2695" s="6">
        <f t="shared" si="330"/>
        <v>2427.5149999999999</v>
      </c>
      <c r="V2695" s="6">
        <f t="shared" si="328"/>
        <v>2427.5149999999999</v>
      </c>
    </row>
    <row r="2696" spans="1:22" x14ac:dyDescent="0.35">
      <c r="A2696" s="6" t="s">
        <v>2952</v>
      </c>
      <c r="B2696" s="6" t="s">
        <v>2945</v>
      </c>
      <c r="C2696" s="6" t="s">
        <v>2946</v>
      </c>
      <c r="D2696" s="6">
        <f t="shared" si="324"/>
        <v>0.5</v>
      </c>
      <c r="E2696" s="6" t="s">
        <v>19</v>
      </c>
      <c r="F2696" s="6" t="str">
        <f>MID(A2696,19,1)</f>
        <v>N</v>
      </c>
      <c r="G2696" s="6">
        <v>-22.776714329530019</v>
      </c>
      <c r="H2696" s="6">
        <v>-47.233747661566163</v>
      </c>
      <c r="I2696" s="9">
        <v>58.53</v>
      </c>
      <c r="K2696" s="6">
        <v>4.0199999999999996</v>
      </c>
      <c r="L2696" s="6">
        <v>30</v>
      </c>
      <c r="N2696" s="1">
        <f t="shared" si="329"/>
        <v>0</v>
      </c>
      <c r="O2696" s="6" t="s">
        <v>20</v>
      </c>
      <c r="Q2696" s="6" t="s">
        <v>21</v>
      </c>
      <c r="R2696" s="6" t="s">
        <v>21</v>
      </c>
      <c r="S2696" s="6" t="s">
        <v>21</v>
      </c>
      <c r="T2696" s="6" t="s">
        <v>21</v>
      </c>
      <c r="U2696" s="6">
        <f t="shared" si="330"/>
        <v>17.559000000000001</v>
      </c>
      <c r="V2696" s="6">
        <f t="shared" si="328"/>
        <v>17.559000000000001</v>
      </c>
    </row>
    <row r="2697" spans="1:22" hidden="1" x14ac:dyDescent="0.35">
      <c r="A2697" s="6" t="s">
        <v>2953</v>
      </c>
      <c r="B2697" s="6" t="s">
        <v>2945</v>
      </c>
      <c r="C2697" s="6" t="s">
        <v>2946</v>
      </c>
      <c r="D2697" s="6">
        <f t="shared" si="324"/>
        <v>0.5</v>
      </c>
      <c r="E2697" s="6" t="s">
        <v>19</v>
      </c>
      <c r="F2697" s="6" t="str">
        <f>MID(A2697,19,1)</f>
        <v>S</v>
      </c>
      <c r="G2697" s="6">
        <v>-22.854289807399262</v>
      </c>
      <c r="H2697" s="6">
        <v>-47.316848213393477</v>
      </c>
      <c r="I2697" s="9">
        <v>86.38</v>
      </c>
      <c r="K2697" s="6">
        <v>2.93</v>
      </c>
      <c r="L2697" s="6">
        <v>0</v>
      </c>
      <c r="N2697" s="1">
        <f t="shared" si="329"/>
        <v>0</v>
      </c>
      <c r="Q2697" s="6" t="s">
        <v>21</v>
      </c>
      <c r="R2697" s="6" t="s">
        <v>21</v>
      </c>
      <c r="S2697" s="6" t="s">
        <v>21</v>
      </c>
      <c r="T2697" s="6" t="s">
        <v>21</v>
      </c>
      <c r="U2697" s="6">
        <f t="shared" si="330"/>
        <v>0</v>
      </c>
      <c r="V2697" s="6">
        <f t="shared" si="328"/>
        <v>0</v>
      </c>
    </row>
    <row r="2698" spans="1:22" x14ac:dyDescent="0.35">
      <c r="A2698" s="6" t="s">
        <v>2954</v>
      </c>
      <c r="B2698" s="6" t="s">
        <v>2945</v>
      </c>
      <c r="C2698" s="6" t="s">
        <v>2946</v>
      </c>
      <c r="D2698" s="6">
        <f t="shared" si="324"/>
        <v>0.5</v>
      </c>
      <c r="E2698" s="6" t="s">
        <v>19</v>
      </c>
      <c r="F2698" s="6" t="str">
        <f>MID(A2698,19,1)</f>
        <v>N</v>
      </c>
      <c r="G2698" s="6">
        <v>-22.85392013217507</v>
      </c>
      <c r="H2698" s="6">
        <v>-47.315541273919067</v>
      </c>
      <c r="I2698" s="9">
        <v>1981.77</v>
      </c>
      <c r="K2698" s="6">
        <v>2.4700000000000002</v>
      </c>
      <c r="L2698" s="6">
        <v>70</v>
      </c>
      <c r="N2698" s="1">
        <f t="shared" si="329"/>
        <v>0</v>
      </c>
      <c r="O2698" s="6" t="s">
        <v>20</v>
      </c>
      <c r="Q2698" s="6" t="s">
        <v>21</v>
      </c>
      <c r="R2698" s="6" t="s">
        <v>21</v>
      </c>
      <c r="S2698" s="6" t="s">
        <v>21</v>
      </c>
      <c r="T2698" s="6" t="s">
        <v>21</v>
      </c>
      <c r="U2698" s="6">
        <f t="shared" si="330"/>
        <v>1387.2389999999998</v>
      </c>
      <c r="V2698" s="6">
        <f t="shared" si="328"/>
        <v>1387.2389999999998</v>
      </c>
    </row>
    <row r="2699" spans="1:22" x14ac:dyDescent="0.35">
      <c r="A2699" s="6" t="s">
        <v>2955</v>
      </c>
      <c r="B2699" s="6" t="s">
        <v>2945</v>
      </c>
      <c r="C2699" s="6" t="s">
        <v>2946</v>
      </c>
      <c r="D2699" s="6">
        <f t="shared" si="324"/>
        <v>0.5</v>
      </c>
      <c r="E2699" s="6" t="s">
        <v>19</v>
      </c>
      <c r="F2699" s="6" t="str">
        <f>MID(A2699,19,1)</f>
        <v>N</v>
      </c>
      <c r="G2699" s="6">
        <v>-22.853644270888239</v>
      </c>
      <c r="H2699" s="6">
        <v>-47.317319753722998</v>
      </c>
      <c r="I2699" s="9">
        <v>767.4</v>
      </c>
      <c r="K2699" s="6">
        <v>2</v>
      </c>
      <c r="L2699" s="6">
        <v>70</v>
      </c>
      <c r="N2699" s="1">
        <f t="shared" si="329"/>
        <v>0</v>
      </c>
      <c r="O2699" s="6" t="s">
        <v>20</v>
      </c>
      <c r="Q2699" s="6" t="s">
        <v>21</v>
      </c>
      <c r="R2699" s="6" t="s">
        <v>21</v>
      </c>
      <c r="S2699" s="6" t="s">
        <v>21</v>
      </c>
      <c r="T2699" s="6" t="s">
        <v>21</v>
      </c>
      <c r="U2699" s="6">
        <f t="shared" si="330"/>
        <v>537.17999999999995</v>
      </c>
      <c r="V2699" s="6">
        <f t="shared" si="328"/>
        <v>537.17999999999995</v>
      </c>
    </row>
    <row r="2700" spans="1:22" x14ac:dyDescent="0.35">
      <c r="A2700" s="8" t="s">
        <v>2956</v>
      </c>
      <c r="B2700" s="8" t="s">
        <v>2945</v>
      </c>
      <c r="C2700" s="8" t="s">
        <v>2946</v>
      </c>
      <c r="D2700" s="6">
        <f t="shared" si="324"/>
        <v>0.5</v>
      </c>
      <c r="E2700" s="8" t="s">
        <v>19</v>
      </c>
      <c r="F2700" s="6" t="str">
        <f>MID(A2700,19,1)</f>
        <v>N</v>
      </c>
      <c r="G2700" s="8">
        <v>-22.855086425539849</v>
      </c>
      <c r="H2700" s="8">
        <v>-47.311080144955064</v>
      </c>
      <c r="I2700" s="7">
        <v>1879.86</v>
      </c>
      <c r="J2700" s="7"/>
      <c r="K2700" s="8">
        <v>3.77</v>
      </c>
      <c r="L2700" s="8">
        <v>70</v>
      </c>
      <c r="M2700" s="8"/>
      <c r="N2700" s="11">
        <f t="shared" si="329"/>
        <v>1315.9019999999998</v>
      </c>
      <c r="O2700" s="8" t="s">
        <v>25</v>
      </c>
      <c r="P2700" s="8"/>
      <c r="Q2700" s="8" t="s">
        <v>21</v>
      </c>
      <c r="R2700" s="8" t="s">
        <v>26</v>
      </c>
      <c r="S2700" s="8" t="s">
        <v>21</v>
      </c>
      <c r="T2700" s="8" t="s">
        <v>21</v>
      </c>
      <c r="U2700" s="6">
        <f t="shared" si="330"/>
        <v>0</v>
      </c>
    </row>
    <row r="2701" spans="1:22" x14ac:dyDescent="0.35">
      <c r="A2701" s="6" t="s">
        <v>2957</v>
      </c>
      <c r="B2701" s="6" t="s">
        <v>2945</v>
      </c>
      <c r="C2701" s="6" t="s">
        <v>2946</v>
      </c>
      <c r="D2701" s="6">
        <f t="shared" si="324"/>
        <v>0.5</v>
      </c>
      <c r="E2701" s="6" t="s">
        <v>19</v>
      </c>
      <c r="F2701" s="6" t="str">
        <f>MID(A2701,19,1)</f>
        <v>N</v>
      </c>
      <c r="G2701" s="6">
        <v>-22.773064357797519</v>
      </c>
      <c r="H2701" s="6">
        <v>-47.235863818118602</v>
      </c>
      <c r="I2701" s="9">
        <v>70.069999999999993</v>
      </c>
      <c r="K2701" s="6">
        <v>1.35</v>
      </c>
      <c r="L2701" s="6">
        <v>0</v>
      </c>
      <c r="N2701" s="1">
        <f t="shared" si="329"/>
        <v>0</v>
      </c>
      <c r="Q2701" s="6" t="s">
        <v>21</v>
      </c>
      <c r="R2701" s="6" t="s">
        <v>21</v>
      </c>
      <c r="S2701" s="6" t="s">
        <v>21</v>
      </c>
      <c r="T2701" s="6" t="s">
        <v>21</v>
      </c>
      <c r="U2701" s="6">
        <f t="shared" si="330"/>
        <v>0</v>
      </c>
      <c r="V2701" s="6">
        <f t="shared" ref="V2701:V2742" si="332">(I2701*(L2701/100))</f>
        <v>0</v>
      </c>
    </row>
    <row r="2702" spans="1:22" x14ac:dyDescent="0.35">
      <c r="A2702" s="6" t="s">
        <v>2958</v>
      </c>
      <c r="B2702" s="6" t="s">
        <v>2945</v>
      </c>
      <c r="C2702" s="6" t="s">
        <v>2946</v>
      </c>
      <c r="D2702" s="6">
        <f t="shared" ref="D2702:D2765" si="333">C2702-B2702</f>
        <v>0.5</v>
      </c>
      <c r="E2702" s="6" t="s">
        <v>19</v>
      </c>
      <c r="F2702" s="6" t="str">
        <f>MID(A2702,19,1)</f>
        <v>N</v>
      </c>
      <c r="G2702" s="6">
        <v>-22.854238639439519</v>
      </c>
      <c r="H2702" s="6">
        <v>-47.314972140769939</v>
      </c>
      <c r="I2702" s="9">
        <v>4165.4399999999996</v>
      </c>
      <c r="K2702" s="6">
        <v>2.57</v>
      </c>
      <c r="L2702" s="6">
        <v>70</v>
      </c>
      <c r="N2702" s="1">
        <f t="shared" si="329"/>
        <v>0</v>
      </c>
      <c r="O2702" s="6" t="s">
        <v>20</v>
      </c>
      <c r="Q2702" s="6" t="s">
        <v>21</v>
      </c>
      <c r="R2702" s="6" t="s">
        <v>21</v>
      </c>
      <c r="S2702" s="6" t="s">
        <v>21</v>
      </c>
      <c r="T2702" s="6" t="s">
        <v>21</v>
      </c>
      <c r="U2702" s="6">
        <f t="shared" si="330"/>
        <v>2915.8079999999995</v>
      </c>
      <c r="V2702" s="6">
        <f t="shared" si="332"/>
        <v>2915.8079999999995</v>
      </c>
    </row>
    <row r="2703" spans="1:22" x14ac:dyDescent="0.35">
      <c r="A2703" s="6" t="s">
        <v>2959</v>
      </c>
      <c r="B2703" s="6" t="s">
        <v>2945</v>
      </c>
      <c r="C2703" s="6" t="s">
        <v>2946</v>
      </c>
      <c r="D2703" s="6">
        <f t="shared" si="333"/>
        <v>0.5</v>
      </c>
      <c r="E2703" s="6" t="s">
        <v>19</v>
      </c>
      <c r="F2703" s="6" t="str">
        <f>MID(A2703,19,1)</f>
        <v>N</v>
      </c>
      <c r="G2703" s="6">
        <v>-22.77207232593717</v>
      </c>
      <c r="H2703" s="6">
        <v>-47.236667195803243</v>
      </c>
      <c r="I2703" s="9">
        <v>1093.03</v>
      </c>
      <c r="K2703" s="6">
        <v>2.17</v>
      </c>
      <c r="L2703" s="6">
        <v>30</v>
      </c>
      <c r="N2703" s="1">
        <f t="shared" si="329"/>
        <v>0</v>
      </c>
      <c r="O2703" s="6" t="s">
        <v>20</v>
      </c>
      <c r="Q2703" s="6" t="s">
        <v>21</v>
      </c>
      <c r="R2703" s="6" t="s">
        <v>21</v>
      </c>
      <c r="S2703" s="6" t="s">
        <v>21</v>
      </c>
      <c r="T2703" s="6" t="s">
        <v>21</v>
      </c>
      <c r="U2703" s="6">
        <f t="shared" si="330"/>
        <v>327.90899999999999</v>
      </c>
      <c r="V2703" s="6">
        <f t="shared" si="332"/>
        <v>327.90899999999999</v>
      </c>
    </row>
    <row r="2704" spans="1:22" x14ac:dyDescent="0.35">
      <c r="A2704" s="6" t="s">
        <v>2960</v>
      </c>
      <c r="B2704" s="6" t="s">
        <v>2945</v>
      </c>
      <c r="C2704" s="6" t="s">
        <v>2946</v>
      </c>
      <c r="D2704" s="6">
        <f t="shared" si="333"/>
        <v>0.5</v>
      </c>
      <c r="E2704" s="6" t="s">
        <v>19</v>
      </c>
      <c r="F2704" s="6" t="str">
        <f>MID(A2704,19,1)</f>
        <v>N</v>
      </c>
      <c r="G2704" s="6">
        <v>-22.77853495638464</v>
      </c>
      <c r="H2704" s="6">
        <v>-47.232785422753842</v>
      </c>
      <c r="I2704" s="9">
        <v>935.84</v>
      </c>
      <c r="K2704" s="6">
        <v>2.2000000000000002</v>
      </c>
      <c r="L2704" s="6">
        <v>30</v>
      </c>
      <c r="N2704" s="1">
        <f t="shared" si="329"/>
        <v>0</v>
      </c>
      <c r="O2704" s="6" t="s">
        <v>20</v>
      </c>
      <c r="Q2704" s="6" t="s">
        <v>21</v>
      </c>
      <c r="R2704" s="6" t="s">
        <v>21</v>
      </c>
      <c r="S2704" s="6" t="s">
        <v>21</v>
      </c>
      <c r="T2704" s="6" t="s">
        <v>21</v>
      </c>
      <c r="U2704" s="6">
        <f t="shared" si="330"/>
        <v>280.75200000000001</v>
      </c>
      <c r="V2704" s="6">
        <f t="shared" si="332"/>
        <v>280.75200000000001</v>
      </c>
    </row>
    <row r="2705" spans="1:22" x14ac:dyDescent="0.35">
      <c r="A2705" s="6" t="s">
        <v>2961</v>
      </c>
      <c r="B2705" s="6" t="s">
        <v>2945</v>
      </c>
      <c r="C2705" s="6" t="s">
        <v>2946</v>
      </c>
      <c r="D2705" s="6">
        <f t="shared" si="333"/>
        <v>0.5</v>
      </c>
      <c r="E2705" s="6" t="s">
        <v>19</v>
      </c>
      <c r="F2705" s="6" t="str">
        <f>MID(A2705,19,1)</f>
        <v>N</v>
      </c>
      <c r="G2705" s="6">
        <v>-22.775961452169209</v>
      </c>
      <c r="H2705" s="6">
        <v>-47.234071298286608</v>
      </c>
      <c r="I2705" s="9">
        <v>854.37</v>
      </c>
      <c r="K2705" s="6">
        <v>3.34</v>
      </c>
      <c r="L2705" s="6">
        <v>30</v>
      </c>
      <c r="N2705" s="1">
        <f t="shared" si="329"/>
        <v>0</v>
      </c>
      <c r="O2705" s="6" t="s">
        <v>20</v>
      </c>
      <c r="Q2705" s="6" t="s">
        <v>21</v>
      </c>
      <c r="R2705" s="6" t="s">
        <v>21</v>
      </c>
      <c r="S2705" s="6" t="s">
        <v>21</v>
      </c>
      <c r="T2705" s="6" t="s">
        <v>21</v>
      </c>
      <c r="U2705" s="6">
        <f t="shared" si="330"/>
        <v>256.31099999999998</v>
      </c>
      <c r="V2705" s="6">
        <f t="shared" si="332"/>
        <v>256.31099999999998</v>
      </c>
    </row>
    <row r="2706" spans="1:22" x14ac:dyDescent="0.35">
      <c r="A2706" s="6" t="s">
        <v>2962</v>
      </c>
      <c r="B2706" s="6" t="s">
        <v>2945</v>
      </c>
      <c r="C2706" s="6" t="s">
        <v>2946</v>
      </c>
      <c r="D2706" s="6">
        <f t="shared" si="333"/>
        <v>0.5</v>
      </c>
      <c r="E2706" s="6" t="s">
        <v>19</v>
      </c>
      <c r="F2706" s="6" t="str">
        <f>MID(A2706,19,1)</f>
        <v>N</v>
      </c>
      <c r="G2706" s="6">
        <v>-22.774071213012579</v>
      </c>
      <c r="H2706" s="6">
        <v>-47.235196834450662</v>
      </c>
      <c r="I2706" s="9">
        <v>1022.18</v>
      </c>
      <c r="K2706" s="6">
        <v>3.16</v>
      </c>
      <c r="L2706" s="6">
        <v>30</v>
      </c>
      <c r="N2706" s="1">
        <f t="shared" si="329"/>
        <v>0</v>
      </c>
      <c r="O2706" s="6" t="s">
        <v>20</v>
      </c>
      <c r="Q2706" s="6" t="s">
        <v>21</v>
      </c>
      <c r="R2706" s="6" t="s">
        <v>21</v>
      </c>
      <c r="S2706" s="6" t="s">
        <v>21</v>
      </c>
      <c r="T2706" s="6" t="s">
        <v>21</v>
      </c>
      <c r="U2706" s="6">
        <f t="shared" si="330"/>
        <v>306.654</v>
      </c>
      <c r="V2706" s="6">
        <f t="shared" si="332"/>
        <v>306.654</v>
      </c>
    </row>
    <row r="2707" spans="1:22" hidden="1" x14ac:dyDescent="0.35">
      <c r="A2707" s="6" t="s">
        <v>2963</v>
      </c>
      <c r="B2707" s="6" t="s">
        <v>2945</v>
      </c>
      <c r="C2707" s="6" t="s">
        <v>2946</v>
      </c>
      <c r="D2707" s="6">
        <f t="shared" si="333"/>
        <v>0.5</v>
      </c>
      <c r="E2707" s="6" t="s">
        <v>19</v>
      </c>
      <c r="F2707" s="6" t="str">
        <f>MID(A2707,19,1)</f>
        <v>S</v>
      </c>
      <c r="G2707" s="6">
        <v>-22.77356733850926</v>
      </c>
      <c r="H2707" s="6">
        <v>-47.23645944861638</v>
      </c>
      <c r="I2707" s="9">
        <v>4937.8599999999997</v>
      </c>
      <c r="K2707" s="6">
        <v>4.29</v>
      </c>
      <c r="L2707" s="6">
        <v>30</v>
      </c>
      <c r="N2707" s="1">
        <f t="shared" si="329"/>
        <v>0</v>
      </c>
      <c r="O2707" s="6" t="s">
        <v>20</v>
      </c>
      <c r="Q2707" s="6" t="s">
        <v>21</v>
      </c>
      <c r="R2707" s="6" t="s">
        <v>21</v>
      </c>
      <c r="S2707" s="6" t="s">
        <v>21</v>
      </c>
      <c r="T2707" s="6" t="s">
        <v>21</v>
      </c>
      <c r="U2707" s="6">
        <f t="shared" si="330"/>
        <v>1481.3579999999999</v>
      </c>
      <c r="V2707" s="6">
        <f t="shared" si="332"/>
        <v>1481.3579999999999</v>
      </c>
    </row>
    <row r="2708" spans="1:22" hidden="1" x14ac:dyDescent="0.35">
      <c r="A2708" s="6" t="s">
        <v>2964</v>
      </c>
      <c r="B2708" s="6" t="s">
        <v>2945</v>
      </c>
      <c r="C2708" s="6" t="s">
        <v>2946</v>
      </c>
      <c r="D2708" s="6">
        <f t="shared" si="333"/>
        <v>0.5</v>
      </c>
      <c r="E2708" s="6" t="s">
        <v>19</v>
      </c>
      <c r="F2708" s="6" t="str">
        <f>MID(A2708,19,1)</f>
        <v>S</v>
      </c>
      <c r="G2708" s="6">
        <v>-22.777166219816849</v>
      </c>
      <c r="H2708" s="6">
        <v>-47.234132667073602</v>
      </c>
      <c r="I2708" s="9">
        <v>861.23</v>
      </c>
      <c r="K2708" s="6">
        <v>2.9</v>
      </c>
      <c r="L2708" s="6">
        <v>30</v>
      </c>
      <c r="N2708" s="1">
        <f t="shared" si="329"/>
        <v>0</v>
      </c>
      <c r="O2708" s="6" t="s">
        <v>20</v>
      </c>
      <c r="Q2708" s="6" t="s">
        <v>21</v>
      </c>
      <c r="R2708" s="6" t="s">
        <v>21</v>
      </c>
      <c r="S2708" s="6" t="s">
        <v>21</v>
      </c>
      <c r="T2708" s="6" t="s">
        <v>21</v>
      </c>
      <c r="U2708" s="6">
        <f t="shared" si="330"/>
        <v>258.36899999999997</v>
      </c>
      <c r="V2708" s="6">
        <f t="shared" si="332"/>
        <v>258.36899999999997</v>
      </c>
    </row>
    <row r="2709" spans="1:22" hidden="1" x14ac:dyDescent="0.35">
      <c r="A2709" s="6" t="s">
        <v>2965</v>
      </c>
      <c r="B2709" s="6" t="s">
        <v>2945</v>
      </c>
      <c r="C2709" s="6" t="s">
        <v>2946</v>
      </c>
      <c r="D2709" s="6">
        <f t="shared" si="333"/>
        <v>0.5</v>
      </c>
      <c r="E2709" s="6" t="s">
        <v>19</v>
      </c>
      <c r="F2709" s="6" t="str">
        <f>MID(A2709,19,1)</f>
        <v>S</v>
      </c>
      <c r="G2709" s="6">
        <v>-22.777325472426671</v>
      </c>
      <c r="H2709" s="6">
        <v>-47.23378000899794</v>
      </c>
      <c r="I2709" s="9">
        <v>6013.83</v>
      </c>
      <c r="K2709" s="6">
        <v>2.5099999999999998</v>
      </c>
      <c r="L2709" s="6">
        <v>50</v>
      </c>
      <c r="N2709" s="1">
        <f t="shared" si="329"/>
        <v>0</v>
      </c>
      <c r="O2709" s="6" t="s">
        <v>20</v>
      </c>
      <c r="Q2709" s="6" t="s">
        <v>21</v>
      </c>
      <c r="R2709" s="6" t="s">
        <v>21</v>
      </c>
      <c r="S2709" s="6" t="s">
        <v>21</v>
      </c>
      <c r="T2709" s="6" t="s">
        <v>21</v>
      </c>
      <c r="U2709" s="6">
        <f t="shared" si="330"/>
        <v>3006.915</v>
      </c>
      <c r="V2709" s="6">
        <f t="shared" si="332"/>
        <v>3006.915</v>
      </c>
    </row>
    <row r="2710" spans="1:22" hidden="1" x14ac:dyDescent="0.35">
      <c r="A2710" s="6" t="s">
        <v>2966</v>
      </c>
      <c r="B2710" s="6" t="s">
        <v>2945</v>
      </c>
      <c r="C2710" s="6" t="s">
        <v>2946</v>
      </c>
      <c r="D2710" s="6">
        <f t="shared" si="333"/>
        <v>0.5</v>
      </c>
      <c r="E2710" s="6" t="s">
        <v>19</v>
      </c>
      <c r="F2710" s="6" t="str">
        <f>MID(A2710,19,1)</f>
        <v>S</v>
      </c>
      <c r="G2710" s="6">
        <v>-22.77890620282917</v>
      </c>
      <c r="H2710" s="6">
        <v>-47.233246409359538</v>
      </c>
      <c r="I2710" s="9">
        <v>344.93</v>
      </c>
      <c r="K2710" s="6">
        <v>1.44</v>
      </c>
      <c r="L2710" s="6">
        <v>30</v>
      </c>
      <c r="N2710" s="1">
        <f t="shared" si="329"/>
        <v>0</v>
      </c>
      <c r="O2710" s="6" t="s">
        <v>20</v>
      </c>
      <c r="Q2710" s="6" t="s">
        <v>21</v>
      </c>
      <c r="R2710" s="6" t="s">
        <v>21</v>
      </c>
      <c r="S2710" s="6" t="s">
        <v>21</v>
      </c>
      <c r="T2710" s="6" t="s">
        <v>21</v>
      </c>
      <c r="U2710" s="6">
        <f t="shared" si="330"/>
        <v>103.479</v>
      </c>
      <c r="V2710" s="6">
        <f t="shared" si="332"/>
        <v>103.479</v>
      </c>
    </row>
    <row r="2711" spans="1:22" hidden="1" x14ac:dyDescent="0.35">
      <c r="A2711" s="6" t="s">
        <v>2967</v>
      </c>
      <c r="B2711" s="6" t="s">
        <v>2945</v>
      </c>
      <c r="C2711" s="6" t="s">
        <v>2946</v>
      </c>
      <c r="D2711" s="6">
        <f t="shared" si="333"/>
        <v>0.5</v>
      </c>
      <c r="E2711" s="6" t="s">
        <v>19</v>
      </c>
      <c r="F2711" s="6" t="str">
        <f>MID(A2711,19,1)</f>
        <v>S</v>
      </c>
      <c r="G2711" s="6">
        <v>-22.854433555783189</v>
      </c>
      <c r="H2711" s="6">
        <v>-47.317829683771649</v>
      </c>
      <c r="I2711" s="9">
        <v>519.91999999999996</v>
      </c>
      <c r="K2711" s="6">
        <v>1.41</v>
      </c>
      <c r="L2711" s="6">
        <v>70</v>
      </c>
      <c r="N2711" s="1">
        <f t="shared" si="329"/>
        <v>0</v>
      </c>
      <c r="O2711" s="6" t="s">
        <v>20</v>
      </c>
      <c r="Q2711" s="6" t="s">
        <v>21</v>
      </c>
      <c r="R2711" s="6" t="s">
        <v>21</v>
      </c>
      <c r="S2711" s="6" t="s">
        <v>21</v>
      </c>
      <c r="T2711" s="6" t="s">
        <v>21</v>
      </c>
      <c r="U2711" s="6">
        <f t="shared" si="330"/>
        <v>363.94399999999996</v>
      </c>
      <c r="V2711" s="6">
        <f t="shared" si="332"/>
        <v>363.94399999999996</v>
      </c>
    </row>
    <row r="2712" spans="1:22" hidden="1" x14ac:dyDescent="0.35">
      <c r="A2712" s="6" t="s">
        <v>2968</v>
      </c>
      <c r="B2712" s="6" t="s">
        <v>2945</v>
      </c>
      <c r="C2712" s="6" t="s">
        <v>2946</v>
      </c>
      <c r="D2712" s="6">
        <f t="shared" si="333"/>
        <v>0.5</v>
      </c>
      <c r="E2712" s="6" t="s">
        <v>19</v>
      </c>
      <c r="F2712" s="6" t="str">
        <f>MID(A2712,19,1)</f>
        <v>S</v>
      </c>
      <c r="G2712" s="6">
        <v>-22.854663792169831</v>
      </c>
      <c r="H2712" s="6">
        <v>-47.315349586132193</v>
      </c>
      <c r="I2712" s="9">
        <v>1677.35</v>
      </c>
      <c r="K2712" s="6">
        <v>2.84</v>
      </c>
      <c r="L2712" s="6">
        <v>70</v>
      </c>
      <c r="N2712" s="1">
        <f t="shared" si="329"/>
        <v>0</v>
      </c>
      <c r="O2712" s="6" t="s">
        <v>20</v>
      </c>
      <c r="Q2712" s="6" t="s">
        <v>21</v>
      </c>
      <c r="R2712" s="6" t="s">
        <v>21</v>
      </c>
      <c r="S2712" s="6" t="s">
        <v>21</v>
      </c>
      <c r="T2712" s="6" t="s">
        <v>21</v>
      </c>
      <c r="U2712" s="6">
        <f t="shared" si="330"/>
        <v>1174.1449999999998</v>
      </c>
      <c r="V2712" s="6">
        <f t="shared" si="332"/>
        <v>1174.1449999999998</v>
      </c>
    </row>
    <row r="2713" spans="1:22" hidden="1" x14ac:dyDescent="0.35">
      <c r="A2713" s="6" t="s">
        <v>2969</v>
      </c>
      <c r="B2713" s="6" t="s">
        <v>2945</v>
      </c>
      <c r="C2713" s="6" t="s">
        <v>2946</v>
      </c>
      <c r="D2713" s="6">
        <f t="shared" si="333"/>
        <v>0.5</v>
      </c>
      <c r="E2713" s="6" t="s">
        <v>19</v>
      </c>
      <c r="F2713" s="6" t="str">
        <f>MID(A2713,19,1)</f>
        <v>S</v>
      </c>
      <c r="G2713" s="6">
        <v>-22.854499526022291</v>
      </c>
      <c r="H2713" s="6">
        <v>-47.318076990581183</v>
      </c>
      <c r="I2713" s="9">
        <v>4.16</v>
      </c>
      <c r="K2713" s="6">
        <v>1.64</v>
      </c>
      <c r="L2713" s="6">
        <v>0</v>
      </c>
      <c r="N2713" s="1">
        <f t="shared" si="329"/>
        <v>0</v>
      </c>
      <c r="Q2713" s="6" t="s">
        <v>21</v>
      </c>
      <c r="R2713" s="6" t="s">
        <v>21</v>
      </c>
      <c r="S2713" s="6" t="s">
        <v>21</v>
      </c>
      <c r="T2713" s="6" t="s">
        <v>21</v>
      </c>
      <c r="U2713" s="6">
        <f t="shared" si="330"/>
        <v>0</v>
      </c>
      <c r="V2713" s="6">
        <f t="shared" si="332"/>
        <v>0</v>
      </c>
    </row>
    <row r="2714" spans="1:22" x14ac:dyDescent="0.35">
      <c r="A2714" s="6" t="s">
        <v>2970</v>
      </c>
      <c r="B2714" s="6" t="s">
        <v>2945</v>
      </c>
      <c r="C2714" s="6" t="s">
        <v>2946</v>
      </c>
      <c r="D2714" s="6">
        <f t="shared" si="333"/>
        <v>0.5</v>
      </c>
      <c r="E2714" s="6" t="s">
        <v>19</v>
      </c>
      <c r="F2714" s="6" t="str">
        <f>MID(A2714,19,1)</f>
        <v>N</v>
      </c>
      <c r="G2714" s="6">
        <v>-22.854693448916841</v>
      </c>
      <c r="H2714" s="6">
        <v>-47.313018517592667</v>
      </c>
      <c r="I2714" s="9">
        <v>269.69</v>
      </c>
      <c r="K2714" s="6">
        <v>3.49</v>
      </c>
      <c r="L2714" s="6">
        <v>70</v>
      </c>
      <c r="N2714" s="1">
        <f t="shared" si="329"/>
        <v>0</v>
      </c>
      <c r="O2714" s="6" t="s">
        <v>20</v>
      </c>
      <c r="Q2714" s="6" t="s">
        <v>21</v>
      </c>
      <c r="R2714" s="6" t="s">
        <v>21</v>
      </c>
      <c r="S2714" s="6" t="s">
        <v>21</v>
      </c>
      <c r="T2714" s="6" t="s">
        <v>21</v>
      </c>
      <c r="U2714" s="6">
        <f t="shared" si="330"/>
        <v>188.78299999999999</v>
      </c>
      <c r="V2714" s="6">
        <f t="shared" si="332"/>
        <v>188.78299999999999</v>
      </c>
    </row>
    <row r="2715" spans="1:22" hidden="1" x14ac:dyDescent="0.35">
      <c r="A2715" s="6" t="s">
        <v>2971</v>
      </c>
      <c r="B2715" s="6" t="s">
        <v>2972</v>
      </c>
      <c r="C2715" s="6" t="s">
        <v>2973</v>
      </c>
      <c r="D2715" s="6">
        <f t="shared" si="333"/>
        <v>0.5</v>
      </c>
      <c r="E2715" s="6" t="s">
        <v>19</v>
      </c>
      <c r="F2715" s="6" t="str">
        <f>MID(A2715,19,1)</f>
        <v>S</v>
      </c>
      <c r="G2715" s="6">
        <v>-22.854126919962312</v>
      </c>
      <c r="H2715" s="6">
        <v>-47.318128161343367</v>
      </c>
      <c r="I2715" s="9">
        <v>304.64</v>
      </c>
      <c r="K2715" s="6">
        <v>1.56</v>
      </c>
      <c r="L2715" s="6">
        <v>70</v>
      </c>
      <c r="N2715" s="1">
        <f t="shared" si="329"/>
        <v>0</v>
      </c>
      <c r="O2715" s="6" t="s">
        <v>20</v>
      </c>
      <c r="Q2715" s="6" t="s">
        <v>21</v>
      </c>
      <c r="R2715" s="6" t="s">
        <v>21</v>
      </c>
      <c r="S2715" s="6" t="s">
        <v>21</v>
      </c>
      <c r="T2715" s="6" t="s">
        <v>21</v>
      </c>
      <c r="U2715" s="6">
        <f t="shared" si="330"/>
        <v>213.24799999999999</v>
      </c>
      <c r="V2715" s="6">
        <f t="shared" si="332"/>
        <v>213.24799999999999</v>
      </c>
    </row>
    <row r="2716" spans="1:22" hidden="1" x14ac:dyDescent="0.35">
      <c r="A2716" s="6" t="s">
        <v>2974</v>
      </c>
      <c r="B2716" s="6" t="s">
        <v>2972</v>
      </c>
      <c r="C2716" s="6" t="s">
        <v>2973</v>
      </c>
      <c r="D2716" s="6">
        <f t="shared" si="333"/>
        <v>0.5</v>
      </c>
      <c r="E2716" s="6" t="s">
        <v>19</v>
      </c>
      <c r="F2716" s="6" t="str">
        <f>MID(A2716,19,1)</f>
        <v>S</v>
      </c>
      <c r="G2716" s="6">
        <v>-22.767764671065219</v>
      </c>
      <c r="H2716" s="6">
        <v>-47.24307107867326</v>
      </c>
      <c r="I2716" s="9">
        <v>1806.78</v>
      </c>
      <c r="K2716" s="6">
        <v>10.9</v>
      </c>
      <c r="L2716" s="6">
        <v>30</v>
      </c>
      <c r="N2716" s="1">
        <f t="shared" si="329"/>
        <v>0</v>
      </c>
      <c r="O2716" s="6" t="s">
        <v>20</v>
      </c>
      <c r="Q2716" s="6" t="s">
        <v>21</v>
      </c>
      <c r="R2716" s="6" t="s">
        <v>21</v>
      </c>
      <c r="S2716" s="6" t="s">
        <v>21</v>
      </c>
      <c r="T2716" s="6" t="s">
        <v>21</v>
      </c>
      <c r="U2716" s="6">
        <f t="shared" si="330"/>
        <v>542.03399999999999</v>
      </c>
      <c r="V2716" s="6">
        <f t="shared" si="332"/>
        <v>542.03399999999999</v>
      </c>
    </row>
    <row r="2717" spans="1:22" x14ac:dyDescent="0.35">
      <c r="A2717" s="6" t="s">
        <v>2975</v>
      </c>
      <c r="B2717" s="6" t="s">
        <v>2972</v>
      </c>
      <c r="C2717" s="6" t="s">
        <v>2973</v>
      </c>
      <c r="D2717" s="6">
        <f t="shared" si="333"/>
        <v>0.5</v>
      </c>
      <c r="E2717" s="6" t="s">
        <v>19</v>
      </c>
      <c r="F2717" s="6" t="str">
        <f>MID(A2717,19,1)</f>
        <v>N</v>
      </c>
      <c r="G2717" s="6">
        <v>-22.852898016195219</v>
      </c>
      <c r="H2717" s="6">
        <v>-47.321181244187507</v>
      </c>
      <c r="I2717" s="9">
        <v>1236.04</v>
      </c>
      <c r="K2717" s="6">
        <v>3.97</v>
      </c>
      <c r="L2717" s="6">
        <v>70</v>
      </c>
      <c r="N2717" s="1">
        <f t="shared" si="329"/>
        <v>0</v>
      </c>
      <c r="O2717" s="6" t="s">
        <v>20</v>
      </c>
      <c r="Q2717" s="6" t="s">
        <v>21</v>
      </c>
      <c r="R2717" s="6" t="s">
        <v>21</v>
      </c>
      <c r="S2717" s="6" t="s">
        <v>21</v>
      </c>
      <c r="T2717" s="6" t="s">
        <v>21</v>
      </c>
      <c r="U2717" s="6">
        <f t="shared" si="330"/>
        <v>865.22799999999995</v>
      </c>
      <c r="V2717" s="6">
        <f t="shared" si="332"/>
        <v>865.22799999999995</v>
      </c>
    </row>
    <row r="2718" spans="1:22" hidden="1" x14ac:dyDescent="0.35">
      <c r="A2718" s="6" t="s">
        <v>2976</v>
      </c>
      <c r="B2718" s="6" t="s">
        <v>2972</v>
      </c>
      <c r="C2718" s="6" t="s">
        <v>2973</v>
      </c>
      <c r="D2718" s="6">
        <f t="shared" si="333"/>
        <v>0.5</v>
      </c>
      <c r="E2718" s="6" t="s">
        <v>19</v>
      </c>
      <c r="F2718" s="6" t="str">
        <f>MID(A2718,19,1)</f>
        <v>S</v>
      </c>
      <c r="G2718" s="6">
        <v>-22.76929972588729</v>
      </c>
      <c r="H2718" s="6">
        <v>-47.240835857839073</v>
      </c>
      <c r="I2718" s="9">
        <v>694.14</v>
      </c>
      <c r="K2718" s="6">
        <v>3</v>
      </c>
      <c r="L2718" s="6">
        <v>50</v>
      </c>
      <c r="N2718" s="1">
        <f t="shared" si="329"/>
        <v>0</v>
      </c>
      <c r="O2718" s="6" t="s">
        <v>20</v>
      </c>
      <c r="Q2718" s="6" t="s">
        <v>21</v>
      </c>
      <c r="R2718" s="6" t="s">
        <v>21</v>
      </c>
      <c r="S2718" s="6" t="s">
        <v>21</v>
      </c>
      <c r="T2718" s="6" t="s">
        <v>21</v>
      </c>
      <c r="U2718" s="6">
        <f t="shared" si="330"/>
        <v>347.07</v>
      </c>
      <c r="V2718" s="6">
        <f t="shared" si="332"/>
        <v>347.07</v>
      </c>
    </row>
    <row r="2719" spans="1:22" x14ac:dyDescent="0.35">
      <c r="A2719" s="6" t="s">
        <v>2977</v>
      </c>
      <c r="B2719" s="6" t="s">
        <v>2972</v>
      </c>
      <c r="C2719" s="6" t="s">
        <v>2973</v>
      </c>
      <c r="D2719" s="6">
        <f t="shared" si="333"/>
        <v>0.5</v>
      </c>
      <c r="E2719" s="6" t="s">
        <v>19</v>
      </c>
      <c r="F2719" s="6" t="str">
        <f>MID(A2719,19,1)</f>
        <v>N</v>
      </c>
      <c r="G2719" s="6">
        <v>-22.767391295262389</v>
      </c>
      <c r="H2719" s="6">
        <v>-47.242770742212208</v>
      </c>
      <c r="I2719" s="9">
        <v>1727.77</v>
      </c>
      <c r="K2719" s="6">
        <v>6.73</v>
      </c>
      <c r="L2719" s="6">
        <v>30</v>
      </c>
      <c r="N2719" s="1">
        <f t="shared" si="329"/>
        <v>0</v>
      </c>
      <c r="O2719" s="6" t="s">
        <v>20</v>
      </c>
      <c r="Q2719" s="6" t="s">
        <v>21</v>
      </c>
      <c r="R2719" s="6" t="s">
        <v>21</v>
      </c>
      <c r="S2719" s="6" t="s">
        <v>21</v>
      </c>
      <c r="T2719" s="6" t="s">
        <v>21</v>
      </c>
      <c r="U2719" s="6">
        <f t="shared" si="330"/>
        <v>518.33100000000002</v>
      </c>
      <c r="V2719" s="6">
        <f t="shared" si="332"/>
        <v>518.33100000000002</v>
      </c>
    </row>
    <row r="2720" spans="1:22" x14ac:dyDescent="0.35">
      <c r="A2720" s="6" t="s">
        <v>2978</v>
      </c>
      <c r="B2720" s="6" t="s">
        <v>2972</v>
      </c>
      <c r="C2720" s="6" t="s">
        <v>2973</v>
      </c>
      <c r="D2720" s="6">
        <f t="shared" si="333"/>
        <v>0.5</v>
      </c>
      <c r="E2720" s="6" t="s">
        <v>19</v>
      </c>
      <c r="F2720" s="6" t="str">
        <f>MID(A2720,19,1)</f>
        <v>N</v>
      </c>
      <c r="G2720" s="6">
        <v>-22.769733736830251</v>
      </c>
      <c r="H2720" s="6">
        <v>-47.239143748903189</v>
      </c>
      <c r="I2720" s="9">
        <v>1992.86</v>
      </c>
      <c r="K2720" s="6">
        <v>3.48</v>
      </c>
      <c r="L2720" s="6">
        <v>30</v>
      </c>
      <c r="N2720" s="1">
        <f t="shared" si="329"/>
        <v>0</v>
      </c>
      <c r="O2720" s="6" t="s">
        <v>20</v>
      </c>
      <c r="Q2720" s="6" t="s">
        <v>21</v>
      </c>
      <c r="R2720" s="6" t="s">
        <v>21</v>
      </c>
      <c r="S2720" s="6" t="s">
        <v>21</v>
      </c>
      <c r="T2720" s="6" t="s">
        <v>21</v>
      </c>
      <c r="U2720" s="6">
        <f t="shared" si="330"/>
        <v>597.85799999999995</v>
      </c>
      <c r="V2720" s="6">
        <f t="shared" si="332"/>
        <v>597.85799999999995</v>
      </c>
    </row>
    <row r="2721" spans="1:22" hidden="1" x14ac:dyDescent="0.35">
      <c r="A2721" s="6" t="s">
        <v>2979</v>
      </c>
      <c r="B2721" s="6" t="s">
        <v>2972</v>
      </c>
      <c r="C2721" s="6" t="s">
        <v>2973</v>
      </c>
      <c r="D2721" s="6">
        <f t="shared" si="333"/>
        <v>0.5</v>
      </c>
      <c r="E2721" s="6" t="s">
        <v>19</v>
      </c>
      <c r="F2721" s="6" t="str">
        <f>MID(A2721,19,1)</f>
        <v>S</v>
      </c>
      <c r="G2721" s="6">
        <v>-22.85178615779845</v>
      </c>
      <c r="H2721" s="6">
        <v>-47.325141290225787</v>
      </c>
      <c r="I2721" s="9">
        <v>2403.12</v>
      </c>
      <c r="K2721" s="6">
        <v>2.13</v>
      </c>
      <c r="L2721" s="6">
        <v>70</v>
      </c>
      <c r="N2721" s="1">
        <f t="shared" si="329"/>
        <v>0</v>
      </c>
      <c r="O2721" s="6" t="s">
        <v>20</v>
      </c>
      <c r="Q2721" s="6" t="s">
        <v>21</v>
      </c>
      <c r="R2721" s="6" t="s">
        <v>21</v>
      </c>
      <c r="S2721" s="6" t="s">
        <v>21</v>
      </c>
      <c r="T2721" s="6" t="s">
        <v>21</v>
      </c>
      <c r="U2721" s="6">
        <f t="shared" si="330"/>
        <v>1682.1839999999997</v>
      </c>
      <c r="V2721" s="6">
        <f t="shared" si="332"/>
        <v>1682.1839999999997</v>
      </c>
    </row>
    <row r="2722" spans="1:22" x14ac:dyDescent="0.35">
      <c r="A2722" s="6" t="s">
        <v>2980</v>
      </c>
      <c r="B2722" s="6" t="s">
        <v>2972</v>
      </c>
      <c r="C2722" s="6" t="s">
        <v>2973</v>
      </c>
      <c r="D2722" s="6">
        <f t="shared" si="333"/>
        <v>0.5</v>
      </c>
      <c r="E2722" s="6" t="s">
        <v>19</v>
      </c>
      <c r="F2722" s="6" t="str">
        <f>MID(A2722,19,1)</f>
        <v>N</v>
      </c>
      <c r="G2722" s="6">
        <v>-22.853298875844992</v>
      </c>
      <c r="H2722" s="6">
        <v>-47.318807916916477</v>
      </c>
      <c r="I2722" s="9">
        <v>2054.87</v>
      </c>
      <c r="K2722" s="6">
        <v>1.64</v>
      </c>
      <c r="L2722" s="6">
        <v>70</v>
      </c>
      <c r="N2722" s="1">
        <f t="shared" si="329"/>
        <v>0</v>
      </c>
      <c r="O2722" s="6" t="s">
        <v>20</v>
      </c>
      <c r="Q2722" s="6" t="s">
        <v>21</v>
      </c>
      <c r="R2722" s="6" t="s">
        <v>21</v>
      </c>
      <c r="S2722" s="6" t="s">
        <v>21</v>
      </c>
      <c r="T2722" s="6" t="s">
        <v>21</v>
      </c>
      <c r="U2722" s="6">
        <f t="shared" si="330"/>
        <v>1438.4089999999999</v>
      </c>
      <c r="V2722" s="6">
        <f t="shared" si="332"/>
        <v>1438.4089999999999</v>
      </c>
    </row>
    <row r="2723" spans="1:22" hidden="1" x14ac:dyDescent="0.35">
      <c r="A2723" s="6" t="s">
        <v>2981</v>
      </c>
      <c r="B2723" s="6" t="s">
        <v>2972</v>
      </c>
      <c r="C2723" s="6" t="s">
        <v>2973</v>
      </c>
      <c r="D2723" s="6">
        <f t="shared" si="333"/>
        <v>0.5</v>
      </c>
      <c r="E2723" s="6" t="s">
        <v>23</v>
      </c>
      <c r="F2723" s="6" t="str">
        <f>MID(A2723,19,1)</f>
        <v>C</v>
      </c>
      <c r="G2723" s="6">
        <v>-22.767518202401849</v>
      </c>
      <c r="H2723" s="6">
        <v>-47.24299714428863</v>
      </c>
      <c r="I2723" s="9">
        <v>4465.2700000000004</v>
      </c>
      <c r="J2723" s="9">
        <f>I2723/500</f>
        <v>8.9305400000000006</v>
      </c>
      <c r="K2723" s="6">
        <v>10.24</v>
      </c>
      <c r="L2723" s="6">
        <v>50</v>
      </c>
      <c r="N2723" s="1">
        <f t="shared" si="329"/>
        <v>0</v>
      </c>
      <c r="O2723" s="6" t="s">
        <v>20</v>
      </c>
      <c r="Q2723" s="6" t="s">
        <v>21</v>
      </c>
      <c r="R2723" s="6" t="s">
        <v>21</v>
      </c>
      <c r="S2723" s="6" t="s">
        <v>21</v>
      </c>
      <c r="T2723" s="6" t="s">
        <v>21</v>
      </c>
      <c r="U2723" s="6">
        <f t="shared" si="330"/>
        <v>2232.6350000000002</v>
      </c>
      <c r="V2723" s="6">
        <f t="shared" si="332"/>
        <v>2232.6350000000002</v>
      </c>
    </row>
    <row r="2724" spans="1:22" x14ac:dyDescent="0.35">
      <c r="A2724" s="6" t="s">
        <v>2982</v>
      </c>
      <c r="B2724" s="6" t="s">
        <v>2972</v>
      </c>
      <c r="C2724" s="6" t="s">
        <v>2973</v>
      </c>
      <c r="D2724" s="6">
        <f t="shared" si="333"/>
        <v>0.5</v>
      </c>
      <c r="E2724" s="6" t="s">
        <v>19</v>
      </c>
      <c r="F2724" s="6" t="str">
        <f>MID(A2724,19,1)</f>
        <v>N</v>
      </c>
      <c r="G2724" s="6">
        <v>-22.8531563445218</v>
      </c>
      <c r="H2724" s="6">
        <v>-47.319480628645152</v>
      </c>
      <c r="I2724" s="9">
        <v>224.66</v>
      </c>
      <c r="K2724" s="6">
        <v>2.09</v>
      </c>
      <c r="L2724" s="6">
        <v>70</v>
      </c>
      <c r="N2724" s="1">
        <f t="shared" si="329"/>
        <v>0</v>
      </c>
      <c r="O2724" s="6" t="s">
        <v>20</v>
      </c>
      <c r="Q2724" s="6" t="s">
        <v>21</v>
      </c>
      <c r="R2724" s="6" t="s">
        <v>21</v>
      </c>
      <c r="S2724" s="6" t="s">
        <v>21</v>
      </c>
      <c r="T2724" s="6" t="s">
        <v>21</v>
      </c>
      <c r="U2724" s="6">
        <f t="shared" si="330"/>
        <v>157.262</v>
      </c>
      <c r="V2724" s="6">
        <f t="shared" si="332"/>
        <v>157.262</v>
      </c>
    </row>
    <row r="2725" spans="1:22" hidden="1" x14ac:dyDescent="0.35">
      <c r="A2725" s="6" t="s">
        <v>2983</v>
      </c>
      <c r="B2725" s="6" t="s">
        <v>2972</v>
      </c>
      <c r="C2725" s="6" t="s">
        <v>2973</v>
      </c>
      <c r="D2725" s="6">
        <f t="shared" si="333"/>
        <v>0.5</v>
      </c>
      <c r="E2725" s="6" t="s">
        <v>19</v>
      </c>
      <c r="F2725" s="6" t="str">
        <f>MID(A2725,19,1)</f>
        <v>S</v>
      </c>
      <c r="G2725" s="6">
        <v>-22.852763644574299</v>
      </c>
      <c r="H2725" s="6">
        <v>-47.323172079174988</v>
      </c>
      <c r="I2725" s="9">
        <v>1653.05</v>
      </c>
      <c r="K2725" s="6">
        <v>2.0699999999999998</v>
      </c>
      <c r="L2725" s="6">
        <v>70</v>
      </c>
      <c r="N2725" s="1">
        <f t="shared" si="329"/>
        <v>0</v>
      </c>
      <c r="O2725" s="6" t="s">
        <v>20</v>
      </c>
      <c r="Q2725" s="6" t="s">
        <v>21</v>
      </c>
      <c r="R2725" s="6" t="s">
        <v>21</v>
      </c>
      <c r="S2725" s="6" t="s">
        <v>21</v>
      </c>
      <c r="T2725" s="6" t="s">
        <v>21</v>
      </c>
      <c r="U2725" s="6">
        <f t="shared" si="330"/>
        <v>1157.135</v>
      </c>
      <c r="V2725" s="6">
        <f t="shared" si="332"/>
        <v>1157.135</v>
      </c>
    </row>
    <row r="2726" spans="1:22" hidden="1" x14ac:dyDescent="0.35">
      <c r="A2726" s="6" t="s">
        <v>2984</v>
      </c>
      <c r="B2726" s="6" t="s">
        <v>2972</v>
      </c>
      <c r="C2726" s="6" t="s">
        <v>2973</v>
      </c>
      <c r="D2726" s="6">
        <f t="shared" si="333"/>
        <v>0.5</v>
      </c>
      <c r="E2726" s="6" t="s">
        <v>19</v>
      </c>
      <c r="F2726" s="6" t="str">
        <f>MID(A2726,19,1)</f>
        <v>S</v>
      </c>
      <c r="G2726" s="6">
        <v>-22.8533102919999</v>
      </c>
      <c r="H2726" s="6">
        <v>-47.321526515308157</v>
      </c>
      <c r="I2726" s="9">
        <v>4416.88</v>
      </c>
      <c r="K2726" s="6">
        <v>1.81</v>
      </c>
      <c r="L2726" s="6">
        <v>70</v>
      </c>
      <c r="N2726" s="1">
        <f t="shared" si="329"/>
        <v>0</v>
      </c>
      <c r="O2726" s="6" t="s">
        <v>20</v>
      </c>
      <c r="Q2726" s="6" t="s">
        <v>21</v>
      </c>
      <c r="R2726" s="6" t="s">
        <v>21</v>
      </c>
      <c r="S2726" s="6" t="s">
        <v>21</v>
      </c>
      <c r="T2726" s="6" t="s">
        <v>21</v>
      </c>
      <c r="U2726" s="6">
        <f t="shared" si="330"/>
        <v>3091.8159999999998</v>
      </c>
      <c r="V2726" s="6">
        <f t="shared" si="332"/>
        <v>3091.8159999999998</v>
      </c>
    </row>
    <row r="2727" spans="1:22" hidden="1" x14ac:dyDescent="0.35">
      <c r="A2727" s="6" t="s">
        <v>2985</v>
      </c>
      <c r="B2727" s="6" t="s">
        <v>2972</v>
      </c>
      <c r="C2727" s="6" t="s">
        <v>2973</v>
      </c>
      <c r="D2727" s="6">
        <f t="shared" si="333"/>
        <v>0.5</v>
      </c>
      <c r="E2727" s="6" t="s">
        <v>19</v>
      </c>
      <c r="F2727" s="6" t="str">
        <f>MID(A2727,19,1)</f>
        <v>S</v>
      </c>
      <c r="G2727" s="6">
        <v>-22.853806191415099</v>
      </c>
      <c r="H2727" s="6">
        <v>-47.320460793652522</v>
      </c>
      <c r="I2727" s="9">
        <v>2059.5</v>
      </c>
      <c r="K2727" s="6">
        <v>1.77</v>
      </c>
      <c r="L2727" s="6">
        <v>70</v>
      </c>
      <c r="N2727" s="1">
        <f t="shared" si="329"/>
        <v>0</v>
      </c>
      <c r="O2727" s="6" t="s">
        <v>20</v>
      </c>
      <c r="Q2727" s="6" t="s">
        <v>21</v>
      </c>
      <c r="R2727" s="6" t="s">
        <v>21</v>
      </c>
      <c r="S2727" s="6" t="s">
        <v>21</v>
      </c>
      <c r="T2727" s="6" t="s">
        <v>21</v>
      </c>
      <c r="U2727" s="6">
        <f t="shared" si="330"/>
        <v>1441.6499999999999</v>
      </c>
      <c r="V2727" s="6">
        <f t="shared" si="332"/>
        <v>1441.6499999999999</v>
      </c>
    </row>
    <row r="2728" spans="1:22" hidden="1" x14ac:dyDescent="0.35">
      <c r="A2728" s="6" t="s">
        <v>2986</v>
      </c>
      <c r="B2728" s="6" t="s">
        <v>2972</v>
      </c>
      <c r="C2728" s="6" t="s">
        <v>2973</v>
      </c>
      <c r="D2728" s="6">
        <f t="shared" si="333"/>
        <v>0.5</v>
      </c>
      <c r="E2728" s="6" t="s">
        <v>23</v>
      </c>
      <c r="F2728" s="6" t="str">
        <f>MID(A2728,19,1)</f>
        <v>C</v>
      </c>
      <c r="G2728" s="6">
        <v>-22.85334119667947</v>
      </c>
      <c r="H2728" s="6">
        <v>-47.320246550730182</v>
      </c>
      <c r="I2728" s="9">
        <v>5997.71</v>
      </c>
      <c r="J2728" s="9">
        <f>I2728/500</f>
        <v>11.995419999999999</v>
      </c>
      <c r="K2728" s="6">
        <v>2.62</v>
      </c>
      <c r="L2728" s="6">
        <v>80</v>
      </c>
      <c r="N2728" s="1">
        <f t="shared" si="329"/>
        <v>0</v>
      </c>
      <c r="O2728" s="6" t="s">
        <v>20</v>
      </c>
      <c r="Q2728" s="6" t="s">
        <v>21</v>
      </c>
      <c r="R2728" s="6" t="s">
        <v>21</v>
      </c>
      <c r="S2728" s="6" t="s">
        <v>21</v>
      </c>
      <c r="T2728" s="6" t="s">
        <v>21</v>
      </c>
      <c r="U2728" s="6">
        <f t="shared" si="330"/>
        <v>4798.1680000000006</v>
      </c>
      <c r="V2728" s="6">
        <f t="shared" si="332"/>
        <v>4798.1680000000006</v>
      </c>
    </row>
    <row r="2729" spans="1:22" hidden="1" x14ac:dyDescent="0.35">
      <c r="A2729" s="6" t="s">
        <v>2987</v>
      </c>
      <c r="B2729" s="6" t="s">
        <v>2972</v>
      </c>
      <c r="C2729" s="6" t="s">
        <v>2973</v>
      </c>
      <c r="D2729" s="6">
        <f t="shared" si="333"/>
        <v>0.5</v>
      </c>
      <c r="E2729" s="6" t="s">
        <v>19</v>
      </c>
      <c r="F2729" s="6" t="str">
        <f>MID(A2729,19,1)</f>
        <v>S</v>
      </c>
      <c r="G2729" s="6">
        <v>-22.85393803523446</v>
      </c>
      <c r="H2729" s="6">
        <v>-47.319094459852927</v>
      </c>
      <c r="I2729" s="9">
        <v>1199.05</v>
      </c>
      <c r="K2729" s="6">
        <v>2.73</v>
      </c>
      <c r="L2729" s="6">
        <v>70</v>
      </c>
      <c r="N2729" s="1">
        <f t="shared" si="329"/>
        <v>0</v>
      </c>
      <c r="O2729" s="6" t="s">
        <v>20</v>
      </c>
      <c r="Q2729" s="6" t="s">
        <v>21</v>
      </c>
      <c r="R2729" s="6" t="s">
        <v>21</v>
      </c>
      <c r="S2729" s="6" t="s">
        <v>21</v>
      </c>
      <c r="T2729" s="6" t="s">
        <v>21</v>
      </c>
      <c r="U2729" s="6">
        <f t="shared" si="330"/>
        <v>839.33499999999992</v>
      </c>
      <c r="V2729" s="6">
        <f t="shared" si="332"/>
        <v>839.33499999999992</v>
      </c>
    </row>
    <row r="2730" spans="1:22" hidden="1" x14ac:dyDescent="0.35">
      <c r="A2730" s="6" t="s">
        <v>2988</v>
      </c>
      <c r="B2730" s="6" t="s">
        <v>2972</v>
      </c>
      <c r="C2730" s="6" t="s">
        <v>2973</v>
      </c>
      <c r="D2730" s="6">
        <f t="shared" si="333"/>
        <v>0.5</v>
      </c>
      <c r="E2730" s="6" t="s">
        <v>19</v>
      </c>
      <c r="F2730" s="6" t="str">
        <f>MID(A2730,19,1)</f>
        <v>S</v>
      </c>
      <c r="G2730" s="6">
        <v>-22.770291295049951</v>
      </c>
      <c r="H2730" s="6">
        <v>-47.240520919305027</v>
      </c>
      <c r="I2730" s="9">
        <v>1265.8800000000001</v>
      </c>
      <c r="K2730" s="6">
        <v>3.96</v>
      </c>
      <c r="L2730" s="6">
        <v>30</v>
      </c>
      <c r="N2730" s="1">
        <f t="shared" si="329"/>
        <v>0</v>
      </c>
      <c r="O2730" s="6" t="s">
        <v>20</v>
      </c>
      <c r="Q2730" s="6" t="s">
        <v>21</v>
      </c>
      <c r="R2730" s="6" t="s">
        <v>21</v>
      </c>
      <c r="S2730" s="6" t="s">
        <v>21</v>
      </c>
      <c r="T2730" s="6" t="s">
        <v>21</v>
      </c>
      <c r="U2730" s="6">
        <f t="shared" si="330"/>
        <v>379.76400000000001</v>
      </c>
      <c r="V2730" s="6">
        <f t="shared" si="332"/>
        <v>379.76400000000001</v>
      </c>
    </row>
    <row r="2731" spans="1:22" hidden="1" x14ac:dyDescent="0.35">
      <c r="A2731" s="6" t="s">
        <v>2989</v>
      </c>
      <c r="B2731" s="6" t="s">
        <v>2972</v>
      </c>
      <c r="C2731" s="6" t="s">
        <v>2973</v>
      </c>
      <c r="D2731" s="6">
        <f t="shared" si="333"/>
        <v>0.5</v>
      </c>
      <c r="E2731" s="6" t="s">
        <v>19</v>
      </c>
      <c r="F2731" s="6" t="str">
        <f>MID(A2731,19,1)</f>
        <v>S</v>
      </c>
      <c r="G2731" s="6">
        <v>-22.77158329136882</v>
      </c>
      <c r="H2731" s="6">
        <v>-47.239063713871268</v>
      </c>
      <c r="I2731" s="9">
        <v>319.58</v>
      </c>
      <c r="K2731" s="6">
        <v>4.5199999999999996</v>
      </c>
      <c r="L2731" s="6">
        <v>30</v>
      </c>
      <c r="N2731" s="1">
        <f t="shared" si="329"/>
        <v>0</v>
      </c>
      <c r="O2731" s="6" t="s">
        <v>20</v>
      </c>
      <c r="Q2731" s="6" t="s">
        <v>21</v>
      </c>
      <c r="R2731" s="6" t="s">
        <v>21</v>
      </c>
      <c r="S2731" s="6" t="s">
        <v>21</v>
      </c>
      <c r="T2731" s="6" t="s">
        <v>21</v>
      </c>
      <c r="U2731" s="6">
        <f t="shared" si="330"/>
        <v>95.873999999999995</v>
      </c>
      <c r="V2731" s="6">
        <f t="shared" si="332"/>
        <v>95.873999999999995</v>
      </c>
    </row>
    <row r="2732" spans="1:22" x14ac:dyDescent="0.35">
      <c r="A2732" s="6" t="s">
        <v>2990</v>
      </c>
      <c r="B2732" s="6" t="s">
        <v>2972</v>
      </c>
      <c r="C2732" s="6" t="s">
        <v>2973</v>
      </c>
      <c r="D2732" s="6">
        <f t="shared" si="333"/>
        <v>0.5</v>
      </c>
      <c r="E2732" s="6" t="s">
        <v>19</v>
      </c>
      <c r="F2732" s="6" t="str">
        <f>MID(A2732,19,1)</f>
        <v>N</v>
      </c>
      <c r="G2732" s="6">
        <v>-22.85312179963665</v>
      </c>
      <c r="H2732" s="6">
        <v>-47.318810912233957</v>
      </c>
      <c r="I2732" s="9">
        <v>385.92</v>
      </c>
      <c r="K2732" s="6">
        <v>1</v>
      </c>
      <c r="L2732" s="6">
        <v>70</v>
      </c>
      <c r="N2732" s="1">
        <f t="shared" si="329"/>
        <v>0</v>
      </c>
      <c r="O2732" s="6" t="s">
        <v>20</v>
      </c>
      <c r="Q2732" s="6" t="s">
        <v>21</v>
      </c>
      <c r="R2732" s="6" t="s">
        <v>21</v>
      </c>
      <c r="S2732" s="6" t="s">
        <v>21</v>
      </c>
      <c r="T2732" s="6" t="s">
        <v>21</v>
      </c>
      <c r="U2732" s="6">
        <f t="shared" si="330"/>
        <v>270.14400000000001</v>
      </c>
      <c r="V2732" s="6">
        <f t="shared" si="332"/>
        <v>270.14400000000001</v>
      </c>
    </row>
    <row r="2733" spans="1:22" hidden="1" x14ac:dyDescent="0.35">
      <c r="A2733" s="6" t="s">
        <v>2991</v>
      </c>
      <c r="B2733" s="6" t="s">
        <v>2972</v>
      </c>
      <c r="C2733" s="6" t="s">
        <v>2973</v>
      </c>
      <c r="D2733" s="6">
        <f t="shared" si="333"/>
        <v>0.5</v>
      </c>
      <c r="E2733" s="6" t="s">
        <v>23</v>
      </c>
      <c r="F2733" s="6" t="str">
        <f>MID(A2733,19,1)</f>
        <v>C</v>
      </c>
      <c r="G2733" s="6">
        <v>-22.851637619647921</v>
      </c>
      <c r="H2733" s="6">
        <v>-47.324876691880668</v>
      </c>
      <c r="I2733" s="9">
        <v>6050.63</v>
      </c>
      <c r="J2733" s="9">
        <f>I2733/500</f>
        <v>12.10126</v>
      </c>
      <c r="K2733" s="6">
        <v>2.72</v>
      </c>
      <c r="L2733" s="6">
        <v>80</v>
      </c>
      <c r="N2733" s="1">
        <f t="shared" si="329"/>
        <v>0</v>
      </c>
      <c r="O2733" s="6" t="s">
        <v>20</v>
      </c>
      <c r="Q2733" s="6" t="s">
        <v>21</v>
      </c>
      <c r="R2733" s="6" t="s">
        <v>21</v>
      </c>
      <c r="S2733" s="6" t="s">
        <v>21</v>
      </c>
      <c r="T2733" s="6" t="s">
        <v>21</v>
      </c>
      <c r="U2733" s="6">
        <f t="shared" si="330"/>
        <v>4840.5039999999999</v>
      </c>
      <c r="V2733" s="6">
        <f t="shared" si="332"/>
        <v>4840.5039999999999</v>
      </c>
    </row>
    <row r="2734" spans="1:22" x14ac:dyDescent="0.35">
      <c r="A2734" s="6" t="s">
        <v>2992</v>
      </c>
      <c r="B2734" s="6" t="s">
        <v>2972</v>
      </c>
      <c r="C2734" s="6" t="s">
        <v>2973</v>
      </c>
      <c r="D2734" s="6">
        <f t="shared" si="333"/>
        <v>0.5</v>
      </c>
      <c r="E2734" s="6" t="s">
        <v>19</v>
      </c>
      <c r="F2734" s="6" t="str">
        <f>MID(A2734,19,1)</f>
        <v>N</v>
      </c>
      <c r="G2734" s="6">
        <v>-22.853121375322431</v>
      </c>
      <c r="H2734" s="6">
        <v>-47.318152097769023</v>
      </c>
      <c r="I2734" s="9">
        <v>455.51</v>
      </c>
      <c r="K2734" s="6">
        <v>1.79</v>
      </c>
      <c r="L2734" s="6">
        <v>70</v>
      </c>
      <c r="N2734" s="1">
        <f t="shared" si="329"/>
        <v>0</v>
      </c>
      <c r="O2734" s="6" t="s">
        <v>20</v>
      </c>
      <c r="Q2734" s="6" t="s">
        <v>21</v>
      </c>
      <c r="R2734" s="6" t="s">
        <v>21</v>
      </c>
      <c r="S2734" s="6" t="s">
        <v>21</v>
      </c>
      <c r="T2734" s="6" t="s">
        <v>21</v>
      </c>
      <c r="U2734" s="6">
        <f t="shared" si="330"/>
        <v>318.85699999999997</v>
      </c>
      <c r="V2734" s="6">
        <f t="shared" si="332"/>
        <v>318.85699999999997</v>
      </c>
    </row>
    <row r="2735" spans="1:22" x14ac:dyDescent="0.35">
      <c r="A2735" s="6" t="s">
        <v>2993</v>
      </c>
      <c r="B2735" s="6" t="s">
        <v>2972</v>
      </c>
      <c r="C2735" s="6" t="s">
        <v>2973</v>
      </c>
      <c r="D2735" s="6">
        <f t="shared" si="333"/>
        <v>0.5</v>
      </c>
      <c r="E2735" s="6" t="s">
        <v>19</v>
      </c>
      <c r="F2735" s="6" t="str">
        <f>MID(A2735,19,1)</f>
        <v>N</v>
      </c>
      <c r="G2735" s="6">
        <v>-22.8514451430778</v>
      </c>
      <c r="H2735" s="6">
        <v>-47.324799414286588</v>
      </c>
      <c r="I2735" s="9">
        <v>2020.41</v>
      </c>
      <c r="K2735" s="6">
        <v>3.01</v>
      </c>
      <c r="L2735" s="6">
        <v>70</v>
      </c>
      <c r="N2735" s="1">
        <f t="shared" si="329"/>
        <v>0</v>
      </c>
      <c r="O2735" s="6" t="s">
        <v>20</v>
      </c>
      <c r="Q2735" s="6" t="s">
        <v>21</v>
      </c>
      <c r="R2735" s="6" t="s">
        <v>21</v>
      </c>
      <c r="S2735" s="6" t="s">
        <v>21</v>
      </c>
      <c r="T2735" s="6" t="s">
        <v>21</v>
      </c>
      <c r="U2735" s="6">
        <f t="shared" si="330"/>
        <v>1414.287</v>
      </c>
      <c r="V2735" s="6">
        <f t="shared" si="332"/>
        <v>1414.287</v>
      </c>
    </row>
    <row r="2736" spans="1:22" hidden="1" x14ac:dyDescent="0.35">
      <c r="A2736" s="6" t="s">
        <v>2994</v>
      </c>
      <c r="B2736" s="6" t="s">
        <v>2995</v>
      </c>
      <c r="C2736" s="6" t="s">
        <v>2996</v>
      </c>
      <c r="D2736" s="6">
        <f t="shared" si="333"/>
        <v>0.5</v>
      </c>
      <c r="E2736" s="6" t="s">
        <v>19</v>
      </c>
      <c r="F2736" s="6" t="str">
        <f>MID(A2736,19,1)</f>
        <v>S</v>
      </c>
      <c r="G2736" s="6">
        <v>-22.850584611629039</v>
      </c>
      <c r="H2736" s="6">
        <v>-47.327262522151351</v>
      </c>
      <c r="I2736" s="9">
        <v>175.68</v>
      </c>
      <c r="K2736" s="6">
        <v>0.49</v>
      </c>
      <c r="L2736" s="6">
        <v>70</v>
      </c>
      <c r="N2736" s="1">
        <f t="shared" si="329"/>
        <v>0</v>
      </c>
      <c r="O2736" s="6" t="s">
        <v>20</v>
      </c>
      <c r="Q2736" s="6" t="s">
        <v>21</v>
      </c>
      <c r="R2736" s="6" t="s">
        <v>21</v>
      </c>
      <c r="S2736" s="6" t="s">
        <v>21</v>
      </c>
      <c r="T2736" s="6" t="s">
        <v>21</v>
      </c>
      <c r="U2736" s="6">
        <f t="shared" si="330"/>
        <v>122.976</v>
      </c>
      <c r="V2736" s="6">
        <f t="shared" si="332"/>
        <v>122.976</v>
      </c>
    </row>
    <row r="2737" spans="1:22" hidden="1" x14ac:dyDescent="0.35">
      <c r="A2737" s="6" t="s">
        <v>2997</v>
      </c>
      <c r="B2737" s="6" t="s">
        <v>2995</v>
      </c>
      <c r="C2737" s="6" t="s">
        <v>2996</v>
      </c>
      <c r="D2737" s="6">
        <f t="shared" si="333"/>
        <v>0.5</v>
      </c>
      <c r="E2737" s="6" t="s">
        <v>19</v>
      </c>
      <c r="F2737" s="6" t="str">
        <f>MID(A2737,19,1)</f>
        <v>S</v>
      </c>
      <c r="G2737" s="6">
        <v>-22.84920466802263</v>
      </c>
      <c r="H2737" s="6">
        <v>-47.32973289345292</v>
      </c>
      <c r="I2737" s="9">
        <v>976.45</v>
      </c>
      <c r="K2737" s="6">
        <v>6.26</v>
      </c>
      <c r="L2737" s="6">
        <v>70</v>
      </c>
      <c r="N2737" s="1">
        <f t="shared" si="329"/>
        <v>0</v>
      </c>
      <c r="O2737" s="6" t="s">
        <v>20</v>
      </c>
      <c r="Q2737" s="6" t="s">
        <v>21</v>
      </c>
      <c r="R2737" s="6" t="s">
        <v>21</v>
      </c>
      <c r="S2737" s="6" t="s">
        <v>21</v>
      </c>
      <c r="T2737" s="6" t="s">
        <v>21</v>
      </c>
      <c r="U2737" s="6">
        <f t="shared" si="330"/>
        <v>683.51499999999999</v>
      </c>
      <c r="V2737" s="6">
        <f t="shared" si="332"/>
        <v>683.51499999999999</v>
      </c>
    </row>
    <row r="2738" spans="1:22" hidden="1" x14ac:dyDescent="0.35">
      <c r="A2738" s="6" t="s">
        <v>2998</v>
      </c>
      <c r="B2738" s="6" t="s">
        <v>2995</v>
      </c>
      <c r="C2738" s="6" t="s">
        <v>2996</v>
      </c>
      <c r="D2738" s="6">
        <f t="shared" si="333"/>
        <v>0.5</v>
      </c>
      <c r="E2738" s="6" t="s">
        <v>19</v>
      </c>
      <c r="F2738" s="6" t="str">
        <f>MID(A2738,19,1)</f>
        <v>S</v>
      </c>
      <c r="G2738" s="6">
        <v>-22.850295666587591</v>
      </c>
      <c r="H2738" s="6">
        <v>-47.327758841881312</v>
      </c>
      <c r="I2738" s="9">
        <v>304.51</v>
      </c>
      <c r="K2738" s="6">
        <v>1.42</v>
      </c>
      <c r="L2738" s="6">
        <v>70</v>
      </c>
      <c r="N2738" s="1">
        <f t="shared" si="329"/>
        <v>0</v>
      </c>
      <c r="O2738" s="6" t="s">
        <v>20</v>
      </c>
      <c r="Q2738" s="6" t="s">
        <v>21</v>
      </c>
      <c r="R2738" s="6" t="s">
        <v>21</v>
      </c>
      <c r="S2738" s="6" t="s">
        <v>21</v>
      </c>
      <c r="T2738" s="6" t="s">
        <v>21</v>
      </c>
      <c r="U2738" s="6">
        <f t="shared" si="330"/>
        <v>213.15699999999998</v>
      </c>
      <c r="V2738" s="6">
        <f t="shared" si="332"/>
        <v>213.15699999999998</v>
      </c>
    </row>
    <row r="2739" spans="1:22" x14ac:dyDescent="0.35">
      <c r="A2739" s="6" t="s">
        <v>2999</v>
      </c>
      <c r="B2739" s="6" t="s">
        <v>2995</v>
      </c>
      <c r="C2739" s="6" t="s">
        <v>2996</v>
      </c>
      <c r="D2739" s="6">
        <f t="shared" si="333"/>
        <v>0.5</v>
      </c>
      <c r="E2739" s="6" t="s">
        <v>19</v>
      </c>
      <c r="F2739" s="6" t="str">
        <f>MID(A2739,19,1)</f>
        <v>N</v>
      </c>
      <c r="G2739" s="6">
        <v>-22.76087482722312</v>
      </c>
      <c r="H2739" s="6">
        <v>-47.249836914414942</v>
      </c>
      <c r="I2739" s="9">
        <v>4077.92</v>
      </c>
      <c r="K2739" s="6">
        <v>7.48</v>
      </c>
      <c r="L2739" s="6">
        <v>50</v>
      </c>
      <c r="N2739" s="1">
        <f t="shared" si="329"/>
        <v>0</v>
      </c>
      <c r="O2739" s="6" t="s">
        <v>20</v>
      </c>
      <c r="Q2739" s="6" t="s">
        <v>21</v>
      </c>
      <c r="R2739" s="6" t="s">
        <v>21</v>
      </c>
      <c r="S2739" s="6" t="s">
        <v>21</v>
      </c>
      <c r="T2739" s="6" t="s">
        <v>21</v>
      </c>
      <c r="U2739" s="6">
        <f t="shared" si="330"/>
        <v>2038.96</v>
      </c>
      <c r="V2739" s="6">
        <f t="shared" si="332"/>
        <v>2038.96</v>
      </c>
    </row>
    <row r="2740" spans="1:22" hidden="1" x14ac:dyDescent="0.35">
      <c r="A2740" s="6" t="s">
        <v>3000</v>
      </c>
      <c r="B2740" s="6" t="s">
        <v>2995</v>
      </c>
      <c r="C2740" s="6" t="s">
        <v>2996</v>
      </c>
      <c r="D2740" s="6">
        <f t="shared" si="333"/>
        <v>0.5</v>
      </c>
      <c r="E2740" s="6" t="s">
        <v>19</v>
      </c>
      <c r="F2740" s="6" t="str">
        <f>MID(A2740,19,1)</f>
        <v>S</v>
      </c>
      <c r="G2740" s="6">
        <v>-22.761423324627032</v>
      </c>
      <c r="H2740" s="6">
        <v>-47.251020361821169</v>
      </c>
      <c r="I2740" s="9">
        <v>611.84</v>
      </c>
      <c r="K2740" s="6">
        <v>4.3899999999999997</v>
      </c>
      <c r="L2740" s="6">
        <v>50</v>
      </c>
      <c r="N2740" s="1">
        <f t="shared" si="329"/>
        <v>0</v>
      </c>
      <c r="O2740" s="6" t="s">
        <v>20</v>
      </c>
      <c r="Q2740" s="6" t="s">
        <v>21</v>
      </c>
      <c r="R2740" s="6" t="s">
        <v>21</v>
      </c>
      <c r="S2740" s="6" t="s">
        <v>21</v>
      </c>
      <c r="T2740" s="6" t="s">
        <v>21</v>
      </c>
      <c r="U2740" s="6">
        <f t="shared" si="330"/>
        <v>305.92</v>
      </c>
      <c r="V2740" s="6">
        <f t="shared" si="332"/>
        <v>305.92</v>
      </c>
    </row>
    <row r="2741" spans="1:22" hidden="1" x14ac:dyDescent="0.35">
      <c r="A2741" s="6" t="s">
        <v>3001</v>
      </c>
      <c r="B2741" s="6" t="s">
        <v>2995</v>
      </c>
      <c r="C2741" s="6" t="s">
        <v>2996</v>
      </c>
      <c r="D2741" s="6">
        <f t="shared" si="333"/>
        <v>0.5</v>
      </c>
      <c r="E2741" s="6" t="s">
        <v>19</v>
      </c>
      <c r="F2741" s="6" t="str">
        <f>MID(A2741,19,1)</f>
        <v>S</v>
      </c>
      <c r="G2741" s="6">
        <v>-22.761377902079509</v>
      </c>
      <c r="H2741" s="6">
        <v>-47.251423387305778</v>
      </c>
      <c r="I2741" s="9">
        <v>277.04000000000002</v>
      </c>
      <c r="K2741" s="6">
        <v>1.98</v>
      </c>
      <c r="L2741" s="6">
        <v>50</v>
      </c>
      <c r="N2741" s="1">
        <f t="shared" si="329"/>
        <v>0</v>
      </c>
      <c r="O2741" s="6" t="s">
        <v>20</v>
      </c>
      <c r="Q2741" s="6" t="s">
        <v>21</v>
      </c>
      <c r="R2741" s="6" t="s">
        <v>21</v>
      </c>
      <c r="S2741" s="6" t="s">
        <v>21</v>
      </c>
      <c r="T2741" s="6" t="s">
        <v>21</v>
      </c>
      <c r="U2741" s="6">
        <f t="shared" si="330"/>
        <v>138.52000000000001</v>
      </c>
      <c r="V2741" s="6">
        <f t="shared" si="332"/>
        <v>138.52000000000001</v>
      </c>
    </row>
    <row r="2742" spans="1:22" x14ac:dyDescent="0.35">
      <c r="A2742" s="6" t="s">
        <v>3002</v>
      </c>
      <c r="B2742" s="6" t="s">
        <v>2995</v>
      </c>
      <c r="C2742" s="6" t="s">
        <v>2996</v>
      </c>
      <c r="D2742" s="6">
        <f t="shared" si="333"/>
        <v>0.5</v>
      </c>
      <c r="E2742" s="6" t="s">
        <v>19</v>
      </c>
      <c r="F2742" s="6" t="str">
        <f>MID(A2742,19,1)</f>
        <v>N</v>
      </c>
      <c r="G2742" s="6">
        <v>-22.849956782542339</v>
      </c>
      <c r="H2742" s="6">
        <v>-47.327507158474177</v>
      </c>
      <c r="I2742" s="9">
        <v>566.38</v>
      </c>
      <c r="K2742" s="6">
        <v>1.18</v>
      </c>
      <c r="L2742" s="6">
        <v>70</v>
      </c>
      <c r="N2742" s="1">
        <f t="shared" si="329"/>
        <v>0</v>
      </c>
      <c r="O2742" s="6" t="s">
        <v>20</v>
      </c>
      <c r="Q2742" s="6" t="s">
        <v>21</v>
      </c>
      <c r="R2742" s="6" t="s">
        <v>21</v>
      </c>
      <c r="S2742" s="6" t="s">
        <v>21</v>
      </c>
      <c r="T2742" s="6" t="s">
        <v>21</v>
      </c>
      <c r="U2742" s="6">
        <f t="shared" si="330"/>
        <v>396.46599999999995</v>
      </c>
      <c r="V2742" s="6">
        <f t="shared" si="332"/>
        <v>396.46599999999995</v>
      </c>
    </row>
    <row r="2743" spans="1:22" hidden="1" x14ac:dyDescent="0.35">
      <c r="A2743" s="6" t="s">
        <v>3003</v>
      </c>
      <c r="B2743" s="6" t="s">
        <v>2995</v>
      </c>
      <c r="C2743" s="6" t="s">
        <v>2996</v>
      </c>
      <c r="D2743" s="6">
        <f t="shared" si="333"/>
        <v>0.5</v>
      </c>
      <c r="E2743" s="6" t="s">
        <v>19</v>
      </c>
      <c r="F2743" s="6" t="str">
        <f>MID(A2743,19,1)</f>
        <v>S</v>
      </c>
      <c r="G2743" s="6">
        <v>-22.763124262425521</v>
      </c>
      <c r="H2743" s="6">
        <v>-47.24808031705561</v>
      </c>
      <c r="I2743" s="9">
        <v>480.25</v>
      </c>
      <c r="K2743" s="6">
        <v>12.21</v>
      </c>
      <c r="L2743" s="6">
        <v>0</v>
      </c>
      <c r="N2743" s="1">
        <f t="shared" si="329"/>
        <v>0</v>
      </c>
      <c r="Q2743" s="6" t="s">
        <v>26</v>
      </c>
      <c r="R2743" s="6" t="s">
        <v>21</v>
      </c>
      <c r="S2743" s="6" t="s">
        <v>21</v>
      </c>
      <c r="T2743" s="6" t="s">
        <v>21</v>
      </c>
      <c r="U2743" s="6">
        <f t="shared" si="330"/>
        <v>0</v>
      </c>
    </row>
    <row r="2744" spans="1:22" x14ac:dyDescent="0.35">
      <c r="A2744" s="6" t="s">
        <v>3004</v>
      </c>
      <c r="B2744" s="6" t="s">
        <v>2995</v>
      </c>
      <c r="C2744" s="6" t="s">
        <v>2996</v>
      </c>
      <c r="D2744" s="6">
        <f t="shared" si="333"/>
        <v>0.5</v>
      </c>
      <c r="E2744" s="6" t="s">
        <v>19</v>
      </c>
      <c r="F2744" s="6" t="str">
        <f>MID(A2744,19,1)</f>
        <v>N</v>
      </c>
      <c r="G2744" s="6">
        <v>-22.76471645268564</v>
      </c>
      <c r="H2744" s="6">
        <v>-47.245982614202013</v>
      </c>
      <c r="I2744" s="9">
        <v>1822.98</v>
      </c>
      <c r="K2744" s="6">
        <v>9.76</v>
      </c>
      <c r="L2744" s="6">
        <v>30</v>
      </c>
      <c r="N2744" s="1">
        <f t="shared" si="329"/>
        <v>0</v>
      </c>
      <c r="O2744" s="6" t="s">
        <v>20</v>
      </c>
      <c r="Q2744" s="6" t="s">
        <v>21</v>
      </c>
      <c r="R2744" s="6" t="s">
        <v>21</v>
      </c>
      <c r="S2744" s="6" t="s">
        <v>21</v>
      </c>
      <c r="T2744" s="6" t="s">
        <v>21</v>
      </c>
      <c r="U2744" s="6">
        <f t="shared" si="330"/>
        <v>546.89400000000001</v>
      </c>
      <c r="V2744" s="6">
        <f t="shared" ref="V2744:V2747" si="334">(I2744*(L2744/100))</f>
        <v>546.89400000000001</v>
      </c>
    </row>
    <row r="2745" spans="1:22" x14ac:dyDescent="0.35">
      <c r="A2745" s="6" t="s">
        <v>3005</v>
      </c>
      <c r="B2745" s="6" t="s">
        <v>2995</v>
      </c>
      <c r="C2745" s="6" t="s">
        <v>2996</v>
      </c>
      <c r="D2745" s="6">
        <f t="shared" si="333"/>
        <v>0.5</v>
      </c>
      <c r="E2745" s="6" t="s">
        <v>19</v>
      </c>
      <c r="F2745" s="6" t="str">
        <f>MID(A2745,19,1)</f>
        <v>N</v>
      </c>
      <c r="G2745" s="6">
        <v>-22.75986640128054</v>
      </c>
      <c r="H2745" s="6">
        <v>-47.249982208038787</v>
      </c>
      <c r="I2745" s="9">
        <v>1116.29</v>
      </c>
      <c r="K2745" s="6">
        <v>10.74</v>
      </c>
      <c r="L2745" s="6">
        <v>50</v>
      </c>
      <c r="N2745" s="1">
        <f t="shared" si="329"/>
        <v>0</v>
      </c>
      <c r="O2745" s="6" t="s">
        <v>20</v>
      </c>
      <c r="Q2745" s="6" t="s">
        <v>21</v>
      </c>
      <c r="R2745" s="6" t="s">
        <v>21</v>
      </c>
      <c r="S2745" s="6" t="s">
        <v>21</v>
      </c>
      <c r="T2745" s="6" t="s">
        <v>21</v>
      </c>
      <c r="U2745" s="6">
        <f t="shared" si="330"/>
        <v>558.14499999999998</v>
      </c>
      <c r="V2745" s="6">
        <f t="shared" si="334"/>
        <v>558.14499999999998</v>
      </c>
    </row>
    <row r="2746" spans="1:22" x14ac:dyDescent="0.35">
      <c r="A2746" s="6" t="s">
        <v>3006</v>
      </c>
      <c r="B2746" s="6" t="s">
        <v>2995</v>
      </c>
      <c r="C2746" s="6" t="s">
        <v>2996</v>
      </c>
      <c r="D2746" s="6">
        <f t="shared" si="333"/>
        <v>0.5</v>
      </c>
      <c r="E2746" s="6" t="s">
        <v>19</v>
      </c>
      <c r="F2746" s="6" t="str">
        <f>MID(A2746,19,1)</f>
        <v>N</v>
      </c>
      <c r="G2746" s="6">
        <v>-22.760149445321002</v>
      </c>
      <c r="H2746" s="6">
        <v>-47.250030419839149</v>
      </c>
      <c r="I2746" s="9">
        <v>2159.66</v>
      </c>
      <c r="K2746" s="6">
        <v>5.47</v>
      </c>
      <c r="L2746" s="6">
        <v>50</v>
      </c>
      <c r="N2746" s="1">
        <f t="shared" si="329"/>
        <v>0</v>
      </c>
      <c r="O2746" s="6" t="s">
        <v>20</v>
      </c>
      <c r="Q2746" s="6" t="s">
        <v>21</v>
      </c>
      <c r="R2746" s="6" t="s">
        <v>21</v>
      </c>
      <c r="S2746" s="6" t="s">
        <v>21</v>
      </c>
      <c r="T2746" s="6" t="s">
        <v>21</v>
      </c>
      <c r="U2746" s="6">
        <f t="shared" si="330"/>
        <v>1079.83</v>
      </c>
      <c r="V2746" s="6">
        <f t="shared" si="334"/>
        <v>1079.83</v>
      </c>
    </row>
    <row r="2747" spans="1:22" hidden="1" x14ac:dyDescent="0.35">
      <c r="A2747" s="6" t="s">
        <v>3007</v>
      </c>
      <c r="B2747" s="6" t="s">
        <v>2995</v>
      </c>
      <c r="C2747" s="6" t="s">
        <v>2996</v>
      </c>
      <c r="D2747" s="6">
        <f t="shared" si="333"/>
        <v>0.5</v>
      </c>
      <c r="E2747" s="6" t="s">
        <v>19</v>
      </c>
      <c r="F2747" s="6" t="str">
        <f>MID(A2747,19,1)</f>
        <v>S</v>
      </c>
      <c r="G2747" s="6">
        <v>-22.765051288572401</v>
      </c>
      <c r="H2747" s="6">
        <v>-47.246268516036757</v>
      </c>
      <c r="I2747" s="9">
        <v>1631.56</v>
      </c>
      <c r="K2747" s="6">
        <v>6.24</v>
      </c>
      <c r="L2747" s="6">
        <v>30</v>
      </c>
      <c r="N2747" s="1">
        <f t="shared" si="329"/>
        <v>0</v>
      </c>
      <c r="O2747" s="6" t="s">
        <v>20</v>
      </c>
      <c r="Q2747" s="6" t="s">
        <v>21</v>
      </c>
      <c r="R2747" s="6" t="s">
        <v>21</v>
      </c>
      <c r="S2747" s="6" t="s">
        <v>21</v>
      </c>
      <c r="T2747" s="6" t="s">
        <v>21</v>
      </c>
      <c r="U2747" s="6">
        <f t="shared" si="330"/>
        <v>489.46799999999996</v>
      </c>
      <c r="V2747" s="6">
        <f t="shared" si="334"/>
        <v>489.46799999999996</v>
      </c>
    </row>
    <row r="2748" spans="1:22" hidden="1" x14ac:dyDescent="0.35">
      <c r="A2748" s="6" t="s">
        <v>3008</v>
      </c>
      <c r="B2748" s="6" t="s">
        <v>2995</v>
      </c>
      <c r="C2748" s="6" t="s">
        <v>2996</v>
      </c>
      <c r="D2748" s="6">
        <f t="shared" si="333"/>
        <v>0.5</v>
      </c>
      <c r="E2748" s="6" t="s">
        <v>19</v>
      </c>
      <c r="F2748" s="6" t="str">
        <f>MID(A2748,19,1)</f>
        <v>S</v>
      </c>
      <c r="G2748" s="6">
        <v>-22.760212999025502</v>
      </c>
      <c r="H2748" s="6">
        <v>-47.251125046950648</v>
      </c>
      <c r="I2748" s="9">
        <v>410.34</v>
      </c>
      <c r="K2748" s="6">
        <v>4.17</v>
      </c>
      <c r="L2748" s="6">
        <v>0</v>
      </c>
      <c r="N2748" s="1">
        <f t="shared" si="329"/>
        <v>0</v>
      </c>
      <c r="Q2748" s="6" t="s">
        <v>26</v>
      </c>
      <c r="R2748" s="6" t="s">
        <v>21</v>
      </c>
      <c r="S2748" s="6" t="s">
        <v>21</v>
      </c>
      <c r="T2748" s="6" t="s">
        <v>21</v>
      </c>
      <c r="U2748" s="6">
        <f t="shared" si="330"/>
        <v>0</v>
      </c>
    </row>
    <row r="2749" spans="1:22" hidden="1" x14ac:dyDescent="0.35">
      <c r="A2749" s="6" t="s">
        <v>3009</v>
      </c>
      <c r="B2749" s="6" t="s">
        <v>2995</v>
      </c>
      <c r="C2749" s="6" t="s">
        <v>2996</v>
      </c>
      <c r="D2749" s="6">
        <f t="shared" si="333"/>
        <v>0.5</v>
      </c>
      <c r="E2749" s="6" t="s">
        <v>23</v>
      </c>
      <c r="F2749" s="6" t="str">
        <f>MID(A2749,19,1)</f>
        <v>C</v>
      </c>
      <c r="G2749" s="6">
        <v>-22.84901664551251</v>
      </c>
      <c r="H2749" s="6">
        <v>-47.329614569098887</v>
      </c>
      <c r="I2749" s="9">
        <v>2854.56</v>
      </c>
      <c r="J2749" s="9">
        <f>I2749/500</f>
        <v>5.7091199999999995</v>
      </c>
      <c r="K2749" s="6">
        <v>5.45</v>
      </c>
      <c r="L2749" s="6">
        <v>80</v>
      </c>
      <c r="N2749" s="1">
        <f t="shared" si="329"/>
        <v>0</v>
      </c>
      <c r="O2749" s="6" t="s">
        <v>20</v>
      </c>
      <c r="Q2749" s="6" t="s">
        <v>21</v>
      </c>
      <c r="R2749" s="6" t="s">
        <v>21</v>
      </c>
      <c r="S2749" s="6" t="s">
        <v>21</v>
      </c>
      <c r="T2749" s="6" t="s">
        <v>21</v>
      </c>
      <c r="U2749" s="6">
        <f t="shared" si="330"/>
        <v>2283.6480000000001</v>
      </c>
      <c r="V2749" s="6">
        <f t="shared" ref="V2749:V2768" si="335">(I2749*(L2749/100))</f>
        <v>2283.6480000000001</v>
      </c>
    </row>
    <row r="2750" spans="1:22" x14ac:dyDescent="0.35">
      <c r="A2750" s="6" t="s">
        <v>3010</v>
      </c>
      <c r="B2750" s="6" t="s">
        <v>2995</v>
      </c>
      <c r="C2750" s="6" t="s">
        <v>2996</v>
      </c>
      <c r="D2750" s="6">
        <f t="shared" si="333"/>
        <v>0.5</v>
      </c>
      <c r="E2750" s="6" t="s">
        <v>19</v>
      </c>
      <c r="F2750" s="6" t="str">
        <f>MID(A2750,19,1)</f>
        <v>N</v>
      </c>
      <c r="G2750" s="6">
        <v>-22.848843036298032</v>
      </c>
      <c r="H2750" s="6">
        <v>-47.32949891902679</v>
      </c>
      <c r="I2750" s="9">
        <v>991.25</v>
      </c>
      <c r="K2750" s="6">
        <v>3.64</v>
      </c>
      <c r="L2750" s="6">
        <v>70</v>
      </c>
      <c r="N2750" s="1">
        <f t="shared" si="329"/>
        <v>0</v>
      </c>
      <c r="O2750" s="6" t="s">
        <v>20</v>
      </c>
      <c r="Q2750" s="6" t="s">
        <v>21</v>
      </c>
      <c r="R2750" s="6" t="s">
        <v>21</v>
      </c>
      <c r="S2750" s="6" t="s">
        <v>21</v>
      </c>
      <c r="T2750" s="6" t="s">
        <v>21</v>
      </c>
      <c r="U2750" s="6">
        <f t="shared" si="330"/>
        <v>693.875</v>
      </c>
      <c r="V2750" s="6">
        <f t="shared" si="335"/>
        <v>693.875</v>
      </c>
    </row>
    <row r="2751" spans="1:22" hidden="1" x14ac:dyDescent="0.35">
      <c r="A2751" s="6" t="s">
        <v>3011</v>
      </c>
      <c r="B2751" s="6" t="s">
        <v>2995</v>
      </c>
      <c r="C2751" s="6" t="s">
        <v>2996</v>
      </c>
      <c r="D2751" s="6">
        <f t="shared" si="333"/>
        <v>0.5</v>
      </c>
      <c r="E2751" s="6" t="s">
        <v>19</v>
      </c>
      <c r="F2751" s="6" t="str">
        <f>MID(A2751,19,1)</f>
        <v>S</v>
      </c>
      <c r="G2751" s="6">
        <v>-22.76346205092981</v>
      </c>
      <c r="H2751" s="6">
        <v>-47.248070002885477</v>
      </c>
      <c r="I2751" s="9">
        <v>102.48</v>
      </c>
      <c r="K2751" s="6">
        <v>8.07</v>
      </c>
      <c r="L2751" s="6">
        <v>0</v>
      </c>
      <c r="N2751" s="1">
        <f t="shared" si="329"/>
        <v>0</v>
      </c>
      <c r="Q2751" s="6" t="s">
        <v>21</v>
      </c>
      <c r="R2751" s="6" t="s">
        <v>21</v>
      </c>
      <c r="S2751" s="6" t="s">
        <v>21</v>
      </c>
      <c r="T2751" s="6" t="s">
        <v>21</v>
      </c>
      <c r="U2751" s="6">
        <f t="shared" si="330"/>
        <v>0</v>
      </c>
      <c r="V2751" s="6">
        <f t="shared" si="335"/>
        <v>0</v>
      </c>
    </row>
    <row r="2752" spans="1:22" x14ac:dyDescent="0.35">
      <c r="A2752" s="6" t="s">
        <v>3012</v>
      </c>
      <c r="B2752" s="6" t="s">
        <v>2995</v>
      </c>
      <c r="C2752" s="6" t="s">
        <v>2996</v>
      </c>
      <c r="D2752" s="6">
        <f t="shared" si="333"/>
        <v>0.5</v>
      </c>
      <c r="E2752" s="6" t="s">
        <v>19</v>
      </c>
      <c r="F2752" s="6" t="str">
        <f>MID(A2752,19,1)</f>
        <v>N</v>
      </c>
      <c r="G2752" s="6">
        <v>-22.84694094505161</v>
      </c>
      <c r="H2752" s="6">
        <v>-47.33289812590025</v>
      </c>
      <c r="I2752" s="9">
        <v>2270.1799999999998</v>
      </c>
      <c r="K2752" s="6">
        <v>1.84</v>
      </c>
      <c r="L2752" s="6">
        <v>70</v>
      </c>
      <c r="N2752" s="1">
        <f t="shared" si="329"/>
        <v>0</v>
      </c>
      <c r="O2752" s="6" t="s">
        <v>20</v>
      </c>
      <c r="Q2752" s="6" t="s">
        <v>21</v>
      </c>
      <c r="R2752" s="6" t="s">
        <v>21</v>
      </c>
      <c r="S2752" s="6" t="s">
        <v>21</v>
      </c>
      <c r="T2752" s="6" t="s">
        <v>21</v>
      </c>
      <c r="U2752" s="6">
        <f t="shared" si="330"/>
        <v>1589.1259999999997</v>
      </c>
      <c r="V2752" s="6">
        <f t="shared" si="335"/>
        <v>1589.1259999999997</v>
      </c>
    </row>
    <row r="2753" spans="1:22" hidden="1" x14ac:dyDescent="0.35">
      <c r="A2753" s="6" t="s">
        <v>3013</v>
      </c>
      <c r="B2753" s="6" t="s">
        <v>2995</v>
      </c>
      <c r="C2753" s="6" t="s">
        <v>2996</v>
      </c>
      <c r="D2753" s="6">
        <f t="shared" si="333"/>
        <v>0.5</v>
      </c>
      <c r="E2753" s="6" t="s">
        <v>19</v>
      </c>
      <c r="F2753" s="6" t="str">
        <f>MID(A2753,19,1)</f>
        <v>S</v>
      </c>
      <c r="G2753" s="6">
        <v>-22.765017632517232</v>
      </c>
      <c r="H2753" s="6">
        <v>-47.245980430848398</v>
      </c>
      <c r="I2753" s="9">
        <v>3871.1</v>
      </c>
      <c r="K2753" s="6">
        <v>9.9</v>
      </c>
      <c r="L2753" s="6">
        <v>50</v>
      </c>
      <c r="N2753" s="1">
        <f t="shared" si="329"/>
        <v>0</v>
      </c>
      <c r="O2753" s="6" t="s">
        <v>20</v>
      </c>
      <c r="Q2753" s="6" t="s">
        <v>21</v>
      </c>
      <c r="R2753" s="6" t="s">
        <v>21</v>
      </c>
      <c r="S2753" s="6" t="s">
        <v>21</v>
      </c>
      <c r="T2753" s="6" t="s">
        <v>21</v>
      </c>
      <c r="U2753" s="6">
        <f t="shared" si="330"/>
        <v>1935.55</v>
      </c>
      <c r="V2753" s="6">
        <f t="shared" si="335"/>
        <v>1935.55</v>
      </c>
    </row>
    <row r="2754" spans="1:22" x14ac:dyDescent="0.35">
      <c r="A2754" s="6" t="s">
        <v>3014</v>
      </c>
      <c r="B2754" s="6" t="s">
        <v>2995</v>
      </c>
      <c r="C2754" s="6" t="s">
        <v>2996</v>
      </c>
      <c r="D2754" s="6">
        <f t="shared" si="333"/>
        <v>0.5</v>
      </c>
      <c r="E2754" s="6" t="s">
        <v>19</v>
      </c>
      <c r="F2754" s="6" t="str">
        <f>MID(A2754,19,1)</f>
        <v>N</v>
      </c>
      <c r="G2754" s="6">
        <v>-22.76165735836247</v>
      </c>
      <c r="H2754" s="6">
        <v>-47.248842693960107</v>
      </c>
      <c r="I2754" s="9">
        <v>1845.76</v>
      </c>
      <c r="K2754" s="6">
        <v>10.59</v>
      </c>
      <c r="L2754" s="6">
        <v>50</v>
      </c>
      <c r="N2754" s="1">
        <f t="shared" ref="N2754:N2817" si="336">IF(OR(R2754="Sim",S2754="Sim",T2754="Sim"),(L2754/100)*I2754,0)</f>
        <v>0</v>
      </c>
      <c r="O2754" s="6" t="s">
        <v>20</v>
      </c>
      <c r="Q2754" s="6" t="s">
        <v>21</v>
      </c>
      <c r="R2754" s="6" t="s">
        <v>21</v>
      </c>
      <c r="S2754" s="6" t="s">
        <v>21</v>
      </c>
      <c r="T2754" s="6" t="s">
        <v>21</v>
      </c>
      <c r="U2754" s="6">
        <f t="shared" si="330"/>
        <v>922.88</v>
      </c>
      <c r="V2754" s="6">
        <f t="shared" si="335"/>
        <v>922.88</v>
      </c>
    </row>
    <row r="2755" spans="1:22" hidden="1" x14ac:dyDescent="0.35">
      <c r="A2755" s="6" t="s">
        <v>3015</v>
      </c>
      <c r="B2755" s="6" t="s">
        <v>2995</v>
      </c>
      <c r="C2755" s="6" t="s">
        <v>2996</v>
      </c>
      <c r="D2755" s="6">
        <f t="shared" si="333"/>
        <v>0.5</v>
      </c>
      <c r="E2755" s="6" t="s">
        <v>19</v>
      </c>
      <c r="F2755" s="6" t="str">
        <f>MID(A2755,19,1)</f>
        <v>S</v>
      </c>
      <c r="G2755" s="6">
        <v>-22.850014854109279</v>
      </c>
      <c r="H2755" s="6">
        <v>-47.328282696674272</v>
      </c>
      <c r="I2755" s="9">
        <v>93.43</v>
      </c>
      <c r="K2755" s="6">
        <v>3.89</v>
      </c>
      <c r="L2755" s="6">
        <v>0</v>
      </c>
      <c r="N2755" s="1">
        <f t="shared" si="336"/>
        <v>0</v>
      </c>
      <c r="Q2755" s="6" t="s">
        <v>21</v>
      </c>
      <c r="R2755" s="6" t="s">
        <v>21</v>
      </c>
      <c r="S2755" s="6" t="s">
        <v>21</v>
      </c>
      <c r="T2755" s="6" t="s">
        <v>21</v>
      </c>
      <c r="U2755" s="6">
        <f t="shared" ref="U2755:U2818" si="337">IF(N2755=0,(I2755*(L2755/100)),0)</f>
        <v>0</v>
      </c>
      <c r="V2755" s="6">
        <f t="shared" si="335"/>
        <v>0</v>
      </c>
    </row>
    <row r="2756" spans="1:22" x14ac:dyDescent="0.35">
      <c r="A2756" s="6" t="s">
        <v>3016</v>
      </c>
      <c r="B2756" s="6" t="s">
        <v>2995</v>
      </c>
      <c r="C2756" s="6" t="s">
        <v>2996</v>
      </c>
      <c r="D2756" s="6">
        <f t="shared" si="333"/>
        <v>0.5</v>
      </c>
      <c r="E2756" s="6" t="s">
        <v>19</v>
      </c>
      <c r="F2756" s="6" t="str">
        <f>MID(A2756,19,1)</f>
        <v>N</v>
      </c>
      <c r="G2756" s="6">
        <v>-22.760047862575931</v>
      </c>
      <c r="H2756" s="6">
        <v>-47.250656163655577</v>
      </c>
      <c r="I2756" s="9">
        <v>3466.42</v>
      </c>
      <c r="K2756" s="6">
        <v>3.86</v>
      </c>
      <c r="L2756" s="6">
        <v>50</v>
      </c>
      <c r="N2756" s="1">
        <f t="shared" si="336"/>
        <v>0</v>
      </c>
      <c r="O2756" s="6" t="s">
        <v>20</v>
      </c>
      <c r="Q2756" s="6" t="s">
        <v>21</v>
      </c>
      <c r="R2756" s="6" t="s">
        <v>21</v>
      </c>
      <c r="S2756" s="6" t="s">
        <v>21</v>
      </c>
      <c r="T2756" s="6" t="s">
        <v>21</v>
      </c>
      <c r="U2756" s="6">
        <f t="shared" si="337"/>
        <v>1733.21</v>
      </c>
      <c r="V2756" s="6">
        <f t="shared" si="335"/>
        <v>1733.21</v>
      </c>
    </row>
    <row r="2757" spans="1:22" x14ac:dyDescent="0.35">
      <c r="A2757" s="6" t="s">
        <v>3017</v>
      </c>
      <c r="B2757" s="6" t="s">
        <v>2995</v>
      </c>
      <c r="C2757" s="6" t="s">
        <v>2996</v>
      </c>
      <c r="D2757" s="6">
        <f t="shared" si="333"/>
        <v>0.5</v>
      </c>
      <c r="E2757" s="6" t="s">
        <v>19</v>
      </c>
      <c r="F2757" s="6" t="str">
        <f>MID(A2757,19,1)</f>
        <v>N</v>
      </c>
      <c r="G2757" s="6">
        <v>-22.76004708830158</v>
      </c>
      <c r="H2757" s="6">
        <v>-47.249573702289332</v>
      </c>
      <c r="I2757" s="9">
        <v>460.57</v>
      </c>
      <c r="K2757" s="6">
        <v>11.37</v>
      </c>
      <c r="L2757" s="6">
        <v>50</v>
      </c>
      <c r="N2757" s="1">
        <f t="shared" si="336"/>
        <v>0</v>
      </c>
      <c r="O2757" s="6" t="s">
        <v>20</v>
      </c>
      <c r="Q2757" s="6" t="s">
        <v>21</v>
      </c>
      <c r="R2757" s="6" t="s">
        <v>21</v>
      </c>
      <c r="S2757" s="6" t="s">
        <v>21</v>
      </c>
      <c r="T2757" s="6" t="s">
        <v>21</v>
      </c>
      <c r="U2757" s="6">
        <f t="shared" si="337"/>
        <v>230.285</v>
      </c>
      <c r="V2757" s="6">
        <f t="shared" si="335"/>
        <v>230.285</v>
      </c>
    </row>
    <row r="2758" spans="1:22" hidden="1" x14ac:dyDescent="0.35">
      <c r="A2758" s="6" t="s">
        <v>3018</v>
      </c>
      <c r="B2758" s="6" t="s">
        <v>2995</v>
      </c>
      <c r="C2758" s="6" t="s">
        <v>2996</v>
      </c>
      <c r="D2758" s="6">
        <f t="shared" si="333"/>
        <v>0.5</v>
      </c>
      <c r="E2758" s="6" t="s">
        <v>19</v>
      </c>
      <c r="F2758" s="6" t="str">
        <f>MID(A2758,19,1)</f>
        <v>S</v>
      </c>
      <c r="G2758" s="6">
        <v>-22.761160861031321</v>
      </c>
      <c r="H2758" s="6">
        <v>-47.250679738309628</v>
      </c>
      <c r="I2758" s="9">
        <v>811.68</v>
      </c>
      <c r="K2758" s="6">
        <v>6.31</v>
      </c>
      <c r="L2758" s="6">
        <v>50</v>
      </c>
      <c r="N2758" s="1">
        <f t="shared" si="336"/>
        <v>0</v>
      </c>
      <c r="O2758" s="6" t="s">
        <v>20</v>
      </c>
      <c r="Q2758" s="6" t="s">
        <v>21</v>
      </c>
      <c r="R2758" s="6" t="s">
        <v>21</v>
      </c>
      <c r="S2758" s="6" t="s">
        <v>21</v>
      </c>
      <c r="T2758" s="6" t="s">
        <v>21</v>
      </c>
      <c r="U2758" s="6">
        <f t="shared" si="337"/>
        <v>405.84</v>
      </c>
      <c r="V2758" s="6">
        <f t="shared" si="335"/>
        <v>405.84</v>
      </c>
    </row>
    <row r="2759" spans="1:22" hidden="1" x14ac:dyDescent="0.35">
      <c r="A2759" s="6" t="s">
        <v>3019</v>
      </c>
      <c r="B2759" s="6" t="s">
        <v>2995</v>
      </c>
      <c r="C2759" s="6" t="s">
        <v>2996</v>
      </c>
      <c r="D2759" s="6">
        <f t="shared" si="333"/>
        <v>0.5</v>
      </c>
      <c r="E2759" s="6" t="s">
        <v>19</v>
      </c>
      <c r="F2759" s="6" t="str">
        <f>MID(A2759,19,1)</f>
        <v>S</v>
      </c>
      <c r="G2759" s="6">
        <v>-22.76086872567198</v>
      </c>
      <c r="H2759" s="6">
        <v>-47.251511796313032</v>
      </c>
      <c r="I2759" s="9">
        <v>681.71</v>
      </c>
      <c r="K2759" s="6">
        <v>2.29</v>
      </c>
      <c r="L2759" s="6">
        <v>50</v>
      </c>
      <c r="N2759" s="1">
        <f t="shared" si="336"/>
        <v>0</v>
      </c>
      <c r="O2759" s="6" t="s">
        <v>20</v>
      </c>
      <c r="Q2759" s="6" t="s">
        <v>21</v>
      </c>
      <c r="R2759" s="6" t="s">
        <v>21</v>
      </c>
      <c r="S2759" s="6" t="s">
        <v>21</v>
      </c>
      <c r="T2759" s="6" t="s">
        <v>21</v>
      </c>
      <c r="U2759" s="6">
        <f t="shared" si="337"/>
        <v>340.85500000000002</v>
      </c>
      <c r="V2759" s="6">
        <f t="shared" si="335"/>
        <v>340.85500000000002</v>
      </c>
    </row>
    <row r="2760" spans="1:22" hidden="1" x14ac:dyDescent="0.35">
      <c r="A2760" s="6" t="s">
        <v>3020</v>
      </c>
      <c r="B2760" s="6" t="s">
        <v>2995</v>
      </c>
      <c r="C2760" s="6" t="s">
        <v>2996</v>
      </c>
      <c r="D2760" s="6">
        <f t="shared" si="333"/>
        <v>0.5</v>
      </c>
      <c r="E2760" s="6" t="s">
        <v>19</v>
      </c>
      <c r="F2760" s="6" t="str">
        <f>MID(A2760,19,1)</f>
        <v>S</v>
      </c>
      <c r="G2760" s="6">
        <v>-22.761114939233629</v>
      </c>
      <c r="H2760" s="6">
        <v>-47.251128047051743</v>
      </c>
      <c r="I2760" s="9">
        <v>1138.8</v>
      </c>
      <c r="K2760" s="6">
        <v>3.69</v>
      </c>
      <c r="L2760" s="6">
        <v>50</v>
      </c>
      <c r="N2760" s="1">
        <f t="shared" si="336"/>
        <v>0</v>
      </c>
      <c r="O2760" s="6" t="s">
        <v>20</v>
      </c>
      <c r="Q2760" s="6" t="s">
        <v>21</v>
      </c>
      <c r="R2760" s="6" t="s">
        <v>21</v>
      </c>
      <c r="S2760" s="6" t="s">
        <v>21</v>
      </c>
      <c r="T2760" s="6" t="s">
        <v>21</v>
      </c>
      <c r="U2760" s="6">
        <f t="shared" si="337"/>
        <v>569.4</v>
      </c>
      <c r="V2760" s="6">
        <f t="shared" si="335"/>
        <v>569.4</v>
      </c>
    </row>
    <row r="2761" spans="1:22" hidden="1" x14ac:dyDescent="0.35">
      <c r="A2761" s="6" t="s">
        <v>3021</v>
      </c>
      <c r="B2761" s="6" t="s">
        <v>2995</v>
      </c>
      <c r="C2761" s="6" t="s">
        <v>2996</v>
      </c>
      <c r="D2761" s="6">
        <f t="shared" si="333"/>
        <v>0.5</v>
      </c>
      <c r="E2761" s="6" t="s">
        <v>23</v>
      </c>
      <c r="F2761" s="6" t="str">
        <f>MID(A2761,19,1)</f>
        <v>C</v>
      </c>
      <c r="G2761" s="6">
        <v>-22.847121256000889</v>
      </c>
      <c r="H2761" s="6">
        <v>-47.332996622032518</v>
      </c>
      <c r="I2761" s="9">
        <v>6278.44</v>
      </c>
      <c r="J2761" s="9">
        <f>I2761/500</f>
        <v>12.55688</v>
      </c>
      <c r="K2761" s="6">
        <v>2.04</v>
      </c>
      <c r="L2761" s="6">
        <v>80</v>
      </c>
      <c r="N2761" s="1">
        <f t="shared" si="336"/>
        <v>0</v>
      </c>
      <c r="O2761" s="6" t="s">
        <v>20</v>
      </c>
      <c r="Q2761" s="6" t="s">
        <v>21</v>
      </c>
      <c r="R2761" s="6" t="s">
        <v>21</v>
      </c>
      <c r="S2761" s="6" t="s">
        <v>21</v>
      </c>
      <c r="T2761" s="6" t="s">
        <v>21</v>
      </c>
      <c r="U2761" s="6">
        <f t="shared" si="337"/>
        <v>5022.7520000000004</v>
      </c>
      <c r="V2761" s="6">
        <f t="shared" si="335"/>
        <v>5022.7520000000004</v>
      </c>
    </row>
    <row r="2762" spans="1:22" hidden="1" x14ac:dyDescent="0.35">
      <c r="A2762" s="6" t="s">
        <v>3022</v>
      </c>
      <c r="B2762" s="6" t="s">
        <v>2995</v>
      </c>
      <c r="C2762" s="6" t="s">
        <v>2996</v>
      </c>
      <c r="D2762" s="6">
        <f t="shared" si="333"/>
        <v>0.5</v>
      </c>
      <c r="E2762" s="6" t="s">
        <v>19</v>
      </c>
      <c r="F2762" s="6" t="str">
        <f>MID(A2762,19,1)</f>
        <v>S</v>
      </c>
      <c r="G2762" s="6">
        <v>-22.760658038006511</v>
      </c>
      <c r="H2762" s="6">
        <v>-47.251214112302577</v>
      </c>
      <c r="I2762" s="9">
        <v>1667.56</v>
      </c>
      <c r="K2762" s="6">
        <v>2.93</v>
      </c>
      <c r="L2762" s="6">
        <v>50</v>
      </c>
      <c r="N2762" s="1">
        <f t="shared" si="336"/>
        <v>0</v>
      </c>
      <c r="O2762" s="6" t="s">
        <v>20</v>
      </c>
      <c r="Q2762" s="6" t="s">
        <v>21</v>
      </c>
      <c r="R2762" s="6" t="s">
        <v>21</v>
      </c>
      <c r="S2762" s="6" t="s">
        <v>21</v>
      </c>
      <c r="T2762" s="6" t="s">
        <v>21</v>
      </c>
      <c r="U2762" s="6">
        <f t="shared" si="337"/>
        <v>833.78</v>
      </c>
      <c r="V2762" s="6">
        <f t="shared" si="335"/>
        <v>833.78</v>
      </c>
    </row>
    <row r="2763" spans="1:22" hidden="1" x14ac:dyDescent="0.35">
      <c r="A2763" s="6" t="s">
        <v>3023</v>
      </c>
      <c r="B2763" s="6" t="s">
        <v>2995</v>
      </c>
      <c r="C2763" s="6" t="s">
        <v>2996</v>
      </c>
      <c r="D2763" s="6">
        <f t="shared" si="333"/>
        <v>0.5</v>
      </c>
      <c r="E2763" s="6" t="s">
        <v>23</v>
      </c>
      <c r="F2763" s="6" t="str">
        <f>MID(A2763,19,1)</f>
        <v>C</v>
      </c>
      <c r="G2763" s="6">
        <v>-22.850148543951072</v>
      </c>
      <c r="H2763" s="6">
        <v>-47.327610105726528</v>
      </c>
      <c r="I2763" s="9">
        <v>1580.45</v>
      </c>
      <c r="J2763" s="9">
        <f>I2763/500</f>
        <v>3.1609000000000003</v>
      </c>
      <c r="K2763" s="6">
        <v>1.77</v>
      </c>
      <c r="L2763" s="6">
        <v>80</v>
      </c>
      <c r="N2763" s="1">
        <f t="shared" si="336"/>
        <v>0</v>
      </c>
      <c r="O2763" s="6" t="s">
        <v>20</v>
      </c>
      <c r="Q2763" s="6" t="s">
        <v>21</v>
      </c>
      <c r="R2763" s="6" t="s">
        <v>21</v>
      </c>
      <c r="S2763" s="6" t="s">
        <v>21</v>
      </c>
      <c r="T2763" s="6" t="s">
        <v>21</v>
      </c>
      <c r="U2763" s="6">
        <f t="shared" si="337"/>
        <v>1264.3600000000001</v>
      </c>
      <c r="V2763" s="6">
        <f t="shared" si="335"/>
        <v>1264.3600000000001</v>
      </c>
    </row>
    <row r="2764" spans="1:22" hidden="1" x14ac:dyDescent="0.35">
      <c r="A2764" s="6" t="s">
        <v>3024</v>
      </c>
      <c r="B2764" s="6" t="s">
        <v>2995</v>
      </c>
      <c r="C2764" s="6" t="s">
        <v>2996</v>
      </c>
      <c r="D2764" s="6">
        <f t="shared" si="333"/>
        <v>0.5</v>
      </c>
      <c r="E2764" s="6" t="s">
        <v>19</v>
      </c>
      <c r="F2764" s="6" t="str">
        <f>MID(A2764,19,1)</f>
        <v>S</v>
      </c>
      <c r="G2764" s="6">
        <v>-22.847298629903911</v>
      </c>
      <c r="H2764" s="6">
        <v>-47.333107170883828</v>
      </c>
      <c r="I2764" s="9">
        <v>2269.27</v>
      </c>
      <c r="K2764" s="6">
        <v>2.33</v>
      </c>
      <c r="L2764" s="6">
        <v>70</v>
      </c>
      <c r="N2764" s="1">
        <f t="shared" si="336"/>
        <v>0</v>
      </c>
      <c r="O2764" s="6" t="s">
        <v>20</v>
      </c>
      <c r="Q2764" s="6" t="s">
        <v>21</v>
      </c>
      <c r="R2764" s="6" t="s">
        <v>21</v>
      </c>
      <c r="S2764" s="6" t="s">
        <v>21</v>
      </c>
      <c r="T2764" s="6" t="s">
        <v>21</v>
      </c>
      <c r="U2764" s="6">
        <f t="shared" si="337"/>
        <v>1588.4889999999998</v>
      </c>
      <c r="V2764" s="6">
        <f t="shared" si="335"/>
        <v>1588.4889999999998</v>
      </c>
    </row>
    <row r="2765" spans="1:22" hidden="1" x14ac:dyDescent="0.35">
      <c r="A2765" s="6" t="s">
        <v>3025</v>
      </c>
      <c r="B2765" s="6" t="s">
        <v>3026</v>
      </c>
      <c r="C2765" s="6" t="s">
        <v>3027</v>
      </c>
      <c r="D2765" s="6">
        <f t="shared" si="333"/>
        <v>0.5</v>
      </c>
      <c r="E2765" s="6" t="s">
        <v>23</v>
      </c>
      <c r="F2765" s="6" t="str">
        <f>MID(A2765,19,1)</f>
        <v>C</v>
      </c>
      <c r="G2765" s="6">
        <v>-22.84209222783452</v>
      </c>
      <c r="H2765" s="6">
        <v>-47.341966354264869</v>
      </c>
      <c r="I2765" s="9">
        <v>6573.16</v>
      </c>
      <c r="J2765" s="9">
        <f t="shared" ref="J2765:J2767" si="338">I2765/500</f>
        <v>13.146319999999999</v>
      </c>
      <c r="K2765" s="6">
        <v>4.47</v>
      </c>
      <c r="L2765" s="6">
        <v>80</v>
      </c>
      <c r="N2765" s="1">
        <f t="shared" si="336"/>
        <v>0</v>
      </c>
      <c r="O2765" s="6" t="s">
        <v>20</v>
      </c>
      <c r="Q2765" s="6" t="s">
        <v>21</v>
      </c>
      <c r="R2765" s="6" t="s">
        <v>21</v>
      </c>
      <c r="S2765" s="6" t="s">
        <v>21</v>
      </c>
      <c r="T2765" s="6" t="s">
        <v>21</v>
      </c>
      <c r="U2765" s="6">
        <f t="shared" si="337"/>
        <v>5258.5280000000002</v>
      </c>
      <c r="V2765" s="6">
        <f t="shared" si="335"/>
        <v>5258.5280000000002</v>
      </c>
    </row>
    <row r="2766" spans="1:22" hidden="1" x14ac:dyDescent="0.35">
      <c r="A2766" s="6" t="s">
        <v>3028</v>
      </c>
      <c r="B2766" s="6" t="s">
        <v>3026</v>
      </c>
      <c r="C2766" s="6" t="s">
        <v>3027</v>
      </c>
      <c r="D2766" s="6">
        <f t="shared" ref="D2766:D2829" si="339">C2766-B2766</f>
        <v>0.5</v>
      </c>
      <c r="E2766" s="6" t="s">
        <v>23</v>
      </c>
      <c r="F2766" s="6" t="str">
        <f>MID(A2766,19,1)</f>
        <v>C</v>
      </c>
      <c r="G2766" s="6">
        <v>-22.755887056169431</v>
      </c>
      <c r="H2766" s="6">
        <v>-47.25563552353352</v>
      </c>
      <c r="I2766" s="9">
        <v>1360.11</v>
      </c>
      <c r="J2766" s="9">
        <f t="shared" si="338"/>
        <v>2.7202199999999999</v>
      </c>
      <c r="K2766" s="6">
        <v>3.74</v>
      </c>
      <c r="L2766" s="6">
        <v>0</v>
      </c>
      <c r="N2766" s="1">
        <f t="shared" si="336"/>
        <v>0</v>
      </c>
      <c r="Q2766" s="6" t="s">
        <v>21</v>
      </c>
      <c r="R2766" s="6" t="s">
        <v>21</v>
      </c>
      <c r="S2766" s="6" t="s">
        <v>21</v>
      </c>
      <c r="T2766" s="6" t="s">
        <v>21</v>
      </c>
      <c r="U2766" s="6">
        <f t="shared" si="337"/>
        <v>0</v>
      </c>
      <c r="V2766" s="6">
        <f t="shared" si="335"/>
        <v>0</v>
      </c>
    </row>
    <row r="2767" spans="1:22" hidden="1" x14ac:dyDescent="0.35">
      <c r="A2767" s="6" t="s">
        <v>3029</v>
      </c>
      <c r="B2767" s="6" t="s">
        <v>3026</v>
      </c>
      <c r="C2767" s="6" t="s">
        <v>3027</v>
      </c>
      <c r="D2767" s="6">
        <f t="shared" si="339"/>
        <v>0.5</v>
      </c>
      <c r="E2767" s="6" t="s">
        <v>23</v>
      </c>
      <c r="F2767" s="6" t="str">
        <f>MID(A2767,19,1)</f>
        <v>C</v>
      </c>
      <c r="G2767" s="6">
        <v>-22.755347097869318</v>
      </c>
      <c r="H2767" s="6">
        <v>-47.257411305690027</v>
      </c>
      <c r="I2767" s="9">
        <v>10619.3</v>
      </c>
      <c r="J2767" s="9">
        <f t="shared" si="338"/>
        <v>21.238599999999998</v>
      </c>
      <c r="K2767" s="6">
        <v>3.22</v>
      </c>
      <c r="L2767" s="6">
        <v>50</v>
      </c>
      <c r="N2767" s="1">
        <f t="shared" si="336"/>
        <v>0</v>
      </c>
      <c r="O2767" s="6" t="s">
        <v>20</v>
      </c>
      <c r="Q2767" s="6" t="s">
        <v>21</v>
      </c>
      <c r="R2767" s="6" t="s">
        <v>21</v>
      </c>
      <c r="S2767" s="6" t="s">
        <v>21</v>
      </c>
      <c r="T2767" s="6" t="s">
        <v>21</v>
      </c>
      <c r="U2767" s="6">
        <f t="shared" si="337"/>
        <v>5309.65</v>
      </c>
      <c r="V2767" s="6">
        <f t="shared" si="335"/>
        <v>5309.65</v>
      </c>
    </row>
    <row r="2768" spans="1:22" x14ac:dyDescent="0.35">
      <c r="A2768" s="6" t="s">
        <v>3030</v>
      </c>
      <c r="B2768" s="6" t="s">
        <v>3026</v>
      </c>
      <c r="C2768" s="6" t="s">
        <v>3027</v>
      </c>
      <c r="D2768" s="6">
        <f t="shared" si="339"/>
        <v>0.5</v>
      </c>
      <c r="E2768" s="6" t="s">
        <v>19</v>
      </c>
      <c r="F2768" s="6" t="str">
        <f>MID(A2768,19,1)</f>
        <v>N</v>
      </c>
      <c r="G2768" s="6">
        <v>-22.753244928329401</v>
      </c>
      <c r="H2768" s="6">
        <v>-47.257266169374049</v>
      </c>
      <c r="I2768" s="9">
        <v>1453.16</v>
      </c>
      <c r="K2768" s="6">
        <v>3.19</v>
      </c>
      <c r="L2768" s="6">
        <v>50</v>
      </c>
      <c r="N2768" s="1">
        <f t="shared" si="336"/>
        <v>0</v>
      </c>
      <c r="O2768" s="6" t="s">
        <v>20</v>
      </c>
      <c r="Q2768" s="6" t="s">
        <v>21</v>
      </c>
      <c r="R2768" s="6" t="s">
        <v>21</v>
      </c>
      <c r="S2768" s="6" t="s">
        <v>21</v>
      </c>
      <c r="T2768" s="6" t="s">
        <v>21</v>
      </c>
      <c r="U2768" s="6">
        <f t="shared" si="337"/>
        <v>726.58</v>
      </c>
      <c r="V2768" s="6">
        <f t="shared" si="335"/>
        <v>726.58</v>
      </c>
    </row>
    <row r="2769" spans="1:22" hidden="1" x14ac:dyDescent="0.35">
      <c r="A2769" s="6" t="s">
        <v>3031</v>
      </c>
      <c r="B2769" s="6" t="s">
        <v>3026</v>
      </c>
      <c r="C2769" s="6" t="s">
        <v>3027</v>
      </c>
      <c r="D2769" s="6">
        <f t="shared" si="339"/>
        <v>0.5</v>
      </c>
      <c r="E2769" s="6" t="s">
        <v>23</v>
      </c>
      <c r="F2769" s="6" t="str">
        <f>MID(A2769,19,1)</f>
        <v>C</v>
      </c>
      <c r="G2769" s="6">
        <v>-22.758364455108961</v>
      </c>
      <c r="H2769" s="6">
        <v>-47.253052653337463</v>
      </c>
      <c r="I2769" s="9">
        <v>1768.64</v>
      </c>
      <c r="J2769" s="9">
        <f t="shared" ref="J2769:J2770" si="340">I2769/500</f>
        <v>3.53728</v>
      </c>
      <c r="K2769" s="6">
        <v>5.62</v>
      </c>
      <c r="L2769" s="6">
        <v>0</v>
      </c>
      <c r="N2769" s="1">
        <f t="shared" si="336"/>
        <v>0</v>
      </c>
      <c r="Q2769" s="6" t="s">
        <v>26</v>
      </c>
      <c r="R2769" s="6" t="s">
        <v>21</v>
      </c>
      <c r="S2769" s="6" t="s">
        <v>21</v>
      </c>
      <c r="T2769" s="6" t="s">
        <v>21</v>
      </c>
      <c r="U2769" s="6">
        <f t="shared" si="337"/>
        <v>0</v>
      </c>
    </row>
    <row r="2770" spans="1:22" hidden="1" x14ac:dyDescent="0.35">
      <c r="A2770" s="6" t="s">
        <v>3032</v>
      </c>
      <c r="B2770" s="6" t="s">
        <v>3026</v>
      </c>
      <c r="C2770" s="6" t="s">
        <v>3027</v>
      </c>
      <c r="D2770" s="6">
        <f t="shared" si="339"/>
        <v>0.5</v>
      </c>
      <c r="E2770" s="6" t="s">
        <v>23</v>
      </c>
      <c r="F2770" s="6" t="str">
        <f>MID(A2770,19,1)</f>
        <v>C</v>
      </c>
      <c r="G2770" s="6">
        <v>-22.75426269602681</v>
      </c>
      <c r="H2770" s="6">
        <v>-47.258294784563162</v>
      </c>
      <c r="I2770" s="9">
        <v>11711.62</v>
      </c>
      <c r="J2770" s="9">
        <f t="shared" si="340"/>
        <v>23.42324</v>
      </c>
      <c r="K2770" s="6">
        <v>1.51</v>
      </c>
      <c r="L2770" s="6">
        <v>50</v>
      </c>
      <c r="N2770" s="1">
        <f t="shared" si="336"/>
        <v>0</v>
      </c>
      <c r="O2770" s="6" t="s">
        <v>20</v>
      </c>
      <c r="Q2770" s="6" t="s">
        <v>21</v>
      </c>
      <c r="R2770" s="6" t="s">
        <v>21</v>
      </c>
      <c r="S2770" s="6" t="s">
        <v>21</v>
      </c>
      <c r="T2770" s="6" t="s">
        <v>21</v>
      </c>
      <c r="U2770" s="6">
        <f t="shared" si="337"/>
        <v>5855.81</v>
      </c>
      <c r="V2770" s="6">
        <f>(I2770*(L2770/100))</f>
        <v>5855.81</v>
      </c>
    </row>
    <row r="2771" spans="1:22" x14ac:dyDescent="0.35">
      <c r="A2771" s="8" t="s">
        <v>3033</v>
      </c>
      <c r="B2771" s="8" t="s">
        <v>3026</v>
      </c>
      <c r="C2771" s="8" t="s">
        <v>3027</v>
      </c>
      <c r="D2771" s="6">
        <f t="shared" si="339"/>
        <v>0.5</v>
      </c>
      <c r="E2771" s="8" t="s">
        <v>19</v>
      </c>
      <c r="F2771" s="6" t="str">
        <f>MID(A2771,19,1)</f>
        <v>N</v>
      </c>
      <c r="G2771" s="8">
        <v>-22.84444650600744</v>
      </c>
      <c r="H2771" s="8">
        <v>-47.337348400998479</v>
      </c>
      <c r="I2771" s="7">
        <v>2001.6</v>
      </c>
      <c r="J2771" s="7"/>
      <c r="K2771" s="8">
        <v>1.78</v>
      </c>
      <c r="L2771" s="8">
        <v>80</v>
      </c>
      <c r="M2771" s="8"/>
      <c r="N2771" s="11">
        <f t="shared" si="336"/>
        <v>1601.28</v>
      </c>
      <c r="O2771" s="8" t="s">
        <v>3034</v>
      </c>
      <c r="P2771" s="8"/>
      <c r="Q2771" s="8" t="s">
        <v>21</v>
      </c>
      <c r="R2771" s="8" t="s">
        <v>21</v>
      </c>
      <c r="S2771" s="8" t="s">
        <v>21</v>
      </c>
      <c r="T2771" s="8" t="s">
        <v>26</v>
      </c>
      <c r="U2771" s="6">
        <f t="shared" si="337"/>
        <v>0</v>
      </c>
    </row>
    <row r="2772" spans="1:22" hidden="1" x14ac:dyDescent="0.35">
      <c r="A2772" s="6" t="s">
        <v>3035</v>
      </c>
      <c r="B2772" s="6" t="s">
        <v>3026</v>
      </c>
      <c r="C2772" s="6" t="s">
        <v>3027</v>
      </c>
      <c r="D2772" s="6">
        <f t="shared" si="339"/>
        <v>0.5</v>
      </c>
      <c r="E2772" s="6" t="s">
        <v>19</v>
      </c>
      <c r="F2772" s="6" t="str">
        <f>MID(A2772,19,1)</f>
        <v>S</v>
      </c>
      <c r="G2772" s="6">
        <v>-22.842276358349309</v>
      </c>
      <c r="H2772" s="6">
        <v>-47.342070627152403</v>
      </c>
      <c r="I2772" s="9">
        <v>2326.4899999999998</v>
      </c>
      <c r="K2772" s="6">
        <v>4.46</v>
      </c>
      <c r="L2772" s="6">
        <v>70</v>
      </c>
      <c r="N2772" s="1">
        <f t="shared" si="336"/>
        <v>0</v>
      </c>
      <c r="O2772" s="6" t="s">
        <v>20</v>
      </c>
      <c r="Q2772" s="6" t="s">
        <v>21</v>
      </c>
      <c r="R2772" s="6" t="s">
        <v>21</v>
      </c>
      <c r="S2772" s="6" t="s">
        <v>21</v>
      </c>
      <c r="T2772" s="6" t="s">
        <v>21</v>
      </c>
      <c r="U2772" s="6">
        <f t="shared" si="337"/>
        <v>1628.5429999999997</v>
      </c>
      <c r="V2772" s="6">
        <f t="shared" ref="V2772:V2776" si="341">(I2772*(L2772/100))</f>
        <v>1628.5429999999997</v>
      </c>
    </row>
    <row r="2773" spans="1:22" x14ac:dyDescent="0.35">
      <c r="A2773" s="6" t="s">
        <v>3036</v>
      </c>
      <c r="B2773" s="6" t="s">
        <v>3026</v>
      </c>
      <c r="C2773" s="6" t="s">
        <v>3027</v>
      </c>
      <c r="D2773" s="6">
        <f t="shared" si="339"/>
        <v>0.5</v>
      </c>
      <c r="E2773" s="6" t="s">
        <v>19</v>
      </c>
      <c r="F2773" s="6" t="str">
        <f>MID(A2773,19,1)</f>
        <v>N</v>
      </c>
      <c r="G2773" s="6">
        <v>-22.753425564997489</v>
      </c>
      <c r="H2773" s="6">
        <v>-47.257254827250577</v>
      </c>
      <c r="I2773" s="9">
        <v>7697.29</v>
      </c>
      <c r="K2773" s="6">
        <v>4.13</v>
      </c>
      <c r="L2773" s="6">
        <v>50</v>
      </c>
      <c r="N2773" s="1">
        <f t="shared" si="336"/>
        <v>0</v>
      </c>
      <c r="O2773" s="6" t="s">
        <v>20</v>
      </c>
      <c r="Q2773" s="6" t="s">
        <v>21</v>
      </c>
      <c r="R2773" s="6" t="s">
        <v>21</v>
      </c>
      <c r="S2773" s="6" t="s">
        <v>21</v>
      </c>
      <c r="T2773" s="6" t="s">
        <v>21</v>
      </c>
      <c r="U2773" s="6">
        <f t="shared" si="337"/>
        <v>3848.645</v>
      </c>
      <c r="V2773" s="6">
        <f t="shared" si="341"/>
        <v>3848.645</v>
      </c>
    </row>
    <row r="2774" spans="1:22" x14ac:dyDescent="0.35">
      <c r="A2774" s="6" t="s">
        <v>3037</v>
      </c>
      <c r="B2774" s="6" t="s">
        <v>3026</v>
      </c>
      <c r="C2774" s="6" t="s">
        <v>3027</v>
      </c>
      <c r="D2774" s="6">
        <f t="shared" si="339"/>
        <v>0.5</v>
      </c>
      <c r="E2774" s="6" t="s">
        <v>19</v>
      </c>
      <c r="F2774" s="6" t="str">
        <f>MID(A2774,19,1)</f>
        <v>N</v>
      </c>
      <c r="G2774" s="6">
        <v>-22.757300730628589</v>
      </c>
      <c r="H2774" s="6">
        <v>-47.253710497754852</v>
      </c>
      <c r="I2774" s="9">
        <v>732.17</v>
      </c>
      <c r="K2774" s="6">
        <v>2.76</v>
      </c>
      <c r="L2774" s="6">
        <v>50</v>
      </c>
      <c r="N2774" s="1">
        <f t="shared" si="336"/>
        <v>0</v>
      </c>
      <c r="O2774" s="6" t="s">
        <v>20</v>
      </c>
      <c r="Q2774" s="6" t="s">
        <v>21</v>
      </c>
      <c r="R2774" s="6" t="s">
        <v>21</v>
      </c>
      <c r="S2774" s="6" t="s">
        <v>21</v>
      </c>
      <c r="T2774" s="6" t="s">
        <v>21</v>
      </c>
      <c r="U2774" s="6">
        <f t="shared" si="337"/>
        <v>366.08499999999998</v>
      </c>
      <c r="V2774" s="6">
        <f t="shared" si="341"/>
        <v>366.08499999999998</v>
      </c>
    </row>
    <row r="2775" spans="1:22" x14ac:dyDescent="0.35">
      <c r="A2775" s="6" t="s">
        <v>3038</v>
      </c>
      <c r="B2775" s="6" t="s">
        <v>3026</v>
      </c>
      <c r="C2775" s="6" t="s">
        <v>3027</v>
      </c>
      <c r="D2775" s="6">
        <f t="shared" si="339"/>
        <v>0.5</v>
      </c>
      <c r="E2775" s="6" t="s">
        <v>19</v>
      </c>
      <c r="F2775" s="6" t="str">
        <f>MID(A2775,19,1)</f>
        <v>N</v>
      </c>
      <c r="G2775" s="6">
        <v>-22.75479484869231</v>
      </c>
      <c r="H2775" s="6">
        <v>-47.256317343408739</v>
      </c>
      <c r="I2775" s="9">
        <v>0.5</v>
      </c>
      <c r="K2775" s="6">
        <v>2.39</v>
      </c>
      <c r="N2775" s="1">
        <f t="shared" si="336"/>
        <v>0</v>
      </c>
      <c r="Q2775" s="6" t="s">
        <v>21</v>
      </c>
      <c r="R2775" s="6" t="s">
        <v>21</v>
      </c>
      <c r="S2775" s="6" t="s">
        <v>21</v>
      </c>
      <c r="T2775" s="6" t="s">
        <v>21</v>
      </c>
      <c r="U2775" s="6">
        <f t="shared" si="337"/>
        <v>0</v>
      </c>
      <c r="V2775" s="6">
        <f t="shared" si="341"/>
        <v>0</v>
      </c>
    </row>
    <row r="2776" spans="1:22" hidden="1" x14ac:dyDescent="0.35">
      <c r="A2776" s="6" t="s">
        <v>3039</v>
      </c>
      <c r="B2776" s="6" t="s">
        <v>3026</v>
      </c>
      <c r="C2776" s="6" t="s">
        <v>3027</v>
      </c>
      <c r="D2776" s="6">
        <f t="shared" si="339"/>
        <v>0.5</v>
      </c>
      <c r="E2776" s="6" t="s">
        <v>19</v>
      </c>
      <c r="F2776" s="6" t="str">
        <f>MID(A2776,19,1)</f>
        <v>S</v>
      </c>
      <c r="G2776" s="6">
        <v>-22.844802630142539</v>
      </c>
      <c r="H2776" s="6">
        <v>-47.337558153143917</v>
      </c>
      <c r="I2776" s="9">
        <v>2003.74</v>
      </c>
      <c r="K2776" s="6">
        <v>1.87</v>
      </c>
      <c r="L2776" s="6">
        <v>70</v>
      </c>
      <c r="N2776" s="1">
        <f t="shared" si="336"/>
        <v>0</v>
      </c>
      <c r="O2776" s="6" t="s">
        <v>20</v>
      </c>
      <c r="Q2776" s="6" t="s">
        <v>21</v>
      </c>
      <c r="R2776" s="6" t="s">
        <v>21</v>
      </c>
      <c r="S2776" s="6" t="s">
        <v>21</v>
      </c>
      <c r="T2776" s="6" t="s">
        <v>21</v>
      </c>
      <c r="U2776" s="6">
        <f t="shared" si="337"/>
        <v>1402.6179999999999</v>
      </c>
      <c r="V2776" s="6">
        <f t="shared" si="341"/>
        <v>1402.6179999999999</v>
      </c>
    </row>
    <row r="2777" spans="1:22" x14ac:dyDescent="0.35">
      <c r="A2777" s="8" t="s">
        <v>3040</v>
      </c>
      <c r="B2777" s="8" t="s">
        <v>3026</v>
      </c>
      <c r="C2777" s="8" t="s">
        <v>3027</v>
      </c>
      <c r="D2777" s="6">
        <f t="shared" si="339"/>
        <v>0.5</v>
      </c>
      <c r="E2777" s="8" t="s">
        <v>19</v>
      </c>
      <c r="F2777" s="6" t="str">
        <f>MID(A2777,19,1)</f>
        <v>N</v>
      </c>
      <c r="G2777" s="8">
        <v>-22.84194921118625</v>
      </c>
      <c r="H2777" s="8">
        <v>-47.341797838702433</v>
      </c>
      <c r="I2777" s="7">
        <v>2270.96</v>
      </c>
      <c r="J2777" s="7"/>
      <c r="K2777" s="8">
        <v>4.3099999999999996</v>
      </c>
      <c r="L2777" s="8">
        <v>80</v>
      </c>
      <c r="M2777" s="8"/>
      <c r="N2777" s="11">
        <f t="shared" si="336"/>
        <v>1816.768</v>
      </c>
      <c r="O2777" s="8" t="s">
        <v>25</v>
      </c>
      <c r="P2777" s="8"/>
      <c r="Q2777" s="8" t="s">
        <v>21</v>
      </c>
      <c r="R2777" s="8" t="s">
        <v>21</v>
      </c>
      <c r="S2777" s="8" t="s">
        <v>21</v>
      </c>
      <c r="T2777" s="8" t="s">
        <v>26</v>
      </c>
      <c r="U2777" s="6">
        <f t="shared" si="337"/>
        <v>0</v>
      </c>
    </row>
    <row r="2778" spans="1:22" hidden="1" x14ac:dyDescent="0.35">
      <c r="A2778" s="6" t="s">
        <v>3041</v>
      </c>
      <c r="B2778" s="6" t="s">
        <v>3026</v>
      </c>
      <c r="C2778" s="6" t="s">
        <v>3027</v>
      </c>
      <c r="D2778" s="6">
        <f t="shared" si="339"/>
        <v>0.5</v>
      </c>
      <c r="E2778" s="6" t="s">
        <v>23</v>
      </c>
      <c r="F2778" s="6" t="str">
        <f>MID(A2778,19,1)</f>
        <v>C</v>
      </c>
      <c r="G2778" s="6">
        <v>-22.844626196181331</v>
      </c>
      <c r="H2778" s="6">
        <v>-47.337447319336583</v>
      </c>
      <c r="I2778" s="9">
        <v>5520</v>
      </c>
      <c r="J2778" s="9">
        <f>I2778/500</f>
        <v>11.04</v>
      </c>
      <c r="K2778" s="6">
        <v>1.62</v>
      </c>
      <c r="L2778" s="6">
        <v>80</v>
      </c>
      <c r="N2778" s="1">
        <f t="shared" si="336"/>
        <v>0</v>
      </c>
      <c r="O2778" s="6" t="s">
        <v>20</v>
      </c>
      <c r="Q2778" s="6" t="s">
        <v>21</v>
      </c>
      <c r="R2778" s="6" t="s">
        <v>21</v>
      </c>
      <c r="S2778" s="6" t="s">
        <v>21</v>
      </c>
      <c r="T2778" s="6" t="s">
        <v>21</v>
      </c>
      <c r="U2778" s="6">
        <f t="shared" si="337"/>
        <v>4416</v>
      </c>
      <c r="V2778" s="6">
        <f t="shared" ref="V2778:V2793" si="342">(I2778*(L2778/100))</f>
        <v>4416</v>
      </c>
    </row>
    <row r="2779" spans="1:22" hidden="1" x14ac:dyDescent="0.35">
      <c r="A2779" s="6" t="s">
        <v>3042</v>
      </c>
      <c r="B2779" s="6" t="s">
        <v>3026</v>
      </c>
      <c r="C2779" s="6" t="s">
        <v>3027</v>
      </c>
      <c r="D2779" s="6">
        <f t="shared" si="339"/>
        <v>0.5</v>
      </c>
      <c r="E2779" s="6" t="s">
        <v>19</v>
      </c>
      <c r="F2779" s="6" t="str">
        <f>MID(A2779,19,1)</f>
        <v>S</v>
      </c>
      <c r="G2779" s="6">
        <v>-22.755455159424251</v>
      </c>
      <c r="H2779" s="6">
        <v>-47.259273461596358</v>
      </c>
      <c r="I2779" s="9">
        <v>947.35</v>
      </c>
      <c r="K2779" s="6">
        <v>2.59</v>
      </c>
      <c r="L2779" s="6">
        <v>50</v>
      </c>
      <c r="N2779" s="1">
        <f t="shared" si="336"/>
        <v>0</v>
      </c>
      <c r="O2779" s="6" t="s">
        <v>20</v>
      </c>
      <c r="Q2779" s="6" t="s">
        <v>21</v>
      </c>
      <c r="R2779" s="6" t="s">
        <v>21</v>
      </c>
      <c r="S2779" s="6" t="s">
        <v>21</v>
      </c>
      <c r="T2779" s="6" t="s">
        <v>21</v>
      </c>
      <c r="U2779" s="6">
        <f t="shared" si="337"/>
        <v>473.67500000000001</v>
      </c>
      <c r="V2779" s="6">
        <f t="shared" si="342"/>
        <v>473.67500000000001</v>
      </c>
    </row>
    <row r="2780" spans="1:22" hidden="1" x14ac:dyDescent="0.35">
      <c r="A2780" s="6" t="s">
        <v>3043</v>
      </c>
      <c r="B2780" s="6" t="s">
        <v>3026</v>
      </c>
      <c r="C2780" s="6" t="s">
        <v>3027</v>
      </c>
      <c r="D2780" s="6">
        <f t="shared" si="339"/>
        <v>0.5</v>
      </c>
      <c r="E2780" s="6" t="s">
        <v>19</v>
      </c>
      <c r="F2780" s="6" t="str">
        <f>MID(A2780,19,1)</f>
        <v>S</v>
      </c>
      <c r="G2780" s="6">
        <v>-22.755401430232691</v>
      </c>
      <c r="H2780" s="6">
        <v>-47.259017321309742</v>
      </c>
      <c r="I2780" s="9">
        <v>1171.72</v>
      </c>
      <c r="K2780" s="6">
        <v>2.77</v>
      </c>
      <c r="L2780" s="6">
        <v>50</v>
      </c>
      <c r="N2780" s="1">
        <f t="shared" si="336"/>
        <v>0</v>
      </c>
      <c r="O2780" s="6" t="s">
        <v>20</v>
      </c>
      <c r="Q2780" s="6" t="s">
        <v>21</v>
      </c>
      <c r="R2780" s="6" t="s">
        <v>21</v>
      </c>
      <c r="S2780" s="6" t="s">
        <v>21</v>
      </c>
      <c r="T2780" s="6" t="s">
        <v>21</v>
      </c>
      <c r="U2780" s="6">
        <f t="shared" si="337"/>
        <v>585.86</v>
      </c>
      <c r="V2780" s="6">
        <f t="shared" si="342"/>
        <v>585.86</v>
      </c>
    </row>
    <row r="2781" spans="1:22" x14ac:dyDescent="0.35">
      <c r="A2781" s="6" t="s">
        <v>3044</v>
      </c>
      <c r="B2781" s="6" t="s">
        <v>3026</v>
      </c>
      <c r="C2781" s="6" t="s">
        <v>3027</v>
      </c>
      <c r="D2781" s="6">
        <f t="shared" si="339"/>
        <v>0.5</v>
      </c>
      <c r="E2781" s="6" t="s">
        <v>19</v>
      </c>
      <c r="F2781" s="6" t="str">
        <f>MID(A2781,19,1)</f>
        <v>N</v>
      </c>
      <c r="G2781" s="6">
        <v>-22.758756430176678</v>
      </c>
      <c r="H2781" s="6">
        <v>-47.252184007701928</v>
      </c>
      <c r="I2781" s="9">
        <v>1032.07</v>
      </c>
      <c r="K2781" s="6">
        <v>6.37</v>
      </c>
      <c r="L2781" s="6">
        <v>50</v>
      </c>
      <c r="N2781" s="1">
        <f t="shared" si="336"/>
        <v>0</v>
      </c>
      <c r="O2781" s="6" t="s">
        <v>20</v>
      </c>
      <c r="Q2781" s="6" t="s">
        <v>21</v>
      </c>
      <c r="R2781" s="6" t="s">
        <v>21</v>
      </c>
      <c r="S2781" s="6" t="s">
        <v>21</v>
      </c>
      <c r="T2781" s="6" t="s">
        <v>21</v>
      </c>
      <c r="U2781" s="6">
        <f t="shared" si="337"/>
        <v>516.03499999999997</v>
      </c>
      <c r="V2781" s="6">
        <f t="shared" si="342"/>
        <v>516.03499999999997</v>
      </c>
    </row>
    <row r="2782" spans="1:22" hidden="1" x14ac:dyDescent="0.35">
      <c r="A2782" s="6" t="s">
        <v>3045</v>
      </c>
      <c r="B2782" s="6" t="s">
        <v>3026</v>
      </c>
      <c r="C2782" s="6" t="s">
        <v>3027</v>
      </c>
      <c r="D2782" s="6">
        <f t="shared" si="339"/>
        <v>0.5</v>
      </c>
      <c r="E2782" s="6" t="s">
        <v>19</v>
      </c>
      <c r="F2782" s="6" t="str">
        <f>MID(A2782,19,1)</f>
        <v>S</v>
      </c>
      <c r="G2782" s="6">
        <v>-22.755643707807621</v>
      </c>
      <c r="H2782" s="6">
        <v>-47.25754241236713</v>
      </c>
      <c r="I2782" s="9">
        <v>188.59</v>
      </c>
      <c r="K2782" s="6">
        <v>4.25</v>
      </c>
      <c r="L2782" s="6">
        <v>50</v>
      </c>
      <c r="N2782" s="1">
        <f t="shared" si="336"/>
        <v>0</v>
      </c>
      <c r="O2782" s="6" t="s">
        <v>20</v>
      </c>
      <c r="Q2782" s="6" t="s">
        <v>21</v>
      </c>
      <c r="R2782" s="6" t="s">
        <v>21</v>
      </c>
      <c r="S2782" s="6" t="s">
        <v>21</v>
      </c>
      <c r="T2782" s="6" t="s">
        <v>21</v>
      </c>
      <c r="U2782" s="6">
        <f t="shared" si="337"/>
        <v>94.295000000000002</v>
      </c>
      <c r="V2782" s="6">
        <f t="shared" si="342"/>
        <v>94.295000000000002</v>
      </c>
    </row>
    <row r="2783" spans="1:22" hidden="1" x14ac:dyDescent="0.35">
      <c r="A2783" s="6" t="s">
        <v>3046</v>
      </c>
      <c r="B2783" s="6" t="s">
        <v>3026</v>
      </c>
      <c r="C2783" s="6" t="s">
        <v>3027</v>
      </c>
      <c r="D2783" s="6">
        <f t="shared" si="339"/>
        <v>0.5</v>
      </c>
      <c r="E2783" s="6" t="s">
        <v>23</v>
      </c>
      <c r="F2783" s="6" t="str">
        <f>MID(A2783,19,1)</f>
        <v>C</v>
      </c>
      <c r="G2783" s="6">
        <v>-22.75497643856302</v>
      </c>
      <c r="H2783" s="6">
        <v>-47.25903658738855</v>
      </c>
      <c r="I2783" s="9">
        <v>1863.24</v>
      </c>
      <c r="J2783" s="9">
        <f>I2783/500</f>
        <v>3.72648</v>
      </c>
      <c r="K2783" s="6">
        <v>1.48</v>
      </c>
      <c r="L2783" s="6">
        <v>50</v>
      </c>
      <c r="N2783" s="1">
        <f t="shared" si="336"/>
        <v>0</v>
      </c>
      <c r="O2783" s="6" t="s">
        <v>20</v>
      </c>
      <c r="Q2783" s="6" t="s">
        <v>21</v>
      </c>
      <c r="R2783" s="6" t="s">
        <v>21</v>
      </c>
      <c r="S2783" s="6" t="s">
        <v>21</v>
      </c>
      <c r="T2783" s="6" t="s">
        <v>21</v>
      </c>
      <c r="U2783" s="6">
        <f t="shared" si="337"/>
        <v>931.62</v>
      </c>
      <c r="V2783" s="6">
        <f t="shared" si="342"/>
        <v>931.62</v>
      </c>
    </row>
    <row r="2784" spans="1:22" hidden="1" x14ac:dyDescent="0.35">
      <c r="A2784" s="6" t="s">
        <v>3047</v>
      </c>
      <c r="B2784" s="6" t="s">
        <v>3026</v>
      </c>
      <c r="C2784" s="6" t="s">
        <v>3027</v>
      </c>
      <c r="D2784" s="6">
        <f t="shared" si="339"/>
        <v>0.5</v>
      </c>
      <c r="E2784" s="6" t="s">
        <v>19</v>
      </c>
      <c r="F2784" s="6" t="str">
        <f>MID(A2784,19,1)</f>
        <v>S</v>
      </c>
      <c r="G2784" s="6">
        <v>-22.758579965067341</v>
      </c>
      <c r="H2784" s="6">
        <v>-47.253240784816597</v>
      </c>
      <c r="I2784" s="9">
        <v>1866.7</v>
      </c>
      <c r="K2784" s="6">
        <v>3.93</v>
      </c>
      <c r="L2784" s="6">
        <v>50</v>
      </c>
      <c r="N2784" s="1">
        <f t="shared" si="336"/>
        <v>0</v>
      </c>
      <c r="O2784" s="6" t="s">
        <v>20</v>
      </c>
      <c r="Q2784" s="6" t="s">
        <v>21</v>
      </c>
      <c r="R2784" s="6" t="s">
        <v>21</v>
      </c>
      <c r="S2784" s="6" t="s">
        <v>21</v>
      </c>
      <c r="T2784" s="6" t="s">
        <v>21</v>
      </c>
      <c r="U2784" s="6">
        <f t="shared" si="337"/>
        <v>933.35</v>
      </c>
      <c r="V2784" s="6">
        <f t="shared" si="342"/>
        <v>933.35</v>
      </c>
    </row>
    <row r="2785" spans="1:22" hidden="1" x14ac:dyDescent="0.35">
      <c r="A2785" s="6" t="s">
        <v>3048</v>
      </c>
      <c r="B2785" s="6" t="s">
        <v>3026</v>
      </c>
      <c r="C2785" s="6" t="s">
        <v>3027</v>
      </c>
      <c r="D2785" s="6">
        <f t="shared" si="339"/>
        <v>0.5</v>
      </c>
      <c r="E2785" s="6" t="s">
        <v>19</v>
      </c>
      <c r="F2785" s="6" t="str">
        <f>MID(A2785,19,1)</f>
        <v>S</v>
      </c>
      <c r="G2785" s="6">
        <v>-22.756179814782762</v>
      </c>
      <c r="H2785" s="6">
        <v>-47.255986315101701</v>
      </c>
      <c r="I2785" s="9">
        <v>1175.27</v>
      </c>
      <c r="K2785" s="6">
        <v>3.89</v>
      </c>
      <c r="L2785" s="6">
        <v>50</v>
      </c>
      <c r="N2785" s="1">
        <f t="shared" si="336"/>
        <v>0</v>
      </c>
      <c r="O2785" s="6" t="s">
        <v>20</v>
      </c>
      <c r="Q2785" s="6" t="s">
        <v>21</v>
      </c>
      <c r="R2785" s="6" t="s">
        <v>21</v>
      </c>
      <c r="S2785" s="6" t="s">
        <v>21</v>
      </c>
      <c r="T2785" s="6" t="s">
        <v>21</v>
      </c>
      <c r="U2785" s="6">
        <f t="shared" si="337"/>
        <v>587.63499999999999</v>
      </c>
      <c r="V2785" s="6">
        <f t="shared" si="342"/>
        <v>587.63499999999999</v>
      </c>
    </row>
    <row r="2786" spans="1:22" x14ac:dyDescent="0.35">
      <c r="A2786" s="6" t="s">
        <v>3049</v>
      </c>
      <c r="B2786" s="6" t="s">
        <v>3026</v>
      </c>
      <c r="C2786" s="6" t="s">
        <v>3027</v>
      </c>
      <c r="D2786" s="6">
        <f t="shared" si="339"/>
        <v>0.5</v>
      </c>
      <c r="E2786" s="6" t="s">
        <v>19</v>
      </c>
      <c r="F2786" s="6" t="str">
        <f>MID(A2786,19,1)</f>
        <v>N</v>
      </c>
      <c r="G2786" s="6">
        <v>-22.753145890895858</v>
      </c>
      <c r="H2786" s="6">
        <v>-47.257703036820452</v>
      </c>
      <c r="I2786" s="9">
        <v>2800.59</v>
      </c>
      <c r="K2786" s="6">
        <v>3.34</v>
      </c>
      <c r="L2786" s="6">
        <v>50</v>
      </c>
      <c r="N2786" s="1">
        <f t="shared" si="336"/>
        <v>0</v>
      </c>
      <c r="O2786" s="6" t="s">
        <v>20</v>
      </c>
      <c r="Q2786" s="6" t="s">
        <v>21</v>
      </c>
      <c r="R2786" s="6" t="s">
        <v>21</v>
      </c>
      <c r="S2786" s="6" t="s">
        <v>21</v>
      </c>
      <c r="T2786" s="6" t="s">
        <v>21</v>
      </c>
      <c r="U2786" s="6">
        <f t="shared" si="337"/>
        <v>1400.2950000000001</v>
      </c>
      <c r="V2786" s="6">
        <f t="shared" si="342"/>
        <v>1400.2950000000001</v>
      </c>
    </row>
    <row r="2787" spans="1:22" hidden="1" x14ac:dyDescent="0.35">
      <c r="A2787" s="6" t="s">
        <v>3050</v>
      </c>
      <c r="B2787" s="6" t="s">
        <v>3026</v>
      </c>
      <c r="C2787" s="6" t="s">
        <v>3027</v>
      </c>
      <c r="D2787" s="6">
        <f t="shared" si="339"/>
        <v>0.5</v>
      </c>
      <c r="E2787" s="6" t="s">
        <v>19</v>
      </c>
      <c r="F2787" s="6" t="str">
        <f>MID(A2787,19,1)</f>
        <v>S</v>
      </c>
      <c r="G2787" s="6">
        <v>-22.754311099557981</v>
      </c>
      <c r="H2787" s="6">
        <v>-47.259042335909257</v>
      </c>
      <c r="I2787" s="9">
        <v>6778.14</v>
      </c>
      <c r="K2787" s="6">
        <v>1.73</v>
      </c>
      <c r="L2787" s="6">
        <v>50</v>
      </c>
      <c r="N2787" s="1">
        <f t="shared" si="336"/>
        <v>0</v>
      </c>
      <c r="O2787" s="6" t="s">
        <v>20</v>
      </c>
      <c r="Q2787" s="6" t="s">
        <v>21</v>
      </c>
      <c r="R2787" s="6" t="s">
        <v>21</v>
      </c>
      <c r="S2787" s="6" t="s">
        <v>21</v>
      </c>
      <c r="T2787" s="6" t="s">
        <v>21</v>
      </c>
      <c r="U2787" s="6">
        <f t="shared" si="337"/>
        <v>3389.07</v>
      </c>
      <c r="V2787" s="6">
        <f t="shared" si="342"/>
        <v>3389.07</v>
      </c>
    </row>
    <row r="2788" spans="1:22" x14ac:dyDescent="0.35">
      <c r="A2788" s="6" t="s">
        <v>3051</v>
      </c>
      <c r="B2788" s="6" t="s">
        <v>3026</v>
      </c>
      <c r="C2788" s="6" t="s">
        <v>3027</v>
      </c>
      <c r="D2788" s="6">
        <f t="shared" si="339"/>
        <v>0.5</v>
      </c>
      <c r="E2788" s="6" t="s">
        <v>19</v>
      </c>
      <c r="F2788" s="6" t="str">
        <f>MID(A2788,19,1)</f>
        <v>N</v>
      </c>
      <c r="G2788" s="6">
        <v>-22.756125638389211</v>
      </c>
      <c r="H2788" s="6">
        <v>-47.254967721480227</v>
      </c>
      <c r="I2788" s="9">
        <v>587.30999999999995</v>
      </c>
      <c r="K2788" s="6">
        <v>3.67</v>
      </c>
      <c r="L2788" s="6">
        <v>50</v>
      </c>
      <c r="N2788" s="1">
        <f t="shared" si="336"/>
        <v>0</v>
      </c>
      <c r="O2788" s="6" t="s">
        <v>20</v>
      </c>
      <c r="Q2788" s="6" t="s">
        <v>21</v>
      </c>
      <c r="R2788" s="6" t="s">
        <v>21</v>
      </c>
      <c r="S2788" s="6" t="s">
        <v>21</v>
      </c>
      <c r="T2788" s="6" t="s">
        <v>21</v>
      </c>
      <c r="U2788" s="6">
        <f t="shared" si="337"/>
        <v>293.65499999999997</v>
      </c>
      <c r="V2788" s="6">
        <f t="shared" si="342"/>
        <v>293.65499999999997</v>
      </c>
    </row>
    <row r="2789" spans="1:22" x14ac:dyDescent="0.35">
      <c r="A2789" s="6" t="s">
        <v>3052</v>
      </c>
      <c r="B2789" s="6" t="s">
        <v>3026</v>
      </c>
      <c r="C2789" s="6" t="s">
        <v>3027</v>
      </c>
      <c r="D2789" s="6">
        <f t="shared" si="339"/>
        <v>0.5</v>
      </c>
      <c r="E2789" s="6" t="s">
        <v>19</v>
      </c>
      <c r="F2789" s="6" t="str">
        <f>MID(A2789,19,1)</f>
        <v>N</v>
      </c>
      <c r="G2789" s="6">
        <v>-22.75668555396684</v>
      </c>
      <c r="H2789" s="6">
        <v>-47.254346798369824</v>
      </c>
      <c r="I2789" s="9">
        <v>23.42</v>
      </c>
      <c r="K2789" s="6">
        <v>1.04</v>
      </c>
      <c r="L2789" s="6">
        <v>0</v>
      </c>
      <c r="N2789" s="1">
        <f t="shared" si="336"/>
        <v>0</v>
      </c>
      <c r="Q2789" s="6" t="s">
        <v>21</v>
      </c>
      <c r="R2789" s="6" t="s">
        <v>21</v>
      </c>
      <c r="S2789" s="6" t="s">
        <v>21</v>
      </c>
      <c r="T2789" s="6" t="s">
        <v>21</v>
      </c>
      <c r="U2789" s="6">
        <f t="shared" si="337"/>
        <v>0</v>
      </c>
      <c r="V2789" s="6">
        <f t="shared" si="342"/>
        <v>0</v>
      </c>
    </row>
    <row r="2790" spans="1:22" hidden="1" x14ac:dyDescent="0.35">
      <c r="A2790" s="6" t="s">
        <v>3053</v>
      </c>
      <c r="B2790" s="6" t="s">
        <v>3026</v>
      </c>
      <c r="C2790" s="6" t="s">
        <v>3027</v>
      </c>
      <c r="D2790" s="6">
        <f t="shared" si="339"/>
        <v>0.5</v>
      </c>
      <c r="E2790" s="6" t="s">
        <v>23</v>
      </c>
      <c r="F2790" s="6" t="str">
        <f>MID(A2790,19,1)</f>
        <v>C</v>
      </c>
      <c r="G2790" s="6">
        <v>-22.754966070595859</v>
      </c>
      <c r="H2790" s="6">
        <v>-47.257371414716708</v>
      </c>
      <c r="I2790" s="9">
        <v>5971.26</v>
      </c>
      <c r="J2790" s="9">
        <f>I2790/500</f>
        <v>11.94252</v>
      </c>
      <c r="K2790" s="6">
        <v>2.12</v>
      </c>
      <c r="L2790" s="6">
        <v>50</v>
      </c>
      <c r="N2790" s="1">
        <f t="shared" si="336"/>
        <v>0</v>
      </c>
      <c r="O2790" s="6" t="s">
        <v>20</v>
      </c>
      <c r="Q2790" s="6" t="s">
        <v>21</v>
      </c>
      <c r="R2790" s="6" t="s">
        <v>21</v>
      </c>
      <c r="S2790" s="6" t="s">
        <v>21</v>
      </c>
      <c r="T2790" s="6" t="s">
        <v>21</v>
      </c>
      <c r="U2790" s="6">
        <f t="shared" si="337"/>
        <v>2985.63</v>
      </c>
      <c r="V2790" s="6">
        <f t="shared" si="342"/>
        <v>2985.63</v>
      </c>
    </row>
    <row r="2791" spans="1:22" hidden="1" x14ac:dyDescent="0.35">
      <c r="A2791" s="6" t="s">
        <v>3054</v>
      </c>
      <c r="B2791" s="6" t="s">
        <v>3055</v>
      </c>
      <c r="C2791" s="6" t="s">
        <v>3056</v>
      </c>
      <c r="D2791" s="6">
        <f t="shared" si="339"/>
        <v>0.5</v>
      </c>
      <c r="E2791" s="6" t="s">
        <v>19</v>
      </c>
      <c r="F2791" s="6" t="str">
        <f>MID(A2791,19,1)</f>
        <v>S</v>
      </c>
      <c r="G2791" s="6">
        <v>-22.754161298060549</v>
      </c>
      <c r="H2791" s="6">
        <v>-47.259316865316457</v>
      </c>
      <c r="I2791" s="9">
        <v>1242.46</v>
      </c>
      <c r="K2791" s="6">
        <v>2.1</v>
      </c>
      <c r="L2791" s="6">
        <v>50</v>
      </c>
      <c r="N2791" s="1">
        <f t="shared" si="336"/>
        <v>0</v>
      </c>
      <c r="O2791" s="6" t="s">
        <v>20</v>
      </c>
      <c r="Q2791" s="6" t="s">
        <v>21</v>
      </c>
      <c r="R2791" s="6" t="s">
        <v>21</v>
      </c>
      <c r="S2791" s="6" t="s">
        <v>21</v>
      </c>
      <c r="T2791" s="6" t="s">
        <v>21</v>
      </c>
      <c r="U2791" s="6">
        <f t="shared" si="337"/>
        <v>621.23</v>
      </c>
      <c r="V2791" s="6">
        <f t="shared" si="342"/>
        <v>621.23</v>
      </c>
    </row>
    <row r="2792" spans="1:22" x14ac:dyDescent="0.35">
      <c r="A2792" s="6" t="s">
        <v>3057</v>
      </c>
      <c r="B2792" s="6" t="s">
        <v>3055</v>
      </c>
      <c r="C2792" s="6" t="s">
        <v>3056</v>
      </c>
      <c r="D2792" s="6">
        <f t="shared" si="339"/>
        <v>0.5</v>
      </c>
      <c r="E2792" s="6" t="s">
        <v>19</v>
      </c>
      <c r="F2792" s="6" t="str">
        <f>MID(A2792,19,1)</f>
        <v>N</v>
      </c>
      <c r="G2792" s="6">
        <v>-22.74799289343991</v>
      </c>
      <c r="H2792" s="6">
        <v>-47.263443912861263</v>
      </c>
      <c r="I2792" s="9">
        <v>1909.28</v>
      </c>
      <c r="K2792" s="6">
        <v>3.23</v>
      </c>
      <c r="L2792" s="6">
        <v>50</v>
      </c>
      <c r="N2792" s="1">
        <f t="shared" si="336"/>
        <v>0</v>
      </c>
      <c r="O2792" s="6" t="s">
        <v>20</v>
      </c>
      <c r="Q2792" s="6" t="s">
        <v>21</v>
      </c>
      <c r="R2792" s="6" t="s">
        <v>21</v>
      </c>
      <c r="S2792" s="6" t="s">
        <v>21</v>
      </c>
      <c r="T2792" s="6" t="s">
        <v>21</v>
      </c>
      <c r="U2792" s="6">
        <f t="shared" si="337"/>
        <v>954.64</v>
      </c>
      <c r="V2792" s="6">
        <f t="shared" si="342"/>
        <v>954.64</v>
      </c>
    </row>
    <row r="2793" spans="1:22" x14ac:dyDescent="0.35">
      <c r="A2793" s="6" t="s">
        <v>3058</v>
      </c>
      <c r="B2793" s="6" t="s">
        <v>3055</v>
      </c>
      <c r="C2793" s="6" t="s">
        <v>3056</v>
      </c>
      <c r="D2793" s="6">
        <f t="shared" si="339"/>
        <v>0.5</v>
      </c>
      <c r="E2793" s="6" t="s">
        <v>19</v>
      </c>
      <c r="F2793" s="6" t="str">
        <f>MID(A2793,19,1)</f>
        <v>N</v>
      </c>
      <c r="G2793" s="6">
        <v>-22.75069242818611</v>
      </c>
      <c r="H2793" s="6">
        <v>-47.260602186608082</v>
      </c>
      <c r="I2793" s="9">
        <v>738.08</v>
      </c>
      <c r="K2793" s="6">
        <v>3.11</v>
      </c>
      <c r="L2793" s="6">
        <v>50</v>
      </c>
      <c r="N2793" s="1">
        <f t="shared" si="336"/>
        <v>0</v>
      </c>
      <c r="O2793" s="6" t="s">
        <v>20</v>
      </c>
      <c r="Q2793" s="6" t="s">
        <v>21</v>
      </c>
      <c r="R2793" s="6" t="s">
        <v>21</v>
      </c>
      <c r="S2793" s="6" t="s">
        <v>21</v>
      </c>
      <c r="T2793" s="6" t="s">
        <v>21</v>
      </c>
      <c r="U2793" s="6">
        <f t="shared" si="337"/>
        <v>369.04</v>
      </c>
      <c r="V2793" s="6">
        <f t="shared" si="342"/>
        <v>369.04</v>
      </c>
    </row>
    <row r="2794" spans="1:22" hidden="1" x14ac:dyDescent="0.35">
      <c r="A2794" s="8" t="s">
        <v>3059</v>
      </c>
      <c r="B2794" s="8" t="s">
        <v>3055</v>
      </c>
      <c r="C2794" s="8" t="s">
        <v>3056</v>
      </c>
      <c r="D2794" s="6">
        <f t="shared" si="339"/>
        <v>0.5</v>
      </c>
      <c r="E2794" s="8" t="s">
        <v>19</v>
      </c>
      <c r="F2794" s="6" t="str">
        <f>MID(A2794,19,1)</f>
        <v>S</v>
      </c>
      <c r="G2794" s="8">
        <v>-22.837405447721611</v>
      </c>
      <c r="H2794" s="8">
        <v>-47.350755698334588</v>
      </c>
      <c r="I2794" s="7">
        <v>2003.7</v>
      </c>
      <c r="J2794" s="7"/>
      <c r="K2794" s="8">
        <v>4.9000000000000004</v>
      </c>
      <c r="L2794" s="8">
        <v>80</v>
      </c>
      <c r="M2794" s="8"/>
      <c r="N2794" s="11">
        <f t="shared" si="336"/>
        <v>1602.96</v>
      </c>
      <c r="O2794" s="8" t="s">
        <v>25</v>
      </c>
      <c r="P2794" s="8"/>
      <c r="Q2794" s="8" t="s">
        <v>21</v>
      </c>
      <c r="R2794" s="8" t="s">
        <v>26</v>
      </c>
      <c r="S2794" s="8" t="s">
        <v>21</v>
      </c>
      <c r="T2794" s="8" t="s">
        <v>21</v>
      </c>
      <c r="U2794" s="6">
        <f t="shared" si="337"/>
        <v>0</v>
      </c>
    </row>
    <row r="2795" spans="1:22" x14ac:dyDescent="0.35">
      <c r="A2795" s="6" t="s">
        <v>3060</v>
      </c>
      <c r="B2795" s="6" t="s">
        <v>3055</v>
      </c>
      <c r="C2795" s="6" t="s">
        <v>3056</v>
      </c>
      <c r="D2795" s="6">
        <f t="shared" si="339"/>
        <v>0.5</v>
      </c>
      <c r="E2795" s="6" t="s">
        <v>19</v>
      </c>
      <c r="F2795" s="6" t="str">
        <f>MID(A2795,19,1)</f>
        <v>N</v>
      </c>
      <c r="G2795" s="6">
        <v>-22.7505267718361</v>
      </c>
      <c r="H2795" s="6">
        <v>-47.260956094985197</v>
      </c>
      <c r="I2795" s="9">
        <v>885.02</v>
      </c>
      <c r="K2795" s="6">
        <v>2.72</v>
      </c>
      <c r="L2795" s="6">
        <v>50</v>
      </c>
      <c r="N2795" s="1">
        <f t="shared" si="336"/>
        <v>0</v>
      </c>
      <c r="O2795" s="6" t="s">
        <v>20</v>
      </c>
      <c r="Q2795" s="6" t="s">
        <v>21</v>
      </c>
      <c r="R2795" s="6" t="s">
        <v>21</v>
      </c>
      <c r="S2795" s="6" t="s">
        <v>21</v>
      </c>
      <c r="T2795" s="6" t="s">
        <v>21</v>
      </c>
      <c r="U2795" s="6">
        <f t="shared" si="337"/>
        <v>442.51</v>
      </c>
      <c r="V2795" s="6">
        <f>(I2795*(L2795/100))</f>
        <v>442.51</v>
      </c>
    </row>
    <row r="2796" spans="1:22" x14ac:dyDescent="0.35">
      <c r="A2796" s="8" t="s">
        <v>3061</v>
      </c>
      <c r="B2796" s="8" t="s">
        <v>3055</v>
      </c>
      <c r="C2796" s="8" t="s">
        <v>3056</v>
      </c>
      <c r="D2796" s="6">
        <f t="shared" si="339"/>
        <v>0.5</v>
      </c>
      <c r="E2796" s="8" t="s">
        <v>19</v>
      </c>
      <c r="F2796" s="6" t="str">
        <f>MID(A2796,19,1)</f>
        <v>N</v>
      </c>
      <c r="G2796" s="8">
        <v>-22.837040520332881</v>
      </c>
      <c r="H2796" s="8">
        <v>-47.350542405949547</v>
      </c>
      <c r="I2796" s="7">
        <v>2004.49</v>
      </c>
      <c r="J2796" s="7"/>
      <c r="K2796" s="8">
        <v>4.68</v>
      </c>
      <c r="L2796" s="8">
        <v>80</v>
      </c>
      <c r="M2796" s="8"/>
      <c r="N2796" s="11">
        <f t="shared" si="336"/>
        <v>1603.5920000000001</v>
      </c>
      <c r="O2796" s="8" t="s">
        <v>25</v>
      </c>
      <c r="P2796" s="8"/>
      <c r="Q2796" s="8" t="s">
        <v>21</v>
      </c>
      <c r="R2796" s="8" t="s">
        <v>26</v>
      </c>
      <c r="S2796" s="8" t="s">
        <v>21</v>
      </c>
      <c r="T2796" s="8" t="s">
        <v>26</v>
      </c>
      <c r="U2796" s="6">
        <f t="shared" si="337"/>
        <v>0</v>
      </c>
    </row>
    <row r="2797" spans="1:22" x14ac:dyDescent="0.35">
      <c r="A2797" s="8" t="s">
        <v>3062</v>
      </c>
      <c r="B2797" s="8" t="s">
        <v>3055</v>
      </c>
      <c r="C2797" s="8" t="s">
        <v>3056</v>
      </c>
      <c r="D2797" s="6">
        <f t="shared" si="339"/>
        <v>0.5</v>
      </c>
      <c r="E2797" s="8" t="s">
        <v>19</v>
      </c>
      <c r="F2797" s="6" t="str">
        <f>MID(A2797,19,1)</f>
        <v>N</v>
      </c>
      <c r="G2797" s="8">
        <v>-22.839417350028629</v>
      </c>
      <c r="H2797" s="8">
        <v>-47.346309163159098</v>
      </c>
      <c r="I2797" s="7">
        <v>2061.0100000000002</v>
      </c>
      <c r="J2797" s="7"/>
      <c r="K2797" s="8">
        <v>6.36</v>
      </c>
      <c r="L2797" s="8">
        <v>80</v>
      </c>
      <c r="M2797" s="8"/>
      <c r="N2797" s="11">
        <f t="shared" si="336"/>
        <v>1648.8080000000002</v>
      </c>
      <c r="O2797" s="8" t="s">
        <v>25</v>
      </c>
      <c r="P2797" s="8"/>
      <c r="Q2797" s="8" t="s">
        <v>21</v>
      </c>
      <c r="R2797" s="8" t="s">
        <v>26</v>
      </c>
      <c r="S2797" s="8" t="s">
        <v>21</v>
      </c>
      <c r="T2797" s="8" t="s">
        <v>26</v>
      </c>
      <c r="U2797" s="6">
        <f t="shared" si="337"/>
        <v>0</v>
      </c>
    </row>
    <row r="2798" spans="1:22" hidden="1" x14ac:dyDescent="0.35">
      <c r="A2798" s="6" t="s">
        <v>3063</v>
      </c>
      <c r="B2798" s="6" t="s">
        <v>3055</v>
      </c>
      <c r="C2798" s="6" t="s">
        <v>3056</v>
      </c>
      <c r="D2798" s="6">
        <f t="shared" si="339"/>
        <v>0.5</v>
      </c>
      <c r="E2798" s="6" t="s">
        <v>19</v>
      </c>
      <c r="F2798" s="6" t="str">
        <f>MID(A2798,19,1)</f>
        <v>S</v>
      </c>
      <c r="G2798" s="6">
        <v>-22.75089381824812</v>
      </c>
      <c r="H2798" s="6">
        <v>-47.261139282378302</v>
      </c>
      <c r="I2798" s="9">
        <v>993.76</v>
      </c>
      <c r="K2798" s="6">
        <v>1.87</v>
      </c>
      <c r="L2798" s="6">
        <v>50</v>
      </c>
      <c r="N2798" s="1">
        <f t="shared" si="336"/>
        <v>0</v>
      </c>
      <c r="O2798" s="6" t="s">
        <v>20</v>
      </c>
      <c r="Q2798" s="6" t="s">
        <v>21</v>
      </c>
      <c r="R2798" s="6" t="s">
        <v>21</v>
      </c>
      <c r="S2798" s="6" t="s">
        <v>21</v>
      </c>
      <c r="T2798" s="6" t="s">
        <v>21</v>
      </c>
      <c r="U2798" s="6">
        <f t="shared" si="337"/>
        <v>496.88</v>
      </c>
      <c r="V2798" s="6">
        <f t="shared" ref="V2798:V2800" si="343">(I2798*(L2798/100))</f>
        <v>496.88</v>
      </c>
    </row>
    <row r="2799" spans="1:22" hidden="1" x14ac:dyDescent="0.35">
      <c r="A2799" s="6" t="s">
        <v>3064</v>
      </c>
      <c r="B2799" s="6" t="s">
        <v>3055</v>
      </c>
      <c r="C2799" s="6" t="s">
        <v>3056</v>
      </c>
      <c r="D2799" s="6">
        <f t="shared" si="339"/>
        <v>0.5</v>
      </c>
      <c r="E2799" s="6" t="s">
        <v>19</v>
      </c>
      <c r="F2799" s="6" t="str">
        <f>MID(A2799,19,1)</f>
        <v>S</v>
      </c>
      <c r="G2799" s="6">
        <v>-22.749929888797681</v>
      </c>
      <c r="H2799" s="6">
        <v>-47.262149865688791</v>
      </c>
      <c r="I2799" s="9">
        <v>229</v>
      </c>
      <c r="K2799" s="6">
        <v>2.77</v>
      </c>
      <c r="L2799" s="6">
        <v>50</v>
      </c>
      <c r="N2799" s="1">
        <f t="shared" si="336"/>
        <v>0</v>
      </c>
      <c r="O2799" s="6" t="s">
        <v>20</v>
      </c>
      <c r="Q2799" s="6" t="s">
        <v>21</v>
      </c>
      <c r="R2799" s="6" t="s">
        <v>21</v>
      </c>
      <c r="S2799" s="6" t="s">
        <v>21</v>
      </c>
      <c r="T2799" s="6" t="s">
        <v>21</v>
      </c>
      <c r="U2799" s="6">
        <f t="shared" si="337"/>
        <v>114.5</v>
      </c>
      <c r="V2799" s="6">
        <f t="shared" si="343"/>
        <v>114.5</v>
      </c>
    </row>
    <row r="2800" spans="1:22" hidden="1" x14ac:dyDescent="0.35">
      <c r="A2800" s="6" t="s">
        <v>3065</v>
      </c>
      <c r="B2800" s="6" t="s">
        <v>3055</v>
      </c>
      <c r="C2800" s="6" t="s">
        <v>3056</v>
      </c>
      <c r="D2800" s="6">
        <f t="shared" si="339"/>
        <v>0.5</v>
      </c>
      <c r="E2800" s="6" t="s">
        <v>19</v>
      </c>
      <c r="F2800" s="6" t="str">
        <f>MID(A2800,19,1)</f>
        <v>S</v>
      </c>
      <c r="G2800" s="6">
        <v>-22.748251899948912</v>
      </c>
      <c r="H2800" s="6">
        <v>-47.26387054405911</v>
      </c>
      <c r="I2800" s="9">
        <v>1874.02</v>
      </c>
      <c r="K2800" s="6">
        <v>2.41</v>
      </c>
      <c r="L2800" s="6">
        <v>50</v>
      </c>
      <c r="N2800" s="1">
        <f t="shared" si="336"/>
        <v>0</v>
      </c>
      <c r="O2800" s="6" t="s">
        <v>20</v>
      </c>
      <c r="Q2800" s="6" t="s">
        <v>21</v>
      </c>
      <c r="R2800" s="6" t="s">
        <v>21</v>
      </c>
      <c r="S2800" s="6" t="s">
        <v>21</v>
      </c>
      <c r="T2800" s="6" t="s">
        <v>21</v>
      </c>
      <c r="U2800" s="6">
        <f t="shared" si="337"/>
        <v>937.01</v>
      </c>
      <c r="V2800" s="6">
        <f t="shared" si="343"/>
        <v>937.01</v>
      </c>
    </row>
    <row r="2801" spans="1:22" hidden="1" x14ac:dyDescent="0.35">
      <c r="A2801" s="8" t="s">
        <v>3066</v>
      </c>
      <c r="B2801" s="8" t="s">
        <v>3055</v>
      </c>
      <c r="C2801" s="8" t="s">
        <v>3056</v>
      </c>
      <c r="D2801" s="6">
        <f t="shared" si="339"/>
        <v>0.5</v>
      </c>
      <c r="E2801" s="8" t="s">
        <v>19</v>
      </c>
      <c r="F2801" s="6" t="str">
        <f>MID(A2801,19,1)</f>
        <v>S</v>
      </c>
      <c r="G2801" s="8">
        <v>-22.839752089135111</v>
      </c>
      <c r="H2801" s="8">
        <v>-47.346584914104128</v>
      </c>
      <c r="I2801" s="7">
        <v>2004.23</v>
      </c>
      <c r="J2801" s="7"/>
      <c r="K2801" s="8">
        <v>6.43</v>
      </c>
      <c r="L2801" s="8">
        <v>55</v>
      </c>
      <c r="M2801" s="8"/>
      <c r="N2801" s="11">
        <f t="shared" si="336"/>
        <v>1102.3265000000001</v>
      </c>
      <c r="O2801" s="8" t="s">
        <v>25</v>
      </c>
      <c r="P2801" s="8"/>
      <c r="Q2801" s="8" t="s">
        <v>21</v>
      </c>
      <c r="R2801" s="8" t="s">
        <v>26</v>
      </c>
      <c r="S2801" s="8" t="s">
        <v>21</v>
      </c>
      <c r="T2801" s="8" t="s">
        <v>26</v>
      </c>
      <c r="U2801" s="6">
        <f t="shared" si="337"/>
        <v>0</v>
      </c>
    </row>
    <row r="2802" spans="1:22" x14ac:dyDescent="0.35">
      <c r="A2802" s="6" t="s">
        <v>3067</v>
      </c>
      <c r="B2802" s="6" t="s">
        <v>3055</v>
      </c>
      <c r="C2802" s="6" t="s">
        <v>3056</v>
      </c>
      <c r="D2802" s="6">
        <f t="shared" si="339"/>
        <v>0.5</v>
      </c>
      <c r="E2802" s="6" t="s">
        <v>19</v>
      </c>
      <c r="F2802" s="6" t="str">
        <f>MID(A2802,19,1)</f>
        <v>N</v>
      </c>
      <c r="G2802" s="6">
        <v>-22.752471300298559</v>
      </c>
      <c r="H2802" s="6">
        <v>-47.258756088397043</v>
      </c>
      <c r="I2802" s="9">
        <v>229.24</v>
      </c>
      <c r="K2802" s="6">
        <v>4.0999999999999996</v>
      </c>
      <c r="L2802" s="6">
        <v>50</v>
      </c>
      <c r="N2802" s="1">
        <f t="shared" si="336"/>
        <v>0</v>
      </c>
      <c r="O2802" s="6" t="s">
        <v>20</v>
      </c>
      <c r="Q2802" s="6" t="s">
        <v>21</v>
      </c>
      <c r="R2802" s="6" t="s">
        <v>21</v>
      </c>
      <c r="S2802" s="6" t="s">
        <v>21</v>
      </c>
      <c r="T2802" s="6" t="s">
        <v>21</v>
      </c>
      <c r="U2802" s="6">
        <f t="shared" si="337"/>
        <v>114.62</v>
      </c>
      <c r="V2802" s="6">
        <f t="shared" ref="V2802:V2865" si="344">(I2802*(L2802/100))</f>
        <v>114.62</v>
      </c>
    </row>
    <row r="2803" spans="1:22" hidden="1" x14ac:dyDescent="0.35">
      <c r="A2803" s="6" t="s">
        <v>3068</v>
      </c>
      <c r="B2803" s="6" t="s">
        <v>3055</v>
      </c>
      <c r="C2803" s="6" t="s">
        <v>3056</v>
      </c>
      <c r="D2803" s="6">
        <f t="shared" si="339"/>
        <v>0.5</v>
      </c>
      <c r="E2803" s="6" t="s">
        <v>23</v>
      </c>
      <c r="F2803" s="6" t="str">
        <f>MID(A2803,19,1)</f>
        <v>C</v>
      </c>
      <c r="G2803" s="6">
        <v>-22.837222104984811</v>
      </c>
      <c r="H2803" s="6">
        <v>-47.350650796493603</v>
      </c>
      <c r="I2803" s="9">
        <v>5528.8</v>
      </c>
      <c r="J2803" s="9">
        <f t="shared" ref="J2803:J2804" si="345">I2803/500</f>
        <v>11.057600000000001</v>
      </c>
      <c r="K2803" s="6">
        <v>4.8099999999999996</v>
      </c>
      <c r="L2803" s="6">
        <v>80</v>
      </c>
      <c r="N2803" s="1">
        <f t="shared" si="336"/>
        <v>0</v>
      </c>
      <c r="O2803" s="6" t="s">
        <v>20</v>
      </c>
      <c r="Q2803" s="6" t="s">
        <v>21</v>
      </c>
      <c r="R2803" s="6" t="s">
        <v>21</v>
      </c>
      <c r="S2803" s="6" t="s">
        <v>21</v>
      </c>
      <c r="T2803" s="6" t="s">
        <v>21</v>
      </c>
      <c r="U2803" s="6">
        <f t="shared" si="337"/>
        <v>4423.04</v>
      </c>
      <c r="V2803" s="6">
        <f t="shared" si="344"/>
        <v>4423.04</v>
      </c>
    </row>
    <row r="2804" spans="1:22" hidden="1" x14ac:dyDescent="0.35">
      <c r="A2804" s="6" t="s">
        <v>3069</v>
      </c>
      <c r="B2804" s="6" t="s">
        <v>3055</v>
      </c>
      <c r="C2804" s="6" t="s">
        <v>3056</v>
      </c>
      <c r="D2804" s="6">
        <f t="shared" si="339"/>
        <v>0.5</v>
      </c>
      <c r="E2804" s="6" t="s">
        <v>23</v>
      </c>
      <c r="F2804" s="6" t="str">
        <f>MID(A2804,19,1)</f>
        <v>C</v>
      </c>
      <c r="G2804" s="6">
        <v>-22.839592151186849</v>
      </c>
      <c r="H2804" s="6">
        <v>-47.346424448482082</v>
      </c>
      <c r="I2804" s="9">
        <v>5690.33</v>
      </c>
      <c r="J2804" s="9">
        <f t="shared" si="345"/>
        <v>11.380660000000001</v>
      </c>
      <c r="K2804" s="6">
        <v>6.33</v>
      </c>
      <c r="L2804" s="6">
        <v>80</v>
      </c>
      <c r="N2804" s="1">
        <f t="shared" si="336"/>
        <v>0</v>
      </c>
      <c r="O2804" s="6" t="s">
        <v>20</v>
      </c>
      <c r="Q2804" s="6" t="s">
        <v>21</v>
      </c>
      <c r="R2804" s="6" t="s">
        <v>21</v>
      </c>
      <c r="S2804" s="6" t="s">
        <v>21</v>
      </c>
      <c r="T2804" s="6" t="s">
        <v>21</v>
      </c>
      <c r="U2804" s="6">
        <f t="shared" si="337"/>
        <v>4552.2640000000001</v>
      </c>
      <c r="V2804" s="6">
        <f t="shared" si="344"/>
        <v>4552.2640000000001</v>
      </c>
    </row>
    <row r="2805" spans="1:22" x14ac:dyDescent="0.35">
      <c r="A2805" s="6" t="s">
        <v>3070</v>
      </c>
      <c r="B2805" s="6" t="s">
        <v>3055</v>
      </c>
      <c r="C2805" s="6" t="s">
        <v>3056</v>
      </c>
      <c r="D2805" s="6">
        <f t="shared" si="339"/>
        <v>0.5</v>
      </c>
      <c r="E2805" s="6" t="s">
        <v>19</v>
      </c>
      <c r="F2805" s="6" t="str">
        <f>MID(A2805,19,1)</f>
        <v>N</v>
      </c>
      <c r="G2805" s="6">
        <v>-22.749534308886261</v>
      </c>
      <c r="H2805" s="6">
        <v>-47.261797496632163</v>
      </c>
      <c r="I2805" s="9">
        <v>5.7</v>
      </c>
      <c r="K2805" s="6">
        <v>2.75</v>
      </c>
      <c r="N2805" s="1">
        <f t="shared" si="336"/>
        <v>0</v>
      </c>
      <c r="Q2805" s="6" t="s">
        <v>21</v>
      </c>
      <c r="R2805" s="6" t="s">
        <v>21</v>
      </c>
      <c r="S2805" s="6" t="s">
        <v>21</v>
      </c>
      <c r="T2805" s="6" t="s">
        <v>21</v>
      </c>
      <c r="U2805" s="6">
        <f t="shared" si="337"/>
        <v>0</v>
      </c>
      <c r="V2805" s="6">
        <f t="shared" si="344"/>
        <v>0</v>
      </c>
    </row>
    <row r="2806" spans="1:22" x14ac:dyDescent="0.35">
      <c r="A2806" s="6" t="s">
        <v>3071</v>
      </c>
      <c r="B2806" s="6" t="s">
        <v>3055</v>
      </c>
      <c r="C2806" s="6" t="s">
        <v>3056</v>
      </c>
      <c r="D2806" s="6">
        <f t="shared" si="339"/>
        <v>0.5</v>
      </c>
      <c r="E2806" s="6" t="s">
        <v>19</v>
      </c>
      <c r="F2806" s="6" t="str">
        <f>MID(A2806,19,1)</f>
        <v>N</v>
      </c>
      <c r="G2806" s="6">
        <v>-22.752146953068699</v>
      </c>
      <c r="H2806" s="6">
        <v>-47.259104131891227</v>
      </c>
      <c r="I2806" s="9">
        <v>505.22</v>
      </c>
      <c r="K2806" s="6">
        <v>6.31</v>
      </c>
      <c r="L2806" s="6">
        <v>50</v>
      </c>
      <c r="N2806" s="1">
        <f t="shared" si="336"/>
        <v>0</v>
      </c>
      <c r="O2806" s="6" t="s">
        <v>20</v>
      </c>
      <c r="Q2806" s="6" t="s">
        <v>21</v>
      </c>
      <c r="R2806" s="6" t="s">
        <v>21</v>
      </c>
      <c r="S2806" s="6" t="s">
        <v>21</v>
      </c>
      <c r="T2806" s="6" t="s">
        <v>21</v>
      </c>
      <c r="U2806" s="6">
        <f t="shared" si="337"/>
        <v>252.61</v>
      </c>
      <c r="V2806" s="6">
        <f t="shared" si="344"/>
        <v>252.61</v>
      </c>
    </row>
    <row r="2807" spans="1:22" hidden="1" x14ac:dyDescent="0.35">
      <c r="A2807" s="6" t="s">
        <v>3072</v>
      </c>
      <c r="B2807" s="6" t="s">
        <v>3055</v>
      </c>
      <c r="C2807" s="6" t="s">
        <v>3056</v>
      </c>
      <c r="D2807" s="6">
        <f t="shared" si="339"/>
        <v>0.5</v>
      </c>
      <c r="E2807" s="6" t="s">
        <v>19</v>
      </c>
      <c r="F2807" s="6" t="str">
        <f>MID(A2807,19,1)</f>
        <v>S</v>
      </c>
      <c r="G2807" s="6">
        <v>-22.752118144866131</v>
      </c>
      <c r="H2807" s="6">
        <v>-47.259845977872587</v>
      </c>
      <c r="I2807" s="9">
        <v>1076.25</v>
      </c>
      <c r="K2807" s="6">
        <v>4.2300000000000004</v>
      </c>
      <c r="L2807" s="6">
        <v>50</v>
      </c>
      <c r="N2807" s="1">
        <f t="shared" si="336"/>
        <v>0</v>
      </c>
      <c r="O2807" s="6" t="s">
        <v>20</v>
      </c>
      <c r="Q2807" s="6" t="s">
        <v>21</v>
      </c>
      <c r="R2807" s="6" t="s">
        <v>21</v>
      </c>
      <c r="S2807" s="6" t="s">
        <v>21</v>
      </c>
      <c r="T2807" s="6" t="s">
        <v>21</v>
      </c>
      <c r="U2807" s="6">
        <f t="shared" si="337"/>
        <v>538.125</v>
      </c>
      <c r="V2807" s="6">
        <f t="shared" si="344"/>
        <v>538.125</v>
      </c>
    </row>
    <row r="2808" spans="1:22" x14ac:dyDescent="0.35">
      <c r="A2808" s="6" t="s">
        <v>3073</v>
      </c>
      <c r="B2808" s="6" t="s">
        <v>3055</v>
      </c>
      <c r="C2808" s="6" t="s">
        <v>3056</v>
      </c>
      <c r="D2808" s="6">
        <f t="shared" si="339"/>
        <v>0.5</v>
      </c>
      <c r="E2808" s="6" t="s">
        <v>19</v>
      </c>
      <c r="F2808" s="6" t="str">
        <f>MID(A2808,19,1)</f>
        <v>N</v>
      </c>
      <c r="G2808" s="6">
        <v>-22.751607892878241</v>
      </c>
      <c r="H2808" s="6">
        <v>-47.259651491946236</v>
      </c>
      <c r="I2808" s="9">
        <v>875.87</v>
      </c>
      <c r="K2808" s="6">
        <v>5.27</v>
      </c>
      <c r="L2808" s="6">
        <v>50</v>
      </c>
      <c r="N2808" s="1">
        <f t="shared" si="336"/>
        <v>0</v>
      </c>
      <c r="O2808" s="6" t="s">
        <v>20</v>
      </c>
      <c r="Q2808" s="6" t="s">
        <v>21</v>
      </c>
      <c r="R2808" s="6" t="s">
        <v>21</v>
      </c>
      <c r="S2808" s="6" t="s">
        <v>21</v>
      </c>
      <c r="T2808" s="6" t="s">
        <v>21</v>
      </c>
      <c r="U2808" s="6">
        <f t="shared" si="337"/>
        <v>437.935</v>
      </c>
      <c r="V2808" s="6">
        <f t="shared" si="344"/>
        <v>437.935</v>
      </c>
    </row>
    <row r="2809" spans="1:22" x14ac:dyDescent="0.35">
      <c r="A2809" s="6" t="s">
        <v>3074</v>
      </c>
      <c r="B2809" s="6" t="s">
        <v>3075</v>
      </c>
      <c r="C2809" s="6" t="s">
        <v>3076</v>
      </c>
      <c r="D2809" s="6">
        <f t="shared" si="339"/>
        <v>0.5</v>
      </c>
      <c r="E2809" s="6" t="s">
        <v>19</v>
      </c>
      <c r="F2809" s="6" t="str">
        <f>MID(A2809,19,1)</f>
        <v>N</v>
      </c>
      <c r="G2809" s="6">
        <v>-22.831457136079489</v>
      </c>
      <c r="H2809" s="6">
        <v>-47.360497072986092</v>
      </c>
      <c r="I2809" s="9">
        <v>819.86</v>
      </c>
      <c r="K2809" s="6">
        <v>2.86</v>
      </c>
      <c r="L2809" s="6">
        <v>70</v>
      </c>
      <c r="N2809" s="1">
        <f t="shared" si="336"/>
        <v>0</v>
      </c>
      <c r="O2809" s="6" t="s">
        <v>20</v>
      </c>
      <c r="Q2809" s="6" t="s">
        <v>21</v>
      </c>
      <c r="R2809" s="6" t="s">
        <v>21</v>
      </c>
      <c r="S2809" s="6" t="s">
        <v>21</v>
      </c>
      <c r="T2809" s="6" t="s">
        <v>21</v>
      </c>
      <c r="U2809" s="6">
        <f t="shared" si="337"/>
        <v>573.90199999999993</v>
      </c>
      <c r="V2809" s="6">
        <f t="shared" si="344"/>
        <v>573.90199999999993</v>
      </c>
    </row>
    <row r="2810" spans="1:22" hidden="1" x14ac:dyDescent="0.35">
      <c r="A2810" s="6" t="s">
        <v>3077</v>
      </c>
      <c r="B2810" s="6" t="s">
        <v>3075</v>
      </c>
      <c r="C2810" s="6" t="s">
        <v>3076</v>
      </c>
      <c r="D2810" s="6">
        <f t="shared" si="339"/>
        <v>0.5</v>
      </c>
      <c r="E2810" s="6" t="s">
        <v>19</v>
      </c>
      <c r="F2810" s="6" t="str">
        <f>MID(A2810,19,1)</f>
        <v>S</v>
      </c>
      <c r="G2810" s="6">
        <v>-22.745283792223681</v>
      </c>
      <c r="H2810" s="6">
        <v>-47.266976748647728</v>
      </c>
      <c r="I2810" s="9">
        <v>1899.54</v>
      </c>
      <c r="K2810" s="6">
        <v>3.44</v>
      </c>
      <c r="L2810" s="6">
        <v>50</v>
      </c>
      <c r="N2810" s="1">
        <f t="shared" si="336"/>
        <v>0</v>
      </c>
      <c r="O2810" s="6" t="s">
        <v>20</v>
      </c>
      <c r="Q2810" s="6" t="s">
        <v>21</v>
      </c>
      <c r="R2810" s="6" t="s">
        <v>21</v>
      </c>
      <c r="S2810" s="6" t="s">
        <v>21</v>
      </c>
      <c r="T2810" s="6" t="s">
        <v>21</v>
      </c>
      <c r="U2810" s="6">
        <f t="shared" si="337"/>
        <v>949.77</v>
      </c>
      <c r="V2810" s="6">
        <f t="shared" si="344"/>
        <v>949.77</v>
      </c>
    </row>
    <row r="2811" spans="1:22" x14ac:dyDescent="0.35">
      <c r="A2811" s="6" t="s">
        <v>3078</v>
      </c>
      <c r="B2811" s="6" t="s">
        <v>3075</v>
      </c>
      <c r="C2811" s="6" t="s">
        <v>3076</v>
      </c>
      <c r="D2811" s="6">
        <f t="shared" si="339"/>
        <v>0.5</v>
      </c>
      <c r="E2811" s="6" t="s">
        <v>19</v>
      </c>
      <c r="F2811" s="6" t="str">
        <f>MID(A2811,19,1)</f>
        <v>N</v>
      </c>
      <c r="G2811" s="6">
        <v>-22.83488017093466</v>
      </c>
      <c r="H2811" s="6">
        <v>-47.354399001874462</v>
      </c>
      <c r="I2811" s="9">
        <v>1697.04</v>
      </c>
      <c r="K2811" s="6">
        <v>2.5499999999999998</v>
      </c>
      <c r="L2811" s="6">
        <v>70</v>
      </c>
      <c r="N2811" s="1">
        <f t="shared" si="336"/>
        <v>0</v>
      </c>
      <c r="O2811" s="6" t="s">
        <v>20</v>
      </c>
      <c r="Q2811" s="6" t="s">
        <v>21</v>
      </c>
      <c r="R2811" s="6" t="s">
        <v>21</v>
      </c>
      <c r="S2811" s="6" t="s">
        <v>21</v>
      </c>
      <c r="T2811" s="6" t="s">
        <v>21</v>
      </c>
      <c r="U2811" s="6">
        <f t="shared" si="337"/>
        <v>1187.9279999999999</v>
      </c>
      <c r="V2811" s="6">
        <f t="shared" si="344"/>
        <v>1187.9279999999999</v>
      </c>
    </row>
    <row r="2812" spans="1:22" hidden="1" x14ac:dyDescent="0.35">
      <c r="A2812" s="6" t="s">
        <v>3079</v>
      </c>
      <c r="B2812" s="6" t="s">
        <v>3075</v>
      </c>
      <c r="C2812" s="6" t="s">
        <v>3076</v>
      </c>
      <c r="D2812" s="6">
        <f t="shared" si="339"/>
        <v>0.5</v>
      </c>
      <c r="E2812" s="6" t="s">
        <v>23</v>
      </c>
      <c r="F2812" s="6" t="str">
        <f>MID(A2812,19,1)</f>
        <v>C</v>
      </c>
      <c r="G2812" s="6">
        <v>-22.83162399897374</v>
      </c>
      <c r="H2812" s="6">
        <v>-47.360628600723082</v>
      </c>
      <c r="I2812" s="9">
        <v>2376.7600000000002</v>
      </c>
      <c r="J2812" s="9">
        <f>I2812/500</f>
        <v>4.7535200000000009</v>
      </c>
      <c r="K2812" s="6">
        <v>2.84</v>
      </c>
      <c r="L2812" s="6">
        <v>80</v>
      </c>
      <c r="N2812" s="1">
        <f t="shared" si="336"/>
        <v>0</v>
      </c>
      <c r="O2812" s="6" t="s">
        <v>20</v>
      </c>
      <c r="Q2812" s="6" t="s">
        <v>21</v>
      </c>
      <c r="R2812" s="6" t="s">
        <v>21</v>
      </c>
      <c r="S2812" s="6" t="s">
        <v>21</v>
      </c>
      <c r="T2812" s="6" t="s">
        <v>21</v>
      </c>
      <c r="U2812" s="6">
        <f t="shared" si="337"/>
        <v>1901.4080000000004</v>
      </c>
      <c r="V2812" s="6">
        <f t="shared" si="344"/>
        <v>1901.4080000000004</v>
      </c>
    </row>
    <row r="2813" spans="1:22" hidden="1" x14ac:dyDescent="0.35">
      <c r="A2813" s="6" t="s">
        <v>3080</v>
      </c>
      <c r="B2813" s="6" t="s">
        <v>3075</v>
      </c>
      <c r="C2813" s="6" t="s">
        <v>3076</v>
      </c>
      <c r="D2813" s="6">
        <f t="shared" si="339"/>
        <v>0.5</v>
      </c>
      <c r="E2813" s="6" t="s">
        <v>19</v>
      </c>
      <c r="F2813" s="6" t="str">
        <f>MID(A2813,19,1)</f>
        <v>S</v>
      </c>
      <c r="G2813" s="6">
        <v>-22.835238848452409</v>
      </c>
      <c r="H2813" s="6">
        <v>-47.354605134818598</v>
      </c>
      <c r="I2813" s="9">
        <v>1695.84</v>
      </c>
      <c r="K2813" s="6">
        <v>2.96</v>
      </c>
      <c r="L2813" s="6">
        <v>70</v>
      </c>
      <c r="N2813" s="1">
        <f t="shared" si="336"/>
        <v>0</v>
      </c>
      <c r="O2813" s="6" t="s">
        <v>20</v>
      </c>
      <c r="Q2813" s="6" t="s">
        <v>21</v>
      </c>
      <c r="R2813" s="6" t="s">
        <v>21</v>
      </c>
      <c r="S2813" s="6" t="s">
        <v>21</v>
      </c>
      <c r="T2813" s="6" t="s">
        <v>21</v>
      </c>
      <c r="U2813" s="6">
        <f t="shared" si="337"/>
        <v>1187.088</v>
      </c>
      <c r="V2813" s="6">
        <f t="shared" si="344"/>
        <v>1187.088</v>
      </c>
    </row>
    <row r="2814" spans="1:22" hidden="1" x14ac:dyDescent="0.35">
      <c r="A2814" s="6" t="s">
        <v>3081</v>
      </c>
      <c r="B2814" s="6" t="s">
        <v>3075</v>
      </c>
      <c r="C2814" s="6" t="s">
        <v>3076</v>
      </c>
      <c r="D2814" s="6">
        <f t="shared" si="339"/>
        <v>0.5</v>
      </c>
      <c r="E2814" s="6" t="s">
        <v>19</v>
      </c>
      <c r="F2814" s="6" t="str">
        <f>MID(A2814,19,1)</f>
        <v>S</v>
      </c>
      <c r="G2814" s="6">
        <v>-22.833434309033709</v>
      </c>
      <c r="H2814" s="6">
        <v>-47.358060651712798</v>
      </c>
      <c r="I2814" s="9">
        <v>1607.84</v>
      </c>
      <c r="K2814" s="6">
        <v>2.8</v>
      </c>
      <c r="L2814" s="6">
        <v>70</v>
      </c>
      <c r="N2814" s="1">
        <f t="shared" si="336"/>
        <v>0</v>
      </c>
      <c r="O2814" s="6" t="s">
        <v>20</v>
      </c>
      <c r="Q2814" s="6" t="s">
        <v>21</v>
      </c>
      <c r="R2814" s="6" t="s">
        <v>21</v>
      </c>
      <c r="S2814" s="6" t="s">
        <v>21</v>
      </c>
      <c r="T2814" s="6" t="s">
        <v>21</v>
      </c>
      <c r="U2814" s="6">
        <f t="shared" si="337"/>
        <v>1125.4879999999998</v>
      </c>
      <c r="V2814" s="6">
        <f t="shared" si="344"/>
        <v>1125.4879999999998</v>
      </c>
    </row>
    <row r="2815" spans="1:22" hidden="1" x14ac:dyDescent="0.35">
      <c r="A2815" s="6" t="s">
        <v>3082</v>
      </c>
      <c r="B2815" s="6" t="s">
        <v>3075</v>
      </c>
      <c r="C2815" s="6" t="s">
        <v>3076</v>
      </c>
      <c r="D2815" s="6">
        <f t="shared" si="339"/>
        <v>0.5</v>
      </c>
      <c r="E2815" s="6" t="s">
        <v>19</v>
      </c>
      <c r="F2815" s="6" t="str">
        <f>MID(A2815,19,1)</f>
        <v>S</v>
      </c>
      <c r="G2815" s="6">
        <v>-22.74224483024603</v>
      </c>
      <c r="H2815" s="6">
        <v>-47.27033759738768</v>
      </c>
      <c r="I2815" s="9">
        <v>1961.75</v>
      </c>
      <c r="K2815" s="6">
        <v>3.63</v>
      </c>
      <c r="L2815" s="6">
        <v>50</v>
      </c>
      <c r="N2815" s="1">
        <f t="shared" si="336"/>
        <v>0</v>
      </c>
      <c r="O2815" s="6" t="s">
        <v>20</v>
      </c>
      <c r="Q2815" s="6" t="s">
        <v>21</v>
      </c>
      <c r="R2815" s="6" t="s">
        <v>21</v>
      </c>
      <c r="S2815" s="6" t="s">
        <v>21</v>
      </c>
      <c r="T2815" s="6" t="s">
        <v>21</v>
      </c>
      <c r="U2815" s="6">
        <f t="shared" si="337"/>
        <v>980.875</v>
      </c>
      <c r="V2815" s="6">
        <f t="shared" si="344"/>
        <v>980.875</v>
      </c>
    </row>
    <row r="2816" spans="1:22" x14ac:dyDescent="0.35">
      <c r="A2816" s="6" t="s">
        <v>3083</v>
      </c>
      <c r="B2816" s="6" t="s">
        <v>3075</v>
      </c>
      <c r="C2816" s="6" t="s">
        <v>3076</v>
      </c>
      <c r="D2816" s="6">
        <f t="shared" si="339"/>
        <v>0.5</v>
      </c>
      <c r="E2816" s="6" t="s">
        <v>19</v>
      </c>
      <c r="F2816" s="6" t="str">
        <f>MID(A2816,19,1)</f>
        <v>N</v>
      </c>
      <c r="G2816" s="6">
        <v>-22.832896130406219</v>
      </c>
      <c r="H2816" s="6">
        <v>-47.357698855899827</v>
      </c>
      <c r="I2816" s="9">
        <v>1575.13</v>
      </c>
      <c r="K2816" s="6">
        <v>2.2000000000000002</v>
      </c>
      <c r="L2816" s="6">
        <v>70</v>
      </c>
      <c r="N2816" s="1">
        <f t="shared" si="336"/>
        <v>0</v>
      </c>
      <c r="O2816" s="6" t="s">
        <v>20</v>
      </c>
      <c r="Q2816" s="6" t="s">
        <v>21</v>
      </c>
      <c r="R2816" s="6" t="s">
        <v>21</v>
      </c>
      <c r="S2816" s="6" t="s">
        <v>21</v>
      </c>
      <c r="T2816" s="6" t="s">
        <v>21</v>
      </c>
      <c r="U2816" s="6">
        <f t="shared" si="337"/>
        <v>1102.5909999999999</v>
      </c>
      <c r="V2816" s="6">
        <f t="shared" si="344"/>
        <v>1102.5909999999999</v>
      </c>
    </row>
    <row r="2817" spans="1:22" x14ac:dyDescent="0.35">
      <c r="A2817" s="6" t="s">
        <v>3084</v>
      </c>
      <c r="B2817" s="6" t="s">
        <v>3075</v>
      </c>
      <c r="C2817" s="6" t="s">
        <v>3076</v>
      </c>
      <c r="D2817" s="6">
        <f t="shared" si="339"/>
        <v>0.5</v>
      </c>
      <c r="E2817" s="6" t="s">
        <v>19</v>
      </c>
      <c r="F2817" s="6" t="str">
        <f>MID(A2817,19,1)</f>
        <v>N</v>
      </c>
      <c r="G2817" s="6">
        <v>-22.7418771109548</v>
      </c>
      <c r="H2817" s="6">
        <v>-47.270033906193078</v>
      </c>
      <c r="I2817" s="9">
        <v>1964.35</v>
      </c>
      <c r="K2817" s="6">
        <v>3.3</v>
      </c>
      <c r="L2817" s="6">
        <v>50</v>
      </c>
      <c r="N2817" s="1">
        <f t="shared" si="336"/>
        <v>0</v>
      </c>
      <c r="O2817" s="6" t="s">
        <v>20</v>
      </c>
      <c r="Q2817" s="6" t="s">
        <v>21</v>
      </c>
      <c r="R2817" s="6" t="s">
        <v>21</v>
      </c>
      <c r="S2817" s="6" t="s">
        <v>21</v>
      </c>
      <c r="T2817" s="6" t="s">
        <v>21</v>
      </c>
      <c r="U2817" s="6">
        <f t="shared" si="337"/>
        <v>982.17499999999995</v>
      </c>
      <c r="V2817" s="6">
        <f t="shared" si="344"/>
        <v>982.17499999999995</v>
      </c>
    </row>
    <row r="2818" spans="1:22" hidden="1" x14ac:dyDescent="0.35">
      <c r="A2818" s="6" t="s">
        <v>3085</v>
      </c>
      <c r="B2818" s="6" t="s">
        <v>3075</v>
      </c>
      <c r="C2818" s="6" t="s">
        <v>3076</v>
      </c>
      <c r="D2818" s="6">
        <f t="shared" si="339"/>
        <v>0.5</v>
      </c>
      <c r="E2818" s="6" t="s">
        <v>19</v>
      </c>
      <c r="F2818" s="6" t="str">
        <f>MID(A2818,19,1)</f>
        <v>S</v>
      </c>
      <c r="G2818" s="6">
        <v>-22.83287230363015</v>
      </c>
      <c r="H2818" s="6">
        <v>-47.359005793466103</v>
      </c>
      <c r="I2818" s="9">
        <v>2880.49</v>
      </c>
      <c r="K2818" s="6">
        <v>2.27</v>
      </c>
      <c r="L2818" s="6">
        <v>70</v>
      </c>
      <c r="N2818" s="1">
        <f t="shared" ref="N2818:N2881" si="346">IF(OR(R2818="Sim",S2818="Sim",T2818="Sim"),(L2818/100)*I2818,0)</f>
        <v>0</v>
      </c>
      <c r="O2818" s="6" t="s">
        <v>20</v>
      </c>
      <c r="Q2818" s="6" t="s">
        <v>21</v>
      </c>
      <c r="R2818" s="6" t="s">
        <v>21</v>
      </c>
      <c r="S2818" s="6" t="s">
        <v>21</v>
      </c>
      <c r="T2818" s="6" t="s">
        <v>21</v>
      </c>
      <c r="U2818" s="6">
        <f t="shared" si="337"/>
        <v>2016.3429999999996</v>
      </c>
      <c r="V2818" s="6">
        <f t="shared" si="344"/>
        <v>2016.3429999999996</v>
      </c>
    </row>
    <row r="2819" spans="1:22" x14ac:dyDescent="0.35">
      <c r="A2819" s="6" t="s">
        <v>3086</v>
      </c>
      <c r="B2819" s="6" t="s">
        <v>3075</v>
      </c>
      <c r="C2819" s="6" t="s">
        <v>3076</v>
      </c>
      <c r="D2819" s="6">
        <f t="shared" si="339"/>
        <v>0.5</v>
      </c>
      <c r="E2819" s="6" t="s">
        <v>19</v>
      </c>
      <c r="F2819" s="6" t="str">
        <f>MID(A2819,19,1)</f>
        <v>N</v>
      </c>
      <c r="G2819" s="6">
        <v>-22.744928399798351</v>
      </c>
      <c r="H2819" s="6">
        <v>-47.266659874621013</v>
      </c>
      <c r="I2819" s="9">
        <v>1871.91</v>
      </c>
      <c r="K2819" s="6">
        <v>3.34</v>
      </c>
      <c r="L2819" s="6">
        <v>50</v>
      </c>
      <c r="N2819" s="1">
        <f t="shared" si="346"/>
        <v>0</v>
      </c>
      <c r="O2819" s="6" t="s">
        <v>20</v>
      </c>
      <c r="Q2819" s="6" t="s">
        <v>21</v>
      </c>
      <c r="R2819" s="6" t="s">
        <v>21</v>
      </c>
      <c r="S2819" s="6" t="s">
        <v>21</v>
      </c>
      <c r="T2819" s="6" t="s">
        <v>21</v>
      </c>
      <c r="U2819" s="6">
        <f t="shared" ref="U2819:U2882" si="347">IF(N2819=0,(I2819*(L2819/100)),0)</f>
        <v>935.95500000000004</v>
      </c>
      <c r="V2819" s="6">
        <f t="shared" si="344"/>
        <v>935.95500000000004</v>
      </c>
    </row>
    <row r="2820" spans="1:22" hidden="1" x14ac:dyDescent="0.35">
      <c r="A2820" s="6" t="s">
        <v>3087</v>
      </c>
      <c r="B2820" s="6" t="s">
        <v>3075</v>
      </c>
      <c r="C2820" s="6" t="s">
        <v>3076</v>
      </c>
      <c r="D2820" s="6">
        <f t="shared" si="339"/>
        <v>0.5</v>
      </c>
      <c r="E2820" s="6" t="s">
        <v>23</v>
      </c>
      <c r="F2820" s="6" t="str">
        <f>MID(A2820,19,1)</f>
        <v>C</v>
      </c>
      <c r="G2820" s="6">
        <v>-22.83505458330637</v>
      </c>
      <c r="H2820" s="6">
        <v>-47.354517351799267</v>
      </c>
      <c r="I2820" s="9">
        <v>4782.8</v>
      </c>
      <c r="J2820" s="9">
        <f t="shared" ref="J2820:J2821" si="348">I2820/500</f>
        <v>9.5655999999999999</v>
      </c>
      <c r="K2820" s="6">
        <v>2.62</v>
      </c>
      <c r="L2820" s="6">
        <v>80</v>
      </c>
      <c r="N2820" s="1">
        <f t="shared" si="346"/>
        <v>0</v>
      </c>
      <c r="O2820" s="6" t="s">
        <v>20</v>
      </c>
      <c r="Q2820" s="6" t="s">
        <v>21</v>
      </c>
      <c r="R2820" s="6" t="s">
        <v>21</v>
      </c>
      <c r="S2820" s="6" t="s">
        <v>21</v>
      </c>
      <c r="T2820" s="6" t="s">
        <v>21</v>
      </c>
      <c r="U2820" s="6">
        <f t="shared" si="347"/>
        <v>3826.2400000000002</v>
      </c>
      <c r="V2820" s="6">
        <f t="shared" si="344"/>
        <v>3826.2400000000002</v>
      </c>
    </row>
    <row r="2821" spans="1:22" hidden="1" x14ac:dyDescent="0.35">
      <c r="A2821" s="6" t="s">
        <v>3088</v>
      </c>
      <c r="B2821" s="6" t="s">
        <v>3075</v>
      </c>
      <c r="C2821" s="6" t="s">
        <v>3076</v>
      </c>
      <c r="D2821" s="6">
        <f t="shared" si="339"/>
        <v>0.5</v>
      </c>
      <c r="E2821" s="6" t="s">
        <v>23</v>
      </c>
      <c r="F2821" s="6" t="str">
        <f>MID(A2821,19,1)</f>
        <v>C</v>
      </c>
      <c r="G2821" s="6">
        <v>-22.833177915014421</v>
      </c>
      <c r="H2821" s="6">
        <v>-47.357867234875542</v>
      </c>
      <c r="I2821" s="9">
        <v>4475.37</v>
      </c>
      <c r="J2821" s="9">
        <f t="shared" si="348"/>
        <v>8.9507399999999997</v>
      </c>
      <c r="K2821" s="6">
        <v>2.56</v>
      </c>
      <c r="L2821" s="6">
        <v>80</v>
      </c>
      <c r="N2821" s="1">
        <f t="shared" si="346"/>
        <v>0</v>
      </c>
      <c r="O2821" s="6" t="s">
        <v>20</v>
      </c>
      <c r="Q2821" s="6" t="s">
        <v>21</v>
      </c>
      <c r="R2821" s="6" t="s">
        <v>21</v>
      </c>
      <c r="S2821" s="6" t="s">
        <v>21</v>
      </c>
      <c r="T2821" s="6" t="s">
        <v>21</v>
      </c>
      <c r="U2821" s="6">
        <f t="shared" si="347"/>
        <v>3580.2960000000003</v>
      </c>
      <c r="V2821" s="6">
        <f t="shared" si="344"/>
        <v>3580.2960000000003</v>
      </c>
    </row>
    <row r="2822" spans="1:22" hidden="1" x14ac:dyDescent="0.35">
      <c r="A2822" s="6" t="s">
        <v>3089</v>
      </c>
      <c r="B2822" s="6" t="s">
        <v>3075</v>
      </c>
      <c r="C2822" s="6" t="s">
        <v>3076</v>
      </c>
      <c r="D2822" s="6">
        <f t="shared" si="339"/>
        <v>0.5</v>
      </c>
      <c r="E2822" s="6" t="s">
        <v>19</v>
      </c>
      <c r="F2822" s="6" t="str">
        <f>MID(A2822,19,1)</f>
        <v>S</v>
      </c>
      <c r="G2822" s="6">
        <v>-22.83182157339191</v>
      </c>
      <c r="H2822" s="6">
        <v>-47.360725094163513</v>
      </c>
      <c r="I2822" s="9">
        <v>805.87</v>
      </c>
      <c r="K2822" s="6">
        <v>2.02</v>
      </c>
      <c r="L2822" s="6">
        <v>70</v>
      </c>
      <c r="N2822" s="1">
        <f t="shared" si="346"/>
        <v>0</v>
      </c>
      <c r="O2822" s="6" t="s">
        <v>20</v>
      </c>
      <c r="Q2822" s="6" t="s">
        <v>21</v>
      </c>
      <c r="R2822" s="6" t="s">
        <v>21</v>
      </c>
      <c r="S2822" s="6" t="s">
        <v>21</v>
      </c>
      <c r="T2822" s="6" t="s">
        <v>21</v>
      </c>
      <c r="U2822" s="6">
        <f t="shared" si="347"/>
        <v>564.10899999999992</v>
      </c>
      <c r="V2822" s="6">
        <f t="shared" si="344"/>
        <v>564.10899999999992</v>
      </c>
    </row>
    <row r="2823" spans="1:22" x14ac:dyDescent="0.35">
      <c r="A2823" s="6" t="s">
        <v>3090</v>
      </c>
      <c r="B2823" s="6" t="s">
        <v>3075</v>
      </c>
      <c r="C2823" s="6" t="s">
        <v>3076</v>
      </c>
      <c r="D2823" s="6">
        <f t="shared" si="339"/>
        <v>0.5</v>
      </c>
      <c r="E2823" s="6" t="s">
        <v>19</v>
      </c>
      <c r="F2823" s="6" t="str">
        <f>MID(A2823,19,1)</f>
        <v>N</v>
      </c>
      <c r="G2823" s="6">
        <v>-22.83237614679544</v>
      </c>
      <c r="H2823" s="6">
        <v>-47.358696298835078</v>
      </c>
      <c r="I2823" s="9">
        <v>2969.23</v>
      </c>
      <c r="K2823" s="6">
        <v>2.08</v>
      </c>
      <c r="L2823" s="6">
        <v>70</v>
      </c>
      <c r="N2823" s="1">
        <f t="shared" si="346"/>
        <v>0</v>
      </c>
      <c r="O2823" s="6" t="s">
        <v>20</v>
      </c>
      <c r="Q2823" s="6" t="s">
        <v>21</v>
      </c>
      <c r="R2823" s="6" t="s">
        <v>21</v>
      </c>
      <c r="S2823" s="6" t="s">
        <v>21</v>
      </c>
      <c r="T2823" s="6" t="s">
        <v>21</v>
      </c>
      <c r="U2823" s="6">
        <f t="shared" si="347"/>
        <v>2078.4609999999998</v>
      </c>
      <c r="V2823" s="6">
        <f t="shared" si="344"/>
        <v>2078.4609999999998</v>
      </c>
    </row>
    <row r="2824" spans="1:22" x14ac:dyDescent="0.35">
      <c r="A2824" s="6" t="s">
        <v>3091</v>
      </c>
      <c r="B2824" s="6" t="s">
        <v>3092</v>
      </c>
      <c r="C2824" s="6" t="s">
        <v>3093</v>
      </c>
      <c r="D2824" s="6">
        <f t="shared" si="339"/>
        <v>0.5</v>
      </c>
      <c r="E2824" s="6" t="s">
        <v>19</v>
      </c>
      <c r="F2824" s="6" t="str">
        <f>MID(A2824,19,1)</f>
        <v>N</v>
      </c>
      <c r="G2824" s="6">
        <v>-22.740422343786591</v>
      </c>
      <c r="H2824" s="6">
        <v>-47.271991192922947</v>
      </c>
      <c r="I2824" s="9">
        <v>99.41</v>
      </c>
      <c r="K2824" s="6">
        <v>4.38</v>
      </c>
      <c r="L2824" s="6">
        <v>50</v>
      </c>
      <c r="N2824" s="1">
        <f t="shared" si="346"/>
        <v>0</v>
      </c>
      <c r="O2824" s="6" t="s">
        <v>20</v>
      </c>
      <c r="Q2824" s="6" t="s">
        <v>21</v>
      </c>
      <c r="R2824" s="6" t="s">
        <v>21</v>
      </c>
      <c r="S2824" s="6" t="s">
        <v>21</v>
      </c>
      <c r="T2824" s="6" t="s">
        <v>21</v>
      </c>
      <c r="U2824" s="6">
        <f t="shared" si="347"/>
        <v>49.704999999999998</v>
      </c>
      <c r="V2824" s="6">
        <f t="shared" si="344"/>
        <v>49.704999999999998</v>
      </c>
    </row>
    <row r="2825" spans="1:22" x14ac:dyDescent="0.35">
      <c r="A2825" s="6" t="s">
        <v>3094</v>
      </c>
      <c r="B2825" s="6" t="s">
        <v>3092</v>
      </c>
      <c r="C2825" s="6" t="s">
        <v>3093</v>
      </c>
      <c r="D2825" s="6">
        <f t="shared" si="339"/>
        <v>0.5</v>
      </c>
      <c r="E2825" s="6" t="s">
        <v>19</v>
      </c>
      <c r="F2825" s="6" t="str">
        <f>MID(A2825,19,1)</f>
        <v>N</v>
      </c>
      <c r="G2825" s="6">
        <v>-22.739346256230029</v>
      </c>
      <c r="H2825" s="6">
        <v>-47.274133636681803</v>
      </c>
      <c r="I2825" s="9">
        <v>1709.42</v>
      </c>
      <c r="K2825" s="6">
        <v>2.76</v>
      </c>
      <c r="L2825" s="6">
        <v>50</v>
      </c>
      <c r="N2825" s="1">
        <f t="shared" si="346"/>
        <v>0</v>
      </c>
      <c r="O2825" s="6" t="s">
        <v>20</v>
      </c>
      <c r="Q2825" s="6" t="s">
        <v>21</v>
      </c>
      <c r="R2825" s="6" t="s">
        <v>21</v>
      </c>
      <c r="S2825" s="6" t="s">
        <v>21</v>
      </c>
      <c r="T2825" s="6" t="s">
        <v>21</v>
      </c>
      <c r="U2825" s="6">
        <f t="shared" si="347"/>
        <v>854.71</v>
      </c>
      <c r="V2825" s="6">
        <f t="shared" si="344"/>
        <v>854.71</v>
      </c>
    </row>
    <row r="2826" spans="1:22" hidden="1" x14ac:dyDescent="0.35">
      <c r="A2826" s="6" t="s">
        <v>3095</v>
      </c>
      <c r="B2826" s="6" t="s">
        <v>3092</v>
      </c>
      <c r="C2826" s="6" t="s">
        <v>3093</v>
      </c>
      <c r="D2826" s="6">
        <f t="shared" si="339"/>
        <v>0.5</v>
      </c>
      <c r="E2826" s="6" t="s">
        <v>19</v>
      </c>
      <c r="F2826" s="6" t="str">
        <f>MID(A2826,19,1)</f>
        <v>S</v>
      </c>
      <c r="G2826" s="6">
        <v>-22.830245198501359</v>
      </c>
      <c r="H2826" s="6">
        <v>-47.363509526114633</v>
      </c>
      <c r="I2826" s="9">
        <v>1874.48</v>
      </c>
      <c r="K2826" s="6">
        <v>2.96</v>
      </c>
      <c r="L2826" s="6">
        <v>70</v>
      </c>
      <c r="N2826" s="1">
        <f t="shared" si="346"/>
        <v>0</v>
      </c>
      <c r="O2826" s="6" t="s">
        <v>20</v>
      </c>
      <c r="Q2826" s="6" t="s">
        <v>21</v>
      </c>
      <c r="R2826" s="6" t="s">
        <v>21</v>
      </c>
      <c r="S2826" s="6" t="s">
        <v>21</v>
      </c>
      <c r="T2826" s="6" t="s">
        <v>21</v>
      </c>
      <c r="U2826" s="6">
        <f t="shared" si="347"/>
        <v>1312.136</v>
      </c>
      <c r="V2826" s="6">
        <f t="shared" si="344"/>
        <v>1312.136</v>
      </c>
    </row>
    <row r="2827" spans="1:22" x14ac:dyDescent="0.35">
      <c r="A2827" s="6" t="s">
        <v>3096</v>
      </c>
      <c r="B2827" s="6" t="s">
        <v>3092</v>
      </c>
      <c r="C2827" s="6" t="s">
        <v>3093</v>
      </c>
      <c r="D2827" s="6">
        <f t="shared" si="339"/>
        <v>0.5</v>
      </c>
      <c r="E2827" s="6" t="s">
        <v>19</v>
      </c>
      <c r="F2827" s="6" t="str">
        <f>MID(A2827,19,1)</f>
        <v>N</v>
      </c>
      <c r="G2827" s="6">
        <v>-22.736780193254969</v>
      </c>
      <c r="H2827" s="6">
        <v>-47.27974639906337</v>
      </c>
      <c r="I2827" s="9">
        <v>945.75</v>
      </c>
      <c r="K2827" s="6">
        <v>4.7</v>
      </c>
      <c r="L2827" s="6">
        <v>50</v>
      </c>
      <c r="N2827" s="1">
        <f t="shared" si="346"/>
        <v>0</v>
      </c>
      <c r="O2827" s="6" t="s">
        <v>20</v>
      </c>
      <c r="Q2827" s="6" t="s">
        <v>21</v>
      </c>
      <c r="R2827" s="6" t="s">
        <v>21</v>
      </c>
      <c r="S2827" s="6" t="s">
        <v>21</v>
      </c>
      <c r="T2827" s="6" t="s">
        <v>21</v>
      </c>
      <c r="U2827" s="6">
        <f t="shared" si="347"/>
        <v>472.875</v>
      </c>
      <c r="V2827" s="6">
        <f t="shared" si="344"/>
        <v>472.875</v>
      </c>
    </row>
    <row r="2828" spans="1:22" hidden="1" x14ac:dyDescent="0.35">
      <c r="A2828" s="6" t="s">
        <v>3097</v>
      </c>
      <c r="B2828" s="6" t="s">
        <v>3092</v>
      </c>
      <c r="C2828" s="6" t="s">
        <v>3093</v>
      </c>
      <c r="D2828" s="6">
        <f t="shared" si="339"/>
        <v>0.5</v>
      </c>
      <c r="E2828" s="6" t="s">
        <v>23</v>
      </c>
      <c r="F2828" s="6" t="str">
        <f>MID(A2828,19,1)</f>
        <v>C</v>
      </c>
      <c r="G2828" s="6">
        <v>-22.830085098985759</v>
      </c>
      <c r="H2828" s="6">
        <v>-47.363372534136758</v>
      </c>
      <c r="I2828" s="9">
        <v>5404.63</v>
      </c>
      <c r="J2828" s="9">
        <f t="shared" ref="J2828:J2829" si="349">I2828/500</f>
        <v>10.80926</v>
      </c>
      <c r="K2828" s="6">
        <v>2.39</v>
      </c>
      <c r="L2828" s="6">
        <v>80</v>
      </c>
      <c r="N2828" s="1">
        <f t="shared" si="346"/>
        <v>0</v>
      </c>
      <c r="O2828" s="6" t="s">
        <v>20</v>
      </c>
      <c r="Q2828" s="6" t="s">
        <v>21</v>
      </c>
      <c r="R2828" s="6" t="s">
        <v>21</v>
      </c>
      <c r="S2828" s="6" t="s">
        <v>21</v>
      </c>
      <c r="T2828" s="6" t="s">
        <v>21</v>
      </c>
      <c r="U2828" s="6">
        <f t="shared" si="347"/>
        <v>4323.7040000000006</v>
      </c>
      <c r="V2828" s="6">
        <f t="shared" si="344"/>
        <v>4323.7040000000006</v>
      </c>
    </row>
    <row r="2829" spans="1:22" hidden="1" x14ac:dyDescent="0.35">
      <c r="A2829" s="6" t="s">
        <v>3098</v>
      </c>
      <c r="B2829" s="6" t="s">
        <v>3092</v>
      </c>
      <c r="C2829" s="6" t="s">
        <v>3093</v>
      </c>
      <c r="D2829" s="6">
        <f t="shared" si="339"/>
        <v>0.5</v>
      </c>
      <c r="E2829" s="6" t="s">
        <v>23</v>
      </c>
      <c r="F2829" s="6" t="str">
        <f>MID(A2829,19,1)</f>
        <v>C</v>
      </c>
      <c r="G2829" s="6">
        <v>-22.827805167490059</v>
      </c>
      <c r="H2829" s="6">
        <v>-47.367436253760332</v>
      </c>
      <c r="I2829" s="9">
        <v>5893.67</v>
      </c>
      <c r="J2829" s="9">
        <f t="shared" si="349"/>
        <v>11.78734</v>
      </c>
      <c r="K2829" s="6">
        <v>2.95</v>
      </c>
      <c r="L2829" s="6">
        <v>80</v>
      </c>
      <c r="N2829" s="1">
        <f t="shared" si="346"/>
        <v>0</v>
      </c>
      <c r="O2829" s="6" t="s">
        <v>20</v>
      </c>
      <c r="Q2829" s="6" t="s">
        <v>21</v>
      </c>
      <c r="R2829" s="6" t="s">
        <v>21</v>
      </c>
      <c r="S2829" s="6" t="s">
        <v>21</v>
      </c>
      <c r="T2829" s="6" t="s">
        <v>21</v>
      </c>
      <c r="U2829" s="6">
        <f t="shared" si="347"/>
        <v>4714.9360000000006</v>
      </c>
      <c r="V2829" s="6">
        <f t="shared" si="344"/>
        <v>4714.9360000000006</v>
      </c>
    </row>
    <row r="2830" spans="1:22" x14ac:dyDescent="0.35">
      <c r="A2830" s="6" t="s">
        <v>3099</v>
      </c>
      <c r="B2830" s="6" t="s">
        <v>3092</v>
      </c>
      <c r="C2830" s="6" t="s">
        <v>3093</v>
      </c>
      <c r="D2830" s="6">
        <f t="shared" ref="D2830:D2893" si="350">C2830-B2830</f>
        <v>0.5</v>
      </c>
      <c r="E2830" s="6" t="s">
        <v>19</v>
      </c>
      <c r="F2830" s="6" t="str">
        <f>MID(A2830,19,1)</f>
        <v>N</v>
      </c>
      <c r="G2830" s="6">
        <v>-22.737249261947358</v>
      </c>
      <c r="H2830" s="6">
        <v>-47.278742643776177</v>
      </c>
      <c r="I2830" s="9">
        <v>59.56</v>
      </c>
      <c r="K2830" s="6">
        <v>5.08</v>
      </c>
      <c r="L2830" s="6">
        <v>50</v>
      </c>
      <c r="N2830" s="1">
        <f t="shared" si="346"/>
        <v>0</v>
      </c>
      <c r="O2830" s="6" t="s">
        <v>20</v>
      </c>
      <c r="Q2830" s="6" t="s">
        <v>21</v>
      </c>
      <c r="R2830" s="6" t="s">
        <v>21</v>
      </c>
      <c r="S2830" s="6" t="s">
        <v>21</v>
      </c>
      <c r="T2830" s="6" t="s">
        <v>21</v>
      </c>
      <c r="U2830" s="6">
        <f t="shared" si="347"/>
        <v>29.78</v>
      </c>
      <c r="V2830" s="6">
        <f t="shared" si="344"/>
        <v>29.78</v>
      </c>
    </row>
    <row r="2831" spans="1:22" x14ac:dyDescent="0.35">
      <c r="A2831" s="6" t="s">
        <v>3100</v>
      </c>
      <c r="B2831" s="6" t="s">
        <v>3092</v>
      </c>
      <c r="C2831" s="6" t="s">
        <v>3093</v>
      </c>
      <c r="D2831" s="6">
        <f t="shared" si="350"/>
        <v>0.5</v>
      </c>
      <c r="E2831" s="6" t="s">
        <v>19</v>
      </c>
      <c r="F2831" s="6" t="str">
        <f>MID(A2831,19,1)</f>
        <v>N</v>
      </c>
      <c r="G2831" s="6">
        <v>-22.737915055602379</v>
      </c>
      <c r="H2831" s="6">
        <v>-47.277371776372853</v>
      </c>
      <c r="I2831" s="9">
        <v>1294.22</v>
      </c>
      <c r="K2831" s="6">
        <v>3.47</v>
      </c>
      <c r="L2831" s="6">
        <v>50</v>
      </c>
      <c r="N2831" s="1">
        <f t="shared" si="346"/>
        <v>0</v>
      </c>
      <c r="O2831" s="6" t="s">
        <v>20</v>
      </c>
      <c r="Q2831" s="6" t="s">
        <v>21</v>
      </c>
      <c r="R2831" s="6" t="s">
        <v>21</v>
      </c>
      <c r="S2831" s="6" t="s">
        <v>21</v>
      </c>
      <c r="T2831" s="6" t="s">
        <v>21</v>
      </c>
      <c r="U2831" s="6">
        <f t="shared" si="347"/>
        <v>647.11</v>
      </c>
      <c r="V2831" s="6">
        <f t="shared" si="344"/>
        <v>647.11</v>
      </c>
    </row>
    <row r="2832" spans="1:22" x14ac:dyDescent="0.35">
      <c r="A2832" s="6" t="s">
        <v>3101</v>
      </c>
      <c r="B2832" s="6" t="s">
        <v>3092</v>
      </c>
      <c r="C2832" s="6" t="s">
        <v>3093</v>
      </c>
      <c r="D2832" s="6">
        <f t="shared" si="350"/>
        <v>0.5</v>
      </c>
      <c r="E2832" s="6" t="s">
        <v>19</v>
      </c>
      <c r="F2832" s="6" t="str">
        <f>MID(A2832,19,1)</f>
        <v>N</v>
      </c>
      <c r="G2832" s="6">
        <v>-22.827641768138481</v>
      </c>
      <c r="H2832" s="6">
        <v>-47.367302375319042</v>
      </c>
      <c r="I2832" s="9">
        <v>2081.0700000000002</v>
      </c>
      <c r="K2832" s="6">
        <v>2.4500000000000002</v>
      </c>
      <c r="L2832" s="6">
        <v>70</v>
      </c>
      <c r="N2832" s="1">
        <f t="shared" si="346"/>
        <v>0</v>
      </c>
      <c r="O2832" s="6" t="s">
        <v>20</v>
      </c>
      <c r="Q2832" s="6" t="s">
        <v>21</v>
      </c>
      <c r="R2832" s="6" t="s">
        <v>21</v>
      </c>
      <c r="S2832" s="6" t="s">
        <v>21</v>
      </c>
      <c r="T2832" s="6" t="s">
        <v>21</v>
      </c>
      <c r="U2832" s="6">
        <f t="shared" si="347"/>
        <v>1456.749</v>
      </c>
      <c r="V2832" s="6">
        <f t="shared" si="344"/>
        <v>1456.749</v>
      </c>
    </row>
    <row r="2833" spans="1:22" x14ac:dyDescent="0.35">
      <c r="A2833" s="6" t="s">
        <v>3102</v>
      </c>
      <c r="B2833" s="6" t="s">
        <v>3092</v>
      </c>
      <c r="C2833" s="6" t="s">
        <v>3093</v>
      </c>
      <c r="D2833" s="6">
        <f t="shared" si="350"/>
        <v>0.5</v>
      </c>
      <c r="E2833" s="6" t="s">
        <v>19</v>
      </c>
      <c r="F2833" s="6" t="str">
        <f>MID(A2833,19,1)</f>
        <v>N</v>
      </c>
      <c r="G2833" s="6">
        <v>-22.739395585169891</v>
      </c>
      <c r="H2833" s="6">
        <v>-47.274297342392202</v>
      </c>
      <c r="I2833" s="9">
        <v>1874.37</v>
      </c>
      <c r="K2833" s="6">
        <v>2.94</v>
      </c>
      <c r="L2833" s="6">
        <v>50</v>
      </c>
      <c r="N2833" s="1">
        <f t="shared" si="346"/>
        <v>0</v>
      </c>
      <c r="O2833" s="6" t="s">
        <v>20</v>
      </c>
      <c r="Q2833" s="6" t="s">
        <v>21</v>
      </c>
      <c r="R2833" s="6" t="s">
        <v>21</v>
      </c>
      <c r="S2833" s="6" t="s">
        <v>21</v>
      </c>
      <c r="T2833" s="6" t="s">
        <v>21</v>
      </c>
      <c r="U2833" s="6">
        <f t="shared" si="347"/>
        <v>937.18499999999995</v>
      </c>
      <c r="V2833" s="6">
        <f t="shared" si="344"/>
        <v>937.18499999999995</v>
      </c>
    </row>
    <row r="2834" spans="1:22" x14ac:dyDescent="0.35">
      <c r="A2834" s="6" t="s">
        <v>3103</v>
      </c>
      <c r="B2834" s="6" t="s">
        <v>3092</v>
      </c>
      <c r="C2834" s="6" t="s">
        <v>3093</v>
      </c>
      <c r="D2834" s="6">
        <f t="shared" si="350"/>
        <v>0.5</v>
      </c>
      <c r="E2834" s="6" t="s">
        <v>19</v>
      </c>
      <c r="F2834" s="6" t="str">
        <f>MID(A2834,19,1)</f>
        <v>N</v>
      </c>
      <c r="G2834" s="6">
        <v>-22.738333550979881</v>
      </c>
      <c r="H2834" s="6">
        <v>-47.27625522020341</v>
      </c>
      <c r="I2834" s="9">
        <v>291.92</v>
      </c>
      <c r="K2834" s="6">
        <v>2.96</v>
      </c>
      <c r="L2834" s="6">
        <v>50</v>
      </c>
      <c r="N2834" s="1">
        <f t="shared" si="346"/>
        <v>0</v>
      </c>
      <c r="O2834" s="6" t="s">
        <v>20</v>
      </c>
      <c r="Q2834" s="6" t="s">
        <v>21</v>
      </c>
      <c r="R2834" s="6" t="s">
        <v>21</v>
      </c>
      <c r="S2834" s="6" t="s">
        <v>21</v>
      </c>
      <c r="T2834" s="6" t="s">
        <v>21</v>
      </c>
      <c r="U2834" s="6">
        <f t="shared" si="347"/>
        <v>145.96</v>
      </c>
      <c r="V2834" s="6">
        <f t="shared" si="344"/>
        <v>145.96</v>
      </c>
    </row>
    <row r="2835" spans="1:22" hidden="1" x14ac:dyDescent="0.35">
      <c r="A2835" s="6" t="s">
        <v>3104</v>
      </c>
      <c r="B2835" s="6" t="s">
        <v>3092</v>
      </c>
      <c r="C2835" s="6" t="s">
        <v>3093</v>
      </c>
      <c r="D2835" s="6">
        <f t="shared" si="350"/>
        <v>0.5</v>
      </c>
      <c r="E2835" s="6" t="s">
        <v>19</v>
      </c>
      <c r="F2835" s="6" t="str">
        <f>MID(A2835,19,1)</f>
        <v>S</v>
      </c>
      <c r="G2835" s="6">
        <v>-22.827970082898538</v>
      </c>
      <c r="H2835" s="6">
        <v>-47.367571464259782</v>
      </c>
      <c r="I2835" s="9">
        <v>2024.24</v>
      </c>
      <c r="K2835" s="6">
        <v>3.37</v>
      </c>
      <c r="L2835" s="6">
        <v>70</v>
      </c>
      <c r="N2835" s="1">
        <f t="shared" si="346"/>
        <v>0</v>
      </c>
      <c r="O2835" s="6" t="s">
        <v>20</v>
      </c>
      <c r="Q2835" s="6" t="s">
        <v>21</v>
      </c>
      <c r="R2835" s="6" t="s">
        <v>21</v>
      </c>
      <c r="S2835" s="6" t="s">
        <v>21</v>
      </c>
      <c r="T2835" s="6" t="s">
        <v>21</v>
      </c>
      <c r="U2835" s="6">
        <f t="shared" si="347"/>
        <v>1416.9679999999998</v>
      </c>
      <c r="V2835" s="6">
        <f t="shared" si="344"/>
        <v>1416.9679999999998</v>
      </c>
    </row>
    <row r="2836" spans="1:22" hidden="1" x14ac:dyDescent="0.35">
      <c r="A2836" s="6" t="s">
        <v>3105</v>
      </c>
      <c r="B2836" s="6" t="s">
        <v>3092</v>
      </c>
      <c r="C2836" s="6" t="s">
        <v>3093</v>
      </c>
      <c r="D2836" s="6">
        <f t="shared" si="350"/>
        <v>0.5</v>
      </c>
      <c r="E2836" s="6" t="s">
        <v>19</v>
      </c>
      <c r="F2836" s="6" t="str">
        <f>MID(A2836,19,1)</f>
        <v>S</v>
      </c>
      <c r="G2836" s="6">
        <v>-22.739877802264129</v>
      </c>
      <c r="H2836" s="6">
        <v>-47.274095867091589</v>
      </c>
      <c r="I2836" s="9">
        <v>1787.32</v>
      </c>
      <c r="K2836" s="6">
        <v>3.63</v>
      </c>
      <c r="L2836" s="6">
        <v>50</v>
      </c>
      <c r="N2836" s="1">
        <f t="shared" si="346"/>
        <v>0</v>
      </c>
      <c r="O2836" s="6" t="s">
        <v>20</v>
      </c>
      <c r="Q2836" s="6" t="s">
        <v>21</v>
      </c>
      <c r="R2836" s="6" t="s">
        <v>21</v>
      </c>
      <c r="S2836" s="6" t="s">
        <v>21</v>
      </c>
      <c r="T2836" s="6" t="s">
        <v>21</v>
      </c>
      <c r="U2836" s="6">
        <f t="shared" si="347"/>
        <v>893.66</v>
      </c>
      <c r="V2836" s="6">
        <f t="shared" si="344"/>
        <v>893.66</v>
      </c>
    </row>
    <row r="2837" spans="1:22" x14ac:dyDescent="0.35">
      <c r="A2837" s="6" t="s">
        <v>3106</v>
      </c>
      <c r="B2837" s="6" t="s">
        <v>3092</v>
      </c>
      <c r="C2837" s="6" t="s">
        <v>3093</v>
      </c>
      <c r="D2837" s="6">
        <f t="shared" si="350"/>
        <v>0.5</v>
      </c>
      <c r="E2837" s="6" t="s">
        <v>19</v>
      </c>
      <c r="F2837" s="6" t="str">
        <f>MID(A2837,19,1)</f>
        <v>N</v>
      </c>
      <c r="G2837" s="6">
        <v>-22.829919383089859</v>
      </c>
      <c r="H2837" s="6">
        <v>-47.36324400663355</v>
      </c>
      <c r="I2837" s="9">
        <v>1816.25</v>
      </c>
      <c r="K2837" s="6">
        <v>2.2000000000000002</v>
      </c>
      <c r="L2837" s="6">
        <v>70</v>
      </c>
      <c r="N2837" s="1">
        <f t="shared" si="346"/>
        <v>0</v>
      </c>
      <c r="O2837" s="6" t="s">
        <v>20</v>
      </c>
      <c r="Q2837" s="6" t="s">
        <v>21</v>
      </c>
      <c r="R2837" s="6" t="s">
        <v>21</v>
      </c>
      <c r="S2837" s="6" t="s">
        <v>21</v>
      </c>
      <c r="T2837" s="6" t="s">
        <v>21</v>
      </c>
      <c r="U2837" s="6">
        <f t="shared" si="347"/>
        <v>1271.375</v>
      </c>
      <c r="V2837" s="6">
        <f t="shared" si="344"/>
        <v>1271.375</v>
      </c>
    </row>
    <row r="2838" spans="1:22" x14ac:dyDescent="0.35">
      <c r="A2838" s="6" t="s">
        <v>3107</v>
      </c>
      <c r="B2838" s="6" t="s">
        <v>3092</v>
      </c>
      <c r="C2838" s="6" t="s">
        <v>3093</v>
      </c>
      <c r="D2838" s="6">
        <f t="shared" si="350"/>
        <v>0.5</v>
      </c>
      <c r="E2838" s="6" t="s">
        <v>19</v>
      </c>
      <c r="F2838" s="6" t="str">
        <f>MID(A2838,19,1)</f>
        <v>N</v>
      </c>
      <c r="G2838" s="6">
        <v>-22.738372340616468</v>
      </c>
      <c r="H2838" s="6">
        <v>-47.276041650891472</v>
      </c>
      <c r="I2838" s="9">
        <v>80.88</v>
      </c>
      <c r="K2838" s="6">
        <v>3.74</v>
      </c>
      <c r="L2838" s="6">
        <v>50</v>
      </c>
      <c r="N2838" s="1">
        <f t="shared" si="346"/>
        <v>0</v>
      </c>
      <c r="O2838" s="6" t="s">
        <v>20</v>
      </c>
      <c r="Q2838" s="6" t="s">
        <v>21</v>
      </c>
      <c r="R2838" s="6" t="s">
        <v>21</v>
      </c>
      <c r="S2838" s="6" t="s">
        <v>21</v>
      </c>
      <c r="T2838" s="6" t="s">
        <v>21</v>
      </c>
      <c r="U2838" s="6">
        <f t="shared" si="347"/>
        <v>40.44</v>
      </c>
      <c r="V2838" s="6">
        <f t="shared" si="344"/>
        <v>40.44</v>
      </c>
    </row>
    <row r="2839" spans="1:22" hidden="1" x14ac:dyDescent="0.35">
      <c r="A2839" s="6" t="s">
        <v>3108</v>
      </c>
      <c r="B2839" s="6" t="s">
        <v>3092</v>
      </c>
      <c r="C2839" s="6" t="s">
        <v>3093</v>
      </c>
      <c r="D2839" s="6">
        <f t="shared" si="350"/>
        <v>0.5</v>
      </c>
      <c r="E2839" s="6" t="s">
        <v>19</v>
      </c>
      <c r="F2839" s="6" t="str">
        <f>MID(A2839,19,1)</f>
        <v>S</v>
      </c>
      <c r="G2839" s="6">
        <v>-22.737805357224989</v>
      </c>
      <c r="H2839" s="6">
        <v>-47.278420838556663</v>
      </c>
      <c r="I2839" s="9">
        <v>2214.58</v>
      </c>
      <c r="K2839" s="6">
        <v>3.15</v>
      </c>
      <c r="L2839" s="6">
        <v>50</v>
      </c>
      <c r="N2839" s="1">
        <f t="shared" si="346"/>
        <v>0</v>
      </c>
      <c r="O2839" s="6" t="s">
        <v>20</v>
      </c>
      <c r="Q2839" s="6" t="s">
        <v>21</v>
      </c>
      <c r="R2839" s="6" t="s">
        <v>21</v>
      </c>
      <c r="S2839" s="6" t="s">
        <v>21</v>
      </c>
      <c r="T2839" s="6" t="s">
        <v>21</v>
      </c>
      <c r="U2839" s="6">
        <f t="shared" si="347"/>
        <v>1107.29</v>
      </c>
      <c r="V2839" s="6">
        <f t="shared" si="344"/>
        <v>1107.29</v>
      </c>
    </row>
    <row r="2840" spans="1:22" x14ac:dyDescent="0.35">
      <c r="A2840" s="6" t="s">
        <v>3109</v>
      </c>
      <c r="B2840" s="6" t="s">
        <v>3110</v>
      </c>
      <c r="C2840" s="6" t="s">
        <v>3111</v>
      </c>
      <c r="D2840" s="6">
        <f t="shared" si="350"/>
        <v>0.5</v>
      </c>
      <c r="E2840" s="6" t="s">
        <v>19</v>
      </c>
      <c r="F2840" s="6" t="str">
        <f>MID(A2840,19,1)</f>
        <v>N</v>
      </c>
      <c r="G2840" s="6">
        <v>-22.73354098794502</v>
      </c>
      <c r="H2840" s="6">
        <v>-47.286482771140108</v>
      </c>
      <c r="I2840" s="9">
        <v>65.12</v>
      </c>
      <c r="K2840" s="6">
        <v>1.53</v>
      </c>
      <c r="L2840" s="6">
        <v>50</v>
      </c>
      <c r="N2840" s="1">
        <f t="shared" si="346"/>
        <v>0</v>
      </c>
      <c r="O2840" s="6" t="s">
        <v>20</v>
      </c>
      <c r="Q2840" s="6" t="s">
        <v>21</v>
      </c>
      <c r="R2840" s="6" t="s">
        <v>21</v>
      </c>
      <c r="S2840" s="6" t="s">
        <v>21</v>
      </c>
      <c r="T2840" s="6" t="s">
        <v>21</v>
      </c>
      <c r="U2840" s="6">
        <f t="shared" si="347"/>
        <v>32.56</v>
      </c>
      <c r="V2840" s="6">
        <f t="shared" si="344"/>
        <v>32.56</v>
      </c>
    </row>
    <row r="2841" spans="1:22" x14ac:dyDescent="0.35">
      <c r="A2841" s="6" t="s">
        <v>3112</v>
      </c>
      <c r="B2841" s="6" t="s">
        <v>3110</v>
      </c>
      <c r="C2841" s="6" t="s">
        <v>3111</v>
      </c>
      <c r="D2841" s="6">
        <f t="shared" si="350"/>
        <v>0.5</v>
      </c>
      <c r="E2841" s="6" t="s">
        <v>19</v>
      </c>
      <c r="F2841" s="6" t="str">
        <f>MID(A2841,19,1)</f>
        <v>N</v>
      </c>
      <c r="G2841" s="6">
        <v>-22.735240671377991</v>
      </c>
      <c r="H2841" s="6">
        <v>-47.28288175316797</v>
      </c>
      <c r="I2841" s="9">
        <v>2500.39</v>
      </c>
      <c r="K2841" s="6">
        <v>4.47</v>
      </c>
      <c r="L2841" s="6">
        <v>50</v>
      </c>
      <c r="N2841" s="1">
        <f t="shared" si="346"/>
        <v>0</v>
      </c>
      <c r="O2841" s="6" t="s">
        <v>20</v>
      </c>
      <c r="Q2841" s="6" t="s">
        <v>21</v>
      </c>
      <c r="R2841" s="6" t="s">
        <v>21</v>
      </c>
      <c r="S2841" s="6" t="s">
        <v>21</v>
      </c>
      <c r="T2841" s="6" t="s">
        <v>21</v>
      </c>
      <c r="U2841" s="6">
        <f t="shared" si="347"/>
        <v>1250.1949999999999</v>
      </c>
      <c r="V2841" s="6">
        <f t="shared" si="344"/>
        <v>1250.1949999999999</v>
      </c>
    </row>
    <row r="2842" spans="1:22" x14ac:dyDescent="0.35">
      <c r="A2842" s="6" t="s">
        <v>3113</v>
      </c>
      <c r="B2842" s="6" t="s">
        <v>3110</v>
      </c>
      <c r="C2842" s="6" t="s">
        <v>3111</v>
      </c>
      <c r="D2842" s="6">
        <f t="shared" si="350"/>
        <v>0.5</v>
      </c>
      <c r="E2842" s="6" t="s">
        <v>19</v>
      </c>
      <c r="F2842" s="6" t="str">
        <f>MID(A2842,19,1)</f>
        <v>N</v>
      </c>
      <c r="G2842" s="6">
        <v>-22.7359137925122</v>
      </c>
      <c r="H2842" s="6">
        <v>-47.28153760934363</v>
      </c>
      <c r="I2842" s="9">
        <v>720.71</v>
      </c>
      <c r="K2842" s="6">
        <v>4.5999999999999996</v>
      </c>
      <c r="L2842" s="6">
        <v>50</v>
      </c>
      <c r="N2842" s="1">
        <f t="shared" si="346"/>
        <v>0</v>
      </c>
      <c r="O2842" s="6" t="s">
        <v>20</v>
      </c>
      <c r="Q2842" s="6" t="s">
        <v>21</v>
      </c>
      <c r="R2842" s="6" t="s">
        <v>21</v>
      </c>
      <c r="S2842" s="6" t="s">
        <v>21</v>
      </c>
      <c r="T2842" s="6" t="s">
        <v>21</v>
      </c>
      <c r="U2842" s="6">
        <f t="shared" si="347"/>
        <v>360.35500000000002</v>
      </c>
      <c r="V2842" s="6">
        <f t="shared" si="344"/>
        <v>360.35500000000002</v>
      </c>
    </row>
    <row r="2843" spans="1:22" hidden="1" x14ac:dyDescent="0.35">
      <c r="A2843" s="6" t="s">
        <v>3114</v>
      </c>
      <c r="B2843" s="6" t="s">
        <v>3110</v>
      </c>
      <c r="C2843" s="6" t="s">
        <v>3111</v>
      </c>
      <c r="D2843" s="6">
        <f t="shared" si="350"/>
        <v>0.5</v>
      </c>
      <c r="E2843" s="6" t="s">
        <v>19</v>
      </c>
      <c r="F2843" s="6" t="str">
        <f>MID(A2843,19,1)</f>
        <v>S</v>
      </c>
      <c r="G2843" s="6">
        <v>-22.73502443140023</v>
      </c>
      <c r="H2843" s="6">
        <v>-47.284329221626933</v>
      </c>
      <c r="I2843" s="9">
        <v>441.61</v>
      </c>
      <c r="K2843" s="6">
        <v>4.49</v>
      </c>
      <c r="L2843" s="6">
        <v>50</v>
      </c>
      <c r="N2843" s="1">
        <f t="shared" si="346"/>
        <v>0</v>
      </c>
      <c r="O2843" s="6" t="s">
        <v>20</v>
      </c>
      <c r="Q2843" s="6" t="s">
        <v>21</v>
      </c>
      <c r="R2843" s="6" t="s">
        <v>21</v>
      </c>
      <c r="S2843" s="6" t="s">
        <v>21</v>
      </c>
      <c r="T2843" s="6" t="s">
        <v>21</v>
      </c>
      <c r="U2843" s="6">
        <f t="shared" si="347"/>
        <v>220.80500000000001</v>
      </c>
      <c r="V2843" s="6">
        <f t="shared" si="344"/>
        <v>220.80500000000001</v>
      </c>
    </row>
    <row r="2844" spans="1:22" hidden="1" x14ac:dyDescent="0.35">
      <c r="A2844" s="6" t="s">
        <v>3115</v>
      </c>
      <c r="B2844" s="6" t="s">
        <v>3110</v>
      </c>
      <c r="C2844" s="6" t="s">
        <v>3111</v>
      </c>
      <c r="D2844" s="6">
        <f t="shared" si="350"/>
        <v>0.5</v>
      </c>
      <c r="E2844" s="6" t="s">
        <v>19</v>
      </c>
      <c r="F2844" s="6" t="str">
        <f>MID(A2844,19,1)</f>
        <v>S</v>
      </c>
      <c r="G2844" s="6">
        <v>-22.732565513640349</v>
      </c>
      <c r="H2844" s="6">
        <v>-47.289007028697426</v>
      </c>
      <c r="I2844" s="9">
        <v>376.95</v>
      </c>
      <c r="K2844" s="6">
        <v>6.54</v>
      </c>
      <c r="L2844" s="6">
        <v>50</v>
      </c>
      <c r="N2844" s="1">
        <f t="shared" si="346"/>
        <v>0</v>
      </c>
      <c r="O2844" s="6" t="s">
        <v>20</v>
      </c>
      <c r="Q2844" s="6" t="s">
        <v>21</v>
      </c>
      <c r="R2844" s="6" t="s">
        <v>21</v>
      </c>
      <c r="S2844" s="6" t="s">
        <v>21</v>
      </c>
      <c r="T2844" s="6" t="s">
        <v>21</v>
      </c>
      <c r="U2844" s="6">
        <f t="shared" si="347"/>
        <v>188.47499999999999</v>
      </c>
      <c r="V2844" s="6">
        <f t="shared" si="344"/>
        <v>188.47499999999999</v>
      </c>
    </row>
    <row r="2845" spans="1:22" x14ac:dyDescent="0.35">
      <c r="A2845" s="6" t="s">
        <v>3116</v>
      </c>
      <c r="B2845" s="6" t="s">
        <v>3110</v>
      </c>
      <c r="C2845" s="6" t="s">
        <v>3111</v>
      </c>
      <c r="D2845" s="6">
        <f t="shared" si="350"/>
        <v>0.5</v>
      </c>
      <c r="E2845" s="6" t="s">
        <v>19</v>
      </c>
      <c r="F2845" s="6" t="str">
        <f>MID(A2845,19,1)</f>
        <v>N</v>
      </c>
      <c r="G2845" s="6">
        <v>-22.821481428750559</v>
      </c>
      <c r="H2845" s="6">
        <v>-47.377686313275767</v>
      </c>
      <c r="I2845" s="9">
        <v>538.66999999999996</v>
      </c>
      <c r="K2845" s="6">
        <v>2.4300000000000002</v>
      </c>
      <c r="L2845" s="6">
        <v>70</v>
      </c>
      <c r="N2845" s="1">
        <f t="shared" si="346"/>
        <v>0</v>
      </c>
      <c r="O2845" s="6" t="s">
        <v>20</v>
      </c>
      <c r="Q2845" s="6" t="s">
        <v>21</v>
      </c>
      <c r="R2845" s="6" t="s">
        <v>21</v>
      </c>
      <c r="S2845" s="6" t="s">
        <v>21</v>
      </c>
      <c r="T2845" s="6" t="s">
        <v>21</v>
      </c>
      <c r="U2845" s="6">
        <f t="shared" si="347"/>
        <v>377.06899999999996</v>
      </c>
      <c r="V2845" s="6">
        <f t="shared" si="344"/>
        <v>377.06899999999996</v>
      </c>
    </row>
    <row r="2846" spans="1:22" x14ac:dyDescent="0.35">
      <c r="A2846" s="6" t="s">
        <v>3117</v>
      </c>
      <c r="B2846" s="6" t="s">
        <v>3110</v>
      </c>
      <c r="C2846" s="6" t="s">
        <v>3111</v>
      </c>
      <c r="D2846" s="6">
        <f t="shared" si="350"/>
        <v>0.5</v>
      </c>
      <c r="E2846" s="6" t="s">
        <v>19</v>
      </c>
      <c r="F2846" s="6" t="str">
        <f>MID(A2846,19,1)</f>
        <v>N</v>
      </c>
      <c r="G2846" s="6">
        <v>-22.822722270671289</v>
      </c>
      <c r="H2846" s="6">
        <v>-47.375868833031618</v>
      </c>
      <c r="I2846" s="9">
        <v>2109.04</v>
      </c>
      <c r="K2846" s="6">
        <v>2.44</v>
      </c>
      <c r="L2846" s="6">
        <v>70</v>
      </c>
      <c r="N2846" s="1">
        <f t="shared" si="346"/>
        <v>0</v>
      </c>
      <c r="O2846" s="6" t="s">
        <v>20</v>
      </c>
      <c r="Q2846" s="6" t="s">
        <v>21</v>
      </c>
      <c r="R2846" s="6" t="s">
        <v>21</v>
      </c>
      <c r="S2846" s="6" t="s">
        <v>21</v>
      </c>
      <c r="T2846" s="6" t="s">
        <v>21</v>
      </c>
      <c r="U2846" s="6">
        <f t="shared" si="347"/>
        <v>1476.328</v>
      </c>
      <c r="V2846" s="6">
        <f t="shared" si="344"/>
        <v>1476.328</v>
      </c>
    </row>
    <row r="2847" spans="1:22" hidden="1" x14ac:dyDescent="0.35">
      <c r="A2847" s="6" t="s">
        <v>3118</v>
      </c>
      <c r="B2847" s="6" t="s">
        <v>3110</v>
      </c>
      <c r="C2847" s="6" t="s">
        <v>3111</v>
      </c>
      <c r="D2847" s="6">
        <f t="shared" si="350"/>
        <v>0.5</v>
      </c>
      <c r="E2847" s="6" t="s">
        <v>19</v>
      </c>
      <c r="F2847" s="6" t="str">
        <f>MID(A2847,19,1)</f>
        <v>S</v>
      </c>
      <c r="G2847" s="6">
        <v>-22.825597037778511</v>
      </c>
      <c r="H2847" s="6">
        <v>-47.37181615176096</v>
      </c>
      <c r="I2847" s="9">
        <v>2047.96</v>
      </c>
      <c r="K2847" s="6">
        <v>2.84</v>
      </c>
      <c r="L2847" s="6">
        <v>70</v>
      </c>
      <c r="N2847" s="1">
        <f t="shared" si="346"/>
        <v>0</v>
      </c>
      <c r="O2847" s="6" t="s">
        <v>20</v>
      </c>
      <c r="Q2847" s="6" t="s">
        <v>21</v>
      </c>
      <c r="R2847" s="6" t="s">
        <v>21</v>
      </c>
      <c r="S2847" s="6" t="s">
        <v>21</v>
      </c>
      <c r="T2847" s="6" t="s">
        <v>21</v>
      </c>
      <c r="U2847" s="6">
        <f t="shared" si="347"/>
        <v>1433.5719999999999</v>
      </c>
      <c r="V2847" s="6">
        <f t="shared" si="344"/>
        <v>1433.5719999999999</v>
      </c>
    </row>
    <row r="2848" spans="1:22" x14ac:dyDescent="0.35">
      <c r="A2848" s="6" t="s">
        <v>3119</v>
      </c>
      <c r="B2848" s="6" t="s">
        <v>3110</v>
      </c>
      <c r="C2848" s="6" t="s">
        <v>3111</v>
      </c>
      <c r="D2848" s="6">
        <f t="shared" si="350"/>
        <v>0.5</v>
      </c>
      <c r="E2848" s="6" t="s">
        <v>19</v>
      </c>
      <c r="F2848" s="6" t="str">
        <f>MID(A2848,19,1)</f>
        <v>N</v>
      </c>
      <c r="G2848" s="6">
        <v>-22.73365204472033</v>
      </c>
      <c r="H2848" s="6">
        <v>-47.286207073621242</v>
      </c>
      <c r="I2848" s="9">
        <v>305.08999999999997</v>
      </c>
      <c r="K2848" s="6">
        <v>1.96</v>
      </c>
      <c r="L2848" s="6">
        <v>50</v>
      </c>
      <c r="N2848" s="1">
        <f t="shared" si="346"/>
        <v>0</v>
      </c>
      <c r="O2848" s="6" t="s">
        <v>20</v>
      </c>
      <c r="Q2848" s="6" t="s">
        <v>21</v>
      </c>
      <c r="R2848" s="6" t="s">
        <v>21</v>
      </c>
      <c r="S2848" s="6" t="s">
        <v>21</v>
      </c>
      <c r="T2848" s="6" t="s">
        <v>21</v>
      </c>
      <c r="U2848" s="6">
        <f t="shared" si="347"/>
        <v>152.54499999999999</v>
      </c>
      <c r="V2848" s="6">
        <f t="shared" si="344"/>
        <v>152.54499999999999</v>
      </c>
    </row>
    <row r="2849" spans="1:22" x14ac:dyDescent="0.35">
      <c r="A2849" s="6" t="s">
        <v>3120</v>
      </c>
      <c r="B2849" s="6" t="s">
        <v>3110</v>
      </c>
      <c r="C2849" s="6" t="s">
        <v>3111</v>
      </c>
      <c r="D2849" s="6">
        <f t="shared" si="350"/>
        <v>0.5</v>
      </c>
      <c r="E2849" s="6" t="s">
        <v>19</v>
      </c>
      <c r="F2849" s="6" t="str">
        <f>MID(A2849,19,1)</f>
        <v>N</v>
      </c>
      <c r="G2849" s="6">
        <v>-22.732861766731819</v>
      </c>
      <c r="H2849" s="6">
        <v>-47.287805702364913</v>
      </c>
      <c r="I2849" s="9">
        <v>1318.9</v>
      </c>
      <c r="K2849" s="6">
        <v>4.0199999999999996</v>
      </c>
      <c r="L2849" s="6">
        <v>50</v>
      </c>
      <c r="N2849" s="1">
        <f t="shared" si="346"/>
        <v>0</v>
      </c>
      <c r="O2849" s="6" t="s">
        <v>20</v>
      </c>
      <c r="Q2849" s="6" t="s">
        <v>21</v>
      </c>
      <c r="R2849" s="6" t="s">
        <v>21</v>
      </c>
      <c r="S2849" s="6" t="s">
        <v>21</v>
      </c>
      <c r="T2849" s="6" t="s">
        <v>21</v>
      </c>
      <c r="U2849" s="6">
        <f t="shared" si="347"/>
        <v>659.45</v>
      </c>
      <c r="V2849" s="6">
        <f t="shared" si="344"/>
        <v>659.45</v>
      </c>
    </row>
    <row r="2850" spans="1:22" hidden="1" x14ac:dyDescent="0.35">
      <c r="A2850" s="6" t="s">
        <v>3121</v>
      </c>
      <c r="B2850" s="6" t="s">
        <v>3110</v>
      </c>
      <c r="C2850" s="6" t="s">
        <v>3111</v>
      </c>
      <c r="D2850" s="6">
        <f t="shared" si="350"/>
        <v>0.5</v>
      </c>
      <c r="E2850" s="6" t="s">
        <v>23</v>
      </c>
      <c r="F2850" s="6" t="str">
        <f>MID(A2850,19,1)</f>
        <v>C</v>
      </c>
      <c r="G2850" s="6">
        <v>-22.825407962741352</v>
      </c>
      <c r="H2850" s="6">
        <v>-47.37171272100619</v>
      </c>
      <c r="I2850" s="9">
        <v>5984.43</v>
      </c>
      <c r="J2850" s="9">
        <f t="shared" ref="J2850:J2851" si="351">I2850/500</f>
        <v>11.968860000000001</v>
      </c>
      <c r="K2850" s="6">
        <v>2.89</v>
      </c>
      <c r="L2850" s="6">
        <v>80</v>
      </c>
      <c r="N2850" s="1">
        <f t="shared" si="346"/>
        <v>0</v>
      </c>
      <c r="O2850" s="6" t="s">
        <v>20</v>
      </c>
      <c r="Q2850" s="6" t="s">
        <v>21</v>
      </c>
      <c r="R2850" s="6" t="s">
        <v>21</v>
      </c>
      <c r="S2850" s="6" t="s">
        <v>21</v>
      </c>
      <c r="T2850" s="6" t="s">
        <v>21</v>
      </c>
      <c r="U2850" s="6">
        <f t="shared" si="347"/>
        <v>4787.5440000000008</v>
      </c>
      <c r="V2850" s="6">
        <f t="shared" si="344"/>
        <v>4787.5440000000008</v>
      </c>
    </row>
    <row r="2851" spans="1:22" hidden="1" x14ac:dyDescent="0.35">
      <c r="A2851" s="6" t="s">
        <v>3122</v>
      </c>
      <c r="B2851" s="6" t="s">
        <v>3110</v>
      </c>
      <c r="C2851" s="6" t="s">
        <v>3111</v>
      </c>
      <c r="D2851" s="6">
        <f t="shared" si="350"/>
        <v>0.5</v>
      </c>
      <c r="E2851" s="6" t="s">
        <v>23</v>
      </c>
      <c r="F2851" s="6" t="str">
        <f>MID(A2851,19,1)</f>
        <v>C</v>
      </c>
      <c r="G2851" s="6">
        <v>-22.82297324463913</v>
      </c>
      <c r="H2851" s="6">
        <v>-47.375931761138439</v>
      </c>
      <c r="I2851" s="9">
        <v>5998.29</v>
      </c>
      <c r="J2851" s="9">
        <f t="shared" si="351"/>
        <v>11.99658</v>
      </c>
      <c r="K2851" s="6">
        <v>2.93</v>
      </c>
      <c r="L2851" s="6">
        <v>80</v>
      </c>
      <c r="N2851" s="1">
        <f t="shared" si="346"/>
        <v>0</v>
      </c>
      <c r="O2851" s="6" t="s">
        <v>20</v>
      </c>
      <c r="Q2851" s="6" t="s">
        <v>21</v>
      </c>
      <c r="R2851" s="6" t="s">
        <v>21</v>
      </c>
      <c r="S2851" s="6" t="s">
        <v>21</v>
      </c>
      <c r="T2851" s="6" t="s">
        <v>21</v>
      </c>
      <c r="U2851" s="6">
        <f t="shared" si="347"/>
        <v>4798.6320000000005</v>
      </c>
      <c r="V2851" s="6">
        <f t="shared" si="344"/>
        <v>4798.6320000000005</v>
      </c>
    </row>
    <row r="2852" spans="1:22" hidden="1" x14ac:dyDescent="0.35">
      <c r="A2852" s="6" t="s">
        <v>3123</v>
      </c>
      <c r="B2852" s="6" t="s">
        <v>3110</v>
      </c>
      <c r="C2852" s="6" t="s">
        <v>3111</v>
      </c>
      <c r="D2852" s="6">
        <f t="shared" si="350"/>
        <v>0.5</v>
      </c>
      <c r="E2852" s="6" t="s">
        <v>19</v>
      </c>
      <c r="F2852" s="6" t="str">
        <f>MID(A2852,19,1)</f>
        <v>S</v>
      </c>
      <c r="G2852" s="6">
        <v>-22.734781014978228</v>
      </c>
      <c r="H2852" s="6">
        <v>-47.284953871279193</v>
      </c>
      <c r="I2852" s="9">
        <v>142.91999999999999</v>
      </c>
      <c r="K2852" s="6">
        <v>2.5499999999999998</v>
      </c>
      <c r="L2852" s="6">
        <v>50</v>
      </c>
      <c r="N2852" s="1">
        <f t="shared" si="346"/>
        <v>0</v>
      </c>
      <c r="O2852" s="6" t="s">
        <v>20</v>
      </c>
      <c r="Q2852" s="6" t="s">
        <v>21</v>
      </c>
      <c r="R2852" s="6" t="s">
        <v>21</v>
      </c>
      <c r="S2852" s="6" t="s">
        <v>21</v>
      </c>
      <c r="T2852" s="6" t="s">
        <v>21</v>
      </c>
      <c r="U2852" s="6">
        <f t="shared" si="347"/>
        <v>71.459999999999994</v>
      </c>
      <c r="V2852" s="6">
        <f t="shared" si="344"/>
        <v>71.459999999999994</v>
      </c>
    </row>
    <row r="2853" spans="1:22" hidden="1" x14ac:dyDescent="0.35">
      <c r="A2853" s="6" t="s">
        <v>3124</v>
      </c>
      <c r="B2853" s="6" t="s">
        <v>3110</v>
      </c>
      <c r="C2853" s="6" t="s">
        <v>3111</v>
      </c>
      <c r="D2853" s="6">
        <f t="shared" si="350"/>
        <v>0.5</v>
      </c>
      <c r="E2853" s="6" t="s">
        <v>19</v>
      </c>
      <c r="F2853" s="6" t="str">
        <f>MID(A2853,19,1)</f>
        <v>S</v>
      </c>
      <c r="G2853" s="6">
        <v>-22.733397968095151</v>
      </c>
      <c r="H2853" s="6">
        <v>-47.287647528108103</v>
      </c>
      <c r="I2853" s="9">
        <v>1051.1199999999999</v>
      </c>
      <c r="K2853" s="6">
        <v>1.88</v>
      </c>
      <c r="L2853" s="6">
        <v>50</v>
      </c>
      <c r="N2853" s="1">
        <f t="shared" si="346"/>
        <v>0</v>
      </c>
      <c r="O2853" s="6" t="s">
        <v>20</v>
      </c>
      <c r="Q2853" s="6" t="s">
        <v>21</v>
      </c>
      <c r="R2853" s="6" t="s">
        <v>21</v>
      </c>
      <c r="S2853" s="6" t="s">
        <v>21</v>
      </c>
      <c r="T2853" s="6" t="s">
        <v>21</v>
      </c>
      <c r="U2853" s="6">
        <f t="shared" si="347"/>
        <v>525.55999999999995</v>
      </c>
      <c r="V2853" s="6">
        <f t="shared" si="344"/>
        <v>525.55999999999995</v>
      </c>
    </row>
    <row r="2854" spans="1:22" hidden="1" x14ac:dyDescent="0.35">
      <c r="A2854" s="6" t="s">
        <v>3125</v>
      </c>
      <c r="B2854" s="6" t="s">
        <v>3110</v>
      </c>
      <c r="C2854" s="6" t="s">
        <v>3111</v>
      </c>
      <c r="D2854" s="6">
        <f t="shared" si="350"/>
        <v>0.5</v>
      </c>
      <c r="E2854" s="6" t="s">
        <v>19</v>
      </c>
      <c r="F2854" s="6" t="str">
        <f>MID(A2854,19,1)</f>
        <v>S</v>
      </c>
      <c r="G2854" s="6">
        <v>-22.82316347587771</v>
      </c>
      <c r="H2854" s="6">
        <v>-47.376031991564147</v>
      </c>
      <c r="I2854" s="9">
        <v>2033.95</v>
      </c>
      <c r="K2854" s="6">
        <v>3.42</v>
      </c>
      <c r="L2854" s="6">
        <v>70</v>
      </c>
      <c r="N2854" s="1">
        <f t="shared" si="346"/>
        <v>0</v>
      </c>
      <c r="O2854" s="6" t="s">
        <v>20</v>
      </c>
      <c r="Q2854" s="6" t="s">
        <v>21</v>
      </c>
      <c r="R2854" s="6" t="s">
        <v>21</v>
      </c>
      <c r="S2854" s="6" t="s">
        <v>21</v>
      </c>
      <c r="T2854" s="6" t="s">
        <v>21</v>
      </c>
      <c r="U2854" s="6">
        <f t="shared" si="347"/>
        <v>1423.7649999999999</v>
      </c>
      <c r="V2854" s="6">
        <f t="shared" si="344"/>
        <v>1423.7649999999999</v>
      </c>
    </row>
    <row r="2855" spans="1:22" hidden="1" x14ac:dyDescent="0.35">
      <c r="A2855" s="6" t="s">
        <v>3126</v>
      </c>
      <c r="B2855" s="6" t="s">
        <v>3110</v>
      </c>
      <c r="C2855" s="6" t="s">
        <v>3111</v>
      </c>
      <c r="D2855" s="6">
        <f t="shared" si="350"/>
        <v>0.5</v>
      </c>
      <c r="E2855" s="6" t="s">
        <v>19</v>
      </c>
      <c r="F2855" s="6" t="str">
        <f>MID(A2855,19,1)</f>
        <v>S</v>
      </c>
      <c r="G2855" s="6">
        <v>-22.734343597267252</v>
      </c>
      <c r="H2855" s="6">
        <v>-47.285776960957897</v>
      </c>
      <c r="I2855" s="9">
        <v>1239.5999999999999</v>
      </c>
      <c r="K2855" s="6">
        <v>1.36</v>
      </c>
      <c r="L2855" s="6">
        <v>50</v>
      </c>
      <c r="N2855" s="1">
        <f t="shared" si="346"/>
        <v>0</v>
      </c>
      <c r="O2855" s="6" t="s">
        <v>20</v>
      </c>
      <c r="Q2855" s="6" t="s">
        <v>21</v>
      </c>
      <c r="R2855" s="6" t="s">
        <v>21</v>
      </c>
      <c r="S2855" s="6" t="s">
        <v>21</v>
      </c>
      <c r="T2855" s="6" t="s">
        <v>21</v>
      </c>
      <c r="U2855" s="6">
        <f t="shared" si="347"/>
        <v>619.79999999999995</v>
      </c>
      <c r="V2855" s="6">
        <f t="shared" si="344"/>
        <v>619.79999999999995</v>
      </c>
    </row>
    <row r="2856" spans="1:22" hidden="1" x14ac:dyDescent="0.35">
      <c r="A2856" s="6" t="s">
        <v>3127</v>
      </c>
      <c r="B2856" s="6" t="s">
        <v>3110</v>
      </c>
      <c r="C2856" s="6" t="s">
        <v>3111</v>
      </c>
      <c r="D2856" s="6">
        <f t="shared" si="350"/>
        <v>0.5</v>
      </c>
      <c r="E2856" s="6" t="s">
        <v>19</v>
      </c>
      <c r="F2856" s="6" t="str">
        <f>MID(A2856,19,1)</f>
        <v>S</v>
      </c>
      <c r="G2856" s="6">
        <v>-22.73597753611585</v>
      </c>
      <c r="H2856" s="6">
        <v>-47.282277583754798</v>
      </c>
      <c r="I2856" s="9">
        <v>1347.08</v>
      </c>
      <c r="K2856" s="6">
        <v>3.99</v>
      </c>
      <c r="L2856" s="6">
        <v>50</v>
      </c>
      <c r="N2856" s="1">
        <f t="shared" si="346"/>
        <v>0</v>
      </c>
      <c r="O2856" s="6" t="s">
        <v>20</v>
      </c>
      <c r="Q2856" s="6" t="s">
        <v>21</v>
      </c>
      <c r="R2856" s="6" t="s">
        <v>21</v>
      </c>
      <c r="S2856" s="6" t="s">
        <v>21</v>
      </c>
      <c r="T2856" s="6" t="s">
        <v>21</v>
      </c>
      <c r="U2856" s="6">
        <f t="shared" si="347"/>
        <v>673.54</v>
      </c>
      <c r="V2856" s="6">
        <f t="shared" si="344"/>
        <v>673.54</v>
      </c>
    </row>
    <row r="2857" spans="1:22" hidden="1" x14ac:dyDescent="0.35">
      <c r="A2857" s="6" t="s">
        <v>3128</v>
      </c>
      <c r="B2857" s="6" t="s">
        <v>3110</v>
      </c>
      <c r="C2857" s="6" t="s">
        <v>3111</v>
      </c>
      <c r="D2857" s="6">
        <f t="shared" si="350"/>
        <v>0.5</v>
      </c>
      <c r="E2857" s="6" t="s">
        <v>19</v>
      </c>
      <c r="F2857" s="6" t="str">
        <f>MID(A2857,19,1)</f>
        <v>S</v>
      </c>
      <c r="G2857" s="6">
        <v>-22.732818045591241</v>
      </c>
      <c r="H2857" s="6">
        <v>-47.288655066251508</v>
      </c>
      <c r="I2857" s="9">
        <v>124.66</v>
      </c>
      <c r="K2857" s="6">
        <v>5.29</v>
      </c>
      <c r="L2857" s="6">
        <v>50</v>
      </c>
      <c r="N2857" s="1">
        <f t="shared" si="346"/>
        <v>0</v>
      </c>
      <c r="O2857" s="6" t="s">
        <v>20</v>
      </c>
      <c r="Q2857" s="6" t="s">
        <v>21</v>
      </c>
      <c r="R2857" s="6" t="s">
        <v>21</v>
      </c>
      <c r="S2857" s="6" t="s">
        <v>21</v>
      </c>
      <c r="T2857" s="6" t="s">
        <v>21</v>
      </c>
      <c r="U2857" s="6">
        <f t="shared" si="347"/>
        <v>62.33</v>
      </c>
      <c r="V2857" s="6">
        <f t="shared" si="344"/>
        <v>62.33</v>
      </c>
    </row>
    <row r="2858" spans="1:22" x14ac:dyDescent="0.35">
      <c r="A2858" s="6" t="s">
        <v>3129</v>
      </c>
      <c r="B2858" s="6" t="s">
        <v>3110</v>
      </c>
      <c r="C2858" s="6" t="s">
        <v>3111</v>
      </c>
      <c r="D2858" s="6">
        <f t="shared" si="350"/>
        <v>0.5</v>
      </c>
      <c r="E2858" s="6" t="s">
        <v>19</v>
      </c>
      <c r="F2858" s="6" t="str">
        <f>MID(A2858,19,1)</f>
        <v>N</v>
      </c>
      <c r="G2858" s="6">
        <v>-22.825227812522051</v>
      </c>
      <c r="H2858" s="6">
        <v>-47.371603142220302</v>
      </c>
      <c r="I2858" s="9">
        <v>2049.2199999999998</v>
      </c>
      <c r="K2858" s="6">
        <v>2.87</v>
      </c>
      <c r="L2858" s="6">
        <v>70</v>
      </c>
      <c r="N2858" s="1">
        <f t="shared" si="346"/>
        <v>0</v>
      </c>
      <c r="O2858" s="6" t="s">
        <v>20</v>
      </c>
      <c r="Q2858" s="6" t="s">
        <v>21</v>
      </c>
      <c r="R2858" s="6" t="s">
        <v>21</v>
      </c>
      <c r="S2858" s="6" t="s">
        <v>21</v>
      </c>
      <c r="T2858" s="6" t="s">
        <v>21</v>
      </c>
      <c r="U2858" s="6">
        <f t="shared" si="347"/>
        <v>1434.4539999999997</v>
      </c>
      <c r="V2858" s="6">
        <f t="shared" si="344"/>
        <v>1434.4539999999997</v>
      </c>
    </row>
    <row r="2859" spans="1:22" hidden="1" x14ac:dyDescent="0.35">
      <c r="A2859" s="6" t="s">
        <v>3130</v>
      </c>
      <c r="B2859" s="6" t="s">
        <v>3131</v>
      </c>
      <c r="C2859" s="6" t="s">
        <v>3132</v>
      </c>
      <c r="D2859" s="6">
        <f t="shared" si="350"/>
        <v>0.5</v>
      </c>
      <c r="E2859" s="6" t="s">
        <v>19</v>
      </c>
      <c r="F2859" s="6" t="str">
        <f>MID(A2859,19,1)</f>
        <v>S</v>
      </c>
      <c r="G2859" s="6">
        <v>-22.728350867530509</v>
      </c>
      <c r="H2859" s="6">
        <v>-47.293332145694812</v>
      </c>
      <c r="I2859" s="9">
        <v>2044.66</v>
      </c>
      <c r="K2859" s="6">
        <v>2.16</v>
      </c>
      <c r="L2859" s="6">
        <v>50</v>
      </c>
      <c r="N2859" s="1">
        <f t="shared" si="346"/>
        <v>0</v>
      </c>
      <c r="O2859" s="6" t="s">
        <v>20</v>
      </c>
      <c r="Q2859" s="6" t="s">
        <v>21</v>
      </c>
      <c r="R2859" s="6" t="s">
        <v>21</v>
      </c>
      <c r="S2859" s="6" t="s">
        <v>21</v>
      </c>
      <c r="T2859" s="6" t="s">
        <v>21</v>
      </c>
      <c r="U2859" s="6">
        <f t="shared" si="347"/>
        <v>1022.33</v>
      </c>
      <c r="V2859" s="6">
        <f t="shared" si="344"/>
        <v>1022.33</v>
      </c>
    </row>
    <row r="2860" spans="1:22" hidden="1" x14ac:dyDescent="0.35">
      <c r="A2860" s="6" t="s">
        <v>3133</v>
      </c>
      <c r="B2860" s="6" t="s">
        <v>3131</v>
      </c>
      <c r="C2860" s="6" t="s">
        <v>3132</v>
      </c>
      <c r="D2860" s="6">
        <f t="shared" si="350"/>
        <v>0.5</v>
      </c>
      <c r="E2860" s="6" t="s">
        <v>19</v>
      </c>
      <c r="F2860" s="6" t="str">
        <f>MID(A2860,19,1)</f>
        <v>S</v>
      </c>
      <c r="G2860" s="6">
        <v>-22.72922945431576</v>
      </c>
      <c r="H2860" s="6">
        <v>-47.292084565387917</v>
      </c>
      <c r="I2860" s="9">
        <v>4841.3999999999996</v>
      </c>
      <c r="K2860" s="6">
        <v>5.15</v>
      </c>
      <c r="L2860" s="6">
        <v>50</v>
      </c>
      <c r="N2860" s="1">
        <f t="shared" si="346"/>
        <v>0</v>
      </c>
      <c r="O2860" s="6" t="s">
        <v>20</v>
      </c>
      <c r="Q2860" s="6" t="s">
        <v>21</v>
      </c>
      <c r="R2860" s="6" t="s">
        <v>21</v>
      </c>
      <c r="S2860" s="6" t="s">
        <v>21</v>
      </c>
      <c r="T2860" s="6" t="s">
        <v>21</v>
      </c>
      <c r="U2860" s="6">
        <f t="shared" si="347"/>
        <v>2420.6999999999998</v>
      </c>
      <c r="V2860" s="6">
        <f t="shared" si="344"/>
        <v>2420.6999999999998</v>
      </c>
    </row>
    <row r="2861" spans="1:22" x14ac:dyDescent="0.35">
      <c r="A2861" s="6" t="s">
        <v>3134</v>
      </c>
      <c r="B2861" s="6" t="s">
        <v>3131</v>
      </c>
      <c r="C2861" s="6" t="s">
        <v>3132</v>
      </c>
      <c r="D2861" s="6">
        <f t="shared" si="350"/>
        <v>0.5</v>
      </c>
      <c r="E2861" s="6" t="s">
        <v>19</v>
      </c>
      <c r="F2861" s="6" t="str">
        <f>MID(A2861,19,1)</f>
        <v>N</v>
      </c>
      <c r="G2861" s="6">
        <v>-22.728076427062881</v>
      </c>
      <c r="H2861" s="6">
        <v>-47.291601724015699</v>
      </c>
      <c r="I2861" s="9">
        <v>2029.15</v>
      </c>
      <c r="K2861" s="6">
        <v>4.8600000000000003</v>
      </c>
      <c r="L2861" s="6">
        <v>50</v>
      </c>
      <c r="N2861" s="1">
        <f t="shared" si="346"/>
        <v>0</v>
      </c>
      <c r="O2861" s="6" t="s">
        <v>20</v>
      </c>
      <c r="Q2861" s="6" t="s">
        <v>21</v>
      </c>
      <c r="R2861" s="6" t="s">
        <v>21</v>
      </c>
      <c r="S2861" s="6" t="s">
        <v>21</v>
      </c>
      <c r="T2861" s="6" t="s">
        <v>21</v>
      </c>
      <c r="U2861" s="6">
        <f t="shared" si="347"/>
        <v>1014.575</v>
      </c>
      <c r="V2861" s="6">
        <f t="shared" si="344"/>
        <v>1014.575</v>
      </c>
    </row>
    <row r="2862" spans="1:22" x14ac:dyDescent="0.35">
      <c r="A2862" s="6" t="s">
        <v>3135</v>
      </c>
      <c r="B2862" s="6" t="s">
        <v>3131</v>
      </c>
      <c r="C2862" s="6" t="s">
        <v>3132</v>
      </c>
      <c r="D2862" s="6">
        <f t="shared" si="350"/>
        <v>0.5</v>
      </c>
      <c r="E2862" s="6" t="s">
        <v>19</v>
      </c>
      <c r="F2862" s="6" t="str">
        <f>MID(A2862,19,1)</f>
        <v>N</v>
      </c>
      <c r="G2862" s="6">
        <v>-22.72780634189747</v>
      </c>
      <c r="H2862" s="6">
        <v>-47.291378847956459</v>
      </c>
      <c r="I2862" s="9">
        <v>2772.54</v>
      </c>
      <c r="K2862" s="6">
        <v>6.49</v>
      </c>
      <c r="L2862" s="6">
        <v>50</v>
      </c>
      <c r="N2862" s="1">
        <f t="shared" si="346"/>
        <v>0</v>
      </c>
      <c r="O2862" s="6" t="s">
        <v>20</v>
      </c>
      <c r="Q2862" s="6" t="s">
        <v>21</v>
      </c>
      <c r="R2862" s="6" t="s">
        <v>21</v>
      </c>
      <c r="S2862" s="6" t="s">
        <v>21</v>
      </c>
      <c r="T2862" s="6" t="s">
        <v>21</v>
      </c>
      <c r="U2862" s="6">
        <f t="shared" si="347"/>
        <v>1386.27</v>
      </c>
      <c r="V2862" s="6">
        <f t="shared" si="344"/>
        <v>1386.27</v>
      </c>
    </row>
    <row r="2863" spans="1:22" hidden="1" x14ac:dyDescent="0.35">
      <c r="A2863" s="6" t="s">
        <v>3136</v>
      </c>
      <c r="B2863" s="6" t="s">
        <v>3131</v>
      </c>
      <c r="C2863" s="6" t="s">
        <v>3132</v>
      </c>
      <c r="D2863" s="6">
        <f t="shared" si="350"/>
        <v>0.5</v>
      </c>
      <c r="E2863" s="6" t="s">
        <v>19</v>
      </c>
      <c r="F2863" s="6" t="str">
        <f>MID(A2863,19,1)</f>
        <v>S</v>
      </c>
      <c r="G2863" s="6">
        <v>-22.82142768350792</v>
      </c>
      <c r="H2863" s="6">
        <v>-47.378694376440038</v>
      </c>
      <c r="I2863" s="9">
        <v>652.30999999999995</v>
      </c>
      <c r="K2863" s="6">
        <v>1.98</v>
      </c>
      <c r="L2863" s="6">
        <v>70</v>
      </c>
      <c r="N2863" s="1">
        <f t="shared" si="346"/>
        <v>0</v>
      </c>
      <c r="O2863" s="6" t="s">
        <v>20</v>
      </c>
      <c r="Q2863" s="6" t="s">
        <v>21</v>
      </c>
      <c r="R2863" s="6" t="s">
        <v>21</v>
      </c>
      <c r="S2863" s="6" t="s">
        <v>21</v>
      </c>
      <c r="T2863" s="6" t="s">
        <v>21</v>
      </c>
      <c r="U2863" s="6">
        <f t="shared" si="347"/>
        <v>456.6169999999999</v>
      </c>
      <c r="V2863" s="6">
        <f t="shared" si="344"/>
        <v>456.6169999999999</v>
      </c>
    </row>
    <row r="2864" spans="1:22" x14ac:dyDescent="0.35">
      <c r="A2864" s="6" t="s">
        <v>3137</v>
      </c>
      <c r="B2864" s="6" t="s">
        <v>3131</v>
      </c>
      <c r="C2864" s="6" t="s">
        <v>3132</v>
      </c>
      <c r="D2864" s="6">
        <f t="shared" si="350"/>
        <v>0.5</v>
      </c>
      <c r="E2864" s="6" t="s">
        <v>19</v>
      </c>
      <c r="F2864" s="6" t="str">
        <f>MID(A2864,19,1)</f>
        <v>N</v>
      </c>
      <c r="G2864" s="6">
        <v>-22.724705677696772</v>
      </c>
      <c r="H2864" s="6">
        <v>-47.292800659373917</v>
      </c>
      <c r="I2864" s="9">
        <v>1425.93</v>
      </c>
      <c r="K2864" s="6">
        <v>4.78</v>
      </c>
      <c r="L2864" s="6">
        <v>50</v>
      </c>
      <c r="N2864" s="1">
        <f t="shared" si="346"/>
        <v>0</v>
      </c>
      <c r="O2864" s="6" t="s">
        <v>20</v>
      </c>
      <c r="Q2864" s="6" t="s">
        <v>21</v>
      </c>
      <c r="R2864" s="6" t="s">
        <v>21</v>
      </c>
      <c r="S2864" s="6" t="s">
        <v>21</v>
      </c>
      <c r="T2864" s="6" t="s">
        <v>21</v>
      </c>
      <c r="U2864" s="6">
        <f t="shared" si="347"/>
        <v>712.96500000000003</v>
      </c>
      <c r="V2864" s="6">
        <f t="shared" si="344"/>
        <v>712.96500000000003</v>
      </c>
    </row>
    <row r="2865" spans="1:22" hidden="1" x14ac:dyDescent="0.35">
      <c r="A2865" s="6" t="s">
        <v>3138</v>
      </c>
      <c r="B2865" s="6" t="s">
        <v>3131</v>
      </c>
      <c r="C2865" s="6" t="s">
        <v>3132</v>
      </c>
      <c r="D2865" s="6">
        <f t="shared" si="350"/>
        <v>0.5</v>
      </c>
      <c r="E2865" s="6" t="s">
        <v>19</v>
      </c>
      <c r="F2865" s="6" t="str">
        <f>MID(A2865,19,1)</f>
        <v>S</v>
      </c>
      <c r="G2865" s="6">
        <v>-22.725102236392331</v>
      </c>
      <c r="H2865" s="6">
        <v>-47.293487708281368</v>
      </c>
      <c r="I2865" s="9">
        <v>7047.26</v>
      </c>
      <c r="K2865" s="6">
        <v>3.42</v>
      </c>
      <c r="L2865" s="6">
        <v>50</v>
      </c>
      <c r="N2865" s="1">
        <f t="shared" si="346"/>
        <v>0</v>
      </c>
      <c r="O2865" s="6" t="s">
        <v>20</v>
      </c>
      <c r="Q2865" s="6" t="s">
        <v>21</v>
      </c>
      <c r="R2865" s="6" t="s">
        <v>21</v>
      </c>
      <c r="S2865" s="6" t="s">
        <v>21</v>
      </c>
      <c r="T2865" s="6" t="s">
        <v>21</v>
      </c>
      <c r="U2865" s="6">
        <f t="shared" si="347"/>
        <v>3523.63</v>
      </c>
      <c r="V2865" s="6">
        <f t="shared" si="344"/>
        <v>3523.63</v>
      </c>
    </row>
    <row r="2866" spans="1:22" x14ac:dyDescent="0.35">
      <c r="A2866" s="6" t="s">
        <v>3139</v>
      </c>
      <c r="B2866" s="6" t="s">
        <v>3131</v>
      </c>
      <c r="C2866" s="6" t="s">
        <v>3132</v>
      </c>
      <c r="D2866" s="6">
        <f t="shared" si="350"/>
        <v>0.5</v>
      </c>
      <c r="E2866" s="6" t="s">
        <v>19</v>
      </c>
      <c r="F2866" s="6" t="str">
        <f>MID(A2866,19,1)</f>
        <v>N</v>
      </c>
      <c r="G2866" s="6">
        <v>-22.82035509776825</v>
      </c>
      <c r="H2866" s="6">
        <v>-47.378914511963558</v>
      </c>
      <c r="I2866" s="9">
        <v>11316.74</v>
      </c>
      <c r="K2866" s="6">
        <v>2.04</v>
      </c>
      <c r="L2866" s="6">
        <v>70</v>
      </c>
      <c r="N2866" s="1">
        <f t="shared" si="346"/>
        <v>0</v>
      </c>
      <c r="O2866" s="6" t="s">
        <v>20</v>
      </c>
      <c r="Q2866" s="6" t="s">
        <v>21</v>
      </c>
      <c r="R2866" s="6" t="s">
        <v>21</v>
      </c>
      <c r="S2866" s="6" t="s">
        <v>21</v>
      </c>
      <c r="T2866" s="6" t="s">
        <v>21</v>
      </c>
      <c r="U2866" s="6">
        <f t="shared" si="347"/>
        <v>7921.7179999999989</v>
      </c>
      <c r="V2866" s="6">
        <f t="shared" ref="V2866:V2929" si="352">(I2866*(L2866/100))</f>
        <v>7921.7179999999989</v>
      </c>
    </row>
    <row r="2867" spans="1:22" hidden="1" x14ac:dyDescent="0.35">
      <c r="A2867" s="6" t="s">
        <v>3140</v>
      </c>
      <c r="B2867" s="6" t="s">
        <v>3131</v>
      </c>
      <c r="C2867" s="6" t="s">
        <v>3132</v>
      </c>
      <c r="D2867" s="6">
        <f t="shared" si="350"/>
        <v>0.5</v>
      </c>
      <c r="E2867" s="6" t="s">
        <v>19</v>
      </c>
      <c r="F2867" s="6" t="str">
        <f>MID(A2867,19,1)</f>
        <v>S</v>
      </c>
      <c r="G2867" s="6">
        <v>-22.819961082687978</v>
      </c>
      <c r="H2867" s="6">
        <v>-47.380404500722292</v>
      </c>
      <c r="I2867" s="9">
        <v>13282.32</v>
      </c>
      <c r="K2867" s="6">
        <v>2.02</v>
      </c>
      <c r="L2867" s="6">
        <v>70</v>
      </c>
      <c r="N2867" s="1">
        <f t="shared" si="346"/>
        <v>0</v>
      </c>
      <c r="O2867" s="6" t="s">
        <v>20</v>
      </c>
      <c r="Q2867" s="6" t="s">
        <v>21</v>
      </c>
      <c r="R2867" s="6" t="s">
        <v>21</v>
      </c>
      <c r="S2867" s="6" t="s">
        <v>21</v>
      </c>
      <c r="T2867" s="6" t="s">
        <v>21</v>
      </c>
      <c r="U2867" s="6">
        <f t="shared" si="347"/>
        <v>9297.6239999999998</v>
      </c>
      <c r="V2867" s="6">
        <f t="shared" si="352"/>
        <v>9297.6239999999998</v>
      </c>
    </row>
    <row r="2868" spans="1:22" hidden="1" x14ac:dyDescent="0.35">
      <c r="A2868" s="6" t="s">
        <v>3141</v>
      </c>
      <c r="B2868" s="6" t="s">
        <v>3131</v>
      </c>
      <c r="C2868" s="6" t="s">
        <v>3132</v>
      </c>
      <c r="D2868" s="6">
        <f t="shared" si="350"/>
        <v>0.5</v>
      </c>
      <c r="E2868" s="6" t="s">
        <v>23</v>
      </c>
      <c r="F2868" s="6" t="str">
        <f>MID(A2868,19,1)</f>
        <v>C</v>
      </c>
      <c r="G2868" s="6">
        <v>-22.72708228527787</v>
      </c>
      <c r="H2868" s="6">
        <v>-47.293084253054808</v>
      </c>
      <c r="I2868" s="9">
        <v>6053.58</v>
      </c>
      <c r="J2868" s="9">
        <f t="shared" ref="J2868:J2870" si="353">I2868/500</f>
        <v>12.10716</v>
      </c>
      <c r="K2868" s="6">
        <v>3.27</v>
      </c>
      <c r="L2868" s="6">
        <v>50</v>
      </c>
      <c r="N2868" s="1">
        <f t="shared" si="346"/>
        <v>0</v>
      </c>
      <c r="O2868" s="6" t="s">
        <v>20</v>
      </c>
      <c r="Q2868" s="6" t="s">
        <v>21</v>
      </c>
      <c r="R2868" s="6" t="s">
        <v>21</v>
      </c>
      <c r="S2868" s="6" t="s">
        <v>21</v>
      </c>
      <c r="T2868" s="6" t="s">
        <v>21</v>
      </c>
      <c r="U2868" s="6">
        <f t="shared" si="347"/>
        <v>3026.79</v>
      </c>
      <c r="V2868" s="6">
        <f t="shared" si="352"/>
        <v>3026.79</v>
      </c>
    </row>
    <row r="2869" spans="1:22" hidden="1" x14ac:dyDescent="0.35">
      <c r="A2869" s="6" t="s">
        <v>3142</v>
      </c>
      <c r="B2869" s="6" t="s">
        <v>3131</v>
      </c>
      <c r="C2869" s="6" t="s">
        <v>3132</v>
      </c>
      <c r="D2869" s="6">
        <f t="shared" si="350"/>
        <v>0.5</v>
      </c>
      <c r="E2869" s="6" t="s">
        <v>23</v>
      </c>
      <c r="F2869" s="6" t="str">
        <f>MID(A2869,19,1)</f>
        <v>C</v>
      </c>
      <c r="G2869" s="6">
        <v>-22.727439531211161</v>
      </c>
      <c r="H2869" s="6">
        <v>-47.292761332400787</v>
      </c>
      <c r="I2869" s="9">
        <v>6341.74</v>
      </c>
      <c r="J2869" s="9">
        <f t="shared" si="353"/>
        <v>12.683479999999999</v>
      </c>
      <c r="K2869" s="6">
        <v>4.67</v>
      </c>
      <c r="L2869" s="6">
        <v>50</v>
      </c>
      <c r="N2869" s="1">
        <f t="shared" si="346"/>
        <v>0</v>
      </c>
      <c r="O2869" s="6" t="s">
        <v>20</v>
      </c>
      <c r="Q2869" s="6" t="s">
        <v>21</v>
      </c>
      <c r="R2869" s="6" t="s">
        <v>21</v>
      </c>
      <c r="S2869" s="6" t="s">
        <v>21</v>
      </c>
      <c r="T2869" s="6" t="s">
        <v>21</v>
      </c>
      <c r="U2869" s="6">
        <f t="shared" si="347"/>
        <v>3170.87</v>
      </c>
      <c r="V2869" s="6">
        <f t="shared" si="352"/>
        <v>3170.87</v>
      </c>
    </row>
    <row r="2870" spans="1:22" hidden="1" x14ac:dyDescent="0.35">
      <c r="A2870" s="6" t="s">
        <v>3143</v>
      </c>
      <c r="B2870" s="6" t="s">
        <v>3131</v>
      </c>
      <c r="C2870" s="6" t="s">
        <v>3132</v>
      </c>
      <c r="D2870" s="6">
        <f t="shared" si="350"/>
        <v>0.5</v>
      </c>
      <c r="E2870" s="6" t="s">
        <v>23</v>
      </c>
      <c r="F2870" s="6" t="str">
        <f>MID(A2870,19,1)</f>
        <v>C</v>
      </c>
      <c r="G2870" s="6">
        <v>-22.72823557505853</v>
      </c>
      <c r="H2870" s="6">
        <v>-47.292554580234587</v>
      </c>
      <c r="I2870" s="9">
        <v>2666.47</v>
      </c>
      <c r="J2870" s="9">
        <f t="shared" si="353"/>
        <v>5.3329399999999998</v>
      </c>
      <c r="K2870" s="6">
        <v>4.24</v>
      </c>
      <c r="L2870" s="6">
        <v>50</v>
      </c>
      <c r="N2870" s="1">
        <f t="shared" si="346"/>
        <v>0</v>
      </c>
      <c r="O2870" s="6" t="s">
        <v>20</v>
      </c>
      <c r="Q2870" s="6" t="s">
        <v>21</v>
      </c>
      <c r="R2870" s="6" t="s">
        <v>21</v>
      </c>
      <c r="S2870" s="6" t="s">
        <v>21</v>
      </c>
      <c r="T2870" s="6" t="s">
        <v>21</v>
      </c>
      <c r="U2870" s="6">
        <f t="shared" si="347"/>
        <v>1333.2349999999999</v>
      </c>
      <c r="V2870" s="6">
        <f t="shared" si="352"/>
        <v>1333.2349999999999</v>
      </c>
    </row>
    <row r="2871" spans="1:22" hidden="1" x14ac:dyDescent="0.35">
      <c r="A2871" s="6" t="s">
        <v>3144</v>
      </c>
      <c r="B2871" s="6" t="s">
        <v>3131</v>
      </c>
      <c r="C2871" s="6" t="s">
        <v>3132</v>
      </c>
      <c r="D2871" s="6">
        <f t="shared" si="350"/>
        <v>0.5</v>
      </c>
      <c r="E2871" s="6" t="s">
        <v>19</v>
      </c>
      <c r="F2871" s="6" t="str">
        <f>MID(A2871,19,1)</f>
        <v>S</v>
      </c>
      <c r="G2871" s="6">
        <v>-22.81860715522221</v>
      </c>
      <c r="H2871" s="6">
        <v>-47.381794121455343</v>
      </c>
      <c r="I2871" s="9">
        <v>1217.57</v>
      </c>
      <c r="K2871" s="6">
        <v>1.05</v>
      </c>
      <c r="L2871" s="6">
        <v>70</v>
      </c>
      <c r="N2871" s="1">
        <f t="shared" si="346"/>
        <v>0</v>
      </c>
      <c r="O2871" s="6" t="s">
        <v>20</v>
      </c>
      <c r="Q2871" s="6" t="s">
        <v>21</v>
      </c>
      <c r="R2871" s="6" t="s">
        <v>21</v>
      </c>
      <c r="S2871" s="6" t="s">
        <v>21</v>
      </c>
      <c r="T2871" s="6" t="s">
        <v>21</v>
      </c>
      <c r="U2871" s="6">
        <f t="shared" si="347"/>
        <v>852.29899999999986</v>
      </c>
      <c r="V2871" s="6">
        <f t="shared" si="352"/>
        <v>852.29899999999986</v>
      </c>
    </row>
    <row r="2872" spans="1:22" hidden="1" x14ac:dyDescent="0.35">
      <c r="A2872" s="6" t="s">
        <v>3145</v>
      </c>
      <c r="B2872" s="6" t="s">
        <v>3131</v>
      </c>
      <c r="C2872" s="6" t="s">
        <v>3132</v>
      </c>
      <c r="D2872" s="6">
        <f t="shared" si="350"/>
        <v>0.5</v>
      </c>
      <c r="E2872" s="6" t="s">
        <v>23</v>
      </c>
      <c r="F2872" s="6" t="str">
        <f>MID(A2872,19,1)</f>
        <v>C</v>
      </c>
      <c r="G2872" s="6">
        <v>-22.72863616603064</v>
      </c>
      <c r="H2872" s="6">
        <v>-47.292462224917912</v>
      </c>
      <c r="I2872" s="9">
        <v>4492.99</v>
      </c>
      <c r="J2872" s="9">
        <f>I2872/500</f>
        <v>8.9859799999999996</v>
      </c>
      <c r="K2872" s="6">
        <v>3.91</v>
      </c>
      <c r="L2872" s="6">
        <v>50</v>
      </c>
      <c r="N2872" s="1">
        <f t="shared" si="346"/>
        <v>0</v>
      </c>
      <c r="O2872" s="6" t="s">
        <v>20</v>
      </c>
      <c r="Q2872" s="6" t="s">
        <v>21</v>
      </c>
      <c r="R2872" s="6" t="s">
        <v>21</v>
      </c>
      <c r="S2872" s="6" t="s">
        <v>21</v>
      </c>
      <c r="T2872" s="6" t="s">
        <v>21</v>
      </c>
      <c r="U2872" s="6">
        <f t="shared" si="347"/>
        <v>2246.4949999999999</v>
      </c>
      <c r="V2872" s="6">
        <f t="shared" si="352"/>
        <v>2246.4949999999999</v>
      </c>
    </row>
    <row r="2873" spans="1:22" x14ac:dyDescent="0.35">
      <c r="A2873" s="6" t="s">
        <v>3146</v>
      </c>
      <c r="B2873" s="6" t="s">
        <v>3131</v>
      </c>
      <c r="C2873" s="6" t="s">
        <v>3132</v>
      </c>
      <c r="D2873" s="6">
        <f t="shared" si="350"/>
        <v>0.5</v>
      </c>
      <c r="E2873" s="6" t="s">
        <v>19</v>
      </c>
      <c r="F2873" s="6" t="str">
        <f>MID(A2873,19,1)</f>
        <v>N</v>
      </c>
      <c r="G2873" s="6">
        <v>-22.72956509141995</v>
      </c>
      <c r="H2873" s="6">
        <v>-47.290723802096501</v>
      </c>
      <c r="I2873" s="9">
        <v>4008.74</v>
      </c>
      <c r="K2873" s="6">
        <v>3.99</v>
      </c>
      <c r="L2873" s="6">
        <v>50</v>
      </c>
      <c r="N2873" s="1">
        <f t="shared" si="346"/>
        <v>0</v>
      </c>
      <c r="O2873" s="6" t="s">
        <v>20</v>
      </c>
      <c r="Q2873" s="6" t="s">
        <v>21</v>
      </c>
      <c r="R2873" s="6" t="s">
        <v>21</v>
      </c>
      <c r="S2873" s="6" t="s">
        <v>21</v>
      </c>
      <c r="T2873" s="6" t="s">
        <v>21</v>
      </c>
      <c r="U2873" s="6">
        <f t="shared" si="347"/>
        <v>2004.37</v>
      </c>
      <c r="V2873" s="6">
        <f t="shared" si="352"/>
        <v>2004.37</v>
      </c>
    </row>
    <row r="2874" spans="1:22" x14ac:dyDescent="0.35">
      <c r="A2874" s="6" t="s">
        <v>3147</v>
      </c>
      <c r="B2874" s="6" t="s">
        <v>3131</v>
      </c>
      <c r="C2874" s="6" t="s">
        <v>3132</v>
      </c>
      <c r="D2874" s="6">
        <f t="shared" si="350"/>
        <v>0.5</v>
      </c>
      <c r="E2874" s="6" t="s">
        <v>19</v>
      </c>
      <c r="F2874" s="6" t="str">
        <f>MID(A2874,19,1)</f>
        <v>N</v>
      </c>
      <c r="G2874" s="6">
        <v>-22.81895090804715</v>
      </c>
      <c r="H2874" s="6">
        <v>-47.38053737222095</v>
      </c>
      <c r="I2874" s="9">
        <v>789.91</v>
      </c>
      <c r="K2874" s="6">
        <v>1.57</v>
      </c>
      <c r="L2874" s="6">
        <v>70</v>
      </c>
      <c r="N2874" s="1">
        <f t="shared" si="346"/>
        <v>0</v>
      </c>
      <c r="O2874" s="6" t="s">
        <v>20</v>
      </c>
      <c r="Q2874" s="6" t="s">
        <v>21</v>
      </c>
      <c r="R2874" s="6" t="s">
        <v>21</v>
      </c>
      <c r="S2874" s="6" t="s">
        <v>21</v>
      </c>
      <c r="T2874" s="6" t="s">
        <v>21</v>
      </c>
      <c r="U2874" s="6">
        <f t="shared" si="347"/>
        <v>552.9369999999999</v>
      </c>
      <c r="V2874" s="6">
        <f t="shared" si="352"/>
        <v>552.9369999999999</v>
      </c>
    </row>
    <row r="2875" spans="1:22" hidden="1" x14ac:dyDescent="0.35">
      <c r="A2875" s="6" t="s">
        <v>3148</v>
      </c>
      <c r="B2875" s="6" t="s">
        <v>3131</v>
      </c>
      <c r="C2875" s="6" t="s">
        <v>3132</v>
      </c>
      <c r="D2875" s="6">
        <f t="shared" si="350"/>
        <v>0.5</v>
      </c>
      <c r="E2875" s="6" t="s">
        <v>19</v>
      </c>
      <c r="F2875" s="6" t="str">
        <f>MID(A2875,19,1)</f>
        <v>S</v>
      </c>
      <c r="G2875" s="6">
        <v>-22.728525871196659</v>
      </c>
      <c r="H2875" s="6">
        <v>-47.294107719309352</v>
      </c>
      <c r="I2875" s="9">
        <v>374.91</v>
      </c>
      <c r="K2875" s="6">
        <v>2.85</v>
      </c>
      <c r="L2875" s="6">
        <v>50</v>
      </c>
      <c r="N2875" s="1">
        <f t="shared" si="346"/>
        <v>0</v>
      </c>
      <c r="O2875" s="6" t="s">
        <v>20</v>
      </c>
      <c r="Q2875" s="6" t="s">
        <v>21</v>
      </c>
      <c r="R2875" s="6" t="s">
        <v>21</v>
      </c>
      <c r="S2875" s="6" t="s">
        <v>21</v>
      </c>
      <c r="T2875" s="6" t="s">
        <v>21</v>
      </c>
      <c r="U2875" s="6">
        <f t="shared" si="347"/>
        <v>187.45500000000001</v>
      </c>
      <c r="V2875" s="6">
        <f t="shared" si="352"/>
        <v>187.45500000000001</v>
      </c>
    </row>
    <row r="2876" spans="1:22" x14ac:dyDescent="0.35">
      <c r="A2876" s="6" t="s">
        <v>3149</v>
      </c>
      <c r="B2876" s="6" t="s">
        <v>3131</v>
      </c>
      <c r="C2876" s="6" t="s">
        <v>3132</v>
      </c>
      <c r="D2876" s="6">
        <f t="shared" si="350"/>
        <v>0.5</v>
      </c>
      <c r="E2876" s="6" t="s">
        <v>19</v>
      </c>
      <c r="F2876" s="6" t="str">
        <f>MID(A2876,19,1)</f>
        <v>N</v>
      </c>
      <c r="G2876" s="6">
        <v>-22.729079276724921</v>
      </c>
      <c r="H2876" s="6">
        <v>-47.291305138783663</v>
      </c>
      <c r="I2876" s="9">
        <v>3405.14</v>
      </c>
      <c r="K2876" s="6">
        <v>3.16</v>
      </c>
      <c r="L2876" s="6">
        <v>50</v>
      </c>
      <c r="N2876" s="1">
        <f t="shared" si="346"/>
        <v>0</v>
      </c>
      <c r="O2876" s="6" t="s">
        <v>20</v>
      </c>
      <c r="Q2876" s="6" t="s">
        <v>21</v>
      </c>
      <c r="R2876" s="6" t="s">
        <v>21</v>
      </c>
      <c r="S2876" s="6" t="s">
        <v>21</v>
      </c>
      <c r="T2876" s="6" t="s">
        <v>21</v>
      </c>
      <c r="U2876" s="6">
        <f t="shared" si="347"/>
        <v>1702.57</v>
      </c>
      <c r="V2876" s="6">
        <f t="shared" si="352"/>
        <v>1702.57</v>
      </c>
    </row>
    <row r="2877" spans="1:22" x14ac:dyDescent="0.35">
      <c r="A2877" s="6" t="s">
        <v>3150</v>
      </c>
      <c r="B2877" s="6" t="s">
        <v>3131</v>
      </c>
      <c r="C2877" s="6" t="s">
        <v>3132</v>
      </c>
      <c r="D2877" s="6">
        <f t="shared" si="350"/>
        <v>0.5</v>
      </c>
      <c r="E2877" s="6" t="s">
        <v>19</v>
      </c>
      <c r="F2877" s="6" t="str">
        <f>MID(A2877,19,1)</f>
        <v>N</v>
      </c>
      <c r="G2877" s="6">
        <v>-22.72595174372135</v>
      </c>
      <c r="H2877" s="6">
        <v>-47.292396422355168</v>
      </c>
      <c r="I2877" s="9">
        <v>3725.04</v>
      </c>
      <c r="K2877" s="6">
        <v>4.9400000000000004</v>
      </c>
      <c r="L2877" s="6">
        <v>50</v>
      </c>
      <c r="N2877" s="1">
        <f t="shared" si="346"/>
        <v>0</v>
      </c>
      <c r="O2877" s="6" t="s">
        <v>20</v>
      </c>
      <c r="Q2877" s="6" t="s">
        <v>21</v>
      </c>
      <c r="R2877" s="6" t="s">
        <v>21</v>
      </c>
      <c r="S2877" s="6" t="s">
        <v>21</v>
      </c>
      <c r="T2877" s="6" t="s">
        <v>21</v>
      </c>
      <c r="U2877" s="6">
        <f t="shared" si="347"/>
        <v>1862.52</v>
      </c>
      <c r="V2877" s="6">
        <f t="shared" si="352"/>
        <v>1862.52</v>
      </c>
    </row>
    <row r="2878" spans="1:22" x14ac:dyDescent="0.35">
      <c r="A2878" s="6" t="s">
        <v>3151</v>
      </c>
      <c r="B2878" s="6" t="s">
        <v>3131</v>
      </c>
      <c r="C2878" s="6" t="s">
        <v>3132</v>
      </c>
      <c r="D2878" s="6">
        <f t="shared" si="350"/>
        <v>0.5</v>
      </c>
      <c r="E2878" s="6" t="s">
        <v>19</v>
      </c>
      <c r="F2878" s="6" t="str">
        <f>MID(A2878,19,1)</f>
        <v>N</v>
      </c>
      <c r="G2878" s="6">
        <v>-22.816718317352102</v>
      </c>
      <c r="H2878" s="6">
        <v>-47.383037141280717</v>
      </c>
      <c r="I2878" s="9">
        <v>2076.94</v>
      </c>
      <c r="K2878" s="6">
        <v>1.64</v>
      </c>
      <c r="L2878" s="6">
        <v>70</v>
      </c>
      <c r="N2878" s="1">
        <f t="shared" si="346"/>
        <v>0</v>
      </c>
      <c r="O2878" s="6" t="s">
        <v>20</v>
      </c>
      <c r="Q2878" s="6" t="s">
        <v>21</v>
      </c>
      <c r="R2878" s="6" t="s">
        <v>21</v>
      </c>
      <c r="S2878" s="6" t="s">
        <v>21</v>
      </c>
      <c r="T2878" s="6" t="s">
        <v>21</v>
      </c>
      <c r="U2878" s="6">
        <f t="shared" si="347"/>
        <v>1453.8579999999999</v>
      </c>
      <c r="V2878" s="6">
        <f t="shared" si="352"/>
        <v>1453.8579999999999</v>
      </c>
    </row>
    <row r="2879" spans="1:22" hidden="1" x14ac:dyDescent="0.35">
      <c r="A2879" s="6" t="s">
        <v>3152</v>
      </c>
      <c r="B2879" s="6" t="s">
        <v>3131</v>
      </c>
      <c r="C2879" s="6" t="s">
        <v>3132</v>
      </c>
      <c r="D2879" s="6">
        <f t="shared" si="350"/>
        <v>0.5</v>
      </c>
      <c r="E2879" s="6" t="s">
        <v>23</v>
      </c>
      <c r="F2879" s="6" t="str">
        <f>MID(A2879,19,1)</f>
        <v>C</v>
      </c>
      <c r="G2879" s="6">
        <v>-22.82010871445193</v>
      </c>
      <c r="H2879" s="6">
        <v>-47.379703816847822</v>
      </c>
      <c r="I2879" s="9">
        <v>5625.57</v>
      </c>
      <c r="J2879" s="9">
        <f>I2879/500</f>
        <v>11.251139999999999</v>
      </c>
      <c r="K2879" s="6">
        <v>1.63</v>
      </c>
      <c r="L2879" s="6">
        <v>80</v>
      </c>
      <c r="N2879" s="1">
        <f t="shared" si="346"/>
        <v>0</v>
      </c>
      <c r="O2879" s="6" t="s">
        <v>20</v>
      </c>
      <c r="Q2879" s="6" t="s">
        <v>21</v>
      </c>
      <c r="R2879" s="6" t="s">
        <v>21</v>
      </c>
      <c r="S2879" s="6" t="s">
        <v>21</v>
      </c>
      <c r="T2879" s="6" t="s">
        <v>21</v>
      </c>
      <c r="U2879" s="6">
        <f t="shared" si="347"/>
        <v>4500.4560000000001</v>
      </c>
      <c r="V2879" s="6">
        <f t="shared" si="352"/>
        <v>4500.4560000000001</v>
      </c>
    </row>
    <row r="2880" spans="1:22" x14ac:dyDescent="0.35">
      <c r="A2880" s="6" t="s">
        <v>3153</v>
      </c>
      <c r="B2880" s="6" t="s">
        <v>3131</v>
      </c>
      <c r="C2880" s="6" t="s">
        <v>3132</v>
      </c>
      <c r="D2880" s="6">
        <f t="shared" si="350"/>
        <v>0.5</v>
      </c>
      <c r="E2880" s="6" t="s">
        <v>19</v>
      </c>
      <c r="F2880" s="6" t="str">
        <f>MID(A2880,19,1)</f>
        <v>N</v>
      </c>
      <c r="G2880" s="6">
        <v>-22.821102794275241</v>
      </c>
      <c r="H2880" s="6">
        <v>-47.377627040626699</v>
      </c>
      <c r="I2880" s="9">
        <v>11.62</v>
      </c>
      <c r="K2880" s="6">
        <v>2.56</v>
      </c>
      <c r="L2880" s="6">
        <v>0</v>
      </c>
      <c r="N2880" s="1">
        <f t="shared" si="346"/>
        <v>0</v>
      </c>
      <c r="Q2880" s="6" t="s">
        <v>21</v>
      </c>
      <c r="R2880" s="6" t="s">
        <v>21</v>
      </c>
      <c r="S2880" s="6" t="s">
        <v>21</v>
      </c>
      <c r="T2880" s="6" t="s">
        <v>21</v>
      </c>
      <c r="U2880" s="6">
        <f t="shared" si="347"/>
        <v>0</v>
      </c>
      <c r="V2880" s="6">
        <f t="shared" si="352"/>
        <v>0</v>
      </c>
    </row>
    <row r="2881" spans="1:22" hidden="1" x14ac:dyDescent="0.35">
      <c r="A2881" s="6" t="s">
        <v>3154</v>
      </c>
      <c r="B2881" s="6" t="s">
        <v>3131</v>
      </c>
      <c r="C2881" s="6" t="s">
        <v>3132</v>
      </c>
      <c r="D2881" s="6">
        <f t="shared" si="350"/>
        <v>0.5</v>
      </c>
      <c r="E2881" s="6" t="s">
        <v>23</v>
      </c>
      <c r="F2881" s="6" t="str">
        <f>MID(A2881,19,1)</f>
        <v>C</v>
      </c>
      <c r="G2881" s="6">
        <v>-22.816866992515219</v>
      </c>
      <c r="H2881" s="6">
        <v>-47.383193651671853</v>
      </c>
      <c r="I2881" s="9">
        <v>6044</v>
      </c>
      <c r="J2881" s="9">
        <f>I2881/500</f>
        <v>12.087999999999999</v>
      </c>
      <c r="K2881" s="6">
        <v>1.67</v>
      </c>
      <c r="L2881" s="6">
        <v>80</v>
      </c>
      <c r="N2881" s="1">
        <f t="shared" si="346"/>
        <v>0</v>
      </c>
      <c r="O2881" s="6" t="s">
        <v>20</v>
      </c>
      <c r="Q2881" s="6" t="s">
        <v>21</v>
      </c>
      <c r="R2881" s="6" t="s">
        <v>21</v>
      </c>
      <c r="S2881" s="6" t="s">
        <v>21</v>
      </c>
      <c r="T2881" s="6" t="s">
        <v>21</v>
      </c>
      <c r="U2881" s="6">
        <f t="shared" si="347"/>
        <v>4835.2</v>
      </c>
      <c r="V2881" s="6">
        <f t="shared" si="352"/>
        <v>4835.2</v>
      </c>
    </row>
    <row r="2882" spans="1:22" hidden="1" x14ac:dyDescent="0.35">
      <c r="A2882" s="6" t="s">
        <v>3155</v>
      </c>
      <c r="B2882" s="6" t="s">
        <v>3131</v>
      </c>
      <c r="C2882" s="6" t="s">
        <v>3132</v>
      </c>
      <c r="D2882" s="6">
        <f t="shared" si="350"/>
        <v>0.5</v>
      </c>
      <c r="E2882" s="6" t="s">
        <v>19</v>
      </c>
      <c r="F2882" s="6" t="str">
        <f>MID(A2882,19,1)</f>
        <v>S</v>
      </c>
      <c r="G2882" s="6">
        <v>-22.730290179216471</v>
      </c>
      <c r="H2882" s="6">
        <v>-47.291395521492412</v>
      </c>
      <c r="I2882" s="9">
        <v>2453.5</v>
      </c>
      <c r="K2882" s="6">
        <v>4.7</v>
      </c>
      <c r="L2882" s="6">
        <v>50</v>
      </c>
      <c r="N2882" s="1">
        <f t="shared" ref="N2882:N2945" si="354">IF(OR(R2882="Sim",S2882="Sim",T2882="Sim"),(L2882/100)*I2882,0)</f>
        <v>0</v>
      </c>
      <c r="O2882" s="6" t="s">
        <v>20</v>
      </c>
      <c r="Q2882" s="6" t="s">
        <v>21</v>
      </c>
      <c r="R2882" s="6" t="s">
        <v>21</v>
      </c>
      <c r="S2882" s="6" t="s">
        <v>21</v>
      </c>
      <c r="T2882" s="6" t="s">
        <v>21</v>
      </c>
      <c r="U2882" s="6">
        <f t="shared" si="347"/>
        <v>1226.75</v>
      </c>
      <c r="V2882" s="6">
        <f t="shared" si="352"/>
        <v>1226.75</v>
      </c>
    </row>
    <row r="2883" spans="1:22" x14ac:dyDescent="0.35">
      <c r="A2883" s="6" t="s">
        <v>3156</v>
      </c>
      <c r="B2883" s="6" t="s">
        <v>3131</v>
      </c>
      <c r="C2883" s="6" t="s">
        <v>3132</v>
      </c>
      <c r="D2883" s="6">
        <f t="shared" si="350"/>
        <v>0.5</v>
      </c>
      <c r="E2883" s="6" t="s">
        <v>19</v>
      </c>
      <c r="F2883" s="6" t="str">
        <f>MID(A2883,19,1)</f>
        <v>N</v>
      </c>
      <c r="G2883" s="6">
        <v>-22.72842476631881</v>
      </c>
      <c r="H2883" s="6">
        <v>-47.291455406909982</v>
      </c>
      <c r="I2883" s="9">
        <v>2233.15</v>
      </c>
      <c r="K2883" s="6">
        <v>3.75</v>
      </c>
      <c r="L2883" s="6">
        <v>50</v>
      </c>
      <c r="N2883" s="1">
        <f t="shared" si="354"/>
        <v>0</v>
      </c>
      <c r="O2883" s="6" t="s">
        <v>20</v>
      </c>
      <c r="Q2883" s="6" t="s">
        <v>21</v>
      </c>
      <c r="R2883" s="6" t="s">
        <v>21</v>
      </c>
      <c r="S2883" s="6" t="s">
        <v>21</v>
      </c>
      <c r="T2883" s="6" t="s">
        <v>21</v>
      </c>
      <c r="U2883" s="6">
        <f t="shared" ref="U2883:U2946" si="355">IF(N2883=0,(I2883*(L2883/100)),0)</f>
        <v>1116.575</v>
      </c>
      <c r="V2883" s="6">
        <f t="shared" si="352"/>
        <v>1116.575</v>
      </c>
    </row>
    <row r="2884" spans="1:22" hidden="1" x14ac:dyDescent="0.35">
      <c r="A2884" s="6" t="s">
        <v>3157</v>
      </c>
      <c r="B2884" s="6" t="s">
        <v>3131</v>
      </c>
      <c r="C2884" s="6" t="s">
        <v>3132</v>
      </c>
      <c r="D2884" s="6">
        <f t="shared" si="350"/>
        <v>0.5</v>
      </c>
      <c r="E2884" s="6" t="s">
        <v>19</v>
      </c>
      <c r="F2884" s="6" t="str">
        <f>MID(A2884,19,1)</f>
        <v>S</v>
      </c>
      <c r="G2884" s="6">
        <v>-22.81700260045875</v>
      </c>
      <c r="H2884" s="6">
        <v>-47.383401705407493</v>
      </c>
      <c r="I2884" s="9">
        <v>2050.67</v>
      </c>
      <c r="K2884" s="6">
        <v>1.53</v>
      </c>
      <c r="L2884" s="6">
        <v>70</v>
      </c>
      <c r="N2884" s="1">
        <f t="shared" si="354"/>
        <v>0</v>
      </c>
      <c r="O2884" s="6" t="s">
        <v>20</v>
      </c>
      <c r="Q2884" s="6" t="s">
        <v>21</v>
      </c>
      <c r="R2884" s="6" t="s">
        <v>21</v>
      </c>
      <c r="S2884" s="6" t="s">
        <v>21</v>
      </c>
      <c r="T2884" s="6" t="s">
        <v>21</v>
      </c>
      <c r="U2884" s="6">
        <f t="shared" si="355"/>
        <v>1435.4690000000001</v>
      </c>
      <c r="V2884" s="6">
        <f t="shared" si="352"/>
        <v>1435.4690000000001</v>
      </c>
    </row>
    <row r="2885" spans="1:22" hidden="1" x14ac:dyDescent="0.35">
      <c r="A2885" s="6" t="s">
        <v>3158</v>
      </c>
      <c r="B2885" s="6" t="s">
        <v>3159</v>
      </c>
      <c r="C2885" s="6" t="s">
        <v>3160</v>
      </c>
      <c r="D2885" s="6">
        <f t="shared" si="350"/>
        <v>0.5</v>
      </c>
      <c r="E2885" s="6" t="s">
        <v>19</v>
      </c>
      <c r="F2885" s="6" t="str">
        <f>MID(A2885,19,1)</f>
        <v>S</v>
      </c>
      <c r="G2885" s="6">
        <v>-22.81073329618491</v>
      </c>
      <c r="H2885" s="6">
        <v>-47.390056539579511</v>
      </c>
      <c r="I2885" s="9">
        <v>2040.68</v>
      </c>
      <c r="K2885" s="6">
        <v>1.98</v>
      </c>
      <c r="L2885" s="6">
        <v>70</v>
      </c>
      <c r="N2885" s="1">
        <f t="shared" si="354"/>
        <v>0</v>
      </c>
      <c r="O2885" s="6" t="s">
        <v>20</v>
      </c>
      <c r="Q2885" s="6" t="s">
        <v>21</v>
      </c>
      <c r="R2885" s="6" t="s">
        <v>21</v>
      </c>
      <c r="S2885" s="6" t="s">
        <v>21</v>
      </c>
      <c r="T2885" s="6" t="s">
        <v>21</v>
      </c>
      <c r="U2885" s="6">
        <f t="shared" si="355"/>
        <v>1428.4759999999999</v>
      </c>
      <c r="V2885" s="6">
        <f t="shared" si="352"/>
        <v>1428.4759999999999</v>
      </c>
    </row>
    <row r="2886" spans="1:22" hidden="1" x14ac:dyDescent="0.35">
      <c r="A2886" s="6" t="s">
        <v>3161</v>
      </c>
      <c r="B2886" s="6" t="s">
        <v>3159</v>
      </c>
      <c r="C2886" s="6" t="s">
        <v>3160</v>
      </c>
      <c r="D2886" s="6">
        <f t="shared" si="350"/>
        <v>0.5</v>
      </c>
      <c r="E2886" s="6" t="s">
        <v>19</v>
      </c>
      <c r="F2886" s="6" t="str">
        <f>MID(A2886,19,1)</f>
        <v>S</v>
      </c>
      <c r="G2886" s="6">
        <v>-22.812194204317748</v>
      </c>
      <c r="H2886" s="6">
        <v>-47.388188516749707</v>
      </c>
      <c r="I2886" s="9">
        <v>126.53</v>
      </c>
      <c r="K2886" s="6">
        <v>3.12</v>
      </c>
      <c r="L2886" s="6">
        <v>0</v>
      </c>
      <c r="N2886" s="1">
        <f t="shared" si="354"/>
        <v>0</v>
      </c>
      <c r="Q2886" s="6" t="s">
        <v>21</v>
      </c>
      <c r="R2886" s="6" t="s">
        <v>21</v>
      </c>
      <c r="S2886" s="6" t="s">
        <v>21</v>
      </c>
      <c r="T2886" s="6" t="s">
        <v>21</v>
      </c>
      <c r="U2886" s="6">
        <f t="shared" si="355"/>
        <v>0</v>
      </c>
      <c r="V2886" s="6">
        <f t="shared" si="352"/>
        <v>0</v>
      </c>
    </row>
    <row r="2887" spans="1:22" x14ac:dyDescent="0.35">
      <c r="A2887" s="6" t="s">
        <v>3162</v>
      </c>
      <c r="B2887" s="6" t="s">
        <v>3159</v>
      </c>
      <c r="C2887" s="6" t="s">
        <v>3160</v>
      </c>
      <c r="D2887" s="6">
        <f t="shared" si="350"/>
        <v>0.5</v>
      </c>
      <c r="E2887" s="6" t="s">
        <v>19</v>
      </c>
      <c r="F2887" s="6" t="str">
        <f>MID(A2887,19,1)</f>
        <v>N</v>
      </c>
      <c r="G2887" s="6">
        <v>-22.71625904746741</v>
      </c>
      <c r="H2887" s="6">
        <v>-47.296015527390182</v>
      </c>
      <c r="I2887" s="9">
        <v>970.56</v>
      </c>
      <c r="K2887" s="6">
        <v>1.1399999999999999</v>
      </c>
      <c r="L2887" s="6">
        <v>50</v>
      </c>
      <c r="N2887" s="1">
        <f t="shared" si="354"/>
        <v>0</v>
      </c>
      <c r="O2887" s="6" t="s">
        <v>20</v>
      </c>
      <c r="Q2887" s="6" t="s">
        <v>21</v>
      </c>
      <c r="R2887" s="6" t="s">
        <v>21</v>
      </c>
      <c r="S2887" s="6" t="s">
        <v>21</v>
      </c>
      <c r="T2887" s="6" t="s">
        <v>21</v>
      </c>
      <c r="U2887" s="6">
        <f t="shared" si="355"/>
        <v>485.28</v>
      </c>
      <c r="V2887" s="6">
        <f t="shared" si="352"/>
        <v>485.28</v>
      </c>
    </row>
    <row r="2888" spans="1:22" x14ac:dyDescent="0.35">
      <c r="A2888" s="6" t="s">
        <v>3163</v>
      </c>
      <c r="B2888" s="6" t="s">
        <v>3159</v>
      </c>
      <c r="C2888" s="6" t="s">
        <v>3160</v>
      </c>
      <c r="D2888" s="6">
        <f t="shared" si="350"/>
        <v>0.5</v>
      </c>
      <c r="E2888" s="6" t="s">
        <v>19</v>
      </c>
      <c r="F2888" s="6" t="str">
        <f>MID(A2888,19,1)</f>
        <v>N</v>
      </c>
      <c r="G2888" s="6">
        <v>-22.716587104409019</v>
      </c>
      <c r="H2888" s="6">
        <v>-47.29602295324711</v>
      </c>
      <c r="I2888" s="9">
        <v>139.81</v>
      </c>
      <c r="K2888" s="6">
        <v>0.53</v>
      </c>
      <c r="L2888" s="6">
        <v>50</v>
      </c>
      <c r="N2888" s="1">
        <f t="shared" si="354"/>
        <v>0</v>
      </c>
      <c r="O2888" s="6" t="s">
        <v>20</v>
      </c>
      <c r="Q2888" s="6" t="s">
        <v>21</v>
      </c>
      <c r="R2888" s="6" t="s">
        <v>21</v>
      </c>
      <c r="S2888" s="6" t="s">
        <v>21</v>
      </c>
      <c r="T2888" s="6" t="s">
        <v>21</v>
      </c>
      <c r="U2888" s="6">
        <f t="shared" si="355"/>
        <v>69.905000000000001</v>
      </c>
      <c r="V2888" s="6">
        <f t="shared" si="352"/>
        <v>69.905000000000001</v>
      </c>
    </row>
    <row r="2889" spans="1:22" hidden="1" x14ac:dyDescent="0.35">
      <c r="A2889" s="6" t="s">
        <v>3164</v>
      </c>
      <c r="B2889" s="6" t="s">
        <v>3159</v>
      </c>
      <c r="C2889" s="6" t="s">
        <v>3160</v>
      </c>
      <c r="D2889" s="6">
        <f t="shared" si="350"/>
        <v>0.5</v>
      </c>
      <c r="E2889" s="6" t="s">
        <v>19</v>
      </c>
      <c r="F2889" s="6" t="str">
        <f>MID(A2889,19,1)</f>
        <v>S</v>
      </c>
      <c r="G2889" s="6">
        <v>-22.81386020292009</v>
      </c>
      <c r="H2889" s="6">
        <v>-47.386725232575657</v>
      </c>
      <c r="I2889" s="9">
        <v>1854.76</v>
      </c>
      <c r="K2889" s="6">
        <v>1.85</v>
      </c>
      <c r="L2889" s="6">
        <v>70</v>
      </c>
      <c r="N2889" s="1">
        <f t="shared" si="354"/>
        <v>0</v>
      </c>
      <c r="O2889" s="6" t="s">
        <v>20</v>
      </c>
      <c r="Q2889" s="6" t="s">
        <v>21</v>
      </c>
      <c r="R2889" s="6" t="s">
        <v>21</v>
      </c>
      <c r="S2889" s="6" t="s">
        <v>21</v>
      </c>
      <c r="T2889" s="6" t="s">
        <v>21</v>
      </c>
      <c r="U2889" s="6">
        <f t="shared" si="355"/>
        <v>1298.3319999999999</v>
      </c>
      <c r="V2889" s="6">
        <f t="shared" si="352"/>
        <v>1298.3319999999999</v>
      </c>
    </row>
    <row r="2890" spans="1:22" hidden="1" x14ac:dyDescent="0.35">
      <c r="A2890" s="6" t="s">
        <v>3165</v>
      </c>
      <c r="B2890" s="6" t="s">
        <v>3159</v>
      </c>
      <c r="C2890" s="6" t="s">
        <v>3160</v>
      </c>
      <c r="D2890" s="6">
        <f t="shared" si="350"/>
        <v>0.5</v>
      </c>
      <c r="E2890" s="6" t="s">
        <v>19</v>
      </c>
      <c r="F2890" s="6" t="str">
        <f>MID(A2890,19,1)</f>
        <v>S</v>
      </c>
      <c r="G2890" s="6">
        <v>-22.718620271742051</v>
      </c>
      <c r="H2890" s="6">
        <v>-47.294791839342437</v>
      </c>
      <c r="I2890" s="9">
        <v>905.05</v>
      </c>
      <c r="K2890" s="6">
        <v>1.65</v>
      </c>
      <c r="L2890" s="6">
        <v>50</v>
      </c>
      <c r="N2890" s="1">
        <f t="shared" si="354"/>
        <v>0</v>
      </c>
      <c r="O2890" s="6" t="s">
        <v>20</v>
      </c>
      <c r="Q2890" s="6" t="s">
        <v>21</v>
      </c>
      <c r="R2890" s="6" t="s">
        <v>21</v>
      </c>
      <c r="S2890" s="6" t="s">
        <v>21</v>
      </c>
      <c r="T2890" s="6" t="s">
        <v>21</v>
      </c>
      <c r="U2890" s="6">
        <f t="shared" si="355"/>
        <v>452.52499999999998</v>
      </c>
      <c r="V2890" s="6">
        <f t="shared" si="352"/>
        <v>452.52499999999998</v>
      </c>
    </row>
    <row r="2891" spans="1:22" x14ac:dyDescent="0.35">
      <c r="A2891" s="6" t="s">
        <v>3166</v>
      </c>
      <c r="B2891" s="6" t="s">
        <v>3159</v>
      </c>
      <c r="C2891" s="6" t="s">
        <v>3160</v>
      </c>
      <c r="D2891" s="6">
        <f t="shared" si="350"/>
        <v>0.5</v>
      </c>
      <c r="E2891" s="6" t="s">
        <v>19</v>
      </c>
      <c r="F2891" s="6" t="str">
        <f>MID(A2891,19,1)</f>
        <v>N</v>
      </c>
      <c r="G2891" s="6">
        <v>-22.720100810522549</v>
      </c>
      <c r="H2891" s="6">
        <v>-47.294901865120792</v>
      </c>
      <c r="I2891" s="9">
        <v>538.54999999999995</v>
      </c>
      <c r="K2891" s="6">
        <v>2.16</v>
      </c>
      <c r="L2891" s="6">
        <v>50</v>
      </c>
      <c r="N2891" s="1">
        <f t="shared" si="354"/>
        <v>0</v>
      </c>
      <c r="O2891" s="6" t="s">
        <v>20</v>
      </c>
      <c r="Q2891" s="6" t="s">
        <v>21</v>
      </c>
      <c r="R2891" s="6" t="s">
        <v>21</v>
      </c>
      <c r="S2891" s="6" t="s">
        <v>21</v>
      </c>
      <c r="T2891" s="6" t="s">
        <v>21</v>
      </c>
      <c r="U2891" s="6">
        <f t="shared" si="355"/>
        <v>269.27499999999998</v>
      </c>
      <c r="V2891" s="6">
        <f t="shared" si="352"/>
        <v>269.27499999999998</v>
      </c>
    </row>
    <row r="2892" spans="1:22" x14ac:dyDescent="0.35">
      <c r="A2892" s="6" t="s">
        <v>3167</v>
      </c>
      <c r="B2892" s="6" t="s">
        <v>3159</v>
      </c>
      <c r="C2892" s="6" t="s">
        <v>3160</v>
      </c>
      <c r="D2892" s="6">
        <f t="shared" si="350"/>
        <v>0.5</v>
      </c>
      <c r="E2892" s="6" t="s">
        <v>19</v>
      </c>
      <c r="F2892" s="6" t="str">
        <f>MID(A2892,19,1)</f>
        <v>N</v>
      </c>
      <c r="G2892" s="6">
        <v>-22.812078893120219</v>
      </c>
      <c r="H2892" s="6">
        <v>-47.387956892167999</v>
      </c>
      <c r="I2892" s="9">
        <v>1.83</v>
      </c>
      <c r="K2892" s="6">
        <v>2.73</v>
      </c>
      <c r="L2892" s="6">
        <v>0</v>
      </c>
      <c r="N2892" s="1">
        <f t="shared" si="354"/>
        <v>0</v>
      </c>
      <c r="Q2892" s="6" t="s">
        <v>21</v>
      </c>
      <c r="R2892" s="6" t="s">
        <v>21</v>
      </c>
      <c r="S2892" s="6" t="s">
        <v>21</v>
      </c>
      <c r="T2892" s="6" t="s">
        <v>21</v>
      </c>
      <c r="U2892" s="6">
        <f t="shared" si="355"/>
        <v>0</v>
      </c>
      <c r="V2892" s="6">
        <f t="shared" si="352"/>
        <v>0</v>
      </c>
    </row>
    <row r="2893" spans="1:22" hidden="1" x14ac:dyDescent="0.35">
      <c r="A2893" s="6" t="s">
        <v>3168</v>
      </c>
      <c r="B2893" s="6" t="s">
        <v>3159</v>
      </c>
      <c r="C2893" s="6" t="s">
        <v>3160</v>
      </c>
      <c r="D2893" s="6">
        <f t="shared" si="350"/>
        <v>0.5</v>
      </c>
      <c r="E2893" s="6" t="s">
        <v>19</v>
      </c>
      <c r="F2893" s="6" t="str">
        <f>MID(A2893,19,1)</f>
        <v>S</v>
      </c>
      <c r="G2893" s="6">
        <v>-22.71690536585621</v>
      </c>
      <c r="H2893" s="6">
        <v>-47.295254692466933</v>
      </c>
      <c r="I2893" s="9">
        <v>1642.11</v>
      </c>
      <c r="K2893" s="6">
        <v>1.77</v>
      </c>
      <c r="L2893" s="6">
        <v>50</v>
      </c>
      <c r="N2893" s="1">
        <f t="shared" si="354"/>
        <v>0</v>
      </c>
      <c r="O2893" s="6" t="s">
        <v>20</v>
      </c>
      <c r="Q2893" s="6" t="s">
        <v>21</v>
      </c>
      <c r="R2893" s="6" t="s">
        <v>21</v>
      </c>
      <c r="S2893" s="6" t="s">
        <v>21</v>
      </c>
      <c r="T2893" s="6" t="s">
        <v>21</v>
      </c>
      <c r="U2893" s="6">
        <f t="shared" si="355"/>
        <v>821.05499999999995</v>
      </c>
      <c r="V2893" s="6">
        <f t="shared" si="352"/>
        <v>821.05499999999995</v>
      </c>
    </row>
    <row r="2894" spans="1:22" hidden="1" x14ac:dyDescent="0.35">
      <c r="A2894" s="6" t="s">
        <v>3169</v>
      </c>
      <c r="B2894" s="6" t="s">
        <v>3159</v>
      </c>
      <c r="C2894" s="6" t="s">
        <v>3160</v>
      </c>
      <c r="D2894" s="6">
        <f t="shared" ref="D2894:D2957" si="356">C2894-B2894</f>
        <v>0.5</v>
      </c>
      <c r="E2894" s="6" t="s">
        <v>19</v>
      </c>
      <c r="F2894" s="6" t="str">
        <f>MID(A2894,19,1)</f>
        <v>S</v>
      </c>
      <c r="G2894" s="6">
        <v>-22.71872646134571</v>
      </c>
      <c r="H2894" s="6">
        <v>-47.294771710996997</v>
      </c>
      <c r="I2894" s="9">
        <v>774.84</v>
      </c>
      <c r="K2894" s="6">
        <v>1.68</v>
      </c>
      <c r="N2894" s="1">
        <f t="shared" si="354"/>
        <v>0</v>
      </c>
      <c r="Q2894" s="6" t="s">
        <v>21</v>
      </c>
      <c r="R2894" s="6" t="s">
        <v>21</v>
      </c>
      <c r="S2894" s="6" t="s">
        <v>21</v>
      </c>
      <c r="T2894" s="6" t="s">
        <v>21</v>
      </c>
      <c r="U2894" s="6">
        <f t="shared" si="355"/>
        <v>0</v>
      </c>
      <c r="V2894" s="6">
        <f t="shared" si="352"/>
        <v>0</v>
      </c>
    </row>
    <row r="2895" spans="1:22" hidden="1" x14ac:dyDescent="0.35">
      <c r="A2895" s="6" t="s">
        <v>3170</v>
      </c>
      <c r="B2895" s="6" t="s">
        <v>3159</v>
      </c>
      <c r="C2895" s="6" t="s">
        <v>3160</v>
      </c>
      <c r="D2895" s="6">
        <f t="shared" si="356"/>
        <v>0.5</v>
      </c>
      <c r="E2895" s="6" t="s">
        <v>19</v>
      </c>
      <c r="F2895" s="6" t="str">
        <f>MID(A2895,19,1)</f>
        <v>S</v>
      </c>
      <c r="G2895" s="6">
        <v>-22.716863805871391</v>
      </c>
      <c r="H2895" s="6">
        <v>-47.295318383687722</v>
      </c>
      <c r="I2895" s="9">
        <v>1003.02</v>
      </c>
      <c r="K2895" s="6">
        <v>1.86</v>
      </c>
      <c r="N2895" s="1">
        <f t="shared" si="354"/>
        <v>0</v>
      </c>
      <c r="Q2895" s="6" t="s">
        <v>21</v>
      </c>
      <c r="R2895" s="6" t="s">
        <v>21</v>
      </c>
      <c r="S2895" s="6" t="s">
        <v>21</v>
      </c>
      <c r="T2895" s="6" t="s">
        <v>21</v>
      </c>
      <c r="U2895" s="6">
        <f t="shared" si="355"/>
        <v>0</v>
      </c>
      <c r="V2895" s="6">
        <f t="shared" si="352"/>
        <v>0</v>
      </c>
    </row>
    <row r="2896" spans="1:22" hidden="1" x14ac:dyDescent="0.35">
      <c r="A2896" s="6" t="s">
        <v>3171</v>
      </c>
      <c r="B2896" s="6" t="s">
        <v>3159</v>
      </c>
      <c r="C2896" s="6" t="s">
        <v>3160</v>
      </c>
      <c r="D2896" s="6">
        <f t="shared" si="356"/>
        <v>0.5</v>
      </c>
      <c r="E2896" s="6" t="s">
        <v>19</v>
      </c>
      <c r="F2896" s="6" t="str">
        <f>MID(A2896,19,1)</f>
        <v>S</v>
      </c>
      <c r="G2896" s="6">
        <v>-22.715578653067471</v>
      </c>
      <c r="H2896" s="6">
        <v>-47.295752193278261</v>
      </c>
      <c r="I2896" s="9">
        <v>312.64999999999998</v>
      </c>
      <c r="K2896" s="6">
        <v>3.29</v>
      </c>
      <c r="L2896" s="6">
        <v>50</v>
      </c>
      <c r="N2896" s="1">
        <f t="shared" si="354"/>
        <v>0</v>
      </c>
      <c r="O2896" s="6" t="s">
        <v>20</v>
      </c>
      <c r="Q2896" s="6" t="s">
        <v>21</v>
      </c>
      <c r="R2896" s="6" t="s">
        <v>21</v>
      </c>
      <c r="S2896" s="6" t="s">
        <v>21</v>
      </c>
      <c r="T2896" s="6" t="s">
        <v>21</v>
      </c>
      <c r="U2896" s="6">
        <f t="shared" si="355"/>
        <v>156.32499999999999</v>
      </c>
      <c r="V2896" s="6">
        <f t="shared" si="352"/>
        <v>156.32499999999999</v>
      </c>
    </row>
    <row r="2897" spans="1:22" x14ac:dyDescent="0.35">
      <c r="A2897" s="6" t="s">
        <v>3172</v>
      </c>
      <c r="B2897" s="6" t="s">
        <v>3159</v>
      </c>
      <c r="C2897" s="6" t="s">
        <v>3160</v>
      </c>
      <c r="D2897" s="6">
        <f t="shared" si="356"/>
        <v>0.5</v>
      </c>
      <c r="E2897" s="6" t="s">
        <v>19</v>
      </c>
      <c r="F2897" s="6" t="str">
        <f>MID(A2897,19,1)</f>
        <v>N</v>
      </c>
      <c r="G2897" s="6">
        <v>-22.813572173386049</v>
      </c>
      <c r="H2897" s="6">
        <v>-47.386391416560024</v>
      </c>
      <c r="I2897" s="9">
        <v>1843.45</v>
      </c>
      <c r="K2897" s="6">
        <v>2.41</v>
      </c>
      <c r="L2897" s="6">
        <v>70</v>
      </c>
      <c r="N2897" s="1">
        <f t="shared" si="354"/>
        <v>0</v>
      </c>
      <c r="O2897" s="6" t="s">
        <v>20</v>
      </c>
      <c r="Q2897" s="6" t="s">
        <v>21</v>
      </c>
      <c r="R2897" s="6" t="s">
        <v>21</v>
      </c>
      <c r="S2897" s="6" t="s">
        <v>21</v>
      </c>
      <c r="T2897" s="6" t="s">
        <v>21</v>
      </c>
      <c r="U2897" s="6">
        <f t="shared" si="355"/>
        <v>1290.415</v>
      </c>
      <c r="V2897" s="6">
        <f t="shared" si="352"/>
        <v>1290.415</v>
      </c>
    </row>
    <row r="2898" spans="1:22" x14ac:dyDescent="0.35">
      <c r="A2898" s="6" t="s">
        <v>3173</v>
      </c>
      <c r="B2898" s="6" t="s">
        <v>3159</v>
      </c>
      <c r="C2898" s="6" t="s">
        <v>3160</v>
      </c>
      <c r="D2898" s="6">
        <f t="shared" si="356"/>
        <v>0.5</v>
      </c>
      <c r="E2898" s="6" t="s">
        <v>19</v>
      </c>
      <c r="F2898" s="6" t="str">
        <f>MID(A2898,19,1)</f>
        <v>N</v>
      </c>
      <c r="G2898" s="6">
        <v>-22.71929790714314</v>
      </c>
      <c r="H2898" s="6">
        <v>-47.295144220826117</v>
      </c>
      <c r="I2898" s="9">
        <v>1086.5</v>
      </c>
      <c r="K2898" s="6">
        <v>2.82</v>
      </c>
      <c r="L2898" s="6">
        <v>50</v>
      </c>
      <c r="N2898" s="1">
        <f t="shared" si="354"/>
        <v>0</v>
      </c>
      <c r="O2898" s="6" t="s">
        <v>20</v>
      </c>
      <c r="Q2898" s="6" t="s">
        <v>21</v>
      </c>
      <c r="R2898" s="6" t="s">
        <v>21</v>
      </c>
      <c r="S2898" s="6" t="s">
        <v>21</v>
      </c>
      <c r="T2898" s="6" t="s">
        <v>21</v>
      </c>
      <c r="U2898" s="6">
        <f t="shared" si="355"/>
        <v>543.25</v>
      </c>
      <c r="V2898" s="6">
        <f t="shared" si="352"/>
        <v>543.25</v>
      </c>
    </row>
    <row r="2899" spans="1:22" hidden="1" x14ac:dyDescent="0.35">
      <c r="A2899" s="6" t="s">
        <v>3174</v>
      </c>
      <c r="B2899" s="6" t="s">
        <v>3159</v>
      </c>
      <c r="C2899" s="6" t="s">
        <v>3160</v>
      </c>
      <c r="D2899" s="6">
        <f t="shared" si="356"/>
        <v>0.5</v>
      </c>
      <c r="E2899" s="6" t="s">
        <v>19</v>
      </c>
      <c r="F2899" s="6" t="str">
        <f>MID(A2899,19,1)</f>
        <v>S</v>
      </c>
      <c r="G2899" s="6">
        <v>-22.715354803936279</v>
      </c>
      <c r="H2899" s="6">
        <v>-47.296024127234617</v>
      </c>
      <c r="I2899" s="9">
        <v>23.92</v>
      </c>
      <c r="K2899" s="6">
        <v>0.66</v>
      </c>
      <c r="L2899" s="6">
        <v>0</v>
      </c>
      <c r="N2899" s="1">
        <f t="shared" si="354"/>
        <v>0</v>
      </c>
      <c r="Q2899" s="6" t="s">
        <v>21</v>
      </c>
      <c r="R2899" s="6" t="s">
        <v>21</v>
      </c>
      <c r="S2899" s="6" t="s">
        <v>21</v>
      </c>
      <c r="T2899" s="6" t="s">
        <v>21</v>
      </c>
      <c r="U2899" s="6">
        <f t="shared" si="355"/>
        <v>0</v>
      </c>
      <c r="V2899" s="6">
        <f t="shared" si="352"/>
        <v>0</v>
      </c>
    </row>
    <row r="2900" spans="1:22" hidden="1" x14ac:dyDescent="0.35">
      <c r="A2900" s="6" t="s">
        <v>3175</v>
      </c>
      <c r="B2900" s="6" t="s">
        <v>3159</v>
      </c>
      <c r="C2900" s="6" t="s">
        <v>3160</v>
      </c>
      <c r="D2900" s="6">
        <f t="shared" si="356"/>
        <v>0.5</v>
      </c>
      <c r="E2900" s="6" t="s">
        <v>23</v>
      </c>
      <c r="F2900" s="6" t="str">
        <f>MID(A2900,19,1)</f>
        <v>C</v>
      </c>
      <c r="G2900" s="6">
        <v>-22.721357107913299</v>
      </c>
      <c r="H2900" s="6">
        <v>-47.293828099465912</v>
      </c>
      <c r="I2900" s="9">
        <v>2910.69</v>
      </c>
      <c r="J2900" s="9">
        <f>I2900/500</f>
        <v>5.8213800000000004</v>
      </c>
      <c r="K2900" s="6">
        <v>3.15</v>
      </c>
      <c r="L2900" s="6">
        <v>50</v>
      </c>
      <c r="N2900" s="1">
        <f t="shared" si="354"/>
        <v>0</v>
      </c>
      <c r="O2900" s="6" t="s">
        <v>20</v>
      </c>
      <c r="Q2900" s="6" t="s">
        <v>21</v>
      </c>
      <c r="R2900" s="6" t="s">
        <v>21</v>
      </c>
      <c r="S2900" s="6" t="s">
        <v>21</v>
      </c>
      <c r="T2900" s="6" t="s">
        <v>21</v>
      </c>
      <c r="U2900" s="6">
        <f t="shared" si="355"/>
        <v>1455.345</v>
      </c>
      <c r="V2900" s="6">
        <f t="shared" si="352"/>
        <v>1455.345</v>
      </c>
    </row>
    <row r="2901" spans="1:22" hidden="1" x14ac:dyDescent="0.35">
      <c r="A2901" s="6" t="s">
        <v>3176</v>
      </c>
      <c r="B2901" s="6" t="s">
        <v>3159</v>
      </c>
      <c r="C2901" s="6" t="s">
        <v>3160</v>
      </c>
      <c r="D2901" s="6">
        <f t="shared" si="356"/>
        <v>0.5</v>
      </c>
      <c r="E2901" s="6" t="s">
        <v>19</v>
      </c>
      <c r="F2901" s="6" t="str">
        <f>MID(A2901,19,1)</f>
        <v>S</v>
      </c>
      <c r="G2901" s="6">
        <v>-22.71577469265306</v>
      </c>
      <c r="H2901" s="6">
        <v>-47.295503962840449</v>
      </c>
      <c r="I2901" s="9">
        <v>106.1</v>
      </c>
      <c r="K2901" s="6">
        <v>3.24</v>
      </c>
      <c r="L2901" s="6">
        <v>50</v>
      </c>
      <c r="N2901" s="1">
        <f t="shared" si="354"/>
        <v>0</v>
      </c>
      <c r="O2901" s="6" t="s">
        <v>20</v>
      </c>
      <c r="Q2901" s="6" t="s">
        <v>21</v>
      </c>
      <c r="R2901" s="6" t="s">
        <v>21</v>
      </c>
      <c r="S2901" s="6" t="s">
        <v>21</v>
      </c>
      <c r="T2901" s="6" t="s">
        <v>21</v>
      </c>
      <c r="U2901" s="6">
        <f t="shared" si="355"/>
        <v>53.05</v>
      </c>
      <c r="V2901" s="6">
        <f t="shared" si="352"/>
        <v>53.05</v>
      </c>
    </row>
    <row r="2902" spans="1:22" hidden="1" x14ac:dyDescent="0.35">
      <c r="A2902" s="6" t="s">
        <v>3177</v>
      </c>
      <c r="B2902" s="6" t="s">
        <v>3159</v>
      </c>
      <c r="C2902" s="6" t="s">
        <v>3160</v>
      </c>
      <c r="D2902" s="6">
        <f t="shared" si="356"/>
        <v>0.5</v>
      </c>
      <c r="E2902" s="6" t="s">
        <v>23</v>
      </c>
      <c r="F2902" s="6" t="str">
        <f>MID(A2902,19,1)</f>
        <v>C</v>
      </c>
      <c r="G2902" s="6">
        <v>-22.81373948243705</v>
      </c>
      <c r="H2902" s="6">
        <v>-47.386530361059769</v>
      </c>
      <c r="I2902" s="9">
        <v>5268.3</v>
      </c>
      <c r="J2902" s="9">
        <f>I2902/500</f>
        <v>10.5366</v>
      </c>
      <c r="K2902" s="6">
        <v>2.04</v>
      </c>
      <c r="L2902" s="6">
        <v>80</v>
      </c>
      <c r="N2902" s="1">
        <f t="shared" si="354"/>
        <v>0</v>
      </c>
      <c r="O2902" s="6" t="s">
        <v>20</v>
      </c>
      <c r="Q2902" s="6" t="s">
        <v>21</v>
      </c>
      <c r="R2902" s="6" t="s">
        <v>21</v>
      </c>
      <c r="S2902" s="6" t="s">
        <v>21</v>
      </c>
      <c r="T2902" s="6" t="s">
        <v>21</v>
      </c>
      <c r="U2902" s="6">
        <f t="shared" si="355"/>
        <v>4214.6400000000003</v>
      </c>
      <c r="V2902" s="6">
        <f t="shared" si="352"/>
        <v>4214.6400000000003</v>
      </c>
    </row>
    <row r="2903" spans="1:22" x14ac:dyDescent="0.35">
      <c r="A2903" s="6" t="s">
        <v>3178</v>
      </c>
      <c r="B2903" s="6" t="s">
        <v>3159</v>
      </c>
      <c r="C2903" s="6" t="s">
        <v>3160</v>
      </c>
      <c r="D2903" s="6">
        <f t="shared" si="356"/>
        <v>0.5</v>
      </c>
      <c r="E2903" s="6" t="s">
        <v>19</v>
      </c>
      <c r="F2903" s="6" t="str">
        <f>MID(A2903,19,1)</f>
        <v>N</v>
      </c>
      <c r="G2903" s="6">
        <v>-22.809698042915372</v>
      </c>
      <c r="H2903" s="6">
        <v>-47.390534596405068</v>
      </c>
      <c r="I2903" s="9">
        <v>1085.3699999999999</v>
      </c>
      <c r="K2903" s="6">
        <v>3.56</v>
      </c>
      <c r="L2903" s="6">
        <v>70</v>
      </c>
      <c r="N2903" s="1">
        <f t="shared" si="354"/>
        <v>0</v>
      </c>
      <c r="O2903" s="6" t="s">
        <v>20</v>
      </c>
      <c r="Q2903" s="6" t="s">
        <v>21</v>
      </c>
      <c r="R2903" s="6" t="s">
        <v>21</v>
      </c>
      <c r="S2903" s="6" t="s">
        <v>21</v>
      </c>
      <c r="T2903" s="6" t="s">
        <v>21</v>
      </c>
      <c r="U2903" s="6">
        <f t="shared" si="355"/>
        <v>759.7589999999999</v>
      </c>
      <c r="V2903" s="6">
        <f t="shared" si="352"/>
        <v>759.7589999999999</v>
      </c>
    </row>
    <row r="2904" spans="1:22" hidden="1" x14ac:dyDescent="0.35">
      <c r="A2904" s="6" t="s">
        <v>3179</v>
      </c>
      <c r="B2904" s="6" t="s">
        <v>3159</v>
      </c>
      <c r="C2904" s="6" t="s">
        <v>3160</v>
      </c>
      <c r="D2904" s="6">
        <f t="shared" si="356"/>
        <v>0.5</v>
      </c>
      <c r="E2904" s="6" t="s">
        <v>23</v>
      </c>
      <c r="F2904" s="6" t="str">
        <f>MID(A2904,19,1)</f>
        <v>C</v>
      </c>
      <c r="G2904" s="6">
        <v>-22.810539557660629</v>
      </c>
      <c r="H2904" s="6">
        <v>-47.389945389355077</v>
      </c>
      <c r="I2904" s="9">
        <v>5324.98</v>
      </c>
      <c r="J2904" s="9">
        <f t="shared" ref="J2904:J2905" si="357">I2904/500</f>
        <v>10.649959999999998</v>
      </c>
      <c r="K2904" s="6">
        <v>2.4500000000000002</v>
      </c>
      <c r="L2904" s="6">
        <v>80</v>
      </c>
      <c r="N2904" s="1">
        <f t="shared" si="354"/>
        <v>0</v>
      </c>
      <c r="O2904" s="6" t="s">
        <v>20</v>
      </c>
      <c r="Q2904" s="6" t="s">
        <v>21</v>
      </c>
      <c r="R2904" s="6" t="s">
        <v>21</v>
      </c>
      <c r="S2904" s="6" t="s">
        <v>21</v>
      </c>
      <c r="T2904" s="6" t="s">
        <v>21</v>
      </c>
      <c r="U2904" s="6">
        <f t="shared" si="355"/>
        <v>4259.9839999999995</v>
      </c>
      <c r="V2904" s="6">
        <f t="shared" si="352"/>
        <v>4259.9839999999995</v>
      </c>
    </row>
    <row r="2905" spans="1:22" hidden="1" x14ac:dyDescent="0.35">
      <c r="A2905" s="6" t="s">
        <v>3180</v>
      </c>
      <c r="B2905" s="6" t="s">
        <v>3159</v>
      </c>
      <c r="C2905" s="6" t="s">
        <v>3160</v>
      </c>
      <c r="D2905" s="6">
        <f t="shared" si="356"/>
        <v>0.5</v>
      </c>
      <c r="E2905" s="6" t="s">
        <v>23</v>
      </c>
      <c r="F2905" s="6" t="str">
        <f>MID(A2905,19,1)</f>
        <v>C</v>
      </c>
      <c r="G2905" s="6">
        <v>-22.722015021946572</v>
      </c>
      <c r="H2905" s="6">
        <v>-47.294236727230683</v>
      </c>
      <c r="I2905" s="9">
        <v>6107.16</v>
      </c>
      <c r="J2905" s="9">
        <f t="shared" si="357"/>
        <v>12.214319999999999</v>
      </c>
      <c r="K2905" s="6">
        <v>1.9</v>
      </c>
      <c r="L2905" s="6">
        <v>50</v>
      </c>
      <c r="N2905" s="1">
        <f t="shared" si="354"/>
        <v>0</v>
      </c>
      <c r="O2905" s="6" t="s">
        <v>20</v>
      </c>
      <c r="Q2905" s="6" t="s">
        <v>21</v>
      </c>
      <c r="R2905" s="6" t="s">
        <v>21</v>
      </c>
      <c r="S2905" s="6" t="s">
        <v>21</v>
      </c>
      <c r="T2905" s="6" t="s">
        <v>21</v>
      </c>
      <c r="U2905" s="6">
        <f t="shared" si="355"/>
        <v>3053.58</v>
      </c>
      <c r="V2905" s="6">
        <f t="shared" si="352"/>
        <v>3053.58</v>
      </c>
    </row>
    <row r="2906" spans="1:22" x14ac:dyDescent="0.35">
      <c r="A2906" s="6" t="s">
        <v>3181</v>
      </c>
      <c r="B2906" s="6" t="s">
        <v>3159</v>
      </c>
      <c r="C2906" s="6" t="s">
        <v>3160</v>
      </c>
      <c r="D2906" s="6">
        <f t="shared" si="356"/>
        <v>0.5</v>
      </c>
      <c r="E2906" s="6" t="s">
        <v>19</v>
      </c>
      <c r="F2906" s="6" t="str">
        <f>MID(A2906,19,1)</f>
        <v>N</v>
      </c>
      <c r="G2906" s="6">
        <v>-22.722207152925581</v>
      </c>
      <c r="H2906" s="6">
        <v>-47.293582456542687</v>
      </c>
      <c r="I2906" s="9">
        <v>870.27</v>
      </c>
      <c r="K2906" s="6">
        <v>3.96</v>
      </c>
      <c r="L2906" s="6">
        <v>50</v>
      </c>
      <c r="N2906" s="1">
        <f t="shared" si="354"/>
        <v>0</v>
      </c>
      <c r="O2906" s="6" t="s">
        <v>20</v>
      </c>
      <c r="Q2906" s="6" t="s">
        <v>21</v>
      </c>
      <c r="R2906" s="6" t="s">
        <v>21</v>
      </c>
      <c r="S2906" s="6" t="s">
        <v>21</v>
      </c>
      <c r="T2906" s="6" t="s">
        <v>21</v>
      </c>
      <c r="U2906" s="6">
        <f t="shared" si="355"/>
        <v>435.13499999999999</v>
      </c>
      <c r="V2906" s="6">
        <f t="shared" si="352"/>
        <v>435.13499999999999</v>
      </c>
    </row>
    <row r="2907" spans="1:22" hidden="1" x14ac:dyDescent="0.35">
      <c r="A2907" s="6" t="s">
        <v>3182</v>
      </c>
      <c r="B2907" s="6" t="s">
        <v>3159</v>
      </c>
      <c r="C2907" s="6" t="s">
        <v>3160</v>
      </c>
      <c r="D2907" s="6">
        <f t="shared" si="356"/>
        <v>0.5</v>
      </c>
      <c r="E2907" s="6" t="s">
        <v>23</v>
      </c>
      <c r="F2907" s="6" t="str">
        <f>MID(A2907,19,1)</f>
        <v>C</v>
      </c>
      <c r="G2907" s="6">
        <v>-22.719995194408089</v>
      </c>
      <c r="H2907" s="6">
        <v>-47.294376803495858</v>
      </c>
      <c r="I2907" s="9">
        <v>412.4</v>
      </c>
      <c r="J2907" s="9">
        <f t="shared" ref="J2907:J2908" si="358">I2907/500</f>
        <v>0.82479999999999998</v>
      </c>
      <c r="K2907" s="6">
        <v>1.55</v>
      </c>
      <c r="L2907" s="6">
        <v>50</v>
      </c>
      <c r="N2907" s="1">
        <f t="shared" si="354"/>
        <v>0</v>
      </c>
      <c r="O2907" s="6" t="s">
        <v>20</v>
      </c>
      <c r="Q2907" s="6" t="s">
        <v>21</v>
      </c>
      <c r="R2907" s="6" t="s">
        <v>21</v>
      </c>
      <c r="S2907" s="6" t="s">
        <v>21</v>
      </c>
      <c r="T2907" s="6" t="s">
        <v>21</v>
      </c>
      <c r="U2907" s="6">
        <f t="shared" si="355"/>
        <v>206.2</v>
      </c>
      <c r="V2907" s="6">
        <f t="shared" si="352"/>
        <v>206.2</v>
      </c>
    </row>
    <row r="2908" spans="1:22" hidden="1" x14ac:dyDescent="0.35">
      <c r="A2908" s="6" t="s">
        <v>3183</v>
      </c>
      <c r="B2908" s="6" t="s">
        <v>3159</v>
      </c>
      <c r="C2908" s="6" t="s">
        <v>3160</v>
      </c>
      <c r="D2908" s="6">
        <f t="shared" si="356"/>
        <v>0.5</v>
      </c>
      <c r="E2908" s="6" t="s">
        <v>23</v>
      </c>
      <c r="F2908" s="6" t="str">
        <f>MID(A2908,19,1)</f>
        <v>C</v>
      </c>
      <c r="G2908" s="6">
        <v>-22.720528398278031</v>
      </c>
      <c r="H2908" s="6">
        <v>-47.294155317513052</v>
      </c>
      <c r="I2908" s="9">
        <v>927.59</v>
      </c>
      <c r="J2908" s="9">
        <f t="shared" si="358"/>
        <v>1.8551800000000001</v>
      </c>
      <c r="K2908" s="6">
        <v>2.02</v>
      </c>
      <c r="L2908" s="6">
        <v>50</v>
      </c>
      <c r="N2908" s="1">
        <f t="shared" si="354"/>
        <v>0</v>
      </c>
      <c r="O2908" s="6" t="s">
        <v>20</v>
      </c>
      <c r="Q2908" s="6" t="s">
        <v>21</v>
      </c>
      <c r="R2908" s="6" t="s">
        <v>21</v>
      </c>
      <c r="S2908" s="6" t="s">
        <v>21</v>
      </c>
      <c r="T2908" s="6" t="s">
        <v>21</v>
      </c>
      <c r="U2908" s="6">
        <f t="shared" si="355"/>
        <v>463.79500000000002</v>
      </c>
      <c r="V2908" s="6">
        <f t="shared" si="352"/>
        <v>463.79500000000002</v>
      </c>
    </row>
    <row r="2909" spans="1:22" hidden="1" x14ac:dyDescent="0.35">
      <c r="A2909" s="6" t="s">
        <v>3184</v>
      </c>
      <c r="B2909" s="6" t="s">
        <v>3185</v>
      </c>
      <c r="C2909" s="6" t="s">
        <v>3186</v>
      </c>
      <c r="D2909" s="6">
        <f t="shared" si="356"/>
        <v>0.5</v>
      </c>
      <c r="E2909" s="6" t="s">
        <v>19</v>
      </c>
      <c r="F2909" s="6" t="str">
        <f>MID(A2909,19,1)</f>
        <v>S</v>
      </c>
      <c r="G2909" s="6">
        <v>-22.803207988710071</v>
      </c>
      <c r="H2909" s="6">
        <v>-47.398673505698419</v>
      </c>
      <c r="I2909" s="9">
        <v>1034.42</v>
      </c>
      <c r="K2909" s="6">
        <v>2.8</v>
      </c>
      <c r="L2909" s="6">
        <v>70</v>
      </c>
      <c r="N2909" s="1">
        <f t="shared" si="354"/>
        <v>0</v>
      </c>
      <c r="O2909" s="6" t="s">
        <v>20</v>
      </c>
      <c r="Q2909" s="6" t="s">
        <v>21</v>
      </c>
      <c r="R2909" s="6" t="s">
        <v>21</v>
      </c>
      <c r="S2909" s="6" t="s">
        <v>21</v>
      </c>
      <c r="T2909" s="6" t="s">
        <v>21</v>
      </c>
      <c r="U2909" s="6">
        <f t="shared" si="355"/>
        <v>724.09400000000005</v>
      </c>
      <c r="V2909" s="6">
        <f t="shared" si="352"/>
        <v>724.09400000000005</v>
      </c>
    </row>
    <row r="2910" spans="1:22" hidden="1" x14ac:dyDescent="0.35">
      <c r="A2910" s="6" t="s">
        <v>3187</v>
      </c>
      <c r="B2910" s="6" t="s">
        <v>3185</v>
      </c>
      <c r="C2910" s="6" t="s">
        <v>3186</v>
      </c>
      <c r="D2910" s="6">
        <f t="shared" si="356"/>
        <v>0.5</v>
      </c>
      <c r="E2910" s="6" t="s">
        <v>19</v>
      </c>
      <c r="F2910" s="6" t="str">
        <f>MID(A2910,19,1)</f>
        <v>S</v>
      </c>
      <c r="G2910" s="6">
        <v>-22.804902325109289</v>
      </c>
      <c r="H2910" s="6">
        <v>-47.396315348600567</v>
      </c>
      <c r="I2910" s="9">
        <v>1123.44</v>
      </c>
      <c r="K2910" s="6">
        <v>5.21</v>
      </c>
      <c r="L2910" s="6">
        <v>70</v>
      </c>
      <c r="N2910" s="1">
        <f t="shared" si="354"/>
        <v>0</v>
      </c>
      <c r="O2910" s="6" t="s">
        <v>20</v>
      </c>
      <c r="Q2910" s="6" t="s">
        <v>21</v>
      </c>
      <c r="R2910" s="6" t="s">
        <v>21</v>
      </c>
      <c r="S2910" s="6" t="s">
        <v>21</v>
      </c>
      <c r="T2910" s="6" t="s">
        <v>21</v>
      </c>
      <c r="U2910" s="6">
        <f t="shared" si="355"/>
        <v>786.40800000000002</v>
      </c>
      <c r="V2910" s="6">
        <f t="shared" si="352"/>
        <v>786.40800000000002</v>
      </c>
    </row>
    <row r="2911" spans="1:22" hidden="1" x14ac:dyDescent="0.35">
      <c r="A2911" s="6" t="s">
        <v>3188</v>
      </c>
      <c r="B2911" s="6" t="s">
        <v>3185</v>
      </c>
      <c r="C2911" s="6" t="s">
        <v>3186</v>
      </c>
      <c r="D2911" s="6">
        <f t="shared" si="356"/>
        <v>0.5</v>
      </c>
      <c r="E2911" s="6" t="s">
        <v>19</v>
      </c>
      <c r="F2911" s="6" t="str">
        <f>MID(A2911,19,1)</f>
        <v>S</v>
      </c>
      <c r="G2911" s="6">
        <v>-22.803442400621499</v>
      </c>
      <c r="H2911" s="6">
        <v>-47.39819956515781</v>
      </c>
      <c r="I2911" s="9">
        <v>2876.01</v>
      </c>
      <c r="K2911" s="6">
        <v>1.78</v>
      </c>
      <c r="L2911" s="6">
        <v>70</v>
      </c>
      <c r="N2911" s="1">
        <f t="shared" si="354"/>
        <v>0</v>
      </c>
      <c r="O2911" s="6" t="s">
        <v>20</v>
      </c>
      <c r="Q2911" s="6" t="s">
        <v>21</v>
      </c>
      <c r="R2911" s="6" t="s">
        <v>21</v>
      </c>
      <c r="S2911" s="6" t="s">
        <v>21</v>
      </c>
      <c r="T2911" s="6" t="s">
        <v>21</v>
      </c>
      <c r="U2911" s="6">
        <f t="shared" si="355"/>
        <v>2013.2070000000001</v>
      </c>
      <c r="V2911" s="6">
        <f t="shared" si="352"/>
        <v>2013.2070000000001</v>
      </c>
    </row>
    <row r="2912" spans="1:22" hidden="1" x14ac:dyDescent="0.35">
      <c r="A2912" s="6" t="s">
        <v>3189</v>
      </c>
      <c r="B2912" s="6" t="s">
        <v>3185</v>
      </c>
      <c r="C2912" s="6" t="s">
        <v>3186</v>
      </c>
      <c r="D2912" s="6">
        <f t="shared" si="356"/>
        <v>0.5</v>
      </c>
      <c r="E2912" s="6" t="s">
        <v>19</v>
      </c>
      <c r="F2912" s="6" t="str">
        <f>MID(A2912,19,1)</f>
        <v>S</v>
      </c>
      <c r="G2912" s="6">
        <v>-22.71178604147304</v>
      </c>
      <c r="H2912" s="6">
        <v>-47.29726756029126</v>
      </c>
      <c r="I2912" s="9">
        <v>827.32</v>
      </c>
      <c r="K2912" s="6">
        <v>2.2999999999999998</v>
      </c>
      <c r="L2912" s="6">
        <v>50</v>
      </c>
      <c r="N2912" s="1">
        <f t="shared" si="354"/>
        <v>0</v>
      </c>
      <c r="O2912" s="6" t="s">
        <v>20</v>
      </c>
      <c r="Q2912" s="6" t="s">
        <v>21</v>
      </c>
      <c r="R2912" s="6" t="s">
        <v>21</v>
      </c>
      <c r="S2912" s="6" t="s">
        <v>21</v>
      </c>
      <c r="T2912" s="6" t="s">
        <v>21</v>
      </c>
      <c r="U2912" s="6">
        <f t="shared" si="355"/>
        <v>413.66</v>
      </c>
      <c r="V2912" s="6">
        <f t="shared" si="352"/>
        <v>413.66</v>
      </c>
    </row>
    <row r="2913" spans="1:22" hidden="1" x14ac:dyDescent="0.35">
      <c r="A2913" s="6" t="s">
        <v>3190</v>
      </c>
      <c r="B2913" s="6" t="s">
        <v>3185</v>
      </c>
      <c r="C2913" s="6" t="s">
        <v>3186</v>
      </c>
      <c r="D2913" s="6">
        <f t="shared" si="356"/>
        <v>0.5</v>
      </c>
      <c r="E2913" s="6" t="s">
        <v>19</v>
      </c>
      <c r="F2913" s="6" t="str">
        <f>MID(A2913,19,1)</f>
        <v>S</v>
      </c>
      <c r="G2913" s="6">
        <v>-22.71405434841181</v>
      </c>
      <c r="H2913" s="6">
        <v>-47.29625922904863</v>
      </c>
      <c r="I2913" s="9">
        <v>1578.87</v>
      </c>
      <c r="K2913" s="6">
        <v>2.73</v>
      </c>
      <c r="L2913" s="6">
        <v>50</v>
      </c>
      <c r="N2913" s="1">
        <f t="shared" si="354"/>
        <v>0</v>
      </c>
      <c r="O2913" s="6" t="s">
        <v>20</v>
      </c>
      <c r="Q2913" s="6" t="s">
        <v>21</v>
      </c>
      <c r="R2913" s="6" t="s">
        <v>21</v>
      </c>
      <c r="S2913" s="6" t="s">
        <v>21</v>
      </c>
      <c r="T2913" s="6" t="s">
        <v>21</v>
      </c>
      <c r="U2913" s="6">
        <f t="shared" si="355"/>
        <v>789.43499999999995</v>
      </c>
      <c r="V2913" s="6">
        <f t="shared" si="352"/>
        <v>789.43499999999995</v>
      </c>
    </row>
    <row r="2914" spans="1:22" hidden="1" x14ac:dyDescent="0.35">
      <c r="A2914" s="6" t="s">
        <v>3191</v>
      </c>
      <c r="B2914" s="6" t="s">
        <v>3185</v>
      </c>
      <c r="C2914" s="6" t="s">
        <v>3186</v>
      </c>
      <c r="D2914" s="6">
        <f t="shared" si="356"/>
        <v>0.5</v>
      </c>
      <c r="E2914" s="6" t="s">
        <v>19</v>
      </c>
      <c r="F2914" s="6" t="str">
        <f>MID(A2914,19,1)</f>
        <v>S</v>
      </c>
      <c r="G2914" s="6">
        <v>-22.714194140698861</v>
      </c>
      <c r="H2914" s="6">
        <v>-47.296094668205143</v>
      </c>
      <c r="I2914" s="9">
        <v>156.74</v>
      </c>
      <c r="K2914" s="6">
        <v>4.7699999999999996</v>
      </c>
      <c r="L2914" s="6">
        <v>50</v>
      </c>
      <c r="N2914" s="1">
        <f t="shared" si="354"/>
        <v>0</v>
      </c>
      <c r="O2914" s="6" t="s">
        <v>20</v>
      </c>
      <c r="Q2914" s="6" t="s">
        <v>21</v>
      </c>
      <c r="R2914" s="6" t="s">
        <v>21</v>
      </c>
      <c r="S2914" s="6" t="s">
        <v>21</v>
      </c>
      <c r="T2914" s="6" t="s">
        <v>21</v>
      </c>
      <c r="U2914" s="6">
        <f t="shared" si="355"/>
        <v>78.37</v>
      </c>
      <c r="V2914" s="6">
        <f t="shared" si="352"/>
        <v>78.37</v>
      </c>
    </row>
    <row r="2915" spans="1:22" x14ac:dyDescent="0.35">
      <c r="A2915" s="6" t="s">
        <v>3192</v>
      </c>
      <c r="B2915" s="6" t="s">
        <v>3185</v>
      </c>
      <c r="C2915" s="6" t="s">
        <v>3186</v>
      </c>
      <c r="D2915" s="6">
        <f t="shared" si="356"/>
        <v>0.5</v>
      </c>
      <c r="E2915" s="6" t="s">
        <v>19</v>
      </c>
      <c r="F2915" s="6" t="str">
        <f>MID(A2915,19,1)</f>
        <v>N</v>
      </c>
      <c r="G2915" s="6">
        <v>-22.804578742283439</v>
      </c>
      <c r="H2915" s="6">
        <v>-47.396027393522033</v>
      </c>
      <c r="I2915" s="9">
        <v>1141.2</v>
      </c>
      <c r="K2915" s="6">
        <v>3.7</v>
      </c>
      <c r="L2915" s="6">
        <v>70</v>
      </c>
      <c r="N2915" s="1">
        <f t="shared" si="354"/>
        <v>0</v>
      </c>
      <c r="O2915" s="6" t="s">
        <v>20</v>
      </c>
      <c r="Q2915" s="6" t="s">
        <v>21</v>
      </c>
      <c r="R2915" s="6" t="s">
        <v>21</v>
      </c>
      <c r="S2915" s="6" t="s">
        <v>21</v>
      </c>
      <c r="T2915" s="6" t="s">
        <v>21</v>
      </c>
      <c r="U2915" s="6">
        <f t="shared" si="355"/>
        <v>798.84</v>
      </c>
      <c r="V2915" s="6">
        <f t="shared" si="352"/>
        <v>798.84</v>
      </c>
    </row>
    <row r="2916" spans="1:22" x14ac:dyDescent="0.35">
      <c r="A2916" s="6" t="s">
        <v>3193</v>
      </c>
      <c r="B2916" s="6" t="s">
        <v>3185</v>
      </c>
      <c r="C2916" s="6" t="s">
        <v>3186</v>
      </c>
      <c r="D2916" s="6">
        <f t="shared" si="356"/>
        <v>0.5</v>
      </c>
      <c r="E2916" s="6" t="s">
        <v>19</v>
      </c>
      <c r="F2916" s="6" t="str">
        <f>MID(A2916,19,1)</f>
        <v>N</v>
      </c>
      <c r="G2916" s="6">
        <v>-22.807264751851289</v>
      </c>
      <c r="H2916" s="6">
        <v>-47.393440868721527</v>
      </c>
      <c r="I2916" s="9">
        <v>6044.89</v>
      </c>
      <c r="K2916" s="6">
        <v>3.62</v>
      </c>
      <c r="L2916" s="6">
        <v>80</v>
      </c>
      <c r="N2916" s="1">
        <f t="shared" si="354"/>
        <v>0</v>
      </c>
      <c r="O2916" s="6" t="s">
        <v>20</v>
      </c>
      <c r="Q2916" s="6" t="s">
        <v>21</v>
      </c>
      <c r="R2916" s="6" t="s">
        <v>21</v>
      </c>
      <c r="S2916" s="6" t="s">
        <v>21</v>
      </c>
      <c r="T2916" s="6" t="s">
        <v>21</v>
      </c>
      <c r="U2916" s="6">
        <f t="shared" si="355"/>
        <v>4835.9120000000003</v>
      </c>
      <c r="V2916" s="6">
        <f t="shared" si="352"/>
        <v>4835.9120000000003</v>
      </c>
    </row>
    <row r="2917" spans="1:22" hidden="1" x14ac:dyDescent="0.35">
      <c r="A2917" s="6" t="s">
        <v>3194</v>
      </c>
      <c r="B2917" s="6" t="s">
        <v>3185</v>
      </c>
      <c r="C2917" s="6" t="s">
        <v>3186</v>
      </c>
      <c r="D2917" s="6">
        <f t="shared" si="356"/>
        <v>0.5</v>
      </c>
      <c r="E2917" s="6" t="s">
        <v>23</v>
      </c>
      <c r="F2917" s="6" t="str">
        <f>MID(A2917,19,1)</f>
        <v>C</v>
      </c>
      <c r="G2917" s="6">
        <v>-22.802959556410318</v>
      </c>
      <c r="H2917" s="6">
        <v>-47.398366671902288</v>
      </c>
      <c r="I2917" s="9">
        <v>2902.62</v>
      </c>
      <c r="J2917" s="9">
        <f t="shared" ref="J2917:J2918" si="359">I2917/500</f>
        <v>5.8052399999999995</v>
      </c>
      <c r="K2917" s="6">
        <v>2.35</v>
      </c>
      <c r="L2917" s="6">
        <v>80</v>
      </c>
      <c r="N2917" s="1">
        <f t="shared" si="354"/>
        <v>0</v>
      </c>
      <c r="O2917" s="6" t="s">
        <v>20</v>
      </c>
      <c r="Q2917" s="6" t="s">
        <v>21</v>
      </c>
      <c r="R2917" s="6" t="s">
        <v>21</v>
      </c>
      <c r="S2917" s="6" t="s">
        <v>21</v>
      </c>
      <c r="T2917" s="6" t="s">
        <v>21</v>
      </c>
      <c r="U2917" s="6">
        <f t="shared" si="355"/>
        <v>2322.096</v>
      </c>
      <c r="V2917" s="6">
        <f t="shared" si="352"/>
        <v>2322.096</v>
      </c>
    </row>
    <row r="2918" spans="1:22" hidden="1" x14ac:dyDescent="0.35">
      <c r="A2918" s="6" t="s">
        <v>3195</v>
      </c>
      <c r="B2918" s="6" t="s">
        <v>3185</v>
      </c>
      <c r="C2918" s="6" t="s">
        <v>3186</v>
      </c>
      <c r="D2918" s="6">
        <f t="shared" si="356"/>
        <v>0.5</v>
      </c>
      <c r="E2918" s="6" t="s">
        <v>23</v>
      </c>
      <c r="F2918" s="6" t="str">
        <f>MID(A2918,19,1)</f>
        <v>C</v>
      </c>
      <c r="G2918" s="6">
        <v>-22.713944295195951</v>
      </c>
      <c r="H2918" s="6">
        <v>-47.296522029853001</v>
      </c>
      <c r="I2918" s="9">
        <v>2073.1799999999998</v>
      </c>
      <c r="J2918" s="9">
        <f t="shared" si="359"/>
        <v>4.1463599999999996</v>
      </c>
      <c r="K2918" s="6">
        <v>2.71</v>
      </c>
      <c r="L2918" s="6">
        <v>50</v>
      </c>
      <c r="N2918" s="1">
        <f t="shared" si="354"/>
        <v>0</v>
      </c>
      <c r="O2918" s="6" t="s">
        <v>20</v>
      </c>
      <c r="Q2918" s="6" t="s">
        <v>21</v>
      </c>
      <c r="R2918" s="6" t="s">
        <v>21</v>
      </c>
      <c r="S2918" s="6" t="s">
        <v>21</v>
      </c>
      <c r="T2918" s="6" t="s">
        <v>21</v>
      </c>
      <c r="U2918" s="6">
        <f t="shared" si="355"/>
        <v>1036.5899999999999</v>
      </c>
      <c r="V2918" s="6">
        <f t="shared" si="352"/>
        <v>1036.5899999999999</v>
      </c>
    </row>
    <row r="2919" spans="1:22" x14ac:dyDescent="0.35">
      <c r="A2919" s="6" t="s">
        <v>3196</v>
      </c>
      <c r="B2919" s="6" t="s">
        <v>3185</v>
      </c>
      <c r="C2919" s="6" t="s">
        <v>3186</v>
      </c>
      <c r="D2919" s="6">
        <f t="shared" si="356"/>
        <v>0.5</v>
      </c>
      <c r="E2919" s="6" t="s">
        <v>19</v>
      </c>
      <c r="F2919" s="6" t="str">
        <f>MID(A2919,19,1)</f>
        <v>N</v>
      </c>
      <c r="G2919" s="6">
        <v>-22.70915720647783</v>
      </c>
      <c r="H2919" s="6">
        <v>-47.29964091970654</v>
      </c>
      <c r="I2919" s="9">
        <v>12623.76</v>
      </c>
      <c r="K2919" s="6">
        <v>3.11</v>
      </c>
      <c r="L2919" s="6">
        <v>50</v>
      </c>
      <c r="N2919" s="1">
        <f t="shared" si="354"/>
        <v>0</v>
      </c>
      <c r="O2919" s="6" t="s">
        <v>20</v>
      </c>
      <c r="Q2919" s="6" t="s">
        <v>21</v>
      </c>
      <c r="R2919" s="6" t="s">
        <v>21</v>
      </c>
      <c r="S2919" s="6" t="s">
        <v>21</v>
      </c>
      <c r="T2919" s="6" t="s">
        <v>21</v>
      </c>
      <c r="U2919" s="6">
        <f t="shared" si="355"/>
        <v>6311.88</v>
      </c>
      <c r="V2919" s="6">
        <f t="shared" si="352"/>
        <v>6311.88</v>
      </c>
    </row>
    <row r="2920" spans="1:22" hidden="1" x14ac:dyDescent="0.35">
      <c r="A2920" s="6" t="s">
        <v>3197</v>
      </c>
      <c r="B2920" s="6" t="s">
        <v>3185</v>
      </c>
      <c r="C2920" s="6" t="s">
        <v>3186</v>
      </c>
      <c r="D2920" s="6">
        <f t="shared" si="356"/>
        <v>0.5</v>
      </c>
      <c r="E2920" s="6" t="s">
        <v>23</v>
      </c>
      <c r="F2920" s="6" t="str">
        <f>MID(A2920,19,1)</f>
        <v>C</v>
      </c>
      <c r="G2920" s="6">
        <v>-22.804768822033338</v>
      </c>
      <c r="H2920" s="6">
        <v>-47.396136919667953</v>
      </c>
      <c r="I2920" s="9">
        <v>3164.28</v>
      </c>
      <c r="J2920" s="9">
        <f>I2920/500</f>
        <v>6.3285600000000004</v>
      </c>
      <c r="K2920" s="6">
        <v>4.7699999999999996</v>
      </c>
      <c r="L2920" s="6">
        <v>80</v>
      </c>
      <c r="N2920" s="1">
        <f t="shared" si="354"/>
        <v>0</v>
      </c>
      <c r="O2920" s="6" t="s">
        <v>20</v>
      </c>
      <c r="Q2920" s="6" t="s">
        <v>21</v>
      </c>
      <c r="R2920" s="6" t="s">
        <v>21</v>
      </c>
      <c r="S2920" s="6" t="s">
        <v>21</v>
      </c>
      <c r="T2920" s="6" t="s">
        <v>21</v>
      </c>
      <c r="U2920" s="6">
        <f t="shared" si="355"/>
        <v>2531.4240000000004</v>
      </c>
      <c r="V2920" s="6">
        <f t="shared" si="352"/>
        <v>2531.4240000000004</v>
      </c>
    </row>
    <row r="2921" spans="1:22" x14ac:dyDescent="0.35">
      <c r="A2921" s="6" t="s">
        <v>3198</v>
      </c>
      <c r="B2921" s="6" t="s">
        <v>3185</v>
      </c>
      <c r="C2921" s="6" t="s">
        <v>3186</v>
      </c>
      <c r="D2921" s="6">
        <f t="shared" si="356"/>
        <v>0.5</v>
      </c>
      <c r="E2921" s="6" t="s">
        <v>19</v>
      </c>
      <c r="F2921" s="6" t="str">
        <f>MID(A2921,19,1)</f>
        <v>N</v>
      </c>
      <c r="G2921" s="6">
        <v>-22.803023671216309</v>
      </c>
      <c r="H2921" s="6">
        <v>-47.39778683943878</v>
      </c>
      <c r="I2921" s="9">
        <v>3044.78</v>
      </c>
      <c r="K2921" s="6">
        <v>2.88</v>
      </c>
      <c r="L2921" s="6">
        <v>70</v>
      </c>
      <c r="N2921" s="1">
        <f t="shared" si="354"/>
        <v>0</v>
      </c>
      <c r="O2921" s="6" t="s">
        <v>20</v>
      </c>
      <c r="Q2921" s="6" t="s">
        <v>21</v>
      </c>
      <c r="R2921" s="6" t="s">
        <v>21</v>
      </c>
      <c r="S2921" s="6" t="s">
        <v>21</v>
      </c>
      <c r="T2921" s="6" t="s">
        <v>21</v>
      </c>
      <c r="U2921" s="6">
        <f t="shared" si="355"/>
        <v>2131.346</v>
      </c>
      <c r="V2921" s="6">
        <f t="shared" si="352"/>
        <v>2131.346</v>
      </c>
    </row>
    <row r="2922" spans="1:22" x14ac:dyDescent="0.35">
      <c r="A2922" s="6" t="s">
        <v>3199</v>
      </c>
      <c r="B2922" s="6" t="s">
        <v>3185</v>
      </c>
      <c r="C2922" s="6" t="s">
        <v>3186</v>
      </c>
      <c r="D2922" s="6">
        <f t="shared" si="356"/>
        <v>0.5</v>
      </c>
      <c r="E2922" s="6" t="s">
        <v>19</v>
      </c>
      <c r="F2922" s="6" t="str">
        <f>MID(A2922,19,1)</f>
        <v>N</v>
      </c>
      <c r="G2922" s="6">
        <v>-22.802698280643529</v>
      </c>
      <c r="H2922" s="6">
        <v>-47.398062681005698</v>
      </c>
      <c r="I2922" s="9">
        <v>1045.99</v>
      </c>
      <c r="K2922" s="6">
        <v>2.58</v>
      </c>
      <c r="L2922" s="6">
        <v>70</v>
      </c>
      <c r="N2922" s="1">
        <f t="shared" si="354"/>
        <v>0</v>
      </c>
      <c r="O2922" s="6" t="s">
        <v>20</v>
      </c>
      <c r="Q2922" s="6" t="s">
        <v>21</v>
      </c>
      <c r="R2922" s="6" t="s">
        <v>21</v>
      </c>
      <c r="S2922" s="6" t="s">
        <v>21</v>
      </c>
      <c r="T2922" s="6" t="s">
        <v>21</v>
      </c>
      <c r="U2922" s="6">
        <f t="shared" si="355"/>
        <v>732.19299999999998</v>
      </c>
      <c r="V2922" s="6">
        <f t="shared" si="352"/>
        <v>732.19299999999998</v>
      </c>
    </row>
    <row r="2923" spans="1:22" hidden="1" x14ac:dyDescent="0.35">
      <c r="A2923" s="6" t="s">
        <v>3200</v>
      </c>
      <c r="B2923" s="6" t="s">
        <v>3185</v>
      </c>
      <c r="C2923" s="6" t="s">
        <v>3186</v>
      </c>
      <c r="D2923" s="6">
        <f t="shared" si="356"/>
        <v>0.5</v>
      </c>
      <c r="E2923" s="6" t="s">
        <v>19</v>
      </c>
      <c r="F2923" s="6" t="str">
        <f>MID(A2923,19,1)</f>
        <v>S</v>
      </c>
      <c r="G2923" s="6">
        <v>-22.8074427111242</v>
      </c>
      <c r="H2923" s="6">
        <v>-47.393570922268168</v>
      </c>
      <c r="I2923" s="9">
        <v>2063.6799999999998</v>
      </c>
      <c r="K2923" s="6">
        <v>3.2</v>
      </c>
      <c r="L2923" s="6">
        <v>70</v>
      </c>
      <c r="N2923" s="1">
        <f t="shared" si="354"/>
        <v>0</v>
      </c>
      <c r="O2923" s="6" t="s">
        <v>20</v>
      </c>
      <c r="Q2923" s="6" t="s">
        <v>21</v>
      </c>
      <c r="R2923" s="6" t="s">
        <v>21</v>
      </c>
      <c r="S2923" s="6" t="s">
        <v>21</v>
      </c>
      <c r="T2923" s="6" t="s">
        <v>21</v>
      </c>
      <c r="U2923" s="6">
        <f t="shared" si="355"/>
        <v>1444.5759999999998</v>
      </c>
      <c r="V2923" s="6">
        <f t="shared" si="352"/>
        <v>1444.5759999999998</v>
      </c>
    </row>
    <row r="2924" spans="1:22" x14ac:dyDescent="0.35">
      <c r="A2924" s="6" t="s">
        <v>3201</v>
      </c>
      <c r="B2924" s="6" t="s">
        <v>3185</v>
      </c>
      <c r="C2924" s="6" t="s">
        <v>3186</v>
      </c>
      <c r="D2924" s="6">
        <f t="shared" si="356"/>
        <v>0.5</v>
      </c>
      <c r="E2924" s="6" t="s">
        <v>19</v>
      </c>
      <c r="F2924" s="6" t="str">
        <f>MID(A2924,19,1)</f>
        <v>N</v>
      </c>
      <c r="G2924" s="6">
        <v>-22.80715293838853</v>
      </c>
      <c r="H2924" s="6">
        <v>-47.393248817728633</v>
      </c>
      <c r="I2924" s="9">
        <v>2086.61</v>
      </c>
      <c r="K2924" s="6">
        <v>3.22</v>
      </c>
      <c r="L2924" s="6">
        <v>70</v>
      </c>
      <c r="N2924" s="1">
        <f t="shared" si="354"/>
        <v>0</v>
      </c>
      <c r="O2924" s="6" t="s">
        <v>20</v>
      </c>
      <c r="Q2924" s="6" t="s">
        <v>21</v>
      </c>
      <c r="R2924" s="6" t="s">
        <v>21</v>
      </c>
      <c r="S2924" s="6" t="s">
        <v>21</v>
      </c>
      <c r="T2924" s="6" t="s">
        <v>21</v>
      </c>
      <c r="U2924" s="6">
        <f t="shared" si="355"/>
        <v>1460.627</v>
      </c>
      <c r="V2924" s="6">
        <f t="shared" si="352"/>
        <v>1460.627</v>
      </c>
    </row>
    <row r="2925" spans="1:22" hidden="1" x14ac:dyDescent="0.35">
      <c r="A2925" s="6" t="s">
        <v>3202</v>
      </c>
      <c r="B2925" s="6" t="s">
        <v>3185</v>
      </c>
      <c r="C2925" s="6" t="s">
        <v>3186</v>
      </c>
      <c r="D2925" s="6">
        <f t="shared" si="356"/>
        <v>0.5</v>
      </c>
      <c r="E2925" s="6" t="s">
        <v>19</v>
      </c>
      <c r="F2925" s="6" t="str">
        <f>MID(A2925,19,1)</f>
        <v>S</v>
      </c>
      <c r="G2925" s="6">
        <v>-22.70898287994606</v>
      </c>
      <c r="H2925" s="6">
        <v>-47.299157597201038</v>
      </c>
      <c r="I2925" s="9">
        <v>2112.5</v>
      </c>
      <c r="K2925" s="6">
        <v>2.96</v>
      </c>
      <c r="L2925" s="6">
        <v>50</v>
      </c>
      <c r="N2925" s="1">
        <f t="shared" si="354"/>
        <v>0</v>
      </c>
      <c r="O2925" s="6" t="s">
        <v>20</v>
      </c>
      <c r="Q2925" s="6" t="s">
        <v>21</v>
      </c>
      <c r="R2925" s="6" t="s">
        <v>21</v>
      </c>
      <c r="S2925" s="6" t="s">
        <v>21</v>
      </c>
      <c r="T2925" s="6" t="s">
        <v>21</v>
      </c>
      <c r="U2925" s="6">
        <f t="shared" si="355"/>
        <v>1056.25</v>
      </c>
      <c r="V2925" s="6">
        <f t="shared" si="352"/>
        <v>1056.25</v>
      </c>
    </row>
    <row r="2926" spans="1:22" x14ac:dyDescent="0.35">
      <c r="A2926" s="6" t="s">
        <v>3203</v>
      </c>
      <c r="B2926" s="6" t="s">
        <v>3185</v>
      </c>
      <c r="C2926" s="6" t="s">
        <v>3186</v>
      </c>
      <c r="D2926" s="6">
        <f t="shared" si="356"/>
        <v>0.5</v>
      </c>
      <c r="E2926" s="6" t="s">
        <v>19</v>
      </c>
      <c r="F2926" s="6" t="str">
        <f>MID(A2926,19,1)</f>
        <v>N</v>
      </c>
      <c r="G2926" s="6">
        <v>-22.711829805301502</v>
      </c>
      <c r="H2926" s="6">
        <v>-47.297786801115073</v>
      </c>
      <c r="I2926" s="9">
        <v>3307.11</v>
      </c>
      <c r="K2926" s="6">
        <v>5.3</v>
      </c>
      <c r="L2926" s="6">
        <v>50</v>
      </c>
      <c r="N2926" s="1">
        <f t="shared" si="354"/>
        <v>0</v>
      </c>
      <c r="O2926" s="6" t="s">
        <v>20</v>
      </c>
      <c r="Q2926" s="6" t="s">
        <v>21</v>
      </c>
      <c r="R2926" s="6" t="s">
        <v>21</v>
      </c>
      <c r="S2926" s="6" t="s">
        <v>21</v>
      </c>
      <c r="T2926" s="6" t="s">
        <v>21</v>
      </c>
      <c r="U2926" s="6">
        <f t="shared" si="355"/>
        <v>1653.5550000000001</v>
      </c>
      <c r="V2926" s="6">
        <f t="shared" si="352"/>
        <v>1653.5550000000001</v>
      </c>
    </row>
    <row r="2927" spans="1:22" hidden="1" x14ac:dyDescent="0.35">
      <c r="A2927" s="6" t="s">
        <v>3204</v>
      </c>
      <c r="B2927" s="6" t="s">
        <v>3185</v>
      </c>
      <c r="C2927" s="6" t="s">
        <v>3186</v>
      </c>
      <c r="D2927" s="6">
        <f t="shared" si="356"/>
        <v>0.5</v>
      </c>
      <c r="E2927" s="6" t="s">
        <v>19</v>
      </c>
      <c r="F2927" s="6" t="str">
        <f>MID(A2927,19,1)</f>
        <v>S</v>
      </c>
      <c r="G2927" s="6">
        <v>-22.71390924869289</v>
      </c>
      <c r="H2927" s="6">
        <v>-47.296292598405579</v>
      </c>
      <c r="I2927" s="9">
        <v>1960.3</v>
      </c>
      <c r="K2927" s="6">
        <v>2.68</v>
      </c>
      <c r="L2927" s="6">
        <v>50</v>
      </c>
      <c r="N2927" s="1">
        <f t="shared" si="354"/>
        <v>0</v>
      </c>
      <c r="O2927" s="6" t="s">
        <v>20</v>
      </c>
      <c r="Q2927" s="6" t="s">
        <v>21</v>
      </c>
      <c r="R2927" s="6" t="s">
        <v>21</v>
      </c>
      <c r="S2927" s="6" t="s">
        <v>21</v>
      </c>
      <c r="T2927" s="6" t="s">
        <v>21</v>
      </c>
      <c r="U2927" s="6">
        <f t="shared" si="355"/>
        <v>980.15</v>
      </c>
      <c r="V2927" s="6">
        <f t="shared" si="352"/>
        <v>980.15</v>
      </c>
    </row>
    <row r="2928" spans="1:22" x14ac:dyDescent="0.35">
      <c r="A2928" s="6" t="s">
        <v>3205</v>
      </c>
      <c r="B2928" s="6" t="s">
        <v>3206</v>
      </c>
      <c r="C2928" s="6" t="s">
        <v>3207</v>
      </c>
      <c r="D2928" s="6">
        <f t="shared" si="356"/>
        <v>0.5</v>
      </c>
      <c r="E2928" s="6" t="s">
        <v>19</v>
      </c>
      <c r="F2928" s="6" t="str">
        <f>MID(A2928,19,1)</f>
        <v>N</v>
      </c>
      <c r="G2928" s="6">
        <v>-22.70162977268722</v>
      </c>
      <c r="H2928" s="6">
        <v>-47.306524742137107</v>
      </c>
      <c r="I2928" s="9">
        <v>49.4</v>
      </c>
      <c r="K2928" s="6">
        <v>3.17</v>
      </c>
      <c r="L2928" s="6">
        <v>50</v>
      </c>
      <c r="N2928" s="1">
        <f t="shared" si="354"/>
        <v>0</v>
      </c>
      <c r="O2928" s="6" t="s">
        <v>20</v>
      </c>
      <c r="Q2928" s="6" t="s">
        <v>21</v>
      </c>
      <c r="R2928" s="6" t="s">
        <v>21</v>
      </c>
      <c r="S2928" s="6" t="s">
        <v>21</v>
      </c>
      <c r="T2928" s="6" t="s">
        <v>21</v>
      </c>
      <c r="U2928" s="6">
        <f t="shared" si="355"/>
        <v>24.7</v>
      </c>
      <c r="V2928" s="6">
        <f t="shared" si="352"/>
        <v>24.7</v>
      </c>
    </row>
    <row r="2929" spans="1:22" hidden="1" x14ac:dyDescent="0.35">
      <c r="A2929" s="6" t="s">
        <v>3208</v>
      </c>
      <c r="B2929" s="6" t="s">
        <v>3206</v>
      </c>
      <c r="C2929" s="6" t="s">
        <v>3207</v>
      </c>
      <c r="D2929" s="6">
        <f t="shared" si="356"/>
        <v>0.5</v>
      </c>
      <c r="E2929" s="6" t="s">
        <v>19</v>
      </c>
      <c r="F2929" s="6" t="str">
        <f>MID(A2929,19,1)</f>
        <v>S</v>
      </c>
      <c r="G2929" s="6">
        <v>-22.702923892987371</v>
      </c>
      <c r="H2929" s="6">
        <v>-47.304131366477961</v>
      </c>
      <c r="I2929" s="9">
        <v>1218.74</v>
      </c>
      <c r="K2929" s="6">
        <v>3.01</v>
      </c>
      <c r="L2929" s="6">
        <v>50</v>
      </c>
      <c r="N2929" s="1">
        <f t="shared" si="354"/>
        <v>0</v>
      </c>
      <c r="O2929" s="6" t="s">
        <v>20</v>
      </c>
      <c r="Q2929" s="6" t="s">
        <v>21</v>
      </c>
      <c r="R2929" s="6" t="s">
        <v>21</v>
      </c>
      <c r="S2929" s="6" t="s">
        <v>21</v>
      </c>
      <c r="T2929" s="6" t="s">
        <v>21</v>
      </c>
      <c r="U2929" s="6">
        <f t="shared" si="355"/>
        <v>609.37</v>
      </c>
      <c r="V2929" s="6">
        <f t="shared" si="352"/>
        <v>609.37</v>
      </c>
    </row>
    <row r="2930" spans="1:22" x14ac:dyDescent="0.35">
      <c r="A2930" s="6" t="s">
        <v>3209</v>
      </c>
      <c r="B2930" s="6" t="s">
        <v>3206</v>
      </c>
      <c r="C2930" s="6" t="s">
        <v>3207</v>
      </c>
      <c r="D2930" s="6">
        <f t="shared" si="356"/>
        <v>0.5</v>
      </c>
      <c r="E2930" s="6" t="s">
        <v>19</v>
      </c>
      <c r="F2930" s="6" t="str">
        <f>MID(A2930,19,1)</f>
        <v>N</v>
      </c>
      <c r="G2930" s="6">
        <v>-22.701478498862219</v>
      </c>
      <c r="H2930" s="6">
        <v>-47.306294683725902</v>
      </c>
      <c r="I2930" s="9">
        <v>178.72</v>
      </c>
      <c r="K2930" s="6">
        <v>3.75</v>
      </c>
      <c r="L2930" s="6">
        <v>50</v>
      </c>
      <c r="N2930" s="1">
        <f t="shared" si="354"/>
        <v>0</v>
      </c>
      <c r="O2930" s="6" t="s">
        <v>20</v>
      </c>
      <c r="Q2930" s="6" t="s">
        <v>21</v>
      </c>
      <c r="R2930" s="6" t="s">
        <v>21</v>
      </c>
      <c r="S2930" s="6" t="s">
        <v>21</v>
      </c>
      <c r="T2930" s="6" t="s">
        <v>21</v>
      </c>
      <c r="U2930" s="6">
        <f t="shared" si="355"/>
        <v>89.36</v>
      </c>
      <c r="V2930" s="6">
        <f t="shared" ref="V2930:V2978" si="360">(I2930*(L2930/100))</f>
        <v>89.36</v>
      </c>
    </row>
    <row r="2931" spans="1:22" x14ac:dyDescent="0.35">
      <c r="A2931" s="6" t="s">
        <v>3210</v>
      </c>
      <c r="B2931" s="6" t="s">
        <v>3206</v>
      </c>
      <c r="C2931" s="6" t="s">
        <v>3207</v>
      </c>
      <c r="D2931" s="6">
        <f t="shared" si="356"/>
        <v>0.5</v>
      </c>
      <c r="E2931" s="6" t="s">
        <v>19</v>
      </c>
      <c r="F2931" s="6" t="str">
        <f>MID(A2931,19,1)</f>
        <v>N</v>
      </c>
      <c r="G2931" s="6">
        <v>-22.79777123537437</v>
      </c>
      <c r="H2931" s="6">
        <v>-47.406557863764611</v>
      </c>
      <c r="I2931" s="9">
        <v>116.07</v>
      </c>
      <c r="K2931" s="6">
        <v>1.49</v>
      </c>
      <c r="L2931" s="6">
        <v>70</v>
      </c>
      <c r="N2931" s="1">
        <f t="shared" si="354"/>
        <v>0</v>
      </c>
      <c r="O2931" s="6" t="s">
        <v>20</v>
      </c>
      <c r="Q2931" s="6" t="s">
        <v>21</v>
      </c>
      <c r="R2931" s="6" t="s">
        <v>21</v>
      </c>
      <c r="S2931" s="6" t="s">
        <v>21</v>
      </c>
      <c r="T2931" s="6" t="s">
        <v>21</v>
      </c>
      <c r="U2931" s="6">
        <f t="shared" si="355"/>
        <v>81.248999999999995</v>
      </c>
      <c r="V2931" s="6">
        <f t="shared" si="360"/>
        <v>81.248999999999995</v>
      </c>
    </row>
    <row r="2932" spans="1:22" hidden="1" x14ac:dyDescent="0.35">
      <c r="A2932" s="6" t="s">
        <v>3211</v>
      </c>
      <c r="B2932" s="6" t="s">
        <v>3206</v>
      </c>
      <c r="C2932" s="6" t="s">
        <v>3207</v>
      </c>
      <c r="D2932" s="6">
        <f t="shared" si="356"/>
        <v>0.5</v>
      </c>
      <c r="E2932" s="6" t="s">
        <v>19</v>
      </c>
      <c r="F2932" s="6" t="str">
        <f>MID(A2932,19,1)</f>
        <v>S</v>
      </c>
      <c r="G2932" s="6">
        <v>-22.799461483746541</v>
      </c>
      <c r="H2932" s="6">
        <v>-47.404488534639768</v>
      </c>
      <c r="I2932" s="9">
        <v>1755.02</v>
      </c>
      <c r="K2932" s="6">
        <v>2.89</v>
      </c>
      <c r="L2932" s="6">
        <v>70</v>
      </c>
      <c r="N2932" s="1">
        <f t="shared" si="354"/>
        <v>0</v>
      </c>
      <c r="O2932" s="6" t="s">
        <v>20</v>
      </c>
      <c r="Q2932" s="6" t="s">
        <v>21</v>
      </c>
      <c r="R2932" s="6" t="s">
        <v>21</v>
      </c>
      <c r="S2932" s="6" t="s">
        <v>21</v>
      </c>
      <c r="T2932" s="6" t="s">
        <v>21</v>
      </c>
      <c r="U2932" s="6">
        <f t="shared" si="355"/>
        <v>1228.5139999999999</v>
      </c>
      <c r="V2932" s="6">
        <f t="shared" si="360"/>
        <v>1228.5139999999999</v>
      </c>
    </row>
    <row r="2933" spans="1:22" hidden="1" x14ac:dyDescent="0.35">
      <c r="A2933" s="6" t="s">
        <v>3212</v>
      </c>
      <c r="B2933" s="6" t="s">
        <v>3206</v>
      </c>
      <c r="C2933" s="6" t="s">
        <v>3207</v>
      </c>
      <c r="D2933" s="6">
        <f t="shared" si="356"/>
        <v>0.5</v>
      </c>
      <c r="E2933" s="6" t="s">
        <v>23</v>
      </c>
      <c r="F2933" s="6" t="str">
        <f>MID(A2933,19,1)</f>
        <v>C</v>
      </c>
      <c r="G2933" s="6">
        <v>-22.799310498465221</v>
      </c>
      <c r="H2933" s="6">
        <v>-47.404330959225632</v>
      </c>
      <c r="I2933" s="9">
        <v>4868.71</v>
      </c>
      <c r="J2933" s="9">
        <f>I2933/500</f>
        <v>9.7374200000000002</v>
      </c>
      <c r="K2933" s="6">
        <v>2.68</v>
      </c>
      <c r="L2933" s="6">
        <v>80</v>
      </c>
      <c r="N2933" s="1">
        <f t="shared" si="354"/>
        <v>0</v>
      </c>
      <c r="O2933" s="6" t="s">
        <v>20</v>
      </c>
      <c r="Q2933" s="6" t="s">
        <v>21</v>
      </c>
      <c r="R2933" s="6" t="s">
        <v>21</v>
      </c>
      <c r="S2933" s="6" t="s">
        <v>21</v>
      </c>
      <c r="T2933" s="6" t="s">
        <v>21</v>
      </c>
      <c r="U2933" s="6">
        <f t="shared" si="355"/>
        <v>3894.9680000000003</v>
      </c>
      <c r="V2933" s="6">
        <f t="shared" si="360"/>
        <v>3894.9680000000003</v>
      </c>
    </row>
    <row r="2934" spans="1:22" x14ac:dyDescent="0.35">
      <c r="A2934" s="6" t="s">
        <v>3213</v>
      </c>
      <c r="B2934" s="6" t="s">
        <v>3206</v>
      </c>
      <c r="C2934" s="6" t="s">
        <v>3207</v>
      </c>
      <c r="D2934" s="6">
        <f t="shared" si="356"/>
        <v>0.5</v>
      </c>
      <c r="E2934" s="6" t="s">
        <v>19</v>
      </c>
      <c r="F2934" s="6" t="str">
        <f>MID(A2934,19,1)</f>
        <v>N</v>
      </c>
      <c r="G2934" s="6">
        <v>-22.700962998706618</v>
      </c>
      <c r="H2934" s="6">
        <v>-47.306469203051194</v>
      </c>
      <c r="I2934" s="9">
        <v>3081.68</v>
      </c>
      <c r="K2934" s="6">
        <v>3.29</v>
      </c>
      <c r="L2934" s="6">
        <v>50</v>
      </c>
      <c r="N2934" s="1">
        <f t="shared" si="354"/>
        <v>0</v>
      </c>
      <c r="O2934" s="6" t="s">
        <v>20</v>
      </c>
      <c r="Q2934" s="6" t="s">
        <v>21</v>
      </c>
      <c r="R2934" s="6" t="s">
        <v>21</v>
      </c>
      <c r="S2934" s="6" t="s">
        <v>21</v>
      </c>
      <c r="T2934" s="6" t="s">
        <v>21</v>
      </c>
      <c r="U2934" s="6">
        <f t="shared" si="355"/>
        <v>1540.84</v>
      </c>
      <c r="V2934" s="6">
        <f t="shared" si="360"/>
        <v>1540.84</v>
      </c>
    </row>
    <row r="2935" spans="1:22" x14ac:dyDescent="0.35">
      <c r="A2935" s="6" t="s">
        <v>3214</v>
      </c>
      <c r="B2935" s="6" t="s">
        <v>3206</v>
      </c>
      <c r="C2935" s="6" t="s">
        <v>3207</v>
      </c>
      <c r="D2935" s="6">
        <f t="shared" si="356"/>
        <v>0.5</v>
      </c>
      <c r="E2935" s="6" t="s">
        <v>19</v>
      </c>
      <c r="F2935" s="6" t="str">
        <f>MID(A2935,19,1)</f>
        <v>N</v>
      </c>
      <c r="G2935" s="6">
        <v>-22.701387310464501</v>
      </c>
      <c r="H2935" s="6">
        <v>-47.306431468609787</v>
      </c>
      <c r="I2935" s="9">
        <v>49.6</v>
      </c>
      <c r="K2935" s="6">
        <v>4.3899999999999997</v>
      </c>
      <c r="L2935" s="6">
        <v>50</v>
      </c>
      <c r="N2935" s="1">
        <f t="shared" si="354"/>
        <v>0</v>
      </c>
      <c r="O2935" s="6" t="s">
        <v>20</v>
      </c>
      <c r="Q2935" s="6" t="s">
        <v>21</v>
      </c>
      <c r="R2935" s="6" t="s">
        <v>21</v>
      </c>
      <c r="S2935" s="6" t="s">
        <v>21</v>
      </c>
      <c r="T2935" s="6" t="s">
        <v>21</v>
      </c>
      <c r="U2935" s="6">
        <f t="shared" si="355"/>
        <v>24.8</v>
      </c>
      <c r="V2935" s="6">
        <f t="shared" si="360"/>
        <v>24.8</v>
      </c>
    </row>
    <row r="2936" spans="1:22" hidden="1" x14ac:dyDescent="0.35">
      <c r="A2936" s="6" t="s">
        <v>3215</v>
      </c>
      <c r="B2936" s="6" t="s">
        <v>3206</v>
      </c>
      <c r="C2936" s="6" t="s">
        <v>3207</v>
      </c>
      <c r="D2936" s="6">
        <f t="shared" si="356"/>
        <v>0.5</v>
      </c>
      <c r="E2936" s="6" t="s">
        <v>19</v>
      </c>
      <c r="F2936" s="6" t="str">
        <f>MID(A2936,19,1)</f>
        <v>S</v>
      </c>
      <c r="G2936" s="6">
        <v>-22.70086489013595</v>
      </c>
      <c r="H2936" s="6">
        <v>-47.305449305965887</v>
      </c>
      <c r="I2936" s="9">
        <v>135.37</v>
      </c>
      <c r="K2936" s="6">
        <v>4.1100000000000003</v>
      </c>
      <c r="L2936" s="6">
        <v>50</v>
      </c>
      <c r="N2936" s="1">
        <f t="shared" si="354"/>
        <v>0</v>
      </c>
      <c r="O2936" s="6" t="s">
        <v>20</v>
      </c>
      <c r="Q2936" s="6" t="s">
        <v>21</v>
      </c>
      <c r="R2936" s="6" t="s">
        <v>21</v>
      </c>
      <c r="S2936" s="6" t="s">
        <v>21</v>
      </c>
      <c r="T2936" s="6" t="s">
        <v>21</v>
      </c>
      <c r="U2936" s="6">
        <f t="shared" si="355"/>
        <v>67.685000000000002</v>
      </c>
      <c r="V2936" s="6">
        <f t="shared" si="360"/>
        <v>67.685000000000002</v>
      </c>
    </row>
    <row r="2937" spans="1:22" x14ac:dyDescent="0.35">
      <c r="A2937" s="6" t="s">
        <v>3216</v>
      </c>
      <c r="B2937" s="6" t="s">
        <v>3206</v>
      </c>
      <c r="C2937" s="6" t="s">
        <v>3207</v>
      </c>
      <c r="D2937" s="6">
        <f t="shared" si="356"/>
        <v>0.5</v>
      </c>
      <c r="E2937" s="6" t="s">
        <v>19</v>
      </c>
      <c r="F2937" s="6" t="str">
        <f>MID(A2937,19,1)</f>
        <v>N</v>
      </c>
      <c r="G2937" s="6">
        <v>-22.70168903041732</v>
      </c>
      <c r="H2937" s="6">
        <v>-47.305794495388213</v>
      </c>
      <c r="I2937" s="9">
        <v>2051.4499999999998</v>
      </c>
      <c r="K2937" s="6">
        <v>2.25</v>
      </c>
      <c r="L2937" s="6">
        <v>50</v>
      </c>
      <c r="N2937" s="1">
        <f t="shared" si="354"/>
        <v>0</v>
      </c>
      <c r="O2937" s="6" t="s">
        <v>20</v>
      </c>
      <c r="Q2937" s="6" t="s">
        <v>21</v>
      </c>
      <c r="R2937" s="6" t="s">
        <v>21</v>
      </c>
      <c r="S2937" s="6" t="s">
        <v>21</v>
      </c>
      <c r="T2937" s="6" t="s">
        <v>21</v>
      </c>
      <c r="U2937" s="6">
        <f t="shared" si="355"/>
        <v>1025.7249999999999</v>
      </c>
      <c r="V2937" s="6">
        <f t="shared" si="360"/>
        <v>1025.7249999999999</v>
      </c>
    </row>
    <row r="2938" spans="1:22" hidden="1" x14ac:dyDescent="0.35">
      <c r="A2938" s="6" t="s">
        <v>3217</v>
      </c>
      <c r="B2938" s="6" t="s">
        <v>3206</v>
      </c>
      <c r="C2938" s="6" t="s">
        <v>3207</v>
      </c>
      <c r="D2938" s="6">
        <f t="shared" si="356"/>
        <v>0.5</v>
      </c>
      <c r="E2938" s="6" t="s">
        <v>23</v>
      </c>
      <c r="F2938" s="6" t="str">
        <f>MID(A2938,19,1)</f>
        <v>C</v>
      </c>
      <c r="G2938" s="6">
        <v>-22.797957680447809</v>
      </c>
      <c r="H2938" s="6">
        <v>-47.406674323119489</v>
      </c>
      <c r="I2938" s="9">
        <v>268.67</v>
      </c>
      <c r="J2938" s="9">
        <f>I2938/500</f>
        <v>0.53734000000000004</v>
      </c>
      <c r="K2938" s="6">
        <v>1.23</v>
      </c>
      <c r="L2938" s="6">
        <v>80</v>
      </c>
      <c r="N2938" s="1">
        <f t="shared" si="354"/>
        <v>0</v>
      </c>
      <c r="O2938" s="6" t="s">
        <v>20</v>
      </c>
      <c r="Q2938" s="6" t="s">
        <v>21</v>
      </c>
      <c r="R2938" s="6" t="s">
        <v>21</v>
      </c>
      <c r="S2938" s="6" t="s">
        <v>21</v>
      </c>
      <c r="T2938" s="6" t="s">
        <v>21</v>
      </c>
      <c r="U2938" s="6">
        <f t="shared" si="355"/>
        <v>214.93600000000004</v>
      </c>
      <c r="V2938" s="6">
        <f t="shared" si="360"/>
        <v>214.93600000000004</v>
      </c>
    </row>
    <row r="2939" spans="1:22" hidden="1" x14ac:dyDescent="0.35">
      <c r="A2939" s="6" t="s">
        <v>3218</v>
      </c>
      <c r="B2939" s="6" t="s">
        <v>3206</v>
      </c>
      <c r="C2939" s="6" t="s">
        <v>3207</v>
      </c>
      <c r="D2939" s="6">
        <f t="shared" si="356"/>
        <v>0.5</v>
      </c>
      <c r="E2939" s="6" t="s">
        <v>19</v>
      </c>
      <c r="F2939" s="6" t="str">
        <f>MID(A2939,19,1)</f>
        <v>S</v>
      </c>
      <c r="G2939" s="6">
        <v>-22.706763928149751</v>
      </c>
      <c r="H2939" s="6">
        <v>-47.300899906190217</v>
      </c>
      <c r="I2939" s="9">
        <v>323.58999999999997</v>
      </c>
      <c r="K2939" s="6">
        <v>4.2</v>
      </c>
      <c r="L2939" s="6">
        <v>50</v>
      </c>
      <c r="N2939" s="1">
        <f t="shared" si="354"/>
        <v>0</v>
      </c>
      <c r="O2939" s="6" t="s">
        <v>20</v>
      </c>
      <c r="Q2939" s="6" t="s">
        <v>21</v>
      </c>
      <c r="R2939" s="6" t="s">
        <v>21</v>
      </c>
      <c r="S2939" s="6" t="s">
        <v>21</v>
      </c>
      <c r="T2939" s="6" t="s">
        <v>21</v>
      </c>
      <c r="U2939" s="6">
        <f t="shared" si="355"/>
        <v>161.79499999999999</v>
      </c>
      <c r="V2939" s="6">
        <f t="shared" si="360"/>
        <v>161.79499999999999</v>
      </c>
    </row>
    <row r="2940" spans="1:22" hidden="1" x14ac:dyDescent="0.35">
      <c r="A2940" s="6" t="s">
        <v>3219</v>
      </c>
      <c r="B2940" s="6" t="s">
        <v>3206</v>
      </c>
      <c r="C2940" s="6" t="s">
        <v>3207</v>
      </c>
      <c r="D2940" s="6">
        <f t="shared" si="356"/>
        <v>0.5</v>
      </c>
      <c r="E2940" s="6" t="s">
        <v>19</v>
      </c>
      <c r="F2940" s="6" t="str">
        <f>MID(A2940,19,1)</f>
        <v>S</v>
      </c>
      <c r="G2940" s="6">
        <v>-22.706318295536231</v>
      </c>
      <c r="H2940" s="6">
        <v>-47.301262061700299</v>
      </c>
      <c r="I2940" s="9">
        <v>679.38</v>
      </c>
      <c r="K2940" s="6">
        <v>2.72</v>
      </c>
      <c r="L2940" s="6">
        <v>50</v>
      </c>
      <c r="N2940" s="1">
        <f t="shared" si="354"/>
        <v>0</v>
      </c>
      <c r="O2940" s="6" t="s">
        <v>20</v>
      </c>
      <c r="Q2940" s="6" t="s">
        <v>21</v>
      </c>
      <c r="R2940" s="6" t="s">
        <v>21</v>
      </c>
      <c r="S2940" s="6" t="s">
        <v>21</v>
      </c>
      <c r="T2940" s="6" t="s">
        <v>21</v>
      </c>
      <c r="U2940" s="6">
        <f t="shared" si="355"/>
        <v>339.69</v>
      </c>
      <c r="V2940" s="6">
        <f t="shared" si="360"/>
        <v>339.69</v>
      </c>
    </row>
    <row r="2941" spans="1:22" hidden="1" x14ac:dyDescent="0.35">
      <c r="A2941" s="6" t="s">
        <v>3220</v>
      </c>
      <c r="B2941" s="6" t="s">
        <v>3206</v>
      </c>
      <c r="C2941" s="6" t="s">
        <v>3207</v>
      </c>
      <c r="D2941" s="6">
        <f t="shared" si="356"/>
        <v>0.5</v>
      </c>
      <c r="E2941" s="6" t="s">
        <v>19</v>
      </c>
      <c r="F2941" s="6" t="str">
        <f>MID(A2941,19,1)</f>
        <v>S</v>
      </c>
      <c r="G2941" s="6">
        <v>-22.705087702482391</v>
      </c>
      <c r="H2941" s="6">
        <v>-47.302333250728282</v>
      </c>
      <c r="I2941" s="9">
        <v>1205.1199999999999</v>
      </c>
      <c r="K2941" s="6">
        <v>3.48</v>
      </c>
      <c r="L2941" s="6">
        <v>50</v>
      </c>
      <c r="N2941" s="1">
        <f t="shared" si="354"/>
        <v>0</v>
      </c>
      <c r="O2941" s="6" t="s">
        <v>20</v>
      </c>
      <c r="Q2941" s="6" t="s">
        <v>21</v>
      </c>
      <c r="R2941" s="6" t="s">
        <v>21</v>
      </c>
      <c r="S2941" s="6" t="s">
        <v>21</v>
      </c>
      <c r="T2941" s="6" t="s">
        <v>21</v>
      </c>
      <c r="U2941" s="6">
        <f t="shared" si="355"/>
        <v>602.55999999999995</v>
      </c>
      <c r="V2941" s="6">
        <f t="shared" si="360"/>
        <v>602.55999999999995</v>
      </c>
    </row>
    <row r="2942" spans="1:22" hidden="1" x14ac:dyDescent="0.35">
      <c r="A2942" s="6" t="s">
        <v>3221</v>
      </c>
      <c r="B2942" s="6" t="s">
        <v>3206</v>
      </c>
      <c r="C2942" s="6" t="s">
        <v>3207</v>
      </c>
      <c r="D2942" s="6">
        <f t="shared" si="356"/>
        <v>0.5</v>
      </c>
      <c r="E2942" s="6" t="s">
        <v>19</v>
      </c>
      <c r="F2942" s="6" t="str">
        <f>MID(A2942,19,1)</f>
        <v>S</v>
      </c>
      <c r="G2942" s="6">
        <v>-22.701409130308821</v>
      </c>
      <c r="H2942" s="6">
        <v>-47.305293873696428</v>
      </c>
      <c r="I2942" s="9">
        <v>2808.39</v>
      </c>
      <c r="K2942" s="6">
        <v>2.57</v>
      </c>
      <c r="L2942" s="6">
        <v>50</v>
      </c>
      <c r="N2942" s="1">
        <f t="shared" si="354"/>
        <v>0</v>
      </c>
      <c r="O2942" s="6" t="s">
        <v>20</v>
      </c>
      <c r="Q2942" s="6" t="s">
        <v>21</v>
      </c>
      <c r="R2942" s="6" t="s">
        <v>21</v>
      </c>
      <c r="S2942" s="6" t="s">
        <v>21</v>
      </c>
      <c r="T2942" s="6" t="s">
        <v>21</v>
      </c>
      <c r="U2942" s="6">
        <f t="shared" si="355"/>
        <v>1404.1949999999999</v>
      </c>
      <c r="V2942" s="6">
        <f t="shared" si="360"/>
        <v>1404.1949999999999</v>
      </c>
    </row>
    <row r="2943" spans="1:22" hidden="1" x14ac:dyDescent="0.35">
      <c r="A2943" s="6" t="s">
        <v>3222</v>
      </c>
      <c r="B2943" s="6" t="s">
        <v>3206</v>
      </c>
      <c r="C2943" s="6" t="s">
        <v>3207</v>
      </c>
      <c r="D2943" s="6">
        <f t="shared" si="356"/>
        <v>0.5</v>
      </c>
      <c r="E2943" s="6" t="s">
        <v>19</v>
      </c>
      <c r="F2943" s="6" t="str">
        <f>MID(A2943,19,1)</f>
        <v>S</v>
      </c>
      <c r="G2943" s="6">
        <v>-22.700801766933179</v>
      </c>
      <c r="H2943" s="6">
        <v>-47.305114743345563</v>
      </c>
      <c r="I2943" s="9">
        <v>52.68</v>
      </c>
      <c r="K2943" s="6">
        <v>2.79</v>
      </c>
      <c r="L2943" s="6">
        <v>50</v>
      </c>
      <c r="N2943" s="1">
        <f t="shared" si="354"/>
        <v>0</v>
      </c>
      <c r="O2943" s="6" t="s">
        <v>20</v>
      </c>
      <c r="Q2943" s="6" t="s">
        <v>21</v>
      </c>
      <c r="R2943" s="6" t="s">
        <v>21</v>
      </c>
      <c r="S2943" s="6" t="s">
        <v>21</v>
      </c>
      <c r="T2943" s="6" t="s">
        <v>21</v>
      </c>
      <c r="U2943" s="6">
        <f t="shared" si="355"/>
        <v>26.34</v>
      </c>
      <c r="V2943" s="6">
        <f t="shared" si="360"/>
        <v>26.34</v>
      </c>
    </row>
    <row r="2944" spans="1:22" hidden="1" x14ac:dyDescent="0.35">
      <c r="A2944" s="6" t="s">
        <v>3223</v>
      </c>
      <c r="B2944" s="6" t="s">
        <v>3206</v>
      </c>
      <c r="C2944" s="6" t="s">
        <v>3207</v>
      </c>
      <c r="D2944" s="6">
        <f t="shared" si="356"/>
        <v>0.5</v>
      </c>
      <c r="E2944" s="6" t="s">
        <v>19</v>
      </c>
      <c r="F2944" s="6" t="str">
        <f>MID(A2944,19,1)</f>
        <v>S</v>
      </c>
      <c r="G2944" s="6">
        <v>-22.700576759153531</v>
      </c>
      <c r="H2944" s="6">
        <v>-47.305991362897608</v>
      </c>
      <c r="I2944" s="9">
        <v>2372.12</v>
      </c>
      <c r="K2944" s="6">
        <v>3.27</v>
      </c>
      <c r="L2944" s="6">
        <v>50</v>
      </c>
      <c r="N2944" s="1">
        <f t="shared" si="354"/>
        <v>0</v>
      </c>
      <c r="O2944" s="6" t="s">
        <v>20</v>
      </c>
      <c r="Q2944" s="6" t="s">
        <v>21</v>
      </c>
      <c r="R2944" s="6" t="s">
        <v>21</v>
      </c>
      <c r="S2944" s="6" t="s">
        <v>21</v>
      </c>
      <c r="T2944" s="6" t="s">
        <v>21</v>
      </c>
      <c r="U2944" s="6">
        <f t="shared" si="355"/>
        <v>1186.06</v>
      </c>
      <c r="V2944" s="6">
        <f t="shared" si="360"/>
        <v>1186.06</v>
      </c>
    </row>
    <row r="2945" spans="1:22" hidden="1" x14ac:dyDescent="0.35">
      <c r="A2945" s="6" t="s">
        <v>3224</v>
      </c>
      <c r="B2945" s="6" t="s">
        <v>3206</v>
      </c>
      <c r="C2945" s="6" t="s">
        <v>3207</v>
      </c>
      <c r="D2945" s="6">
        <f t="shared" si="356"/>
        <v>0.5</v>
      </c>
      <c r="E2945" s="6" t="s">
        <v>19</v>
      </c>
      <c r="F2945" s="6" t="str">
        <f>MID(A2945,19,1)</f>
        <v>S</v>
      </c>
      <c r="G2945" s="6">
        <v>-22.700456120430001</v>
      </c>
      <c r="H2945" s="6">
        <v>-47.305733446874363</v>
      </c>
      <c r="I2945" s="9">
        <v>473.26</v>
      </c>
      <c r="K2945" s="6">
        <v>3.54</v>
      </c>
      <c r="L2945" s="6">
        <v>50</v>
      </c>
      <c r="N2945" s="1">
        <f t="shared" si="354"/>
        <v>0</v>
      </c>
      <c r="O2945" s="6" t="s">
        <v>20</v>
      </c>
      <c r="Q2945" s="6" t="s">
        <v>21</v>
      </c>
      <c r="R2945" s="6" t="s">
        <v>21</v>
      </c>
      <c r="S2945" s="6" t="s">
        <v>21</v>
      </c>
      <c r="T2945" s="6" t="s">
        <v>21</v>
      </c>
      <c r="U2945" s="6">
        <f t="shared" si="355"/>
        <v>236.63</v>
      </c>
      <c r="V2945" s="6">
        <f t="shared" si="360"/>
        <v>236.63</v>
      </c>
    </row>
    <row r="2946" spans="1:22" hidden="1" x14ac:dyDescent="0.35">
      <c r="A2946" s="6" t="s">
        <v>3225</v>
      </c>
      <c r="B2946" s="6" t="s">
        <v>3206</v>
      </c>
      <c r="C2946" s="6" t="s">
        <v>3207</v>
      </c>
      <c r="D2946" s="6">
        <f t="shared" si="356"/>
        <v>0.5</v>
      </c>
      <c r="E2946" s="6" t="s">
        <v>23</v>
      </c>
      <c r="F2946" s="6" t="str">
        <f>MID(A2946,19,1)</f>
        <v>C</v>
      </c>
      <c r="G2946" s="6">
        <v>-22.801312123188701</v>
      </c>
      <c r="H2946" s="6">
        <v>-47.400893232477152</v>
      </c>
      <c r="I2946" s="9">
        <v>4641.53</v>
      </c>
      <c r="J2946" s="9">
        <f>I2946/500</f>
        <v>9.283059999999999</v>
      </c>
      <c r="K2946" s="6">
        <v>2.33</v>
      </c>
      <c r="L2946" s="6">
        <v>80</v>
      </c>
      <c r="N2946" s="1">
        <f t="shared" ref="N2946:N3009" si="361">IF(OR(R2946="Sim",S2946="Sim",T2946="Sim"),(L2946/100)*I2946,0)</f>
        <v>0</v>
      </c>
      <c r="O2946" s="6" t="s">
        <v>20</v>
      </c>
      <c r="Q2946" s="6" t="s">
        <v>21</v>
      </c>
      <c r="R2946" s="6" t="s">
        <v>21</v>
      </c>
      <c r="S2946" s="6" t="s">
        <v>21</v>
      </c>
      <c r="T2946" s="6" t="s">
        <v>21</v>
      </c>
      <c r="U2946" s="6">
        <f t="shared" si="355"/>
        <v>3713.2240000000002</v>
      </c>
      <c r="V2946" s="6">
        <f t="shared" si="360"/>
        <v>3713.2240000000002</v>
      </c>
    </row>
    <row r="2947" spans="1:22" x14ac:dyDescent="0.35">
      <c r="A2947" s="6" t="s">
        <v>3226</v>
      </c>
      <c r="B2947" s="6" t="s">
        <v>3206</v>
      </c>
      <c r="C2947" s="6" t="s">
        <v>3207</v>
      </c>
      <c r="D2947" s="6">
        <f t="shared" si="356"/>
        <v>0.5</v>
      </c>
      <c r="E2947" s="6" t="s">
        <v>19</v>
      </c>
      <c r="F2947" s="6" t="str">
        <f>MID(A2947,19,1)</f>
        <v>N</v>
      </c>
      <c r="G2947" s="6">
        <v>-22.705757926825321</v>
      </c>
      <c r="H2947" s="6">
        <v>-47.302429891079669</v>
      </c>
      <c r="I2947" s="9">
        <v>10418.99</v>
      </c>
      <c r="K2947" s="6">
        <v>3.38</v>
      </c>
      <c r="L2947" s="6">
        <v>50</v>
      </c>
      <c r="N2947" s="1">
        <f t="shared" si="361"/>
        <v>0</v>
      </c>
      <c r="O2947" s="6" t="s">
        <v>20</v>
      </c>
      <c r="Q2947" s="6" t="s">
        <v>21</v>
      </c>
      <c r="R2947" s="6" t="s">
        <v>21</v>
      </c>
      <c r="S2947" s="6" t="s">
        <v>21</v>
      </c>
      <c r="T2947" s="6" t="s">
        <v>21</v>
      </c>
      <c r="U2947" s="6">
        <f t="shared" ref="U2947:U3010" si="362">IF(N2947=0,(I2947*(L2947/100)),0)</f>
        <v>5209.4949999999999</v>
      </c>
      <c r="V2947" s="6">
        <f t="shared" si="360"/>
        <v>5209.4949999999999</v>
      </c>
    </row>
    <row r="2948" spans="1:22" hidden="1" x14ac:dyDescent="0.35">
      <c r="A2948" s="6" t="s">
        <v>3227</v>
      </c>
      <c r="B2948" s="6" t="s">
        <v>3206</v>
      </c>
      <c r="C2948" s="6" t="s">
        <v>3207</v>
      </c>
      <c r="D2948" s="6">
        <f t="shared" si="356"/>
        <v>0.5</v>
      </c>
      <c r="E2948" s="6" t="s">
        <v>23</v>
      </c>
      <c r="F2948" s="6" t="str">
        <f>MID(A2948,19,1)</f>
        <v>C</v>
      </c>
      <c r="G2948" s="6">
        <v>-22.700743891658789</v>
      </c>
      <c r="H2948" s="6">
        <v>-47.306228252094179</v>
      </c>
      <c r="I2948" s="9">
        <v>784.31</v>
      </c>
      <c r="J2948" s="9">
        <f>I2948/500</f>
        <v>1.5686199999999999</v>
      </c>
      <c r="K2948" s="6">
        <v>2.65</v>
      </c>
      <c r="L2948" s="6">
        <v>50</v>
      </c>
      <c r="N2948" s="1">
        <f t="shared" si="361"/>
        <v>0</v>
      </c>
      <c r="O2948" s="6" t="s">
        <v>20</v>
      </c>
      <c r="Q2948" s="6" t="s">
        <v>21</v>
      </c>
      <c r="R2948" s="6" t="s">
        <v>21</v>
      </c>
      <c r="S2948" s="6" t="s">
        <v>21</v>
      </c>
      <c r="T2948" s="6" t="s">
        <v>21</v>
      </c>
      <c r="U2948" s="6">
        <f t="shared" si="362"/>
        <v>392.15499999999997</v>
      </c>
      <c r="V2948" s="6">
        <f t="shared" si="360"/>
        <v>392.15499999999997</v>
      </c>
    </row>
    <row r="2949" spans="1:22" x14ac:dyDescent="0.35">
      <c r="A2949" s="6" t="s">
        <v>3228</v>
      </c>
      <c r="B2949" s="6" t="s">
        <v>3206</v>
      </c>
      <c r="C2949" s="6" t="s">
        <v>3207</v>
      </c>
      <c r="D2949" s="6">
        <f t="shared" si="356"/>
        <v>0.5</v>
      </c>
      <c r="E2949" s="6" t="s">
        <v>19</v>
      </c>
      <c r="F2949" s="6" t="str">
        <f>MID(A2949,19,1)</f>
        <v>N</v>
      </c>
      <c r="G2949" s="6">
        <v>-22.801139464765669</v>
      </c>
      <c r="H2949" s="6">
        <v>-47.400781648067117</v>
      </c>
      <c r="I2949" s="9">
        <v>1636.72</v>
      </c>
      <c r="K2949" s="6">
        <v>1.74</v>
      </c>
      <c r="L2949" s="6">
        <v>70</v>
      </c>
      <c r="N2949" s="1">
        <f t="shared" si="361"/>
        <v>0</v>
      </c>
      <c r="O2949" s="6" t="s">
        <v>20</v>
      </c>
      <c r="Q2949" s="6" t="s">
        <v>21</v>
      </c>
      <c r="R2949" s="6" t="s">
        <v>21</v>
      </c>
      <c r="S2949" s="6" t="s">
        <v>21</v>
      </c>
      <c r="T2949" s="6" t="s">
        <v>21</v>
      </c>
      <c r="U2949" s="6">
        <f t="shared" si="362"/>
        <v>1145.704</v>
      </c>
      <c r="V2949" s="6">
        <f t="shared" si="360"/>
        <v>1145.704</v>
      </c>
    </row>
    <row r="2950" spans="1:22" x14ac:dyDescent="0.35">
      <c r="A2950" s="6" t="s">
        <v>3229</v>
      </c>
      <c r="B2950" s="6" t="s">
        <v>3206</v>
      </c>
      <c r="C2950" s="6" t="s">
        <v>3207</v>
      </c>
      <c r="D2950" s="6">
        <f t="shared" si="356"/>
        <v>0.5</v>
      </c>
      <c r="E2950" s="6" t="s">
        <v>19</v>
      </c>
      <c r="F2950" s="6" t="str">
        <f>MID(A2950,19,1)</f>
        <v>N</v>
      </c>
      <c r="G2950" s="6">
        <v>-22.799103588860689</v>
      </c>
      <c r="H2950" s="6">
        <v>-47.404269402527127</v>
      </c>
      <c r="I2950" s="9">
        <v>1749.95</v>
      </c>
      <c r="K2950" s="6">
        <v>2.58</v>
      </c>
      <c r="L2950" s="6">
        <v>70</v>
      </c>
      <c r="N2950" s="1">
        <f t="shared" si="361"/>
        <v>0</v>
      </c>
      <c r="O2950" s="6" t="s">
        <v>20</v>
      </c>
      <c r="Q2950" s="6" t="s">
        <v>21</v>
      </c>
      <c r="R2950" s="6" t="s">
        <v>21</v>
      </c>
      <c r="S2950" s="6" t="s">
        <v>21</v>
      </c>
      <c r="T2950" s="6" t="s">
        <v>21</v>
      </c>
      <c r="U2950" s="6">
        <f t="shared" si="362"/>
        <v>1224.9649999999999</v>
      </c>
      <c r="V2950" s="6">
        <f t="shared" si="360"/>
        <v>1224.9649999999999</v>
      </c>
    </row>
    <row r="2951" spans="1:22" hidden="1" x14ac:dyDescent="0.35">
      <c r="A2951" s="6" t="s">
        <v>3230</v>
      </c>
      <c r="B2951" s="6" t="s">
        <v>3206</v>
      </c>
      <c r="C2951" s="6" t="s">
        <v>3207</v>
      </c>
      <c r="D2951" s="6">
        <f t="shared" si="356"/>
        <v>0.5</v>
      </c>
      <c r="E2951" s="6" t="s">
        <v>19</v>
      </c>
      <c r="F2951" s="6" t="str">
        <f>MID(A2951,19,1)</f>
        <v>S</v>
      </c>
      <c r="G2951" s="6">
        <v>-22.798131181267649</v>
      </c>
      <c r="H2951" s="6">
        <v>-47.406789881981076</v>
      </c>
      <c r="I2951" s="9">
        <v>101.56</v>
      </c>
      <c r="K2951" s="6">
        <v>1.26</v>
      </c>
      <c r="L2951" s="6">
        <v>70</v>
      </c>
      <c r="N2951" s="1">
        <f t="shared" si="361"/>
        <v>0</v>
      </c>
      <c r="O2951" s="6" t="s">
        <v>20</v>
      </c>
      <c r="Q2951" s="6" t="s">
        <v>21</v>
      </c>
      <c r="R2951" s="6" t="s">
        <v>21</v>
      </c>
      <c r="S2951" s="6" t="s">
        <v>21</v>
      </c>
      <c r="T2951" s="6" t="s">
        <v>21</v>
      </c>
      <c r="U2951" s="6">
        <f t="shared" si="362"/>
        <v>71.091999999999999</v>
      </c>
      <c r="V2951" s="6">
        <f t="shared" si="360"/>
        <v>71.091999999999999</v>
      </c>
    </row>
    <row r="2952" spans="1:22" hidden="1" x14ac:dyDescent="0.35">
      <c r="A2952" s="6" t="s">
        <v>3231</v>
      </c>
      <c r="B2952" s="6" t="s">
        <v>3206</v>
      </c>
      <c r="C2952" s="6" t="s">
        <v>3207</v>
      </c>
      <c r="D2952" s="6">
        <f t="shared" si="356"/>
        <v>0.5</v>
      </c>
      <c r="E2952" s="6" t="s">
        <v>19</v>
      </c>
      <c r="F2952" s="6" t="str">
        <f>MID(A2952,19,1)</f>
        <v>S</v>
      </c>
      <c r="G2952" s="6">
        <v>-22.801446969561951</v>
      </c>
      <c r="H2952" s="6">
        <v>-47.401079405806421</v>
      </c>
      <c r="I2952" s="9">
        <v>1553.19</v>
      </c>
      <c r="K2952" s="6">
        <v>3.06</v>
      </c>
      <c r="L2952" s="6">
        <v>70</v>
      </c>
      <c r="N2952" s="1">
        <f t="shared" si="361"/>
        <v>0</v>
      </c>
      <c r="O2952" s="6" t="s">
        <v>20</v>
      </c>
      <c r="Q2952" s="6" t="s">
        <v>21</v>
      </c>
      <c r="R2952" s="6" t="s">
        <v>21</v>
      </c>
      <c r="S2952" s="6" t="s">
        <v>21</v>
      </c>
      <c r="T2952" s="6" t="s">
        <v>21</v>
      </c>
      <c r="U2952" s="6">
        <f t="shared" si="362"/>
        <v>1087.2329999999999</v>
      </c>
      <c r="V2952" s="6">
        <f t="shared" si="360"/>
        <v>1087.2329999999999</v>
      </c>
    </row>
    <row r="2953" spans="1:22" x14ac:dyDescent="0.35">
      <c r="A2953" s="6" t="s">
        <v>3232</v>
      </c>
      <c r="B2953" s="6" t="s">
        <v>3206</v>
      </c>
      <c r="C2953" s="6" t="s">
        <v>3207</v>
      </c>
      <c r="D2953" s="6">
        <f t="shared" si="356"/>
        <v>0.5</v>
      </c>
      <c r="E2953" s="6" t="s">
        <v>19</v>
      </c>
      <c r="F2953" s="6" t="str">
        <f>MID(A2953,19,1)</f>
        <v>N</v>
      </c>
      <c r="G2953" s="6">
        <v>-22.701893581386951</v>
      </c>
      <c r="H2953" s="6">
        <v>-47.305874650173372</v>
      </c>
      <c r="I2953" s="9">
        <v>694.03</v>
      </c>
      <c r="K2953" s="6">
        <v>2.37</v>
      </c>
      <c r="L2953" s="6">
        <v>50</v>
      </c>
      <c r="N2953" s="1">
        <f t="shared" si="361"/>
        <v>0</v>
      </c>
      <c r="O2953" s="6" t="s">
        <v>20</v>
      </c>
      <c r="Q2953" s="6" t="s">
        <v>21</v>
      </c>
      <c r="R2953" s="6" t="s">
        <v>21</v>
      </c>
      <c r="S2953" s="6" t="s">
        <v>21</v>
      </c>
      <c r="T2953" s="6" t="s">
        <v>21</v>
      </c>
      <c r="U2953" s="6">
        <f t="shared" si="362"/>
        <v>347.01499999999999</v>
      </c>
      <c r="V2953" s="6">
        <f t="shared" si="360"/>
        <v>347.01499999999999</v>
      </c>
    </row>
    <row r="2954" spans="1:22" x14ac:dyDescent="0.35">
      <c r="A2954" s="6" t="s">
        <v>3233</v>
      </c>
      <c r="B2954" s="6" t="s">
        <v>3206</v>
      </c>
      <c r="C2954" s="6" t="s">
        <v>3207</v>
      </c>
      <c r="D2954" s="6">
        <f t="shared" si="356"/>
        <v>0.5</v>
      </c>
      <c r="E2954" s="6" t="s">
        <v>19</v>
      </c>
      <c r="F2954" s="6" t="str">
        <f>MID(A2954,19,1)</f>
        <v>N</v>
      </c>
      <c r="G2954" s="6">
        <v>-22.70321510493071</v>
      </c>
      <c r="H2954" s="6">
        <v>-47.304568129425121</v>
      </c>
      <c r="I2954" s="9">
        <v>6096.34</v>
      </c>
      <c r="K2954" s="6">
        <v>3.32</v>
      </c>
      <c r="L2954" s="6">
        <v>50</v>
      </c>
      <c r="N2954" s="1">
        <f t="shared" si="361"/>
        <v>0</v>
      </c>
      <c r="O2954" s="6" t="s">
        <v>20</v>
      </c>
      <c r="Q2954" s="6" t="s">
        <v>21</v>
      </c>
      <c r="R2954" s="6" t="s">
        <v>21</v>
      </c>
      <c r="S2954" s="6" t="s">
        <v>21</v>
      </c>
      <c r="T2954" s="6" t="s">
        <v>21</v>
      </c>
      <c r="U2954" s="6">
        <f t="shared" si="362"/>
        <v>3048.17</v>
      </c>
      <c r="V2954" s="6">
        <f t="shared" si="360"/>
        <v>3048.17</v>
      </c>
    </row>
    <row r="2955" spans="1:22" x14ac:dyDescent="0.35">
      <c r="A2955" s="6" t="s">
        <v>3234</v>
      </c>
      <c r="B2955" s="6" t="s">
        <v>3235</v>
      </c>
      <c r="C2955" s="6" t="s">
        <v>3236</v>
      </c>
      <c r="D2955" s="6">
        <f t="shared" si="356"/>
        <v>0.5</v>
      </c>
      <c r="E2955" s="6" t="s">
        <v>19</v>
      </c>
      <c r="F2955" s="6" t="str">
        <f>MID(A2955,19,1)</f>
        <v>N</v>
      </c>
      <c r="G2955" s="6">
        <v>-22.698220822562568</v>
      </c>
      <c r="H2955" s="6">
        <v>-47.308635498260358</v>
      </c>
      <c r="I2955" s="9">
        <v>2118.2199999999998</v>
      </c>
      <c r="K2955" s="6">
        <v>5.37</v>
      </c>
      <c r="L2955" s="6">
        <v>50</v>
      </c>
      <c r="N2955" s="1">
        <f t="shared" si="361"/>
        <v>0</v>
      </c>
      <c r="O2955" s="6" t="s">
        <v>20</v>
      </c>
      <c r="Q2955" s="6" t="s">
        <v>21</v>
      </c>
      <c r="R2955" s="6" t="s">
        <v>21</v>
      </c>
      <c r="S2955" s="6" t="s">
        <v>21</v>
      </c>
      <c r="T2955" s="6" t="s">
        <v>21</v>
      </c>
      <c r="U2955" s="6">
        <f t="shared" si="362"/>
        <v>1059.1099999999999</v>
      </c>
      <c r="V2955" s="6">
        <f t="shared" si="360"/>
        <v>1059.1099999999999</v>
      </c>
    </row>
    <row r="2956" spans="1:22" hidden="1" x14ac:dyDescent="0.35">
      <c r="A2956" s="6" t="s">
        <v>3237</v>
      </c>
      <c r="B2956" s="6" t="s">
        <v>3235</v>
      </c>
      <c r="C2956" s="6" t="s">
        <v>3236</v>
      </c>
      <c r="D2956" s="6">
        <f t="shared" si="356"/>
        <v>0.5</v>
      </c>
      <c r="E2956" s="6" t="s">
        <v>23</v>
      </c>
      <c r="F2956" s="6" t="str">
        <f>MID(A2956,19,1)</f>
        <v>C</v>
      </c>
      <c r="G2956" s="6">
        <v>-22.79392653386018</v>
      </c>
      <c r="H2956" s="6">
        <v>-47.413605622676592</v>
      </c>
      <c r="I2956" s="9">
        <v>36765.699999999997</v>
      </c>
      <c r="J2956" s="9">
        <f>I2956/500</f>
        <v>73.531399999999991</v>
      </c>
      <c r="K2956" s="6">
        <v>2.63</v>
      </c>
      <c r="L2956" s="6">
        <v>80</v>
      </c>
      <c r="N2956" s="1">
        <f t="shared" si="361"/>
        <v>0</v>
      </c>
      <c r="O2956" s="6" t="s">
        <v>20</v>
      </c>
      <c r="Q2956" s="6" t="s">
        <v>21</v>
      </c>
      <c r="R2956" s="6" t="s">
        <v>21</v>
      </c>
      <c r="S2956" s="6" t="s">
        <v>21</v>
      </c>
      <c r="T2956" s="6" t="s">
        <v>21</v>
      </c>
      <c r="U2956" s="6">
        <f t="shared" si="362"/>
        <v>29412.559999999998</v>
      </c>
      <c r="V2956" s="6">
        <f t="shared" si="360"/>
        <v>29412.559999999998</v>
      </c>
    </row>
    <row r="2957" spans="1:22" hidden="1" x14ac:dyDescent="0.35">
      <c r="A2957" s="6" t="s">
        <v>3238</v>
      </c>
      <c r="B2957" s="6" t="s">
        <v>3235</v>
      </c>
      <c r="C2957" s="6" t="s">
        <v>3236</v>
      </c>
      <c r="D2957" s="6">
        <f t="shared" si="356"/>
        <v>0.5</v>
      </c>
      <c r="E2957" s="6" t="s">
        <v>19</v>
      </c>
      <c r="F2957" s="6" t="str">
        <f>MID(A2957,19,1)</f>
        <v>S</v>
      </c>
      <c r="G2957" s="6">
        <v>-22.794494889374281</v>
      </c>
      <c r="H2957" s="6">
        <v>-47.413574909201188</v>
      </c>
      <c r="I2957" s="9">
        <v>2442.7600000000002</v>
      </c>
      <c r="K2957" s="6">
        <v>2.79</v>
      </c>
      <c r="L2957" s="6">
        <v>70</v>
      </c>
      <c r="N2957" s="1">
        <f t="shared" si="361"/>
        <v>0</v>
      </c>
      <c r="O2957" s="6" t="s">
        <v>20</v>
      </c>
      <c r="Q2957" s="6" t="s">
        <v>21</v>
      </c>
      <c r="R2957" s="6" t="s">
        <v>21</v>
      </c>
      <c r="S2957" s="6" t="s">
        <v>21</v>
      </c>
      <c r="T2957" s="6" t="s">
        <v>21</v>
      </c>
      <c r="U2957" s="6">
        <f t="shared" si="362"/>
        <v>1709.932</v>
      </c>
      <c r="V2957" s="6">
        <f t="shared" si="360"/>
        <v>1709.932</v>
      </c>
    </row>
    <row r="2958" spans="1:22" hidden="1" x14ac:dyDescent="0.35">
      <c r="A2958" s="6" t="s">
        <v>3239</v>
      </c>
      <c r="B2958" s="6" t="s">
        <v>3235</v>
      </c>
      <c r="C2958" s="6" t="s">
        <v>3236</v>
      </c>
      <c r="D2958" s="6">
        <f t="shared" ref="D2958:D3021" si="363">C2958-B2958</f>
        <v>0.5</v>
      </c>
      <c r="E2958" s="6" t="s">
        <v>23</v>
      </c>
      <c r="F2958" s="6" t="str">
        <f>MID(A2958,19,1)</f>
        <v>C</v>
      </c>
      <c r="G2958" s="6">
        <v>-22.796442046286408</v>
      </c>
      <c r="H2958" s="6">
        <v>-47.409296284355143</v>
      </c>
      <c r="I2958" s="9">
        <v>9995.5499999999993</v>
      </c>
      <c r="J2958" s="9">
        <f>I2958/500</f>
        <v>19.991099999999999</v>
      </c>
      <c r="K2958" s="6">
        <v>2.5299999999999998</v>
      </c>
      <c r="L2958" s="6">
        <v>80</v>
      </c>
      <c r="N2958" s="1">
        <f t="shared" si="361"/>
        <v>0</v>
      </c>
      <c r="O2958" s="6" t="s">
        <v>20</v>
      </c>
      <c r="Q2958" s="6" t="s">
        <v>21</v>
      </c>
      <c r="R2958" s="6" t="s">
        <v>21</v>
      </c>
      <c r="S2958" s="6" t="s">
        <v>21</v>
      </c>
      <c r="T2958" s="6" t="s">
        <v>21</v>
      </c>
      <c r="U2958" s="6">
        <f t="shared" si="362"/>
        <v>7996.44</v>
      </c>
      <c r="V2958" s="6">
        <f t="shared" si="360"/>
        <v>7996.44</v>
      </c>
    </row>
    <row r="2959" spans="1:22" x14ac:dyDescent="0.35">
      <c r="A2959" s="6" t="s">
        <v>3240</v>
      </c>
      <c r="B2959" s="6" t="s">
        <v>3235</v>
      </c>
      <c r="C2959" s="6" t="s">
        <v>3236</v>
      </c>
      <c r="D2959" s="6">
        <f t="shared" si="363"/>
        <v>0.5</v>
      </c>
      <c r="E2959" s="6" t="s">
        <v>19</v>
      </c>
      <c r="F2959" s="6" t="str">
        <f>MID(A2959,19,1)</f>
        <v>N</v>
      </c>
      <c r="G2959" s="6">
        <v>-22.793704416755379</v>
      </c>
      <c r="H2959" s="6">
        <v>-47.413038069969502</v>
      </c>
      <c r="I2959" s="9">
        <v>2399.1</v>
      </c>
      <c r="K2959" s="6">
        <v>2.2200000000000002</v>
      </c>
      <c r="L2959" s="6">
        <v>70</v>
      </c>
      <c r="N2959" s="1">
        <f t="shared" si="361"/>
        <v>0</v>
      </c>
      <c r="O2959" s="6" t="s">
        <v>20</v>
      </c>
      <c r="Q2959" s="6" t="s">
        <v>21</v>
      </c>
      <c r="R2959" s="6" t="s">
        <v>21</v>
      </c>
      <c r="S2959" s="6" t="s">
        <v>21</v>
      </c>
      <c r="T2959" s="6" t="s">
        <v>21</v>
      </c>
      <c r="U2959" s="6">
        <f t="shared" si="362"/>
        <v>1679.37</v>
      </c>
      <c r="V2959" s="6">
        <f t="shared" si="360"/>
        <v>1679.37</v>
      </c>
    </row>
    <row r="2960" spans="1:22" x14ac:dyDescent="0.35">
      <c r="A2960" s="6" t="s">
        <v>3241</v>
      </c>
      <c r="B2960" s="6" t="s">
        <v>3235</v>
      </c>
      <c r="C2960" s="6" t="s">
        <v>3236</v>
      </c>
      <c r="D2960" s="6">
        <f t="shared" si="363"/>
        <v>0.5</v>
      </c>
      <c r="E2960" s="6" t="s">
        <v>19</v>
      </c>
      <c r="F2960" s="6" t="str">
        <f>MID(A2960,19,1)</f>
        <v>N</v>
      </c>
      <c r="G2960" s="6">
        <v>-22.698046470241181</v>
      </c>
      <c r="H2960" s="6">
        <v>-47.308727216540042</v>
      </c>
      <c r="I2960" s="9">
        <v>1324.65</v>
      </c>
      <c r="K2960" s="6">
        <v>4.8899999999999997</v>
      </c>
      <c r="N2960" s="1">
        <f t="shared" si="361"/>
        <v>0</v>
      </c>
      <c r="Q2960" s="6" t="s">
        <v>21</v>
      </c>
      <c r="R2960" s="6" t="s">
        <v>21</v>
      </c>
      <c r="S2960" s="6" t="s">
        <v>21</v>
      </c>
      <c r="T2960" s="6" t="s">
        <v>21</v>
      </c>
      <c r="U2960" s="6">
        <f t="shared" si="362"/>
        <v>0</v>
      </c>
      <c r="V2960" s="6">
        <f t="shared" si="360"/>
        <v>0</v>
      </c>
    </row>
    <row r="2961" spans="1:22" x14ac:dyDescent="0.35">
      <c r="A2961" s="6" t="s">
        <v>3242</v>
      </c>
      <c r="B2961" s="6" t="s">
        <v>3235</v>
      </c>
      <c r="C2961" s="6" t="s">
        <v>3236</v>
      </c>
      <c r="D2961" s="6">
        <f t="shared" si="363"/>
        <v>0.5</v>
      </c>
      <c r="E2961" s="6" t="s">
        <v>19</v>
      </c>
      <c r="F2961" s="6" t="str">
        <f>MID(A2961,19,1)</f>
        <v>N</v>
      </c>
      <c r="G2961" s="6">
        <v>-22.70006147082972</v>
      </c>
      <c r="H2961" s="6">
        <v>-47.307121559646347</v>
      </c>
      <c r="I2961" s="9">
        <v>2280.5300000000002</v>
      </c>
      <c r="K2961" s="6">
        <v>4.37</v>
      </c>
      <c r="L2961" s="6">
        <v>50</v>
      </c>
      <c r="N2961" s="1">
        <f t="shared" si="361"/>
        <v>0</v>
      </c>
      <c r="O2961" s="6" t="s">
        <v>20</v>
      </c>
      <c r="Q2961" s="6" t="s">
        <v>21</v>
      </c>
      <c r="R2961" s="6" t="s">
        <v>21</v>
      </c>
      <c r="S2961" s="6" t="s">
        <v>21</v>
      </c>
      <c r="T2961" s="6" t="s">
        <v>21</v>
      </c>
      <c r="U2961" s="6">
        <f t="shared" si="362"/>
        <v>1140.2650000000001</v>
      </c>
      <c r="V2961" s="6">
        <f t="shared" si="360"/>
        <v>1140.2650000000001</v>
      </c>
    </row>
    <row r="2962" spans="1:22" x14ac:dyDescent="0.35">
      <c r="A2962" s="6" t="s">
        <v>3243</v>
      </c>
      <c r="B2962" s="6" t="s">
        <v>3235</v>
      </c>
      <c r="C2962" s="6" t="s">
        <v>3236</v>
      </c>
      <c r="D2962" s="6">
        <f t="shared" si="363"/>
        <v>0.5</v>
      </c>
      <c r="E2962" s="6" t="s">
        <v>19</v>
      </c>
      <c r="F2962" s="6" t="str">
        <f>MID(A2962,19,1)</f>
        <v>N</v>
      </c>
      <c r="G2962" s="6">
        <v>-22.700434058999441</v>
      </c>
      <c r="H2962" s="6">
        <v>-47.307030701836823</v>
      </c>
      <c r="I2962" s="9">
        <v>49.71</v>
      </c>
      <c r="K2962" s="6">
        <v>3.86</v>
      </c>
      <c r="L2962" s="6">
        <v>0</v>
      </c>
      <c r="N2962" s="1">
        <f t="shared" si="361"/>
        <v>0</v>
      </c>
      <c r="Q2962" s="6" t="s">
        <v>21</v>
      </c>
      <c r="R2962" s="6" t="s">
        <v>21</v>
      </c>
      <c r="S2962" s="6" t="s">
        <v>21</v>
      </c>
      <c r="T2962" s="6" t="s">
        <v>21</v>
      </c>
      <c r="U2962" s="6">
        <f t="shared" si="362"/>
        <v>0</v>
      </c>
      <c r="V2962" s="6">
        <f t="shared" si="360"/>
        <v>0</v>
      </c>
    </row>
    <row r="2963" spans="1:22" hidden="1" x14ac:dyDescent="0.35">
      <c r="A2963" s="6" t="s">
        <v>3244</v>
      </c>
      <c r="B2963" s="6" t="s">
        <v>3235</v>
      </c>
      <c r="C2963" s="6" t="s">
        <v>3236</v>
      </c>
      <c r="D2963" s="6">
        <f t="shared" si="363"/>
        <v>0.5</v>
      </c>
      <c r="E2963" s="6" t="s">
        <v>19</v>
      </c>
      <c r="F2963" s="6" t="str">
        <f>MID(A2963,19,1)</f>
        <v>S</v>
      </c>
      <c r="G2963" s="6">
        <v>-22.699848438789509</v>
      </c>
      <c r="H2963" s="6">
        <v>-47.306604385384922</v>
      </c>
      <c r="I2963" s="9">
        <v>2469.58</v>
      </c>
      <c r="K2963" s="6">
        <v>2.96</v>
      </c>
      <c r="L2963" s="6">
        <v>50</v>
      </c>
      <c r="N2963" s="1">
        <f t="shared" si="361"/>
        <v>0</v>
      </c>
      <c r="O2963" s="6" t="s">
        <v>20</v>
      </c>
      <c r="Q2963" s="6" t="s">
        <v>21</v>
      </c>
      <c r="R2963" s="6" t="s">
        <v>21</v>
      </c>
      <c r="S2963" s="6" t="s">
        <v>21</v>
      </c>
      <c r="T2963" s="6" t="s">
        <v>21</v>
      </c>
      <c r="U2963" s="6">
        <f t="shared" si="362"/>
        <v>1234.79</v>
      </c>
      <c r="V2963" s="6">
        <f t="shared" si="360"/>
        <v>1234.79</v>
      </c>
    </row>
    <row r="2964" spans="1:22" x14ac:dyDescent="0.35">
      <c r="A2964" s="6" t="s">
        <v>3245</v>
      </c>
      <c r="B2964" s="6" t="s">
        <v>3235</v>
      </c>
      <c r="C2964" s="6" t="s">
        <v>3236</v>
      </c>
      <c r="D2964" s="6">
        <f t="shared" si="363"/>
        <v>0.5</v>
      </c>
      <c r="E2964" s="6" t="s">
        <v>19</v>
      </c>
      <c r="F2964" s="6" t="str">
        <f>MID(A2964,19,1)</f>
        <v>N</v>
      </c>
      <c r="G2964" s="6">
        <v>-22.796486089368081</v>
      </c>
      <c r="H2964" s="6">
        <v>-47.408658126924763</v>
      </c>
      <c r="I2964" s="9">
        <v>1951.95</v>
      </c>
      <c r="K2964" s="6">
        <v>2.52</v>
      </c>
      <c r="L2964" s="6">
        <v>70</v>
      </c>
      <c r="N2964" s="1">
        <f t="shared" si="361"/>
        <v>0</v>
      </c>
      <c r="O2964" s="6" t="s">
        <v>20</v>
      </c>
      <c r="Q2964" s="6" t="s">
        <v>21</v>
      </c>
      <c r="R2964" s="6" t="s">
        <v>21</v>
      </c>
      <c r="S2964" s="6" t="s">
        <v>21</v>
      </c>
      <c r="T2964" s="6" t="s">
        <v>21</v>
      </c>
      <c r="U2964" s="6">
        <f t="shared" si="362"/>
        <v>1366.365</v>
      </c>
      <c r="V2964" s="6">
        <f t="shared" si="360"/>
        <v>1366.365</v>
      </c>
    </row>
    <row r="2965" spans="1:22" x14ac:dyDescent="0.35">
      <c r="A2965" s="6" t="s">
        <v>3246</v>
      </c>
      <c r="B2965" s="6" t="s">
        <v>3235</v>
      </c>
      <c r="C2965" s="6" t="s">
        <v>3236</v>
      </c>
      <c r="D2965" s="6">
        <f t="shared" si="363"/>
        <v>0.5</v>
      </c>
      <c r="E2965" s="6" t="s">
        <v>19</v>
      </c>
      <c r="F2965" s="6" t="str">
        <f>MID(A2965,19,1)</f>
        <v>N</v>
      </c>
      <c r="G2965" s="6">
        <v>-22.69997078832515</v>
      </c>
      <c r="H2965" s="6">
        <v>-47.307397262482361</v>
      </c>
      <c r="I2965" s="9">
        <v>1.42</v>
      </c>
      <c r="K2965" s="6">
        <v>5.17</v>
      </c>
      <c r="N2965" s="1">
        <f t="shared" si="361"/>
        <v>0</v>
      </c>
      <c r="Q2965" s="6" t="s">
        <v>21</v>
      </c>
      <c r="R2965" s="6" t="s">
        <v>21</v>
      </c>
      <c r="S2965" s="6" t="s">
        <v>21</v>
      </c>
      <c r="T2965" s="6" t="s">
        <v>21</v>
      </c>
      <c r="U2965" s="6">
        <f t="shared" si="362"/>
        <v>0</v>
      </c>
      <c r="V2965" s="6">
        <f t="shared" si="360"/>
        <v>0</v>
      </c>
    </row>
    <row r="2966" spans="1:22" hidden="1" x14ac:dyDescent="0.35">
      <c r="A2966" s="6" t="s">
        <v>3247</v>
      </c>
      <c r="B2966" s="6" t="s">
        <v>3235</v>
      </c>
      <c r="C2966" s="6" t="s">
        <v>3236</v>
      </c>
      <c r="D2966" s="6">
        <f t="shared" si="363"/>
        <v>0.5</v>
      </c>
      <c r="E2966" s="6" t="s">
        <v>23</v>
      </c>
      <c r="F2966" s="6" t="str">
        <f>MID(A2966,19,1)</f>
        <v>C</v>
      </c>
      <c r="G2966" s="6">
        <v>-22.69857436746824</v>
      </c>
      <c r="H2966" s="6">
        <v>-47.30802805524602</v>
      </c>
      <c r="I2966" s="9">
        <v>4197.84</v>
      </c>
      <c r="J2966" s="9">
        <f t="shared" ref="J2966:J2967" si="364">I2966/500</f>
        <v>8.3956800000000005</v>
      </c>
      <c r="K2966" s="6">
        <v>3.47</v>
      </c>
      <c r="L2966" s="6">
        <v>50</v>
      </c>
      <c r="N2966" s="1">
        <f t="shared" si="361"/>
        <v>0</v>
      </c>
      <c r="O2966" s="6" t="s">
        <v>20</v>
      </c>
      <c r="Q2966" s="6" t="s">
        <v>21</v>
      </c>
      <c r="R2966" s="6" t="s">
        <v>21</v>
      </c>
      <c r="S2966" s="6" t="s">
        <v>21</v>
      </c>
      <c r="T2966" s="6" t="s">
        <v>21</v>
      </c>
      <c r="U2966" s="6">
        <f t="shared" si="362"/>
        <v>2098.92</v>
      </c>
      <c r="V2966" s="6">
        <f t="shared" si="360"/>
        <v>2098.92</v>
      </c>
    </row>
    <row r="2967" spans="1:22" hidden="1" x14ac:dyDescent="0.35">
      <c r="A2967" s="6" t="s">
        <v>3248</v>
      </c>
      <c r="B2967" s="6" t="s">
        <v>3235</v>
      </c>
      <c r="C2967" s="6" t="s">
        <v>3236</v>
      </c>
      <c r="D2967" s="6">
        <f t="shared" si="363"/>
        <v>0.5</v>
      </c>
      <c r="E2967" s="6" t="s">
        <v>23</v>
      </c>
      <c r="F2967" s="6" t="str">
        <f>MID(A2967,19,1)</f>
        <v>C</v>
      </c>
      <c r="G2967" s="6">
        <v>-22.694283140859419</v>
      </c>
      <c r="H2967" s="6">
        <v>-47.310627489627713</v>
      </c>
      <c r="I2967" s="9">
        <v>6792.72</v>
      </c>
      <c r="J2967" s="9">
        <f t="shared" si="364"/>
        <v>13.58544</v>
      </c>
      <c r="K2967" s="6">
        <v>3.39</v>
      </c>
      <c r="L2967" s="6">
        <v>50</v>
      </c>
      <c r="N2967" s="1">
        <f t="shared" si="361"/>
        <v>0</v>
      </c>
      <c r="O2967" s="6" t="s">
        <v>20</v>
      </c>
      <c r="Q2967" s="6" t="s">
        <v>21</v>
      </c>
      <c r="R2967" s="6" t="s">
        <v>21</v>
      </c>
      <c r="S2967" s="6" t="s">
        <v>21</v>
      </c>
      <c r="T2967" s="6" t="s">
        <v>21</v>
      </c>
      <c r="U2967" s="6">
        <f t="shared" si="362"/>
        <v>3396.36</v>
      </c>
      <c r="V2967" s="6">
        <f t="shared" si="360"/>
        <v>3396.36</v>
      </c>
    </row>
    <row r="2968" spans="1:22" x14ac:dyDescent="0.35">
      <c r="A2968" s="6" t="s">
        <v>3249</v>
      </c>
      <c r="B2968" s="6" t="s">
        <v>3235</v>
      </c>
      <c r="C2968" s="6" t="s">
        <v>3236</v>
      </c>
      <c r="D2968" s="6">
        <f t="shared" si="363"/>
        <v>0.5</v>
      </c>
      <c r="E2968" s="6" t="s">
        <v>19</v>
      </c>
      <c r="F2968" s="6" t="str">
        <f>MID(A2968,19,1)</f>
        <v>N</v>
      </c>
      <c r="G2968" s="6">
        <v>-22.69457843429954</v>
      </c>
      <c r="H2968" s="6">
        <v>-47.310754653560792</v>
      </c>
      <c r="I2968" s="9">
        <v>2212.66</v>
      </c>
      <c r="K2968" s="6">
        <v>3.52</v>
      </c>
      <c r="L2968" s="6">
        <v>50</v>
      </c>
      <c r="N2968" s="1">
        <f t="shared" si="361"/>
        <v>0</v>
      </c>
      <c r="O2968" s="6" t="s">
        <v>20</v>
      </c>
      <c r="Q2968" s="6" t="s">
        <v>21</v>
      </c>
      <c r="R2968" s="6" t="s">
        <v>21</v>
      </c>
      <c r="S2968" s="6" t="s">
        <v>21</v>
      </c>
      <c r="T2968" s="6" t="s">
        <v>21</v>
      </c>
      <c r="U2968" s="6">
        <f t="shared" si="362"/>
        <v>1106.33</v>
      </c>
      <c r="V2968" s="6">
        <f t="shared" si="360"/>
        <v>1106.33</v>
      </c>
    </row>
    <row r="2969" spans="1:22" hidden="1" x14ac:dyDescent="0.35">
      <c r="A2969" s="6" t="s">
        <v>3250</v>
      </c>
      <c r="B2969" s="6" t="s">
        <v>3235</v>
      </c>
      <c r="C2969" s="6" t="s">
        <v>3236</v>
      </c>
      <c r="D2969" s="6">
        <f t="shared" si="363"/>
        <v>0.5</v>
      </c>
      <c r="E2969" s="6" t="s">
        <v>19</v>
      </c>
      <c r="F2969" s="6" t="str">
        <f>MID(A2969,19,1)</f>
        <v>S</v>
      </c>
      <c r="G2969" s="6">
        <v>-22.796955873257239</v>
      </c>
      <c r="H2969" s="6">
        <v>-47.408938216196432</v>
      </c>
      <c r="I2969" s="9">
        <v>1948.14</v>
      </c>
      <c r="K2969" s="6">
        <v>3.1</v>
      </c>
      <c r="L2969" s="6">
        <v>70</v>
      </c>
      <c r="N2969" s="1">
        <f t="shared" si="361"/>
        <v>0</v>
      </c>
      <c r="O2969" s="6" t="s">
        <v>20</v>
      </c>
      <c r="Q2969" s="6" t="s">
        <v>21</v>
      </c>
      <c r="R2969" s="6" t="s">
        <v>21</v>
      </c>
      <c r="S2969" s="6" t="s">
        <v>21</v>
      </c>
      <c r="T2969" s="6" t="s">
        <v>21</v>
      </c>
      <c r="U2969" s="6">
        <f t="shared" si="362"/>
        <v>1363.6980000000001</v>
      </c>
      <c r="V2969" s="6">
        <f t="shared" si="360"/>
        <v>1363.6980000000001</v>
      </c>
    </row>
    <row r="2970" spans="1:22" hidden="1" x14ac:dyDescent="0.35">
      <c r="A2970" s="6" t="s">
        <v>3251</v>
      </c>
      <c r="B2970" s="6" t="s">
        <v>3235</v>
      </c>
      <c r="C2970" s="6" t="s">
        <v>3236</v>
      </c>
      <c r="D2970" s="6">
        <f t="shared" si="363"/>
        <v>0.5</v>
      </c>
      <c r="E2970" s="6" t="s">
        <v>19</v>
      </c>
      <c r="F2970" s="6" t="str">
        <f>MID(A2970,19,1)</f>
        <v>S</v>
      </c>
      <c r="G2970" s="6">
        <v>-22.700060885764959</v>
      </c>
      <c r="H2970" s="6">
        <v>-47.306138591318337</v>
      </c>
      <c r="I2970" s="9">
        <v>24.53</v>
      </c>
      <c r="K2970" s="6">
        <v>3.66</v>
      </c>
      <c r="L2970" s="6">
        <v>0</v>
      </c>
      <c r="N2970" s="1">
        <f t="shared" si="361"/>
        <v>0</v>
      </c>
      <c r="Q2970" s="6" t="s">
        <v>21</v>
      </c>
      <c r="R2970" s="6" t="s">
        <v>21</v>
      </c>
      <c r="S2970" s="6" t="s">
        <v>21</v>
      </c>
      <c r="T2970" s="6" t="s">
        <v>21</v>
      </c>
      <c r="U2970" s="6">
        <f t="shared" si="362"/>
        <v>0</v>
      </c>
      <c r="V2970" s="6">
        <f t="shared" si="360"/>
        <v>0</v>
      </c>
    </row>
    <row r="2971" spans="1:22" x14ac:dyDescent="0.35">
      <c r="A2971" s="6" t="s">
        <v>3252</v>
      </c>
      <c r="B2971" s="6" t="s">
        <v>3253</v>
      </c>
      <c r="C2971" s="6" t="s">
        <v>3254</v>
      </c>
      <c r="D2971" s="6">
        <f t="shared" si="363"/>
        <v>0.5</v>
      </c>
      <c r="E2971" s="6" t="s">
        <v>19</v>
      </c>
      <c r="F2971" s="6" t="str">
        <f>MID(A2971,19,1)</f>
        <v>N</v>
      </c>
      <c r="G2971" s="6">
        <v>-22.687460179317259</v>
      </c>
      <c r="H2971" s="6">
        <v>-47.311135116879889</v>
      </c>
      <c r="I2971" s="9">
        <v>163.47</v>
      </c>
      <c r="K2971" s="6">
        <v>3.8</v>
      </c>
      <c r="L2971" s="6">
        <v>50</v>
      </c>
      <c r="N2971" s="1">
        <f t="shared" si="361"/>
        <v>0</v>
      </c>
      <c r="O2971" s="6" t="s">
        <v>20</v>
      </c>
      <c r="Q2971" s="6" t="s">
        <v>21</v>
      </c>
      <c r="R2971" s="6" t="s">
        <v>21</v>
      </c>
      <c r="S2971" s="6" t="s">
        <v>21</v>
      </c>
      <c r="T2971" s="6" t="s">
        <v>21</v>
      </c>
      <c r="U2971" s="6">
        <f t="shared" si="362"/>
        <v>81.734999999999999</v>
      </c>
      <c r="V2971" s="6">
        <f t="shared" si="360"/>
        <v>81.734999999999999</v>
      </c>
    </row>
    <row r="2972" spans="1:22" x14ac:dyDescent="0.35">
      <c r="A2972" s="6" t="s">
        <v>3255</v>
      </c>
      <c r="B2972" s="6" t="s">
        <v>3253</v>
      </c>
      <c r="C2972" s="6" t="s">
        <v>3254</v>
      </c>
      <c r="D2972" s="6">
        <f t="shared" si="363"/>
        <v>0.5</v>
      </c>
      <c r="E2972" s="6" t="s">
        <v>19</v>
      </c>
      <c r="F2972" s="6" t="str">
        <f>MID(A2972,19,1)</f>
        <v>N</v>
      </c>
      <c r="G2972" s="6">
        <v>-22.689901325384248</v>
      </c>
      <c r="H2972" s="6">
        <v>-47.3112721029255</v>
      </c>
      <c r="I2972" s="9">
        <v>2010.83</v>
      </c>
      <c r="K2972" s="6">
        <v>3.02</v>
      </c>
      <c r="L2972" s="6">
        <v>50</v>
      </c>
      <c r="N2972" s="1">
        <f t="shared" si="361"/>
        <v>0</v>
      </c>
      <c r="O2972" s="6" t="s">
        <v>20</v>
      </c>
      <c r="Q2972" s="6" t="s">
        <v>21</v>
      </c>
      <c r="R2972" s="6" t="s">
        <v>21</v>
      </c>
      <c r="S2972" s="6" t="s">
        <v>21</v>
      </c>
      <c r="T2972" s="6" t="s">
        <v>21</v>
      </c>
      <c r="U2972" s="6">
        <f t="shared" si="362"/>
        <v>1005.415</v>
      </c>
      <c r="V2972" s="6">
        <f t="shared" si="360"/>
        <v>1005.415</v>
      </c>
    </row>
    <row r="2973" spans="1:22" hidden="1" x14ac:dyDescent="0.35">
      <c r="A2973" s="6" t="s">
        <v>3256</v>
      </c>
      <c r="B2973" s="6" t="s">
        <v>3253</v>
      </c>
      <c r="C2973" s="6" t="s">
        <v>3254</v>
      </c>
      <c r="D2973" s="6">
        <f t="shared" si="363"/>
        <v>0.5</v>
      </c>
      <c r="E2973" s="6" t="s">
        <v>23</v>
      </c>
      <c r="F2973" s="6" t="str">
        <f>MID(A2973,19,1)</f>
        <v>C</v>
      </c>
      <c r="G2973" s="6">
        <v>-22.687569012866881</v>
      </c>
      <c r="H2973" s="6">
        <v>-47.310877496708009</v>
      </c>
      <c r="I2973" s="9">
        <v>554.03</v>
      </c>
      <c r="J2973" s="9">
        <f>I2973/500</f>
        <v>1.10806</v>
      </c>
      <c r="K2973" s="6">
        <v>5.68</v>
      </c>
      <c r="L2973" s="6">
        <v>50</v>
      </c>
      <c r="N2973" s="1">
        <f t="shared" si="361"/>
        <v>0</v>
      </c>
      <c r="O2973" s="6" t="s">
        <v>20</v>
      </c>
      <c r="Q2973" s="6" t="s">
        <v>21</v>
      </c>
      <c r="R2973" s="6" t="s">
        <v>21</v>
      </c>
      <c r="S2973" s="6" t="s">
        <v>21</v>
      </c>
      <c r="T2973" s="6" t="s">
        <v>21</v>
      </c>
      <c r="U2973" s="6">
        <f t="shared" si="362"/>
        <v>277.01499999999999</v>
      </c>
      <c r="V2973" s="6">
        <f t="shared" si="360"/>
        <v>277.01499999999999</v>
      </c>
    </row>
    <row r="2974" spans="1:22" x14ac:dyDescent="0.35">
      <c r="A2974" s="6" t="s">
        <v>3257</v>
      </c>
      <c r="B2974" s="6" t="s">
        <v>3253</v>
      </c>
      <c r="C2974" s="6" t="s">
        <v>3254</v>
      </c>
      <c r="D2974" s="6">
        <f t="shared" si="363"/>
        <v>0.5</v>
      </c>
      <c r="E2974" s="6" t="s">
        <v>19</v>
      </c>
      <c r="F2974" s="6" t="str">
        <f>MID(A2974,19,1)</f>
        <v>N</v>
      </c>
      <c r="G2974" s="6">
        <v>-22.791244554968578</v>
      </c>
      <c r="H2974" s="6">
        <v>-47.4171548510256</v>
      </c>
      <c r="I2974" s="9">
        <v>1531.54</v>
      </c>
      <c r="K2974" s="6">
        <v>2.37</v>
      </c>
      <c r="L2974" s="6">
        <v>70</v>
      </c>
      <c r="N2974" s="1">
        <f t="shared" si="361"/>
        <v>0</v>
      </c>
      <c r="O2974" s="6" t="s">
        <v>20</v>
      </c>
      <c r="Q2974" s="6" t="s">
        <v>21</v>
      </c>
      <c r="R2974" s="6" t="s">
        <v>21</v>
      </c>
      <c r="S2974" s="6" t="s">
        <v>21</v>
      </c>
      <c r="T2974" s="6" t="s">
        <v>21</v>
      </c>
      <c r="U2974" s="6">
        <f t="shared" si="362"/>
        <v>1072.078</v>
      </c>
      <c r="V2974" s="6">
        <f t="shared" si="360"/>
        <v>1072.078</v>
      </c>
    </row>
    <row r="2975" spans="1:22" x14ac:dyDescent="0.35">
      <c r="A2975" s="6" t="s">
        <v>3258</v>
      </c>
      <c r="B2975" s="6" t="s">
        <v>3253</v>
      </c>
      <c r="C2975" s="6" t="s">
        <v>3254</v>
      </c>
      <c r="D2975" s="6">
        <f t="shared" si="363"/>
        <v>0.5</v>
      </c>
      <c r="E2975" s="6" t="s">
        <v>19</v>
      </c>
      <c r="F2975" s="6" t="str">
        <f>MID(A2975,19,1)</f>
        <v>N</v>
      </c>
      <c r="G2975" s="6">
        <v>-22.78881973271373</v>
      </c>
      <c r="H2975" s="6">
        <v>-47.421333093131828</v>
      </c>
      <c r="I2975" s="9">
        <v>0</v>
      </c>
      <c r="K2975" s="6">
        <v>1.04</v>
      </c>
      <c r="N2975" s="1">
        <f t="shared" si="361"/>
        <v>0</v>
      </c>
      <c r="Q2975" s="6" t="s">
        <v>21</v>
      </c>
      <c r="R2975" s="6" t="s">
        <v>21</v>
      </c>
      <c r="S2975" s="6" t="s">
        <v>21</v>
      </c>
      <c r="T2975" s="6" t="s">
        <v>21</v>
      </c>
      <c r="U2975" s="6">
        <f t="shared" si="362"/>
        <v>0</v>
      </c>
      <c r="V2975" s="6">
        <f t="shared" si="360"/>
        <v>0</v>
      </c>
    </row>
    <row r="2976" spans="1:22" hidden="1" x14ac:dyDescent="0.35">
      <c r="A2976" s="6" t="s">
        <v>3259</v>
      </c>
      <c r="B2976" s="6" t="s">
        <v>3253</v>
      </c>
      <c r="C2976" s="6" t="s">
        <v>3254</v>
      </c>
      <c r="D2976" s="6">
        <f t="shared" si="363"/>
        <v>0.5</v>
      </c>
      <c r="E2976" s="6" t="s">
        <v>19</v>
      </c>
      <c r="F2976" s="6" t="str">
        <f>MID(A2976,19,1)</f>
        <v>S</v>
      </c>
      <c r="G2976" s="6">
        <v>-22.792182567570531</v>
      </c>
      <c r="H2976" s="6">
        <v>-47.417732714190457</v>
      </c>
      <c r="I2976" s="9">
        <v>1542.26</v>
      </c>
      <c r="K2976" s="6">
        <v>3.21</v>
      </c>
      <c r="L2976" s="6">
        <v>70</v>
      </c>
      <c r="N2976" s="1">
        <f t="shared" si="361"/>
        <v>0</v>
      </c>
      <c r="O2976" s="6" t="s">
        <v>20</v>
      </c>
      <c r="Q2976" s="6" t="s">
        <v>21</v>
      </c>
      <c r="R2976" s="6" t="s">
        <v>21</v>
      </c>
      <c r="S2976" s="6" t="s">
        <v>21</v>
      </c>
      <c r="T2976" s="6" t="s">
        <v>21</v>
      </c>
      <c r="U2976" s="6">
        <f t="shared" si="362"/>
        <v>1079.5819999999999</v>
      </c>
      <c r="V2976" s="6">
        <f t="shared" si="360"/>
        <v>1079.5819999999999</v>
      </c>
    </row>
    <row r="2977" spans="1:22" hidden="1" x14ac:dyDescent="0.35">
      <c r="A2977" s="6" t="s">
        <v>3260</v>
      </c>
      <c r="B2977" s="6" t="s">
        <v>3253</v>
      </c>
      <c r="C2977" s="6" t="s">
        <v>3254</v>
      </c>
      <c r="D2977" s="6">
        <f t="shared" si="363"/>
        <v>0.5</v>
      </c>
      <c r="E2977" s="6" t="s">
        <v>23</v>
      </c>
      <c r="F2977" s="6" t="str">
        <f>MID(A2977,19,1)</f>
        <v>C</v>
      </c>
      <c r="G2977" s="6">
        <v>-22.78971247384407</v>
      </c>
      <c r="H2977" s="6">
        <v>-47.420907901884547</v>
      </c>
      <c r="I2977" s="9">
        <v>36772.629999999997</v>
      </c>
      <c r="J2977" s="9">
        <f>I2977/500</f>
        <v>73.545259999999999</v>
      </c>
      <c r="K2977" s="6">
        <v>2.2200000000000002</v>
      </c>
      <c r="L2977" s="6">
        <v>80</v>
      </c>
      <c r="N2977" s="1">
        <f t="shared" si="361"/>
        <v>0</v>
      </c>
      <c r="O2977" s="6" t="s">
        <v>20</v>
      </c>
      <c r="Q2977" s="6" t="s">
        <v>21</v>
      </c>
      <c r="R2977" s="6" t="s">
        <v>21</v>
      </c>
      <c r="S2977" s="6" t="s">
        <v>21</v>
      </c>
      <c r="T2977" s="6" t="s">
        <v>21</v>
      </c>
      <c r="U2977" s="6">
        <f t="shared" si="362"/>
        <v>29418.103999999999</v>
      </c>
      <c r="V2977" s="6">
        <f t="shared" si="360"/>
        <v>29418.103999999999</v>
      </c>
    </row>
    <row r="2978" spans="1:22" x14ac:dyDescent="0.35">
      <c r="A2978" s="6" t="s">
        <v>3261</v>
      </c>
      <c r="B2978" s="6" t="s">
        <v>3253</v>
      </c>
      <c r="C2978" s="6" t="s">
        <v>3254</v>
      </c>
      <c r="D2978" s="6">
        <f t="shared" si="363"/>
        <v>0.5</v>
      </c>
      <c r="E2978" s="6" t="s">
        <v>19</v>
      </c>
      <c r="F2978" s="6" t="str">
        <f>MID(A2978,19,1)</f>
        <v>N</v>
      </c>
      <c r="G2978" s="6">
        <v>-22.789188466290721</v>
      </c>
      <c r="H2978" s="6">
        <v>-47.420734816370263</v>
      </c>
      <c r="I2978" s="9">
        <v>1959.14</v>
      </c>
      <c r="K2978" s="6">
        <v>1.81</v>
      </c>
      <c r="L2978" s="6">
        <v>70</v>
      </c>
      <c r="N2978" s="1">
        <f t="shared" si="361"/>
        <v>0</v>
      </c>
      <c r="O2978" s="6" t="s">
        <v>20</v>
      </c>
      <c r="Q2978" s="6" t="s">
        <v>21</v>
      </c>
      <c r="R2978" s="6" t="s">
        <v>21</v>
      </c>
      <c r="S2978" s="6" t="s">
        <v>21</v>
      </c>
      <c r="T2978" s="6" t="s">
        <v>21</v>
      </c>
      <c r="U2978" s="6">
        <f t="shared" si="362"/>
        <v>1371.3979999999999</v>
      </c>
      <c r="V2978" s="6">
        <f t="shared" si="360"/>
        <v>1371.3979999999999</v>
      </c>
    </row>
    <row r="2979" spans="1:22" hidden="1" x14ac:dyDescent="0.35">
      <c r="A2979" s="8" t="s">
        <v>3262</v>
      </c>
      <c r="B2979" s="8" t="s">
        <v>3253</v>
      </c>
      <c r="C2979" s="8" t="s">
        <v>3254</v>
      </c>
      <c r="D2979" s="6">
        <f t="shared" si="363"/>
        <v>0.5</v>
      </c>
      <c r="E2979" s="8" t="s">
        <v>23</v>
      </c>
      <c r="F2979" s="6" t="str">
        <f>MID(A2979,19,1)</f>
        <v>C</v>
      </c>
      <c r="G2979" s="8">
        <v>-22.685241773084559</v>
      </c>
      <c r="H2979" s="8">
        <v>-47.310746235526672</v>
      </c>
      <c r="I2979" s="7">
        <v>5661.55</v>
      </c>
      <c r="J2979" s="9">
        <f>I2979/500</f>
        <v>11.3231</v>
      </c>
      <c r="K2979" s="8">
        <v>5.12</v>
      </c>
      <c r="L2979" s="8">
        <v>70</v>
      </c>
      <c r="M2979" s="8"/>
      <c r="N2979" s="11">
        <f t="shared" si="361"/>
        <v>3963.085</v>
      </c>
      <c r="O2979" s="8" t="s">
        <v>71</v>
      </c>
      <c r="P2979" s="8"/>
      <c r="Q2979" s="8" t="s">
        <v>21</v>
      </c>
      <c r="R2979" s="8" t="s">
        <v>26</v>
      </c>
      <c r="S2979" s="8" t="s">
        <v>21</v>
      </c>
      <c r="T2979" s="8" t="s">
        <v>26</v>
      </c>
      <c r="U2979" s="6">
        <f t="shared" si="362"/>
        <v>0</v>
      </c>
    </row>
    <row r="2980" spans="1:22" hidden="1" x14ac:dyDescent="0.35">
      <c r="A2980" s="6" t="s">
        <v>3263</v>
      </c>
      <c r="B2980" s="6" t="s">
        <v>3253</v>
      </c>
      <c r="C2980" s="6" t="s">
        <v>3254</v>
      </c>
      <c r="D2980" s="6">
        <f t="shared" si="363"/>
        <v>0.5</v>
      </c>
      <c r="E2980" s="6" t="s">
        <v>19</v>
      </c>
      <c r="F2980" s="6" t="str">
        <f>MID(A2980,19,1)</f>
        <v>S</v>
      </c>
      <c r="G2980" s="6">
        <v>-22.685156128780449</v>
      </c>
      <c r="H2980" s="6">
        <v>-47.310506891368078</v>
      </c>
      <c r="I2980" s="9">
        <v>1540.85</v>
      </c>
      <c r="K2980" s="6">
        <v>5.1100000000000003</v>
      </c>
      <c r="L2980" s="6">
        <v>50</v>
      </c>
      <c r="N2980" s="1">
        <f t="shared" si="361"/>
        <v>0</v>
      </c>
      <c r="O2980" s="6" t="s">
        <v>20</v>
      </c>
      <c r="Q2980" s="6" t="s">
        <v>21</v>
      </c>
      <c r="R2980" s="6" t="s">
        <v>21</v>
      </c>
      <c r="S2980" s="6" t="s">
        <v>21</v>
      </c>
      <c r="T2980" s="6" t="s">
        <v>21</v>
      </c>
      <c r="U2980" s="6">
        <f t="shared" si="362"/>
        <v>770.42499999999995</v>
      </c>
      <c r="V2980" s="6">
        <f t="shared" ref="V2980:V2986" si="365">(I2980*(L2980/100))</f>
        <v>770.42499999999995</v>
      </c>
    </row>
    <row r="2981" spans="1:22" hidden="1" x14ac:dyDescent="0.35">
      <c r="A2981" s="6" t="s">
        <v>3264</v>
      </c>
      <c r="B2981" s="6" t="s">
        <v>3253</v>
      </c>
      <c r="C2981" s="6" t="s">
        <v>3254</v>
      </c>
      <c r="D2981" s="6">
        <f t="shared" si="363"/>
        <v>0.5</v>
      </c>
      <c r="E2981" s="6" t="s">
        <v>23</v>
      </c>
      <c r="F2981" s="6" t="str">
        <f>MID(A2981,19,1)</f>
        <v>C</v>
      </c>
      <c r="G2981" s="6">
        <v>-22.68868664295373</v>
      </c>
      <c r="H2981" s="6">
        <v>-47.310946688937172</v>
      </c>
      <c r="I2981" s="9">
        <v>3435.42</v>
      </c>
      <c r="J2981" s="9">
        <f>I2981/500</f>
        <v>6.8708400000000003</v>
      </c>
      <c r="K2981" s="6">
        <v>2.91</v>
      </c>
      <c r="L2981" s="6">
        <v>50</v>
      </c>
      <c r="N2981" s="1">
        <f t="shared" si="361"/>
        <v>0</v>
      </c>
      <c r="O2981" s="6" t="s">
        <v>20</v>
      </c>
      <c r="Q2981" s="6" t="s">
        <v>21</v>
      </c>
      <c r="R2981" s="6" t="s">
        <v>21</v>
      </c>
      <c r="S2981" s="6" t="s">
        <v>21</v>
      </c>
      <c r="T2981" s="6" t="s">
        <v>21</v>
      </c>
      <c r="U2981" s="6">
        <f t="shared" si="362"/>
        <v>1717.71</v>
      </c>
      <c r="V2981" s="6">
        <f t="shared" si="365"/>
        <v>1717.71</v>
      </c>
    </row>
    <row r="2982" spans="1:22" x14ac:dyDescent="0.35">
      <c r="A2982" s="6" t="s">
        <v>3265</v>
      </c>
      <c r="B2982" s="6" t="s">
        <v>3253</v>
      </c>
      <c r="C2982" s="6" t="s">
        <v>3254</v>
      </c>
      <c r="D2982" s="6">
        <f t="shared" si="363"/>
        <v>0.5</v>
      </c>
      <c r="E2982" s="6" t="s">
        <v>19</v>
      </c>
      <c r="F2982" s="6" t="str">
        <f>MID(A2982,19,1)</f>
        <v>N</v>
      </c>
      <c r="G2982" s="6">
        <v>-22.79136682568689</v>
      </c>
      <c r="H2982" s="6">
        <v>-47.416896573817908</v>
      </c>
      <c r="I2982" s="9">
        <v>0.01</v>
      </c>
      <c r="K2982" s="6">
        <v>2.0699999999999998</v>
      </c>
      <c r="N2982" s="1">
        <f t="shared" si="361"/>
        <v>0</v>
      </c>
      <c r="Q2982" s="6" t="s">
        <v>21</v>
      </c>
      <c r="R2982" s="6" t="s">
        <v>21</v>
      </c>
      <c r="S2982" s="6" t="s">
        <v>21</v>
      </c>
      <c r="T2982" s="6" t="s">
        <v>21</v>
      </c>
      <c r="U2982" s="6">
        <f t="shared" si="362"/>
        <v>0</v>
      </c>
      <c r="V2982" s="6">
        <f t="shared" si="365"/>
        <v>0</v>
      </c>
    </row>
    <row r="2983" spans="1:22" hidden="1" x14ac:dyDescent="0.35">
      <c r="A2983" s="6" t="s">
        <v>3266</v>
      </c>
      <c r="B2983" s="6" t="s">
        <v>3253</v>
      </c>
      <c r="C2983" s="6" t="s">
        <v>3254</v>
      </c>
      <c r="D2983" s="6">
        <f t="shared" si="363"/>
        <v>0.5</v>
      </c>
      <c r="E2983" s="6" t="s">
        <v>19</v>
      </c>
      <c r="F2983" s="6" t="str">
        <f>MID(A2983,19,1)</f>
        <v>S</v>
      </c>
      <c r="G2983" s="6">
        <v>-22.790091682099529</v>
      </c>
      <c r="H2983" s="6">
        <v>-47.421324607989042</v>
      </c>
      <c r="I2983" s="9">
        <v>1942.96</v>
      </c>
      <c r="K2983" s="6">
        <v>2.75</v>
      </c>
      <c r="L2983" s="6">
        <v>70</v>
      </c>
      <c r="N2983" s="1">
        <f t="shared" si="361"/>
        <v>0</v>
      </c>
      <c r="O2983" s="6" t="s">
        <v>20</v>
      </c>
      <c r="Q2983" s="6" t="s">
        <v>21</v>
      </c>
      <c r="R2983" s="6" t="s">
        <v>21</v>
      </c>
      <c r="S2983" s="6" t="s">
        <v>21</v>
      </c>
      <c r="T2983" s="6" t="s">
        <v>21</v>
      </c>
      <c r="U2983" s="6">
        <f t="shared" si="362"/>
        <v>1360.0719999999999</v>
      </c>
      <c r="V2983" s="6">
        <f t="shared" si="365"/>
        <v>1360.0719999999999</v>
      </c>
    </row>
    <row r="2984" spans="1:22" hidden="1" x14ac:dyDescent="0.35">
      <c r="A2984" s="6" t="s">
        <v>3267</v>
      </c>
      <c r="B2984" s="6" t="s">
        <v>3253</v>
      </c>
      <c r="C2984" s="6" t="s">
        <v>3254</v>
      </c>
      <c r="D2984" s="6">
        <f t="shared" si="363"/>
        <v>0.5</v>
      </c>
      <c r="E2984" s="6" t="s">
        <v>23</v>
      </c>
      <c r="F2984" s="6" t="str">
        <f>MID(A2984,19,1)</f>
        <v>C</v>
      </c>
      <c r="G2984" s="6">
        <v>-22.691010824896971</v>
      </c>
      <c r="H2984" s="6">
        <v>-47.311095906935243</v>
      </c>
      <c r="I2984" s="9">
        <v>4137.63</v>
      </c>
      <c r="J2984" s="9">
        <f>I2984/500</f>
        <v>8.2752599999999994</v>
      </c>
      <c r="K2984" s="6">
        <v>3.81</v>
      </c>
      <c r="L2984" s="6">
        <v>50</v>
      </c>
      <c r="N2984" s="1">
        <f t="shared" si="361"/>
        <v>0</v>
      </c>
      <c r="O2984" s="6" t="s">
        <v>20</v>
      </c>
      <c r="Q2984" s="6" t="s">
        <v>21</v>
      </c>
      <c r="R2984" s="6" t="s">
        <v>21</v>
      </c>
      <c r="S2984" s="6" t="s">
        <v>21</v>
      </c>
      <c r="T2984" s="6" t="s">
        <v>21</v>
      </c>
      <c r="U2984" s="6">
        <f t="shared" si="362"/>
        <v>2068.8150000000001</v>
      </c>
      <c r="V2984" s="6">
        <f t="shared" si="365"/>
        <v>2068.8150000000001</v>
      </c>
    </row>
    <row r="2985" spans="1:22" x14ac:dyDescent="0.35">
      <c r="A2985" s="6" t="s">
        <v>3268</v>
      </c>
      <c r="B2985" s="6" t="s">
        <v>3253</v>
      </c>
      <c r="C2985" s="6" t="s">
        <v>3254</v>
      </c>
      <c r="D2985" s="6">
        <f t="shared" si="363"/>
        <v>0.5</v>
      </c>
      <c r="E2985" s="6" t="s">
        <v>19</v>
      </c>
      <c r="F2985" s="6" t="str">
        <f>MID(A2985,19,1)</f>
        <v>N</v>
      </c>
      <c r="G2985" s="6">
        <v>-22.685123516127689</v>
      </c>
      <c r="H2985" s="6">
        <v>-47.310981013207368</v>
      </c>
      <c r="I2985" s="9">
        <v>1664.07</v>
      </c>
      <c r="K2985" s="6">
        <v>5.48</v>
      </c>
      <c r="L2985" s="6">
        <v>50</v>
      </c>
      <c r="N2985" s="1">
        <f t="shared" si="361"/>
        <v>0</v>
      </c>
      <c r="O2985" s="6" t="s">
        <v>20</v>
      </c>
      <c r="Q2985" s="6" t="s">
        <v>21</v>
      </c>
      <c r="R2985" s="6" t="s">
        <v>21</v>
      </c>
      <c r="S2985" s="6" t="s">
        <v>21</v>
      </c>
      <c r="T2985" s="6" t="s">
        <v>21</v>
      </c>
      <c r="U2985" s="6">
        <f t="shared" si="362"/>
        <v>832.03499999999997</v>
      </c>
      <c r="V2985" s="6">
        <f t="shared" si="365"/>
        <v>832.03499999999997</v>
      </c>
    </row>
    <row r="2986" spans="1:22" hidden="1" x14ac:dyDescent="0.35">
      <c r="A2986" s="6" t="s">
        <v>3269</v>
      </c>
      <c r="B2986" s="6" t="s">
        <v>3253</v>
      </c>
      <c r="C2986" s="6" t="s">
        <v>3254</v>
      </c>
      <c r="D2986" s="6">
        <f t="shared" si="363"/>
        <v>0.5</v>
      </c>
      <c r="E2986" s="6" t="s">
        <v>23</v>
      </c>
      <c r="F2986" s="6" t="str">
        <f>MID(A2986,19,1)</f>
        <v>C</v>
      </c>
      <c r="G2986" s="6">
        <v>-22.791708654726492</v>
      </c>
      <c r="H2986" s="6">
        <v>-47.41744373482797</v>
      </c>
      <c r="I2986" s="9">
        <v>31972.43</v>
      </c>
      <c r="J2986" s="9">
        <f t="shared" ref="J2986:J2987" si="366">I2986/500</f>
        <v>63.944859999999998</v>
      </c>
      <c r="K2986" s="6">
        <v>2.68</v>
      </c>
      <c r="L2986" s="6">
        <v>80</v>
      </c>
      <c r="N2986" s="1">
        <f t="shared" si="361"/>
        <v>0</v>
      </c>
      <c r="O2986" s="6" t="s">
        <v>20</v>
      </c>
      <c r="Q2986" s="6" t="s">
        <v>21</v>
      </c>
      <c r="R2986" s="6" t="s">
        <v>21</v>
      </c>
      <c r="S2986" s="6" t="s">
        <v>21</v>
      </c>
      <c r="T2986" s="6" t="s">
        <v>21</v>
      </c>
      <c r="U2986" s="6">
        <f t="shared" si="362"/>
        <v>25577.944000000003</v>
      </c>
      <c r="V2986" s="6">
        <f t="shared" si="365"/>
        <v>25577.944000000003</v>
      </c>
    </row>
    <row r="2987" spans="1:22" hidden="1" x14ac:dyDescent="0.35">
      <c r="A2987" s="8" t="s">
        <v>3270</v>
      </c>
      <c r="B2987" s="8" t="s">
        <v>3271</v>
      </c>
      <c r="C2987" s="8" t="s">
        <v>3272</v>
      </c>
      <c r="D2987" s="6">
        <f t="shared" si="363"/>
        <v>0.5</v>
      </c>
      <c r="E2987" s="8" t="s">
        <v>23</v>
      </c>
      <c r="F2987" s="6" t="str">
        <f>MID(A2987,19,1)</f>
        <v>C</v>
      </c>
      <c r="G2987" s="8">
        <v>-22.681036405014549</v>
      </c>
      <c r="H2987" s="8">
        <v>-47.310773867259577</v>
      </c>
      <c r="I2987" s="7">
        <v>4513.71</v>
      </c>
      <c r="J2987" s="9">
        <f t="shared" si="366"/>
        <v>9.0274199999999993</v>
      </c>
      <c r="K2987" s="8">
        <v>6.15</v>
      </c>
      <c r="L2987" s="8">
        <v>70</v>
      </c>
      <c r="M2987" s="8"/>
      <c r="N2987" s="11">
        <f t="shared" si="361"/>
        <v>3159.5969999999998</v>
      </c>
      <c r="O2987" s="8" t="s">
        <v>71</v>
      </c>
      <c r="P2987" s="8"/>
      <c r="Q2987" s="8" t="s">
        <v>21</v>
      </c>
      <c r="R2987" s="8" t="s">
        <v>26</v>
      </c>
      <c r="S2987" s="8" t="s">
        <v>21</v>
      </c>
      <c r="T2987" s="8" t="s">
        <v>26</v>
      </c>
      <c r="U2987" s="6">
        <f t="shared" si="362"/>
        <v>0</v>
      </c>
    </row>
    <row r="2988" spans="1:22" hidden="1" x14ac:dyDescent="0.35">
      <c r="A2988" s="6" t="s">
        <v>3273</v>
      </c>
      <c r="B2988" s="6" t="s">
        <v>3271</v>
      </c>
      <c r="C2988" s="6" t="s">
        <v>3272</v>
      </c>
      <c r="D2988" s="6">
        <f t="shared" si="363"/>
        <v>0.5</v>
      </c>
      <c r="E2988" s="6" t="s">
        <v>19</v>
      </c>
      <c r="F2988" s="6" t="str">
        <f>MID(A2988,19,1)</f>
        <v>S</v>
      </c>
      <c r="G2988" s="6">
        <v>-22.787629855151781</v>
      </c>
      <c r="H2988" s="6">
        <v>-47.425311164743761</v>
      </c>
      <c r="I2988" s="9">
        <v>1993.72</v>
      </c>
      <c r="K2988" s="6">
        <v>1.87</v>
      </c>
      <c r="L2988" s="6">
        <v>70</v>
      </c>
      <c r="N2988" s="1">
        <f t="shared" si="361"/>
        <v>0</v>
      </c>
      <c r="O2988" s="6" t="s">
        <v>20</v>
      </c>
      <c r="Q2988" s="6" t="s">
        <v>21</v>
      </c>
      <c r="R2988" s="6" t="s">
        <v>21</v>
      </c>
      <c r="S2988" s="6" t="s">
        <v>21</v>
      </c>
      <c r="T2988" s="6" t="s">
        <v>21</v>
      </c>
      <c r="U2988" s="6">
        <f t="shared" si="362"/>
        <v>1395.604</v>
      </c>
      <c r="V2988" s="6">
        <f t="shared" ref="V2988:V2999" si="367">(I2988*(L2988/100))</f>
        <v>1395.604</v>
      </c>
    </row>
    <row r="2989" spans="1:22" hidden="1" x14ac:dyDescent="0.35">
      <c r="A2989" s="6" t="s">
        <v>3274</v>
      </c>
      <c r="B2989" s="6" t="s">
        <v>3271</v>
      </c>
      <c r="C2989" s="6" t="s">
        <v>3272</v>
      </c>
      <c r="D2989" s="6">
        <f t="shared" si="363"/>
        <v>0.5</v>
      </c>
      <c r="E2989" s="6" t="s">
        <v>23</v>
      </c>
      <c r="F2989" s="6" t="str">
        <f>MID(A2989,19,1)</f>
        <v>C</v>
      </c>
      <c r="G2989" s="6">
        <v>-22.78369325077513</v>
      </c>
      <c r="H2989" s="6">
        <v>-47.431307972248078</v>
      </c>
      <c r="I2989" s="9">
        <v>2682.45</v>
      </c>
      <c r="J2989" s="9">
        <f>I2989/500</f>
        <v>5.3648999999999996</v>
      </c>
      <c r="K2989" s="6">
        <v>3.1</v>
      </c>
      <c r="L2989" s="6">
        <v>80</v>
      </c>
      <c r="N2989" s="1">
        <f t="shared" si="361"/>
        <v>0</v>
      </c>
      <c r="O2989" s="6" t="s">
        <v>20</v>
      </c>
      <c r="Q2989" s="6" t="s">
        <v>21</v>
      </c>
      <c r="R2989" s="6" t="s">
        <v>21</v>
      </c>
      <c r="S2989" s="6" t="s">
        <v>21</v>
      </c>
      <c r="T2989" s="6" t="s">
        <v>21</v>
      </c>
      <c r="U2989" s="6">
        <f t="shared" si="362"/>
        <v>2145.96</v>
      </c>
      <c r="V2989" s="6">
        <f t="shared" si="367"/>
        <v>2145.96</v>
      </c>
    </row>
    <row r="2990" spans="1:22" x14ac:dyDescent="0.35">
      <c r="A2990" s="6" t="s">
        <v>3275</v>
      </c>
      <c r="B2990" s="6" t="s">
        <v>3271</v>
      </c>
      <c r="C2990" s="6" t="s">
        <v>3272</v>
      </c>
      <c r="D2990" s="6">
        <f t="shared" si="363"/>
        <v>0.5</v>
      </c>
      <c r="E2990" s="6" t="s">
        <v>19</v>
      </c>
      <c r="F2990" s="6" t="str">
        <f>MID(A2990,19,1)</f>
        <v>N</v>
      </c>
      <c r="G2990" s="6">
        <v>-22.783482095494271</v>
      </c>
      <c r="H2990" s="6">
        <v>-47.431259716704723</v>
      </c>
      <c r="I2990" s="9">
        <v>954.33</v>
      </c>
      <c r="K2990" s="6">
        <v>3.03</v>
      </c>
      <c r="L2990" s="6">
        <v>70</v>
      </c>
      <c r="N2990" s="1">
        <f t="shared" si="361"/>
        <v>0</v>
      </c>
      <c r="O2990" s="6" t="s">
        <v>20</v>
      </c>
      <c r="Q2990" s="6" t="s">
        <v>21</v>
      </c>
      <c r="R2990" s="6" t="s">
        <v>21</v>
      </c>
      <c r="S2990" s="6" t="s">
        <v>21</v>
      </c>
      <c r="T2990" s="6" t="s">
        <v>21</v>
      </c>
      <c r="U2990" s="6">
        <f t="shared" si="362"/>
        <v>668.03099999999995</v>
      </c>
      <c r="V2990" s="6">
        <f t="shared" si="367"/>
        <v>668.03099999999995</v>
      </c>
    </row>
    <row r="2991" spans="1:22" x14ac:dyDescent="0.35">
      <c r="A2991" s="6" t="s">
        <v>3276</v>
      </c>
      <c r="B2991" s="6" t="s">
        <v>3271</v>
      </c>
      <c r="C2991" s="6" t="s">
        <v>3272</v>
      </c>
      <c r="D2991" s="6">
        <f t="shared" si="363"/>
        <v>0.5</v>
      </c>
      <c r="E2991" s="6" t="s">
        <v>19</v>
      </c>
      <c r="F2991" s="6" t="str">
        <f>MID(A2991,19,1)</f>
        <v>N</v>
      </c>
      <c r="G2991" s="6">
        <v>-22.680917511236249</v>
      </c>
      <c r="H2991" s="6">
        <v>-47.310981216540497</v>
      </c>
      <c r="I2991" s="9">
        <v>2067.37</v>
      </c>
      <c r="K2991" s="6">
        <v>5.81</v>
      </c>
      <c r="L2991" s="6">
        <v>50</v>
      </c>
      <c r="N2991" s="1">
        <f t="shared" si="361"/>
        <v>0</v>
      </c>
      <c r="O2991" s="6" t="s">
        <v>20</v>
      </c>
      <c r="Q2991" s="6" t="s">
        <v>21</v>
      </c>
      <c r="R2991" s="6" t="s">
        <v>21</v>
      </c>
      <c r="S2991" s="6" t="s">
        <v>21</v>
      </c>
      <c r="T2991" s="6" t="s">
        <v>21</v>
      </c>
      <c r="U2991" s="6">
        <f t="shared" si="362"/>
        <v>1033.6849999999999</v>
      </c>
      <c r="V2991" s="6">
        <f t="shared" si="367"/>
        <v>1033.6849999999999</v>
      </c>
    </row>
    <row r="2992" spans="1:22" hidden="1" x14ac:dyDescent="0.35">
      <c r="A2992" s="6" t="s">
        <v>3277</v>
      </c>
      <c r="B2992" s="6" t="s">
        <v>3271</v>
      </c>
      <c r="C2992" s="6" t="s">
        <v>3272</v>
      </c>
      <c r="D2992" s="6">
        <f t="shared" si="363"/>
        <v>0.5</v>
      </c>
      <c r="E2992" s="6" t="s">
        <v>19</v>
      </c>
      <c r="F2992" s="6" t="str">
        <f>MID(A2992,19,1)</f>
        <v>S</v>
      </c>
      <c r="G2992" s="6">
        <v>-22.681124093344401</v>
      </c>
      <c r="H2992" s="6">
        <v>-47.310565843894437</v>
      </c>
      <c r="I2992" s="9">
        <v>2035.42</v>
      </c>
      <c r="K2992" s="6">
        <v>6.62</v>
      </c>
      <c r="L2992" s="6">
        <v>50</v>
      </c>
      <c r="N2992" s="1">
        <f t="shared" si="361"/>
        <v>0</v>
      </c>
      <c r="O2992" s="6" t="s">
        <v>20</v>
      </c>
      <c r="Q2992" s="6" t="s">
        <v>21</v>
      </c>
      <c r="R2992" s="6" t="s">
        <v>21</v>
      </c>
      <c r="S2992" s="6" t="s">
        <v>21</v>
      </c>
      <c r="T2992" s="6" t="s">
        <v>21</v>
      </c>
      <c r="U2992" s="6">
        <f t="shared" si="362"/>
        <v>1017.71</v>
      </c>
      <c r="V2992" s="6">
        <f t="shared" si="367"/>
        <v>1017.71</v>
      </c>
    </row>
    <row r="2993" spans="1:22" x14ac:dyDescent="0.35">
      <c r="A2993" s="6" t="s">
        <v>3278</v>
      </c>
      <c r="B2993" s="6" t="s">
        <v>3271</v>
      </c>
      <c r="C2993" s="6" t="s">
        <v>3272</v>
      </c>
      <c r="D2993" s="6">
        <f t="shared" si="363"/>
        <v>0.5</v>
      </c>
      <c r="E2993" s="6" t="s">
        <v>19</v>
      </c>
      <c r="F2993" s="6" t="str">
        <f>MID(A2993,19,1)</f>
        <v>N</v>
      </c>
      <c r="G2993" s="6">
        <v>-22.786955116848649</v>
      </c>
      <c r="H2993" s="6">
        <v>-47.424905514870993</v>
      </c>
      <c r="I2993" s="9">
        <v>1989.25</v>
      </c>
      <c r="K2993" s="6">
        <v>1.1499999999999999</v>
      </c>
      <c r="L2993" s="6">
        <v>70</v>
      </c>
      <c r="N2993" s="1">
        <f t="shared" si="361"/>
        <v>0</v>
      </c>
      <c r="O2993" s="6" t="s">
        <v>20</v>
      </c>
      <c r="Q2993" s="6" t="s">
        <v>21</v>
      </c>
      <c r="R2993" s="6" t="s">
        <v>21</v>
      </c>
      <c r="S2993" s="6" t="s">
        <v>21</v>
      </c>
      <c r="T2993" s="6" t="s">
        <v>21</v>
      </c>
      <c r="U2993" s="6">
        <f t="shared" si="362"/>
        <v>1392.4749999999999</v>
      </c>
      <c r="V2993" s="6">
        <f t="shared" si="367"/>
        <v>1392.4749999999999</v>
      </c>
    </row>
    <row r="2994" spans="1:22" hidden="1" x14ac:dyDescent="0.35">
      <c r="A2994" s="6" t="s">
        <v>3279</v>
      </c>
      <c r="B2994" s="6" t="s">
        <v>3271</v>
      </c>
      <c r="C2994" s="6" t="s">
        <v>3272</v>
      </c>
      <c r="D2994" s="6">
        <f t="shared" si="363"/>
        <v>0.5</v>
      </c>
      <c r="E2994" s="6" t="s">
        <v>23</v>
      </c>
      <c r="F2994" s="6" t="str">
        <f>MID(A2994,19,1)</f>
        <v>C</v>
      </c>
      <c r="G2994" s="6">
        <v>-22.785348919096549</v>
      </c>
      <c r="H2994" s="6">
        <v>-47.428474678063793</v>
      </c>
      <c r="I2994" s="9">
        <v>5221.58</v>
      </c>
      <c r="J2994" s="9">
        <f>I2994/500</f>
        <v>10.443160000000001</v>
      </c>
      <c r="K2994" s="6">
        <v>2.4</v>
      </c>
      <c r="L2994" s="6">
        <v>80</v>
      </c>
      <c r="N2994" s="1">
        <f t="shared" si="361"/>
        <v>0</v>
      </c>
      <c r="O2994" s="6" t="s">
        <v>20</v>
      </c>
      <c r="Q2994" s="6" t="s">
        <v>21</v>
      </c>
      <c r="R2994" s="6" t="s">
        <v>21</v>
      </c>
      <c r="S2994" s="6" t="s">
        <v>21</v>
      </c>
      <c r="T2994" s="6" t="s">
        <v>21</v>
      </c>
      <c r="U2994" s="6">
        <f t="shared" si="362"/>
        <v>4177.2640000000001</v>
      </c>
      <c r="V2994" s="6">
        <f t="shared" si="367"/>
        <v>4177.2640000000001</v>
      </c>
    </row>
    <row r="2995" spans="1:22" x14ac:dyDescent="0.35">
      <c r="A2995" s="6" t="s">
        <v>3280</v>
      </c>
      <c r="B2995" s="6" t="s">
        <v>3271</v>
      </c>
      <c r="C2995" s="6" t="s">
        <v>3272</v>
      </c>
      <c r="D2995" s="6">
        <f t="shared" si="363"/>
        <v>0.5</v>
      </c>
      <c r="E2995" s="6" t="s">
        <v>19</v>
      </c>
      <c r="F2995" s="6" t="str">
        <f>MID(A2995,19,1)</f>
        <v>N</v>
      </c>
      <c r="G2995" s="6">
        <v>-22.676686583802478</v>
      </c>
      <c r="H2995" s="6">
        <v>-47.31115546610971</v>
      </c>
      <c r="I2995" s="9">
        <v>1686.96</v>
      </c>
      <c r="K2995" s="6">
        <v>4.5999999999999996</v>
      </c>
      <c r="L2995" s="6">
        <v>50</v>
      </c>
      <c r="N2995" s="1">
        <f t="shared" si="361"/>
        <v>0</v>
      </c>
      <c r="O2995" s="6" t="s">
        <v>20</v>
      </c>
      <c r="Q2995" s="6" t="s">
        <v>21</v>
      </c>
      <c r="R2995" s="6" t="s">
        <v>21</v>
      </c>
      <c r="S2995" s="6" t="s">
        <v>21</v>
      </c>
      <c r="T2995" s="6" t="s">
        <v>21</v>
      </c>
      <c r="U2995" s="6">
        <f t="shared" si="362"/>
        <v>843.48</v>
      </c>
      <c r="V2995" s="6">
        <f t="shared" si="367"/>
        <v>843.48</v>
      </c>
    </row>
    <row r="2996" spans="1:22" hidden="1" x14ac:dyDescent="0.35">
      <c r="A2996" s="6" t="s">
        <v>3281</v>
      </c>
      <c r="B2996" s="6" t="s">
        <v>3271</v>
      </c>
      <c r="C2996" s="6" t="s">
        <v>3272</v>
      </c>
      <c r="D2996" s="6">
        <f t="shared" si="363"/>
        <v>0.5</v>
      </c>
      <c r="E2996" s="6" t="s">
        <v>19</v>
      </c>
      <c r="F2996" s="6" t="str">
        <f>MID(A2996,19,1)</f>
        <v>S</v>
      </c>
      <c r="G2996" s="6">
        <v>-22.783836643822841</v>
      </c>
      <c r="H2996" s="6">
        <v>-47.431479742663228</v>
      </c>
      <c r="I2996" s="9">
        <v>946.12</v>
      </c>
      <c r="K2996" s="6">
        <v>3.76</v>
      </c>
      <c r="L2996" s="6">
        <v>70</v>
      </c>
      <c r="N2996" s="1">
        <f t="shared" si="361"/>
        <v>0</v>
      </c>
      <c r="O2996" s="6" t="s">
        <v>20</v>
      </c>
      <c r="Q2996" s="6" t="s">
        <v>21</v>
      </c>
      <c r="R2996" s="6" t="s">
        <v>21</v>
      </c>
      <c r="S2996" s="6" t="s">
        <v>21</v>
      </c>
      <c r="T2996" s="6" t="s">
        <v>21</v>
      </c>
      <c r="U2996" s="6">
        <f t="shared" si="362"/>
        <v>662.28399999999999</v>
      </c>
      <c r="V2996" s="6">
        <f t="shared" si="367"/>
        <v>662.28399999999999</v>
      </c>
    </row>
    <row r="2997" spans="1:22" hidden="1" x14ac:dyDescent="0.35">
      <c r="A2997" s="6" t="s">
        <v>3282</v>
      </c>
      <c r="B2997" s="6" t="s">
        <v>3271</v>
      </c>
      <c r="C2997" s="6" t="s">
        <v>3272</v>
      </c>
      <c r="D2997" s="6">
        <f t="shared" si="363"/>
        <v>0.5</v>
      </c>
      <c r="E2997" s="6" t="s">
        <v>19</v>
      </c>
      <c r="F2997" s="6" t="str">
        <f>MID(A2997,19,1)</f>
        <v>S</v>
      </c>
      <c r="G2997" s="6">
        <v>-22.785431287933751</v>
      </c>
      <c r="H2997" s="6">
        <v>-47.428786643226033</v>
      </c>
      <c r="I2997" s="9">
        <v>1463.85</v>
      </c>
      <c r="K2997" s="6">
        <v>2.66</v>
      </c>
      <c r="L2997" s="6">
        <v>70</v>
      </c>
      <c r="N2997" s="1">
        <f t="shared" si="361"/>
        <v>0</v>
      </c>
      <c r="O2997" s="6" t="s">
        <v>20</v>
      </c>
      <c r="Q2997" s="6" t="s">
        <v>21</v>
      </c>
      <c r="R2997" s="6" t="s">
        <v>21</v>
      </c>
      <c r="S2997" s="6" t="s">
        <v>21</v>
      </c>
      <c r="T2997" s="6" t="s">
        <v>21</v>
      </c>
      <c r="U2997" s="6">
        <f t="shared" si="362"/>
        <v>1024.6949999999999</v>
      </c>
      <c r="V2997" s="6">
        <f t="shared" si="367"/>
        <v>1024.6949999999999</v>
      </c>
    </row>
    <row r="2998" spans="1:22" x14ac:dyDescent="0.35">
      <c r="A2998" s="6" t="s">
        <v>3283</v>
      </c>
      <c r="B2998" s="6" t="s">
        <v>3271</v>
      </c>
      <c r="C2998" s="6" t="s">
        <v>3272</v>
      </c>
      <c r="D2998" s="6">
        <f t="shared" si="363"/>
        <v>0.5</v>
      </c>
      <c r="E2998" s="6" t="s">
        <v>19</v>
      </c>
      <c r="F2998" s="6" t="str">
        <f>MID(A2998,19,1)</f>
        <v>N</v>
      </c>
      <c r="G2998" s="6">
        <v>-22.78502155524016</v>
      </c>
      <c r="H2998" s="6">
        <v>-47.428535462632397</v>
      </c>
      <c r="I2998" s="9">
        <v>1451.43</v>
      </c>
      <c r="K2998" s="6">
        <v>2.58</v>
      </c>
      <c r="L2998" s="6">
        <v>70</v>
      </c>
      <c r="N2998" s="1">
        <f t="shared" si="361"/>
        <v>0</v>
      </c>
      <c r="O2998" s="6" t="s">
        <v>20</v>
      </c>
      <c r="Q2998" s="6" t="s">
        <v>21</v>
      </c>
      <c r="R2998" s="6" t="s">
        <v>21</v>
      </c>
      <c r="S2998" s="6" t="s">
        <v>21</v>
      </c>
      <c r="T2998" s="6" t="s">
        <v>21</v>
      </c>
      <c r="U2998" s="6">
        <f t="shared" si="362"/>
        <v>1016.001</v>
      </c>
      <c r="V2998" s="6">
        <f t="shared" si="367"/>
        <v>1016.001</v>
      </c>
    </row>
    <row r="2999" spans="1:22" hidden="1" x14ac:dyDescent="0.35">
      <c r="A2999" s="6" t="s">
        <v>3284</v>
      </c>
      <c r="B2999" s="6" t="s">
        <v>3271</v>
      </c>
      <c r="C2999" s="6" t="s">
        <v>3272</v>
      </c>
      <c r="D2999" s="6">
        <f t="shared" si="363"/>
        <v>0.5</v>
      </c>
      <c r="E2999" s="6" t="s">
        <v>23</v>
      </c>
      <c r="F2999" s="6" t="str">
        <f>MID(A2999,19,1)</f>
        <v>C</v>
      </c>
      <c r="G2999" s="6">
        <v>-22.78748295342665</v>
      </c>
      <c r="H2999" s="6">
        <v>-47.42478098050767</v>
      </c>
      <c r="I2999" s="9">
        <v>21882.75</v>
      </c>
      <c r="J2999" s="9">
        <f t="shared" ref="J2999:J3000" si="368">I2999/500</f>
        <v>43.765500000000003</v>
      </c>
      <c r="K2999" s="6">
        <v>1.47</v>
      </c>
      <c r="L2999" s="6">
        <v>80</v>
      </c>
      <c r="N2999" s="1">
        <f t="shared" si="361"/>
        <v>0</v>
      </c>
      <c r="O2999" s="6" t="s">
        <v>20</v>
      </c>
      <c r="Q2999" s="6" t="s">
        <v>21</v>
      </c>
      <c r="R2999" s="6" t="s">
        <v>21</v>
      </c>
      <c r="S2999" s="6" t="s">
        <v>21</v>
      </c>
      <c r="T2999" s="6" t="s">
        <v>21</v>
      </c>
      <c r="U2999" s="6">
        <f t="shared" si="362"/>
        <v>17506.2</v>
      </c>
      <c r="V2999" s="6">
        <f t="shared" si="367"/>
        <v>17506.2</v>
      </c>
    </row>
    <row r="3000" spans="1:22" hidden="1" x14ac:dyDescent="0.35">
      <c r="A3000" s="8" t="s">
        <v>3285</v>
      </c>
      <c r="B3000" s="8" t="s">
        <v>3271</v>
      </c>
      <c r="C3000" s="8" t="s">
        <v>3272</v>
      </c>
      <c r="D3000" s="6">
        <f t="shared" si="363"/>
        <v>0.5</v>
      </c>
      <c r="E3000" s="8" t="s">
        <v>23</v>
      </c>
      <c r="F3000" s="6" t="str">
        <f>MID(A3000,19,1)</f>
        <v>C</v>
      </c>
      <c r="G3000" s="8">
        <v>-22.6766742815669</v>
      </c>
      <c r="H3000" s="8">
        <v>-47.310963412455848</v>
      </c>
      <c r="I3000" s="7">
        <v>3427.03</v>
      </c>
      <c r="J3000" s="9">
        <f t="shared" si="368"/>
        <v>6.8540600000000005</v>
      </c>
      <c r="K3000" s="8">
        <v>4.24</v>
      </c>
      <c r="L3000" s="8">
        <v>70</v>
      </c>
      <c r="M3000" s="8"/>
      <c r="N3000" s="11">
        <f t="shared" si="361"/>
        <v>2398.9209999999998</v>
      </c>
      <c r="O3000" s="8" t="s">
        <v>71</v>
      </c>
      <c r="P3000" s="8"/>
      <c r="Q3000" s="8" t="s">
        <v>21</v>
      </c>
      <c r="R3000" s="8" t="s">
        <v>26</v>
      </c>
      <c r="S3000" s="8" t="s">
        <v>21</v>
      </c>
      <c r="T3000" s="8" t="s">
        <v>26</v>
      </c>
      <c r="U3000" s="6">
        <f t="shared" si="362"/>
        <v>0</v>
      </c>
    </row>
    <row r="3001" spans="1:22" hidden="1" x14ac:dyDescent="0.35">
      <c r="A3001" s="6" t="s">
        <v>3286</v>
      </c>
      <c r="B3001" s="6" t="s">
        <v>3287</v>
      </c>
      <c r="C3001" s="6" t="s">
        <v>3288</v>
      </c>
      <c r="D3001" s="6">
        <f t="shared" si="363"/>
        <v>0.5</v>
      </c>
      <c r="E3001" s="6" t="s">
        <v>19</v>
      </c>
      <c r="F3001" s="6" t="str">
        <f>MID(A3001,19,1)</f>
        <v>S</v>
      </c>
      <c r="G3001" s="6">
        <v>-22.77967035035697</v>
      </c>
      <c r="H3001" s="6">
        <v>-47.438674824756369</v>
      </c>
      <c r="I3001" s="9">
        <v>2059.9499999999998</v>
      </c>
      <c r="K3001" s="6">
        <v>3.28</v>
      </c>
      <c r="L3001" s="6">
        <v>70</v>
      </c>
      <c r="N3001" s="1">
        <f t="shared" si="361"/>
        <v>0</v>
      </c>
      <c r="O3001" s="6" t="s">
        <v>20</v>
      </c>
      <c r="Q3001" s="6" t="s">
        <v>21</v>
      </c>
      <c r="R3001" s="6" t="s">
        <v>21</v>
      </c>
      <c r="S3001" s="6" t="s">
        <v>21</v>
      </c>
      <c r="T3001" s="6" t="s">
        <v>21</v>
      </c>
      <c r="U3001" s="6">
        <f t="shared" si="362"/>
        <v>1441.9649999999997</v>
      </c>
      <c r="V3001" s="6">
        <f>(I3001*(L3001/100))</f>
        <v>1441.9649999999997</v>
      </c>
    </row>
    <row r="3002" spans="1:22" hidden="1" x14ac:dyDescent="0.35">
      <c r="A3002" s="8" t="s">
        <v>3289</v>
      </c>
      <c r="B3002" s="8" t="s">
        <v>3287</v>
      </c>
      <c r="C3002" s="8" t="s">
        <v>3288</v>
      </c>
      <c r="D3002" s="6">
        <f t="shared" si="363"/>
        <v>0.5</v>
      </c>
      <c r="E3002" s="8" t="s">
        <v>23</v>
      </c>
      <c r="F3002" s="6" t="str">
        <f>MID(A3002,19,1)</f>
        <v>C</v>
      </c>
      <c r="G3002" s="8">
        <v>-22.66876307769958</v>
      </c>
      <c r="H3002" s="8">
        <v>-47.314828140811123</v>
      </c>
      <c r="I3002" s="7">
        <v>4405.24</v>
      </c>
      <c r="J3002" s="9">
        <f t="shared" ref="J3002:J3004" si="369">I3002/500</f>
        <v>8.8104800000000001</v>
      </c>
      <c r="K3002" s="8">
        <v>2.5</v>
      </c>
      <c r="L3002" s="8">
        <v>70</v>
      </c>
      <c r="M3002" s="8"/>
      <c r="N3002" s="11">
        <f t="shared" si="361"/>
        <v>3083.6679999999997</v>
      </c>
      <c r="O3002" s="8" t="s">
        <v>71</v>
      </c>
      <c r="P3002" s="8"/>
      <c r="Q3002" s="8" t="s">
        <v>21</v>
      </c>
      <c r="R3002" s="8" t="s">
        <v>26</v>
      </c>
      <c r="S3002" s="8" t="s">
        <v>21</v>
      </c>
      <c r="T3002" s="8" t="s">
        <v>26</v>
      </c>
      <c r="U3002" s="6">
        <f t="shared" si="362"/>
        <v>0</v>
      </c>
    </row>
    <row r="3003" spans="1:22" hidden="1" x14ac:dyDescent="0.35">
      <c r="A3003" s="8" t="s">
        <v>3290</v>
      </c>
      <c r="B3003" s="8" t="s">
        <v>3287</v>
      </c>
      <c r="C3003" s="8" t="s">
        <v>3288</v>
      </c>
      <c r="D3003" s="6">
        <f t="shared" si="363"/>
        <v>0.5</v>
      </c>
      <c r="E3003" s="8" t="s">
        <v>23</v>
      </c>
      <c r="F3003" s="6" t="str">
        <f>MID(A3003,19,1)</f>
        <v>C</v>
      </c>
      <c r="G3003" s="8">
        <v>-22.672699155918039</v>
      </c>
      <c r="H3003" s="8">
        <v>-47.312236051408611</v>
      </c>
      <c r="I3003" s="7">
        <v>4436.24</v>
      </c>
      <c r="J3003" s="9">
        <f t="shared" si="369"/>
        <v>8.8724799999999995</v>
      </c>
      <c r="K3003" s="8">
        <v>3.43</v>
      </c>
      <c r="L3003" s="8">
        <v>70</v>
      </c>
      <c r="M3003" s="8"/>
      <c r="N3003" s="11">
        <f t="shared" si="361"/>
        <v>3105.3679999999995</v>
      </c>
      <c r="O3003" s="8" t="s">
        <v>71</v>
      </c>
      <c r="P3003" s="8"/>
      <c r="Q3003" s="8" t="s">
        <v>21</v>
      </c>
      <c r="R3003" s="8" t="s">
        <v>26</v>
      </c>
      <c r="S3003" s="8" t="s">
        <v>21</v>
      </c>
      <c r="T3003" s="8" t="s">
        <v>26</v>
      </c>
      <c r="U3003" s="6">
        <f t="shared" si="362"/>
        <v>0</v>
      </c>
    </row>
    <row r="3004" spans="1:22" hidden="1" x14ac:dyDescent="0.35">
      <c r="A3004" s="6" t="s">
        <v>3291</v>
      </c>
      <c r="B3004" s="6" t="s">
        <v>3287</v>
      </c>
      <c r="C3004" s="6" t="s">
        <v>3288</v>
      </c>
      <c r="D3004" s="6">
        <f t="shared" si="363"/>
        <v>0.5</v>
      </c>
      <c r="E3004" s="6" t="s">
        <v>23</v>
      </c>
      <c r="F3004" s="6" t="str">
        <f>MID(A3004,19,1)</f>
        <v>C</v>
      </c>
      <c r="G3004" s="6">
        <v>-22.781866569555991</v>
      </c>
      <c r="H3004" s="6">
        <v>-47.434471727464313</v>
      </c>
      <c r="I3004" s="9">
        <v>5909.37</v>
      </c>
      <c r="J3004" s="9">
        <f t="shared" si="369"/>
        <v>11.81874</v>
      </c>
      <c r="K3004" s="6">
        <v>3.82</v>
      </c>
      <c r="L3004" s="6">
        <v>80</v>
      </c>
      <c r="N3004" s="1">
        <f t="shared" si="361"/>
        <v>0</v>
      </c>
      <c r="O3004" s="6" t="s">
        <v>20</v>
      </c>
      <c r="Q3004" s="6" t="s">
        <v>21</v>
      </c>
      <c r="R3004" s="6" t="s">
        <v>21</v>
      </c>
      <c r="S3004" s="6" t="s">
        <v>21</v>
      </c>
      <c r="T3004" s="6" t="s">
        <v>21</v>
      </c>
      <c r="U3004" s="6">
        <f t="shared" si="362"/>
        <v>4727.4960000000001</v>
      </c>
      <c r="V3004" s="6">
        <f t="shared" ref="V3004:V3013" si="370">(I3004*(L3004/100))</f>
        <v>4727.4960000000001</v>
      </c>
    </row>
    <row r="3005" spans="1:22" hidden="1" x14ac:dyDescent="0.35">
      <c r="A3005" s="6" t="s">
        <v>3292</v>
      </c>
      <c r="B3005" s="6" t="s">
        <v>3287</v>
      </c>
      <c r="C3005" s="6" t="s">
        <v>3288</v>
      </c>
      <c r="D3005" s="6">
        <f t="shared" si="363"/>
        <v>0.5</v>
      </c>
      <c r="E3005" s="6" t="s">
        <v>19</v>
      </c>
      <c r="F3005" s="6" t="str">
        <f>MID(A3005,19,1)</f>
        <v>S</v>
      </c>
      <c r="G3005" s="6">
        <v>-22.66913045680591</v>
      </c>
      <c r="H3005" s="6">
        <v>-47.314336290531742</v>
      </c>
      <c r="I3005" s="9">
        <v>1567.37</v>
      </c>
      <c r="K3005" s="6">
        <v>3.18</v>
      </c>
      <c r="L3005" s="6">
        <v>50</v>
      </c>
      <c r="N3005" s="1">
        <f t="shared" si="361"/>
        <v>0</v>
      </c>
      <c r="O3005" s="6" t="s">
        <v>20</v>
      </c>
      <c r="Q3005" s="6" t="s">
        <v>21</v>
      </c>
      <c r="R3005" s="6" t="s">
        <v>21</v>
      </c>
      <c r="S3005" s="6" t="s">
        <v>21</v>
      </c>
      <c r="T3005" s="6" t="s">
        <v>21</v>
      </c>
      <c r="U3005" s="6">
        <f t="shared" si="362"/>
        <v>783.68499999999995</v>
      </c>
      <c r="V3005" s="6">
        <f t="shared" si="370"/>
        <v>783.68499999999995</v>
      </c>
    </row>
    <row r="3006" spans="1:22" hidden="1" x14ac:dyDescent="0.35">
      <c r="A3006" s="6" t="s">
        <v>3293</v>
      </c>
      <c r="B3006" s="6" t="s">
        <v>3287</v>
      </c>
      <c r="C3006" s="6" t="s">
        <v>3288</v>
      </c>
      <c r="D3006" s="6">
        <f t="shared" si="363"/>
        <v>0.5</v>
      </c>
      <c r="E3006" s="6" t="s">
        <v>19</v>
      </c>
      <c r="F3006" s="6" t="str">
        <f>MID(A3006,19,1)</f>
        <v>S</v>
      </c>
      <c r="G3006" s="6">
        <v>-22.672477179508491</v>
      </c>
      <c r="H3006" s="6">
        <v>-47.312123897544183</v>
      </c>
      <c r="I3006" s="9">
        <v>1958.84</v>
      </c>
      <c r="K3006" s="6">
        <v>3.26</v>
      </c>
      <c r="L3006" s="6">
        <v>50</v>
      </c>
      <c r="N3006" s="1">
        <f t="shared" si="361"/>
        <v>0</v>
      </c>
      <c r="O3006" s="6" t="s">
        <v>20</v>
      </c>
      <c r="Q3006" s="6" t="s">
        <v>21</v>
      </c>
      <c r="R3006" s="6" t="s">
        <v>21</v>
      </c>
      <c r="S3006" s="6" t="s">
        <v>21</v>
      </c>
      <c r="T3006" s="6" t="s">
        <v>21</v>
      </c>
      <c r="U3006" s="6">
        <f t="shared" si="362"/>
        <v>979.42</v>
      </c>
      <c r="V3006" s="6">
        <f t="shared" si="370"/>
        <v>979.42</v>
      </c>
    </row>
    <row r="3007" spans="1:22" x14ac:dyDescent="0.35">
      <c r="A3007" s="6" t="s">
        <v>3294</v>
      </c>
      <c r="B3007" s="6" t="s">
        <v>3287</v>
      </c>
      <c r="C3007" s="6" t="s">
        <v>3288</v>
      </c>
      <c r="D3007" s="6">
        <f t="shared" si="363"/>
        <v>0.5</v>
      </c>
      <c r="E3007" s="6" t="s">
        <v>19</v>
      </c>
      <c r="F3007" s="6" t="str">
        <f>MID(A3007,19,1)</f>
        <v>N</v>
      </c>
      <c r="G3007" s="6">
        <v>-22.779316144170679</v>
      </c>
      <c r="H3007" s="6">
        <v>-47.438459281645947</v>
      </c>
      <c r="I3007" s="9">
        <v>2059.0100000000002</v>
      </c>
      <c r="K3007" s="6">
        <v>3.44</v>
      </c>
      <c r="L3007" s="6">
        <v>70</v>
      </c>
      <c r="N3007" s="1">
        <f t="shared" si="361"/>
        <v>0</v>
      </c>
      <c r="O3007" s="6" t="s">
        <v>20</v>
      </c>
      <c r="Q3007" s="6" t="s">
        <v>21</v>
      </c>
      <c r="R3007" s="6" t="s">
        <v>21</v>
      </c>
      <c r="S3007" s="6" t="s">
        <v>21</v>
      </c>
      <c r="T3007" s="6" t="s">
        <v>21</v>
      </c>
      <c r="U3007" s="6">
        <f t="shared" si="362"/>
        <v>1441.307</v>
      </c>
      <c r="V3007" s="6">
        <f t="shared" si="370"/>
        <v>1441.307</v>
      </c>
    </row>
    <row r="3008" spans="1:22" hidden="1" x14ac:dyDescent="0.35">
      <c r="A3008" s="6" t="s">
        <v>3295</v>
      </c>
      <c r="B3008" s="6" t="s">
        <v>3287</v>
      </c>
      <c r="C3008" s="6" t="s">
        <v>3288</v>
      </c>
      <c r="D3008" s="6">
        <f t="shared" si="363"/>
        <v>0.5</v>
      </c>
      <c r="E3008" s="6" t="s">
        <v>23</v>
      </c>
      <c r="F3008" s="6" t="str">
        <f>MID(A3008,19,1)</f>
        <v>C</v>
      </c>
      <c r="G3008" s="6">
        <v>-22.77952110231579</v>
      </c>
      <c r="H3008" s="6">
        <v>-47.438523824223743</v>
      </c>
      <c r="I3008" s="9">
        <v>6289.34</v>
      </c>
      <c r="J3008" s="9">
        <f>I3008/500</f>
        <v>12.57868</v>
      </c>
      <c r="K3008" s="6">
        <v>3.72</v>
      </c>
      <c r="L3008" s="6">
        <v>80</v>
      </c>
      <c r="N3008" s="1">
        <f t="shared" si="361"/>
        <v>0</v>
      </c>
      <c r="O3008" s="6" t="s">
        <v>20</v>
      </c>
      <c r="Q3008" s="6" t="s">
        <v>21</v>
      </c>
      <c r="R3008" s="6" t="s">
        <v>21</v>
      </c>
      <c r="S3008" s="6" t="s">
        <v>21</v>
      </c>
      <c r="T3008" s="6" t="s">
        <v>21</v>
      </c>
      <c r="U3008" s="6">
        <f t="shared" si="362"/>
        <v>5031.4720000000007</v>
      </c>
      <c r="V3008" s="6">
        <f t="shared" si="370"/>
        <v>5031.4720000000007</v>
      </c>
    </row>
    <row r="3009" spans="1:22" x14ac:dyDescent="0.35">
      <c r="A3009" s="6" t="s">
        <v>3296</v>
      </c>
      <c r="B3009" s="6" t="s">
        <v>3287</v>
      </c>
      <c r="C3009" s="6" t="s">
        <v>3288</v>
      </c>
      <c r="D3009" s="6">
        <f t="shared" si="363"/>
        <v>0.5</v>
      </c>
      <c r="E3009" s="6" t="s">
        <v>19</v>
      </c>
      <c r="F3009" s="6" t="str">
        <f>MID(A3009,19,1)</f>
        <v>N</v>
      </c>
      <c r="G3009" s="6">
        <v>-22.672785006539819</v>
      </c>
      <c r="H3009" s="6">
        <v>-47.312406276801511</v>
      </c>
      <c r="I3009" s="9">
        <v>1974.05</v>
      </c>
      <c r="K3009" s="6">
        <v>3.8</v>
      </c>
      <c r="L3009" s="6">
        <v>50</v>
      </c>
      <c r="N3009" s="1">
        <f t="shared" si="361"/>
        <v>0</v>
      </c>
      <c r="O3009" s="6" t="s">
        <v>20</v>
      </c>
      <c r="Q3009" s="6" t="s">
        <v>21</v>
      </c>
      <c r="R3009" s="6" t="s">
        <v>21</v>
      </c>
      <c r="S3009" s="6" t="s">
        <v>21</v>
      </c>
      <c r="T3009" s="6" t="s">
        <v>21</v>
      </c>
      <c r="U3009" s="6">
        <f t="shared" si="362"/>
        <v>987.02499999999998</v>
      </c>
      <c r="V3009" s="6">
        <f t="shared" si="370"/>
        <v>987.02499999999998</v>
      </c>
    </row>
    <row r="3010" spans="1:22" x14ac:dyDescent="0.35">
      <c r="A3010" s="6" t="s">
        <v>3297</v>
      </c>
      <c r="B3010" s="6" t="s">
        <v>3287</v>
      </c>
      <c r="C3010" s="6" t="s">
        <v>3288</v>
      </c>
      <c r="D3010" s="6">
        <f t="shared" si="363"/>
        <v>0.5</v>
      </c>
      <c r="E3010" s="6" t="s">
        <v>19</v>
      </c>
      <c r="F3010" s="6" t="str">
        <f>MID(A3010,19,1)</f>
        <v>N</v>
      </c>
      <c r="G3010" s="6">
        <v>-22.781727952139761</v>
      </c>
      <c r="H3010" s="6">
        <v>-47.434288578894432</v>
      </c>
      <c r="I3010" s="9">
        <v>1980.4</v>
      </c>
      <c r="K3010" s="6">
        <v>3.58</v>
      </c>
      <c r="L3010" s="6">
        <v>70</v>
      </c>
      <c r="N3010" s="1">
        <f t="shared" ref="N3010:N3073" si="371">IF(OR(R3010="Sim",S3010="Sim",T3010="Sim"),(L3010/100)*I3010,0)</f>
        <v>0</v>
      </c>
      <c r="O3010" s="6" t="s">
        <v>20</v>
      </c>
      <c r="Q3010" s="6" t="s">
        <v>21</v>
      </c>
      <c r="R3010" s="6" t="s">
        <v>21</v>
      </c>
      <c r="S3010" s="6" t="s">
        <v>21</v>
      </c>
      <c r="T3010" s="6" t="s">
        <v>21</v>
      </c>
      <c r="U3010" s="6">
        <f t="shared" si="362"/>
        <v>1386.28</v>
      </c>
      <c r="V3010" s="6">
        <f t="shared" si="370"/>
        <v>1386.28</v>
      </c>
    </row>
    <row r="3011" spans="1:22" hidden="1" x14ac:dyDescent="0.35">
      <c r="A3011" s="6" t="s">
        <v>3298</v>
      </c>
      <c r="B3011" s="6" t="s">
        <v>3287</v>
      </c>
      <c r="C3011" s="6" t="s">
        <v>3288</v>
      </c>
      <c r="D3011" s="6">
        <f t="shared" si="363"/>
        <v>0.5</v>
      </c>
      <c r="E3011" s="6" t="s">
        <v>19</v>
      </c>
      <c r="F3011" s="6" t="str">
        <f>MID(A3011,19,1)</f>
        <v>S</v>
      </c>
      <c r="G3011" s="6">
        <v>-22.782090166551509</v>
      </c>
      <c r="H3011" s="6">
        <v>-47.434505139867539</v>
      </c>
      <c r="I3011" s="9">
        <v>1982.65</v>
      </c>
      <c r="K3011" s="6">
        <v>4.51</v>
      </c>
      <c r="L3011" s="6">
        <v>70</v>
      </c>
      <c r="N3011" s="1">
        <f t="shared" si="371"/>
        <v>0</v>
      </c>
      <c r="O3011" s="6" t="s">
        <v>20</v>
      </c>
      <c r="Q3011" s="6" t="s">
        <v>21</v>
      </c>
      <c r="R3011" s="6" t="s">
        <v>21</v>
      </c>
      <c r="S3011" s="6" t="s">
        <v>21</v>
      </c>
      <c r="T3011" s="6" t="s">
        <v>21</v>
      </c>
      <c r="U3011" s="6">
        <f t="shared" ref="U3011:U3074" si="372">IF(N3011=0,(I3011*(L3011/100)),0)</f>
        <v>1387.855</v>
      </c>
      <c r="V3011" s="6">
        <f t="shared" si="370"/>
        <v>1387.855</v>
      </c>
    </row>
    <row r="3012" spans="1:22" x14ac:dyDescent="0.35">
      <c r="A3012" s="6" t="s">
        <v>3299</v>
      </c>
      <c r="B3012" s="6" t="s">
        <v>3287</v>
      </c>
      <c r="C3012" s="6" t="s">
        <v>3288</v>
      </c>
      <c r="D3012" s="6">
        <f t="shared" si="363"/>
        <v>0.5</v>
      </c>
      <c r="E3012" s="6" t="s">
        <v>19</v>
      </c>
      <c r="F3012" s="6" t="str">
        <f>MID(A3012,19,1)</f>
        <v>N</v>
      </c>
      <c r="G3012" s="6">
        <v>-22.669652241172731</v>
      </c>
      <c r="H3012" s="6">
        <v>-47.314462804588238</v>
      </c>
      <c r="I3012" s="9">
        <v>1283.17</v>
      </c>
      <c r="K3012" s="6">
        <v>2.4</v>
      </c>
      <c r="L3012" s="6">
        <v>50</v>
      </c>
      <c r="N3012" s="1">
        <f t="shared" si="371"/>
        <v>0</v>
      </c>
      <c r="O3012" s="6" t="s">
        <v>20</v>
      </c>
      <c r="Q3012" s="6" t="s">
        <v>21</v>
      </c>
      <c r="R3012" s="6" t="s">
        <v>21</v>
      </c>
      <c r="S3012" s="6" t="s">
        <v>21</v>
      </c>
      <c r="T3012" s="6" t="s">
        <v>21</v>
      </c>
      <c r="U3012" s="6">
        <f t="shared" si="372"/>
        <v>641.58500000000004</v>
      </c>
      <c r="V3012" s="6">
        <f t="shared" si="370"/>
        <v>641.58500000000004</v>
      </c>
    </row>
    <row r="3013" spans="1:22" x14ac:dyDescent="0.35">
      <c r="A3013" s="6" t="s">
        <v>3300</v>
      </c>
      <c r="B3013" s="6" t="s">
        <v>3287</v>
      </c>
      <c r="C3013" s="6" t="s">
        <v>3288</v>
      </c>
      <c r="D3013" s="6">
        <f t="shared" si="363"/>
        <v>0.5</v>
      </c>
      <c r="E3013" s="6" t="s">
        <v>19</v>
      </c>
      <c r="F3013" s="6" t="str">
        <f>MID(A3013,19,1)</f>
        <v>N</v>
      </c>
      <c r="G3013" s="6">
        <v>-22.667619046645541</v>
      </c>
      <c r="H3013" s="6">
        <v>-47.315850824444183</v>
      </c>
      <c r="I3013" s="9">
        <v>760.19</v>
      </c>
      <c r="K3013" s="6">
        <v>1.81</v>
      </c>
      <c r="L3013" s="6">
        <v>50</v>
      </c>
      <c r="N3013" s="1">
        <f t="shared" si="371"/>
        <v>0</v>
      </c>
      <c r="O3013" s="6" t="s">
        <v>20</v>
      </c>
      <c r="Q3013" s="6" t="s">
        <v>21</v>
      </c>
      <c r="R3013" s="6" t="s">
        <v>21</v>
      </c>
      <c r="S3013" s="6" t="s">
        <v>21</v>
      </c>
      <c r="T3013" s="6" t="s">
        <v>21</v>
      </c>
      <c r="U3013" s="6">
        <f t="shared" si="372"/>
        <v>380.09500000000003</v>
      </c>
      <c r="V3013" s="6">
        <f t="shared" si="370"/>
        <v>380.09500000000003</v>
      </c>
    </row>
    <row r="3014" spans="1:22" hidden="1" x14ac:dyDescent="0.35">
      <c r="A3014" s="8" t="s">
        <v>3301</v>
      </c>
      <c r="B3014" s="8" t="s">
        <v>3302</v>
      </c>
      <c r="C3014" s="8" t="s">
        <v>3303</v>
      </c>
      <c r="D3014" s="6">
        <f t="shared" si="363"/>
        <v>0.5</v>
      </c>
      <c r="E3014" s="8" t="s">
        <v>23</v>
      </c>
      <c r="F3014" s="6" t="str">
        <f>MID(A3014,19,1)</f>
        <v>C</v>
      </c>
      <c r="G3014" s="8">
        <v>-22.66504978683302</v>
      </c>
      <c r="H3014" s="8">
        <v>-47.317357713062073</v>
      </c>
      <c r="I3014" s="7">
        <v>4334.3599999999997</v>
      </c>
      <c r="J3014" s="9">
        <f>I3014/500</f>
        <v>8.6687199999999986</v>
      </c>
      <c r="K3014" s="8">
        <v>2.35</v>
      </c>
      <c r="L3014" s="8">
        <v>70</v>
      </c>
      <c r="M3014" s="8"/>
      <c r="N3014" s="11">
        <f t="shared" si="371"/>
        <v>3034.0519999999997</v>
      </c>
      <c r="O3014" s="8" t="s">
        <v>71</v>
      </c>
      <c r="P3014" s="8"/>
      <c r="Q3014" s="8" t="s">
        <v>21</v>
      </c>
      <c r="R3014" s="8" t="s">
        <v>26</v>
      </c>
      <c r="S3014" s="8" t="s">
        <v>21</v>
      </c>
      <c r="T3014" s="8" t="s">
        <v>26</v>
      </c>
      <c r="U3014" s="6">
        <f t="shared" si="372"/>
        <v>0</v>
      </c>
    </row>
    <row r="3015" spans="1:22" hidden="1" x14ac:dyDescent="0.35">
      <c r="A3015" s="6" t="s">
        <v>3304</v>
      </c>
      <c r="B3015" s="6" t="s">
        <v>3302</v>
      </c>
      <c r="C3015" s="6" t="s">
        <v>3303</v>
      </c>
      <c r="D3015" s="6">
        <f t="shared" si="363"/>
        <v>0.5</v>
      </c>
      <c r="E3015" s="6" t="s">
        <v>19</v>
      </c>
      <c r="F3015" s="6" t="str">
        <f>MID(A3015,19,1)</f>
        <v>S</v>
      </c>
      <c r="G3015" s="6">
        <v>-22.659553174664559</v>
      </c>
      <c r="H3015" s="6">
        <v>-47.320450625286263</v>
      </c>
      <c r="I3015" s="9">
        <v>39.450000000000003</v>
      </c>
      <c r="K3015" s="6">
        <v>3.98</v>
      </c>
      <c r="L3015" s="6">
        <v>50</v>
      </c>
      <c r="N3015" s="1">
        <f t="shared" si="371"/>
        <v>0</v>
      </c>
      <c r="O3015" s="6" t="s">
        <v>20</v>
      </c>
      <c r="Q3015" s="6" t="s">
        <v>21</v>
      </c>
      <c r="R3015" s="6" t="s">
        <v>21</v>
      </c>
      <c r="S3015" s="6" t="s">
        <v>21</v>
      </c>
      <c r="T3015" s="6" t="s">
        <v>21</v>
      </c>
      <c r="U3015" s="6">
        <f t="shared" si="372"/>
        <v>19.725000000000001</v>
      </c>
      <c r="V3015" s="6">
        <f t="shared" ref="V3015:V3045" si="373">(I3015*(L3015/100))</f>
        <v>19.725000000000001</v>
      </c>
    </row>
    <row r="3016" spans="1:22" x14ac:dyDescent="0.35">
      <c r="A3016" s="6" t="s">
        <v>3305</v>
      </c>
      <c r="B3016" s="6" t="s">
        <v>3302</v>
      </c>
      <c r="C3016" s="6" t="s">
        <v>3303</v>
      </c>
      <c r="D3016" s="6">
        <f t="shared" si="363"/>
        <v>0.5</v>
      </c>
      <c r="E3016" s="6" t="s">
        <v>19</v>
      </c>
      <c r="F3016" s="6" t="str">
        <f>MID(A3016,19,1)</f>
        <v>N</v>
      </c>
      <c r="G3016" s="6">
        <v>-22.773633008823172</v>
      </c>
      <c r="H3016" s="6">
        <v>-47.444769168690932</v>
      </c>
      <c r="I3016" s="9">
        <v>2008.59</v>
      </c>
      <c r="K3016" s="6">
        <v>1.68</v>
      </c>
      <c r="L3016" s="6">
        <v>70</v>
      </c>
      <c r="N3016" s="1">
        <f t="shared" si="371"/>
        <v>0</v>
      </c>
      <c r="O3016" s="6" t="s">
        <v>20</v>
      </c>
      <c r="Q3016" s="6" t="s">
        <v>21</v>
      </c>
      <c r="R3016" s="6" t="s">
        <v>21</v>
      </c>
      <c r="S3016" s="6" t="s">
        <v>21</v>
      </c>
      <c r="T3016" s="6" t="s">
        <v>21</v>
      </c>
      <c r="U3016" s="6">
        <f t="shared" si="372"/>
        <v>1406.0129999999999</v>
      </c>
      <c r="V3016" s="6">
        <f t="shared" si="373"/>
        <v>1406.0129999999999</v>
      </c>
    </row>
    <row r="3017" spans="1:22" hidden="1" x14ac:dyDescent="0.35">
      <c r="A3017" s="6" t="s">
        <v>3306</v>
      </c>
      <c r="B3017" s="6" t="s">
        <v>3302</v>
      </c>
      <c r="C3017" s="6" t="s">
        <v>3303</v>
      </c>
      <c r="D3017" s="6">
        <f t="shared" si="363"/>
        <v>0.5</v>
      </c>
      <c r="E3017" s="6" t="s">
        <v>23</v>
      </c>
      <c r="F3017" s="6" t="str">
        <f>MID(A3017,19,1)</f>
        <v>C</v>
      </c>
      <c r="G3017" s="6">
        <v>-22.663107571466931</v>
      </c>
      <c r="H3017" s="6">
        <v>-47.318674568194112</v>
      </c>
      <c r="I3017" s="9">
        <v>334.06</v>
      </c>
      <c r="J3017" s="9">
        <f>I3017/500</f>
        <v>0.66812000000000005</v>
      </c>
      <c r="K3017" s="6">
        <v>2.31</v>
      </c>
      <c r="L3017" s="6">
        <v>0</v>
      </c>
      <c r="N3017" s="1">
        <f t="shared" si="371"/>
        <v>0</v>
      </c>
      <c r="Q3017" s="6" t="s">
        <v>21</v>
      </c>
      <c r="R3017" s="6" t="s">
        <v>21</v>
      </c>
      <c r="S3017" s="6" t="s">
        <v>21</v>
      </c>
      <c r="T3017" s="6" t="s">
        <v>21</v>
      </c>
      <c r="U3017" s="6">
        <f t="shared" si="372"/>
        <v>0</v>
      </c>
      <c r="V3017" s="6">
        <f t="shared" si="373"/>
        <v>0</v>
      </c>
    </row>
    <row r="3018" spans="1:22" hidden="1" x14ac:dyDescent="0.35">
      <c r="A3018" s="6" t="s">
        <v>3307</v>
      </c>
      <c r="B3018" s="6" t="s">
        <v>3302</v>
      </c>
      <c r="C3018" s="6" t="s">
        <v>3303</v>
      </c>
      <c r="D3018" s="6">
        <f t="shared" si="363"/>
        <v>0.5</v>
      </c>
      <c r="E3018" s="6" t="s">
        <v>19</v>
      </c>
      <c r="F3018" s="6" t="str">
        <f>MID(A3018,19,1)</f>
        <v>S</v>
      </c>
      <c r="G3018" s="6">
        <v>-22.77173320306834</v>
      </c>
      <c r="H3018" s="6">
        <v>-47.445873679609292</v>
      </c>
      <c r="I3018" s="9">
        <v>74.099999999999994</v>
      </c>
      <c r="K3018" s="6">
        <v>2.48</v>
      </c>
      <c r="L3018" s="6">
        <v>0</v>
      </c>
      <c r="N3018" s="1">
        <f t="shared" si="371"/>
        <v>0</v>
      </c>
      <c r="Q3018" s="6" t="s">
        <v>21</v>
      </c>
      <c r="R3018" s="6" t="s">
        <v>21</v>
      </c>
      <c r="S3018" s="6" t="s">
        <v>21</v>
      </c>
      <c r="T3018" s="6" t="s">
        <v>21</v>
      </c>
      <c r="U3018" s="6">
        <f t="shared" si="372"/>
        <v>0</v>
      </c>
      <c r="V3018" s="6">
        <f t="shared" si="373"/>
        <v>0</v>
      </c>
    </row>
    <row r="3019" spans="1:22" x14ac:dyDescent="0.35">
      <c r="A3019" s="6" t="s">
        <v>3308</v>
      </c>
      <c r="B3019" s="6" t="s">
        <v>3302</v>
      </c>
      <c r="C3019" s="6" t="s">
        <v>3303</v>
      </c>
      <c r="D3019" s="6">
        <f t="shared" si="363"/>
        <v>0.5</v>
      </c>
      <c r="E3019" s="6" t="s">
        <v>19</v>
      </c>
      <c r="F3019" s="6" t="str">
        <f>MID(A3019,19,1)</f>
        <v>N</v>
      </c>
      <c r="G3019" s="6">
        <v>-22.665118025524961</v>
      </c>
      <c r="H3019" s="6">
        <v>-47.317548663069459</v>
      </c>
      <c r="I3019" s="9">
        <v>1860.97</v>
      </c>
      <c r="K3019" s="6">
        <v>2.27</v>
      </c>
      <c r="L3019" s="6">
        <v>50</v>
      </c>
      <c r="N3019" s="1">
        <f t="shared" si="371"/>
        <v>0</v>
      </c>
      <c r="O3019" s="6" t="s">
        <v>20</v>
      </c>
      <c r="Q3019" s="6" t="s">
        <v>21</v>
      </c>
      <c r="R3019" s="6" t="s">
        <v>21</v>
      </c>
      <c r="S3019" s="6" t="s">
        <v>21</v>
      </c>
      <c r="T3019" s="6" t="s">
        <v>21</v>
      </c>
      <c r="U3019" s="6">
        <f t="shared" si="372"/>
        <v>930.48500000000001</v>
      </c>
      <c r="V3019" s="6">
        <f t="shared" si="373"/>
        <v>930.48500000000001</v>
      </c>
    </row>
    <row r="3020" spans="1:22" x14ac:dyDescent="0.35">
      <c r="A3020" s="6" t="s">
        <v>3309</v>
      </c>
      <c r="B3020" s="6" t="s">
        <v>3302</v>
      </c>
      <c r="C3020" s="6" t="s">
        <v>3303</v>
      </c>
      <c r="D3020" s="6">
        <f t="shared" si="363"/>
        <v>0.5</v>
      </c>
      <c r="E3020" s="6" t="s">
        <v>19</v>
      </c>
      <c r="F3020" s="6" t="str">
        <f>MID(A3020,19,1)</f>
        <v>N</v>
      </c>
      <c r="G3020" s="6">
        <v>-22.66124299205104</v>
      </c>
      <c r="H3020" s="6">
        <v>-47.320007963329083</v>
      </c>
      <c r="I3020" s="9">
        <v>2128.62</v>
      </c>
      <c r="K3020" s="6">
        <v>3.15</v>
      </c>
      <c r="L3020" s="6">
        <v>50</v>
      </c>
      <c r="N3020" s="1">
        <f t="shared" si="371"/>
        <v>0</v>
      </c>
      <c r="O3020" s="6" t="s">
        <v>20</v>
      </c>
      <c r="Q3020" s="6" t="s">
        <v>21</v>
      </c>
      <c r="R3020" s="6" t="s">
        <v>21</v>
      </c>
      <c r="S3020" s="6" t="s">
        <v>21</v>
      </c>
      <c r="T3020" s="6" t="s">
        <v>21</v>
      </c>
      <c r="U3020" s="6">
        <f t="shared" si="372"/>
        <v>1064.31</v>
      </c>
      <c r="V3020" s="6">
        <f t="shared" si="373"/>
        <v>1064.31</v>
      </c>
    </row>
    <row r="3021" spans="1:22" hidden="1" x14ac:dyDescent="0.35">
      <c r="A3021" s="6" t="s">
        <v>3310</v>
      </c>
      <c r="B3021" s="6" t="s">
        <v>3302</v>
      </c>
      <c r="C3021" s="6" t="s">
        <v>3303</v>
      </c>
      <c r="D3021" s="6">
        <f t="shared" si="363"/>
        <v>0.5</v>
      </c>
      <c r="E3021" s="6" t="s">
        <v>19</v>
      </c>
      <c r="F3021" s="6" t="str">
        <f>MID(A3021,19,1)</f>
        <v>S</v>
      </c>
      <c r="G3021" s="6">
        <v>-22.66138556488</v>
      </c>
      <c r="H3021" s="6">
        <v>-47.319467130517332</v>
      </c>
      <c r="I3021" s="9">
        <v>1832.83</v>
      </c>
      <c r="K3021" s="6">
        <v>3.38</v>
      </c>
      <c r="L3021" s="6">
        <v>50</v>
      </c>
      <c r="N3021" s="1">
        <f t="shared" si="371"/>
        <v>0</v>
      </c>
      <c r="O3021" s="6" t="s">
        <v>20</v>
      </c>
      <c r="Q3021" s="6" t="s">
        <v>21</v>
      </c>
      <c r="R3021" s="6" t="s">
        <v>21</v>
      </c>
      <c r="S3021" s="6" t="s">
        <v>21</v>
      </c>
      <c r="T3021" s="6" t="s">
        <v>21</v>
      </c>
      <c r="U3021" s="6">
        <f t="shared" si="372"/>
        <v>916.41499999999996</v>
      </c>
      <c r="V3021" s="6">
        <f t="shared" si="373"/>
        <v>916.41499999999996</v>
      </c>
    </row>
    <row r="3022" spans="1:22" hidden="1" x14ac:dyDescent="0.35">
      <c r="A3022" s="6" t="s">
        <v>3311</v>
      </c>
      <c r="B3022" s="6" t="s">
        <v>3302</v>
      </c>
      <c r="C3022" s="6" t="s">
        <v>3303</v>
      </c>
      <c r="D3022" s="6">
        <f t="shared" ref="D3022:D3085" si="374">C3022-B3022</f>
        <v>0.5</v>
      </c>
      <c r="E3022" s="6" t="s">
        <v>19</v>
      </c>
      <c r="F3022" s="6" t="str">
        <f>MID(A3022,19,1)</f>
        <v>S</v>
      </c>
      <c r="G3022" s="6">
        <v>-22.773754829207022</v>
      </c>
      <c r="H3022" s="6">
        <v>-47.445229167302116</v>
      </c>
      <c r="I3022" s="9">
        <v>2071.63</v>
      </c>
      <c r="K3022" s="6">
        <v>1.92</v>
      </c>
      <c r="L3022" s="6">
        <v>70</v>
      </c>
      <c r="N3022" s="1">
        <f t="shared" si="371"/>
        <v>0</v>
      </c>
      <c r="O3022" s="6" t="s">
        <v>20</v>
      </c>
      <c r="Q3022" s="6" t="s">
        <v>21</v>
      </c>
      <c r="R3022" s="6" t="s">
        <v>21</v>
      </c>
      <c r="S3022" s="6" t="s">
        <v>21</v>
      </c>
      <c r="T3022" s="6" t="s">
        <v>21</v>
      </c>
      <c r="U3022" s="6">
        <f t="shared" si="372"/>
        <v>1450.1410000000001</v>
      </c>
      <c r="V3022" s="6">
        <f t="shared" si="373"/>
        <v>1450.1410000000001</v>
      </c>
    </row>
    <row r="3023" spans="1:22" x14ac:dyDescent="0.35">
      <c r="A3023" s="6" t="s">
        <v>3312</v>
      </c>
      <c r="B3023" s="6" t="s">
        <v>3302</v>
      </c>
      <c r="C3023" s="6" t="s">
        <v>3303</v>
      </c>
      <c r="D3023" s="6">
        <f t="shared" si="374"/>
        <v>0.5</v>
      </c>
      <c r="E3023" s="6" t="s">
        <v>19</v>
      </c>
      <c r="F3023" s="6" t="str">
        <f>MID(A3023,19,1)</f>
        <v>N</v>
      </c>
      <c r="G3023" s="6">
        <v>-22.77694769143698</v>
      </c>
      <c r="H3023" s="6">
        <v>-47.442204279064264</v>
      </c>
      <c r="I3023" s="9">
        <v>1676.32</v>
      </c>
      <c r="K3023" s="6">
        <v>3.34</v>
      </c>
      <c r="L3023" s="6">
        <v>70</v>
      </c>
      <c r="N3023" s="1">
        <f t="shared" si="371"/>
        <v>0</v>
      </c>
      <c r="O3023" s="6" t="s">
        <v>20</v>
      </c>
      <c r="Q3023" s="6" t="s">
        <v>21</v>
      </c>
      <c r="R3023" s="6" t="s">
        <v>21</v>
      </c>
      <c r="S3023" s="6" t="s">
        <v>21</v>
      </c>
      <c r="T3023" s="6" t="s">
        <v>21</v>
      </c>
      <c r="U3023" s="6">
        <f t="shared" si="372"/>
        <v>1173.424</v>
      </c>
      <c r="V3023" s="6">
        <f t="shared" si="373"/>
        <v>1173.424</v>
      </c>
    </row>
    <row r="3024" spans="1:22" hidden="1" x14ac:dyDescent="0.35">
      <c r="A3024" s="6" t="s">
        <v>3313</v>
      </c>
      <c r="B3024" s="6" t="s">
        <v>3302</v>
      </c>
      <c r="C3024" s="6" t="s">
        <v>3303</v>
      </c>
      <c r="D3024" s="6">
        <f t="shared" si="374"/>
        <v>0.5</v>
      </c>
      <c r="E3024" s="6" t="s">
        <v>19</v>
      </c>
      <c r="F3024" s="6" t="str">
        <f>MID(A3024,19,1)</f>
        <v>S</v>
      </c>
      <c r="G3024" s="6">
        <v>-22.777221024830151</v>
      </c>
      <c r="H3024" s="6">
        <v>-47.442520876760348</v>
      </c>
      <c r="I3024" s="9">
        <v>1785.72</v>
      </c>
      <c r="K3024" s="6">
        <v>2.4700000000000002</v>
      </c>
      <c r="L3024" s="6">
        <v>70</v>
      </c>
      <c r="N3024" s="1">
        <f t="shared" si="371"/>
        <v>0</v>
      </c>
      <c r="O3024" s="6" t="s">
        <v>20</v>
      </c>
      <c r="Q3024" s="6" t="s">
        <v>21</v>
      </c>
      <c r="R3024" s="6" t="s">
        <v>21</v>
      </c>
      <c r="S3024" s="6" t="s">
        <v>21</v>
      </c>
      <c r="T3024" s="6" t="s">
        <v>21</v>
      </c>
      <c r="U3024" s="6">
        <f t="shared" si="372"/>
        <v>1250.0039999999999</v>
      </c>
      <c r="V3024" s="6">
        <f t="shared" si="373"/>
        <v>1250.0039999999999</v>
      </c>
    </row>
    <row r="3025" spans="1:22" hidden="1" x14ac:dyDescent="0.35">
      <c r="A3025" s="6" t="s">
        <v>3314</v>
      </c>
      <c r="B3025" s="6" t="s">
        <v>3302</v>
      </c>
      <c r="C3025" s="6" t="s">
        <v>3303</v>
      </c>
      <c r="D3025" s="6">
        <f t="shared" si="374"/>
        <v>0.5</v>
      </c>
      <c r="E3025" s="6" t="s">
        <v>19</v>
      </c>
      <c r="F3025" s="6" t="str">
        <f>MID(A3025,19,1)</f>
        <v>S</v>
      </c>
      <c r="G3025" s="6">
        <v>-22.6633625861895</v>
      </c>
      <c r="H3025" s="6">
        <v>-47.318238913784697</v>
      </c>
      <c r="I3025" s="9">
        <v>315.42</v>
      </c>
      <c r="K3025" s="6">
        <v>2.82</v>
      </c>
      <c r="L3025" s="6">
        <v>50</v>
      </c>
      <c r="N3025" s="1">
        <f t="shared" si="371"/>
        <v>0</v>
      </c>
      <c r="O3025" s="6" t="s">
        <v>20</v>
      </c>
      <c r="Q3025" s="6" t="s">
        <v>21</v>
      </c>
      <c r="R3025" s="6" t="s">
        <v>21</v>
      </c>
      <c r="S3025" s="6" t="s">
        <v>21</v>
      </c>
      <c r="T3025" s="6" t="s">
        <v>21</v>
      </c>
      <c r="U3025" s="6">
        <f t="shared" si="372"/>
        <v>157.71</v>
      </c>
      <c r="V3025" s="6">
        <f t="shared" si="373"/>
        <v>157.71</v>
      </c>
    </row>
    <row r="3026" spans="1:22" hidden="1" x14ac:dyDescent="0.35">
      <c r="A3026" s="6" t="s">
        <v>3315</v>
      </c>
      <c r="B3026" s="6" t="s">
        <v>3302</v>
      </c>
      <c r="C3026" s="6" t="s">
        <v>3303</v>
      </c>
      <c r="D3026" s="6">
        <f t="shared" si="374"/>
        <v>0.5</v>
      </c>
      <c r="E3026" s="6" t="s">
        <v>23</v>
      </c>
      <c r="F3026" s="6" t="str">
        <f>MID(A3026,19,1)</f>
        <v>C</v>
      </c>
      <c r="G3026" s="6">
        <v>-22.77705939883916</v>
      </c>
      <c r="H3026" s="6">
        <v>-47.442392530517068</v>
      </c>
      <c r="I3026" s="9">
        <v>4724.4399999999996</v>
      </c>
      <c r="J3026" s="9">
        <f>I3026/500</f>
        <v>9.4488799999999991</v>
      </c>
      <c r="K3026" s="6">
        <v>3.01</v>
      </c>
      <c r="L3026" s="6">
        <v>80</v>
      </c>
      <c r="N3026" s="1">
        <f t="shared" si="371"/>
        <v>0</v>
      </c>
      <c r="O3026" s="6" t="s">
        <v>20</v>
      </c>
      <c r="Q3026" s="6" t="s">
        <v>21</v>
      </c>
      <c r="R3026" s="6" t="s">
        <v>21</v>
      </c>
      <c r="S3026" s="6" t="s">
        <v>21</v>
      </c>
      <c r="T3026" s="6" t="s">
        <v>21</v>
      </c>
      <c r="U3026" s="6">
        <f t="shared" si="372"/>
        <v>3779.5519999999997</v>
      </c>
      <c r="V3026" s="6">
        <f t="shared" si="373"/>
        <v>3779.5519999999997</v>
      </c>
    </row>
    <row r="3027" spans="1:22" hidden="1" x14ac:dyDescent="0.35">
      <c r="A3027" s="6" t="s">
        <v>3316</v>
      </c>
      <c r="B3027" s="6" t="s">
        <v>3302</v>
      </c>
      <c r="C3027" s="6" t="s">
        <v>3303</v>
      </c>
      <c r="D3027" s="6">
        <f t="shared" si="374"/>
        <v>0.5</v>
      </c>
      <c r="E3027" s="6" t="s">
        <v>19</v>
      </c>
      <c r="F3027" s="6" t="str">
        <f>MID(A3027,19,1)</f>
        <v>S</v>
      </c>
      <c r="G3027" s="6">
        <v>-22.66336290684233</v>
      </c>
      <c r="H3027" s="6">
        <v>-47.318280804347083</v>
      </c>
      <c r="I3027" s="9">
        <v>190.9</v>
      </c>
      <c r="K3027" s="6">
        <v>2.82</v>
      </c>
      <c r="N3027" s="1">
        <f t="shared" si="371"/>
        <v>0</v>
      </c>
      <c r="Q3027" s="6" t="s">
        <v>21</v>
      </c>
      <c r="R3027" s="6" t="s">
        <v>21</v>
      </c>
      <c r="S3027" s="6" t="s">
        <v>21</v>
      </c>
      <c r="T3027" s="6" t="s">
        <v>21</v>
      </c>
      <c r="U3027" s="6">
        <f t="shared" si="372"/>
        <v>0</v>
      </c>
      <c r="V3027" s="6">
        <f t="shared" si="373"/>
        <v>0</v>
      </c>
    </row>
    <row r="3028" spans="1:22" hidden="1" x14ac:dyDescent="0.35">
      <c r="A3028" s="6" t="s">
        <v>3317</v>
      </c>
      <c r="B3028" s="6" t="s">
        <v>3302</v>
      </c>
      <c r="C3028" s="6" t="s">
        <v>3303</v>
      </c>
      <c r="D3028" s="6">
        <f t="shared" si="374"/>
        <v>0.5</v>
      </c>
      <c r="E3028" s="6" t="s">
        <v>23</v>
      </c>
      <c r="F3028" s="6" t="str">
        <f>MID(A3028,19,1)</f>
        <v>C</v>
      </c>
      <c r="G3028" s="6">
        <v>-22.77365090011418</v>
      </c>
      <c r="H3028" s="6">
        <v>-47.445002651219554</v>
      </c>
      <c r="I3028" s="9">
        <v>5383.65</v>
      </c>
      <c r="J3028" s="9">
        <f>I3028/500</f>
        <v>10.767299999999999</v>
      </c>
      <c r="K3028" s="6">
        <v>1.75</v>
      </c>
      <c r="L3028" s="6">
        <v>80</v>
      </c>
      <c r="N3028" s="1">
        <f t="shared" si="371"/>
        <v>0</v>
      </c>
      <c r="O3028" s="6" t="s">
        <v>20</v>
      </c>
      <c r="Q3028" s="6" t="s">
        <v>21</v>
      </c>
      <c r="R3028" s="6" t="s">
        <v>21</v>
      </c>
      <c r="S3028" s="6" t="s">
        <v>21</v>
      </c>
      <c r="T3028" s="6" t="s">
        <v>21</v>
      </c>
      <c r="U3028" s="6">
        <f t="shared" si="372"/>
        <v>4306.92</v>
      </c>
      <c r="V3028" s="6">
        <f t="shared" si="373"/>
        <v>4306.92</v>
      </c>
    </row>
    <row r="3029" spans="1:22" hidden="1" x14ac:dyDescent="0.35">
      <c r="A3029" s="6" t="s">
        <v>3318</v>
      </c>
      <c r="B3029" s="6" t="s">
        <v>3302</v>
      </c>
      <c r="C3029" s="6" t="s">
        <v>3303</v>
      </c>
      <c r="D3029" s="6">
        <f t="shared" si="374"/>
        <v>0.5</v>
      </c>
      <c r="E3029" s="6" t="s">
        <v>19</v>
      </c>
      <c r="F3029" s="6" t="str">
        <f>MID(A3029,19,1)</f>
        <v>S</v>
      </c>
      <c r="G3029" s="6">
        <v>-22.65926468195504</v>
      </c>
      <c r="H3029" s="6">
        <v>-47.32062843510942</v>
      </c>
      <c r="I3029" s="9">
        <v>340.99</v>
      </c>
      <c r="K3029" s="6">
        <v>2.86</v>
      </c>
      <c r="L3029" s="6">
        <v>50</v>
      </c>
      <c r="N3029" s="1">
        <f t="shared" si="371"/>
        <v>0</v>
      </c>
      <c r="O3029" s="6" t="s">
        <v>20</v>
      </c>
      <c r="Q3029" s="6" t="s">
        <v>21</v>
      </c>
      <c r="R3029" s="6" t="s">
        <v>21</v>
      </c>
      <c r="S3029" s="6" t="s">
        <v>21</v>
      </c>
      <c r="T3029" s="6" t="s">
        <v>21</v>
      </c>
      <c r="U3029" s="6">
        <f t="shared" si="372"/>
        <v>170.495</v>
      </c>
      <c r="V3029" s="6">
        <f t="shared" si="373"/>
        <v>170.495</v>
      </c>
    </row>
    <row r="3030" spans="1:22" hidden="1" x14ac:dyDescent="0.35">
      <c r="A3030" s="6" t="s">
        <v>3319</v>
      </c>
      <c r="B3030" s="6" t="s">
        <v>3320</v>
      </c>
      <c r="C3030" s="6" t="s">
        <v>3321</v>
      </c>
      <c r="D3030" s="6">
        <f t="shared" si="374"/>
        <v>0.5</v>
      </c>
      <c r="E3030" s="6" t="s">
        <v>19</v>
      </c>
      <c r="F3030" s="6" t="str">
        <f>MID(A3030,19,1)</f>
        <v>S</v>
      </c>
      <c r="G3030" s="6">
        <v>-22.76529754269669</v>
      </c>
      <c r="H3030" s="6">
        <v>-47.447580741891713</v>
      </c>
      <c r="I3030" s="9">
        <v>7813.23</v>
      </c>
      <c r="K3030" s="6">
        <v>3.08</v>
      </c>
      <c r="L3030" s="6">
        <v>70</v>
      </c>
      <c r="N3030" s="1">
        <f t="shared" si="371"/>
        <v>0</v>
      </c>
      <c r="O3030" s="6" t="s">
        <v>20</v>
      </c>
      <c r="Q3030" s="6" t="s">
        <v>21</v>
      </c>
      <c r="R3030" s="6" t="s">
        <v>21</v>
      </c>
      <c r="S3030" s="6" t="s">
        <v>21</v>
      </c>
      <c r="T3030" s="6" t="s">
        <v>21</v>
      </c>
      <c r="U3030" s="6">
        <f t="shared" si="372"/>
        <v>5469.2609999999995</v>
      </c>
      <c r="V3030" s="6">
        <f t="shared" si="373"/>
        <v>5469.2609999999995</v>
      </c>
    </row>
    <row r="3031" spans="1:22" hidden="1" x14ac:dyDescent="0.35">
      <c r="A3031" s="6" t="s">
        <v>3322</v>
      </c>
      <c r="B3031" s="6" t="s">
        <v>3320</v>
      </c>
      <c r="C3031" s="6" t="s">
        <v>3321</v>
      </c>
      <c r="D3031" s="6">
        <f t="shared" si="374"/>
        <v>0.5</v>
      </c>
      <c r="E3031" s="6" t="s">
        <v>19</v>
      </c>
      <c r="F3031" s="6" t="str">
        <f>MID(A3031,19,1)</f>
        <v>S</v>
      </c>
      <c r="G3031" s="6">
        <v>-22.764190615822461</v>
      </c>
      <c r="H3031" s="6">
        <v>-47.446590684575213</v>
      </c>
      <c r="I3031" s="9">
        <v>21072.47</v>
      </c>
      <c r="K3031" s="6">
        <v>5.24</v>
      </c>
      <c r="L3031" s="6">
        <v>70</v>
      </c>
      <c r="N3031" s="1">
        <f t="shared" si="371"/>
        <v>0</v>
      </c>
      <c r="O3031" s="6" t="s">
        <v>20</v>
      </c>
      <c r="Q3031" s="6" t="s">
        <v>21</v>
      </c>
      <c r="R3031" s="6" t="s">
        <v>21</v>
      </c>
      <c r="S3031" s="6" t="s">
        <v>21</v>
      </c>
      <c r="T3031" s="6" t="s">
        <v>21</v>
      </c>
      <c r="U3031" s="6">
        <f t="shared" si="372"/>
        <v>14750.728999999999</v>
      </c>
      <c r="V3031" s="6">
        <f t="shared" si="373"/>
        <v>14750.728999999999</v>
      </c>
    </row>
    <row r="3032" spans="1:22" x14ac:dyDescent="0.35">
      <c r="A3032" s="6" t="s">
        <v>3323</v>
      </c>
      <c r="B3032" s="6" t="s">
        <v>3320</v>
      </c>
      <c r="C3032" s="6" t="s">
        <v>3321</v>
      </c>
      <c r="D3032" s="6">
        <f t="shared" si="374"/>
        <v>0.5</v>
      </c>
      <c r="E3032" s="6" t="s">
        <v>19</v>
      </c>
      <c r="F3032" s="6" t="str">
        <f>MID(A3032,19,1)</f>
        <v>N</v>
      </c>
      <c r="G3032" s="6">
        <v>-22.764525353896079</v>
      </c>
      <c r="H3032" s="6">
        <v>-47.443847873567577</v>
      </c>
      <c r="I3032" s="9">
        <v>18601.78</v>
      </c>
      <c r="K3032" s="6">
        <v>2.76</v>
      </c>
      <c r="L3032" s="6">
        <v>70</v>
      </c>
      <c r="N3032" s="1">
        <f t="shared" si="371"/>
        <v>0</v>
      </c>
      <c r="O3032" s="6" t="s">
        <v>20</v>
      </c>
      <c r="Q3032" s="6" t="s">
        <v>21</v>
      </c>
      <c r="R3032" s="6" t="s">
        <v>21</v>
      </c>
      <c r="S3032" s="6" t="s">
        <v>21</v>
      </c>
      <c r="T3032" s="6" t="s">
        <v>21</v>
      </c>
      <c r="U3032" s="6">
        <f t="shared" si="372"/>
        <v>13021.245999999999</v>
      </c>
      <c r="V3032" s="6">
        <f t="shared" si="373"/>
        <v>13021.245999999999</v>
      </c>
    </row>
    <row r="3033" spans="1:22" hidden="1" x14ac:dyDescent="0.35">
      <c r="A3033" s="6" t="s">
        <v>3324</v>
      </c>
      <c r="B3033" s="6" t="s">
        <v>3320</v>
      </c>
      <c r="C3033" s="6" t="s">
        <v>3321</v>
      </c>
      <c r="D3033" s="6">
        <f t="shared" si="374"/>
        <v>0.5</v>
      </c>
      <c r="E3033" s="6" t="s">
        <v>19</v>
      </c>
      <c r="F3033" s="6" t="str">
        <f>MID(A3033,19,1)</f>
        <v>S</v>
      </c>
      <c r="G3033" s="6">
        <v>-22.76468491601301</v>
      </c>
      <c r="H3033" s="6">
        <v>-47.448027652778258</v>
      </c>
      <c r="I3033" s="9">
        <v>2811.41</v>
      </c>
      <c r="K3033" s="6">
        <v>4.22</v>
      </c>
      <c r="L3033" s="6">
        <v>70</v>
      </c>
      <c r="N3033" s="1">
        <f t="shared" si="371"/>
        <v>0</v>
      </c>
      <c r="O3033" s="6" t="s">
        <v>20</v>
      </c>
      <c r="Q3033" s="6" t="s">
        <v>21</v>
      </c>
      <c r="R3033" s="6" t="s">
        <v>21</v>
      </c>
      <c r="S3033" s="6" t="s">
        <v>21</v>
      </c>
      <c r="T3033" s="6" t="s">
        <v>21</v>
      </c>
      <c r="U3033" s="6">
        <f t="shared" si="372"/>
        <v>1967.9869999999999</v>
      </c>
      <c r="V3033" s="6">
        <f t="shared" si="373"/>
        <v>1967.9869999999999</v>
      </c>
    </row>
    <row r="3034" spans="1:22" hidden="1" x14ac:dyDescent="0.35">
      <c r="A3034" s="6" t="s">
        <v>3325</v>
      </c>
      <c r="B3034" s="6" t="s">
        <v>3320</v>
      </c>
      <c r="C3034" s="6" t="s">
        <v>3321</v>
      </c>
      <c r="D3034" s="6">
        <f t="shared" si="374"/>
        <v>0.5</v>
      </c>
      <c r="E3034" s="6" t="s">
        <v>19</v>
      </c>
      <c r="F3034" s="6" t="str">
        <f>MID(A3034,19,1)</f>
        <v>S</v>
      </c>
      <c r="G3034" s="6">
        <v>-22.765884446865758</v>
      </c>
      <c r="H3034" s="6">
        <v>-47.446666470099657</v>
      </c>
      <c r="I3034" s="9">
        <v>15759.08</v>
      </c>
      <c r="K3034" s="6">
        <v>3.51</v>
      </c>
      <c r="L3034" s="6">
        <v>70</v>
      </c>
      <c r="N3034" s="1">
        <f t="shared" si="371"/>
        <v>0</v>
      </c>
      <c r="O3034" s="6" t="s">
        <v>20</v>
      </c>
      <c r="Q3034" s="6" t="s">
        <v>21</v>
      </c>
      <c r="R3034" s="6" t="s">
        <v>21</v>
      </c>
      <c r="S3034" s="6" t="s">
        <v>21</v>
      </c>
      <c r="T3034" s="6" t="s">
        <v>21</v>
      </c>
      <c r="U3034" s="6">
        <f t="shared" si="372"/>
        <v>11031.356</v>
      </c>
      <c r="V3034" s="6">
        <f t="shared" si="373"/>
        <v>11031.356</v>
      </c>
    </row>
    <row r="3035" spans="1:22" hidden="1" x14ac:dyDescent="0.35">
      <c r="A3035" s="6" t="s">
        <v>3326</v>
      </c>
      <c r="B3035" s="6" t="s">
        <v>3320</v>
      </c>
      <c r="C3035" s="6" t="s">
        <v>3321</v>
      </c>
      <c r="D3035" s="6">
        <f t="shared" si="374"/>
        <v>0.5</v>
      </c>
      <c r="E3035" s="6" t="s">
        <v>19</v>
      </c>
      <c r="F3035" s="6" t="str">
        <f>MID(A3035,19,1)</f>
        <v>S</v>
      </c>
      <c r="G3035" s="6">
        <v>-22.766659293786731</v>
      </c>
      <c r="H3035" s="6">
        <v>-47.446665590099222</v>
      </c>
      <c r="I3035" s="9">
        <v>5324.64</v>
      </c>
      <c r="K3035" s="6">
        <v>3.6</v>
      </c>
      <c r="L3035" s="6">
        <v>70</v>
      </c>
      <c r="N3035" s="1">
        <f t="shared" si="371"/>
        <v>0</v>
      </c>
      <c r="O3035" s="6" t="s">
        <v>20</v>
      </c>
      <c r="Q3035" s="6" t="s">
        <v>21</v>
      </c>
      <c r="R3035" s="6" t="s">
        <v>21</v>
      </c>
      <c r="S3035" s="6" t="s">
        <v>21</v>
      </c>
      <c r="T3035" s="6" t="s">
        <v>21</v>
      </c>
      <c r="U3035" s="6">
        <f t="shared" si="372"/>
        <v>3727.248</v>
      </c>
      <c r="V3035" s="6">
        <f t="shared" si="373"/>
        <v>3727.248</v>
      </c>
    </row>
    <row r="3036" spans="1:22" hidden="1" x14ac:dyDescent="0.35">
      <c r="A3036" s="6" t="s">
        <v>3327</v>
      </c>
      <c r="B3036" s="6" t="s">
        <v>3320</v>
      </c>
      <c r="C3036" s="6" t="s">
        <v>3321</v>
      </c>
      <c r="D3036" s="6">
        <f t="shared" si="374"/>
        <v>0.5</v>
      </c>
      <c r="E3036" s="6" t="s">
        <v>19</v>
      </c>
      <c r="F3036" s="6" t="str">
        <f>MID(A3036,19,1)</f>
        <v>S</v>
      </c>
      <c r="G3036" s="6">
        <v>-22.76317881793193</v>
      </c>
      <c r="H3036" s="6">
        <v>-47.447355011416313</v>
      </c>
      <c r="I3036" s="9">
        <v>2373.58</v>
      </c>
      <c r="K3036" s="6">
        <v>5.13</v>
      </c>
      <c r="L3036" s="6">
        <v>70</v>
      </c>
      <c r="N3036" s="1">
        <f t="shared" si="371"/>
        <v>0</v>
      </c>
      <c r="O3036" s="6" t="s">
        <v>20</v>
      </c>
      <c r="Q3036" s="6" t="s">
        <v>21</v>
      </c>
      <c r="R3036" s="6" t="s">
        <v>21</v>
      </c>
      <c r="S3036" s="6" t="s">
        <v>21</v>
      </c>
      <c r="T3036" s="6" t="s">
        <v>21</v>
      </c>
      <c r="U3036" s="6">
        <f t="shared" si="372"/>
        <v>1661.5059999999999</v>
      </c>
      <c r="V3036" s="6">
        <f t="shared" si="373"/>
        <v>1661.5059999999999</v>
      </c>
    </row>
    <row r="3037" spans="1:22" hidden="1" x14ac:dyDescent="0.35">
      <c r="A3037" s="6" t="s">
        <v>3328</v>
      </c>
      <c r="B3037" s="6" t="s">
        <v>3320</v>
      </c>
      <c r="C3037" s="6" t="s">
        <v>3321</v>
      </c>
      <c r="D3037" s="6">
        <f t="shared" si="374"/>
        <v>0.5</v>
      </c>
      <c r="E3037" s="6" t="s">
        <v>19</v>
      </c>
      <c r="F3037" s="6" t="str">
        <f>MID(A3037,19,1)</f>
        <v>S</v>
      </c>
      <c r="G3037" s="6">
        <v>-22.76735671032684</v>
      </c>
      <c r="H3037" s="6">
        <v>-47.446484181153252</v>
      </c>
      <c r="I3037" s="9">
        <v>9040.32</v>
      </c>
      <c r="K3037" s="6">
        <v>3.18</v>
      </c>
      <c r="L3037" s="6">
        <v>70</v>
      </c>
      <c r="N3037" s="1">
        <f t="shared" si="371"/>
        <v>0</v>
      </c>
      <c r="O3037" s="6" t="s">
        <v>20</v>
      </c>
      <c r="Q3037" s="6" t="s">
        <v>21</v>
      </c>
      <c r="R3037" s="6" t="s">
        <v>21</v>
      </c>
      <c r="S3037" s="6" t="s">
        <v>21</v>
      </c>
      <c r="T3037" s="6" t="s">
        <v>21</v>
      </c>
      <c r="U3037" s="6">
        <f t="shared" si="372"/>
        <v>6328.2239999999993</v>
      </c>
      <c r="V3037" s="6">
        <f t="shared" si="373"/>
        <v>6328.2239999999993</v>
      </c>
    </row>
    <row r="3038" spans="1:22" hidden="1" x14ac:dyDescent="0.35">
      <c r="A3038" s="6" t="s">
        <v>3329</v>
      </c>
      <c r="B3038" s="6" t="s">
        <v>3320</v>
      </c>
      <c r="C3038" s="6" t="s">
        <v>3321</v>
      </c>
      <c r="D3038" s="6">
        <f t="shared" si="374"/>
        <v>0.5</v>
      </c>
      <c r="E3038" s="6" t="s">
        <v>19</v>
      </c>
      <c r="F3038" s="6" t="str">
        <f>MID(A3038,19,1)</f>
        <v>S</v>
      </c>
      <c r="G3038" s="6">
        <v>-22.654407822308109</v>
      </c>
      <c r="H3038" s="6">
        <v>-47.32311484225221</v>
      </c>
      <c r="I3038" s="9">
        <v>336.62</v>
      </c>
      <c r="K3038" s="6">
        <v>2.52</v>
      </c>
      <c r="L3038" s="6">
        <v>50</v>
      </c>
      <c r="N3038" s="1">
        <f t="shared" si="371"/>
        <v>0</v>
      </c>
      <c r="O3038" s="6" t="s">
        <v>20</v>
      </c>
      <c r="Q3038" s="6" t="s">
        <v>21</v>
      </c>
      <c r="R3038" s="6" t="s">
        <v>21</v>
      </c>
      <c r="S3038" s="6" t="s">
        <v>21</v>
      </c>
      <c r="T3038" s="6" t="s">
        <v>21</v>
      </c>
      <c r="U3038" s="6">
        <f t="shared" si="372"/>
        <v>168.31</v>
      </c>
      <c r="V3038" s="6">
        <f t="shared" si="373"/>
        <v>168.31</v>
      </c>
    </row>
    <row r="3039" spans="1:22" hidden="1" x14ac:dyDescent="0.35">
      <c r="A3039" s="6" t="s">
        <v>3330</v>
      </c>
      <c r="B3039" s="6" t="s">
        <v>3320</v>
      </c>
      <c r="C3039" s="6" t="s">
        <v>3321</v>
      </c>
      <c r="D3039" s="6">
        <f t="shared" si="374"/>
        <v>0.5</v>
      </c>
      <c r="E3039" s="6" t="s">
        <v>19</v>
      </c>
      <c r="F3039" s="6" t="str">
        <f>MID(A3039,19,1)</f>
        <v>S</v>
      </c>
      <c r="G3039" s="6">
        <v>-22.653651737658691</v>
      </c>
      <c r="H3039" s="6">
        <v>-47.323459815762817</v>
      </c>
      <c r="I3039" s="9">
        <v>2113.64</v>
      </c>
      <c r="K3039" s="6">
        <v>2.5499999999999998</v>
      </c>
      <c r="L3039" s="6">
        <v>50</v>
      </c>
      <c r="N3039" s="1">
        <f t="shared" si="371"/>
        <v>0</v>
      </c>
      <c r="O3039" s="6" t="s">
        <v>20</v>
      </c>
      <c r="Q3039" s="6" t="s">
        <v>21</v>
      </c>
      <c r="R3039" s="6" t="s">
        <v>21</v>
      </c>
      <c r="S3039" s="6" t="s">
        <v>21</v>
      </c>
      <c r="T3039" s="6" t="s">
        <v>21</v>
      </c>
      <c r="U3039" s="6">
        <f t="shared" si="372"/>
        <v>1056.82</v>
      </c>
      <c r="V3039" s="6">
        <f t="shared" si="373"/>
        <v>1056.82</v>
      </c>
    </row>
    <row r="3040" spans="1:22" hidden="1" x14ac:dyDescent="0.35">
      <c r="A3040" s="6" t="s">
        <v>3331</v>
      </c>
      <c r="B3040" s="6" t="s">
        <v>3320</v>
      </c>
      <c r="C3040" s="6" t="s">
        <v>3321</v>
      </c>
      <c r="D3040" s="6">
        <f t="shared" si="374"/>
        <v>0.5</v>
      </c>
      <c r="E3040" s="6" t="s">
        <v>19</v>
      </c>
      <c r="F3040" s="6" t="str">
        <f>MID(A3040,19,1)</f>
        <v>S</v>
      </c>
      <c r="G3040" s="6">
        <v>-22.765786367658681</v>
      </c>
      <c r="H3040" s="6">
        <v>-47.447778531624401</v>
      </c>
      <c r="I3040" s="9">
        <v>534.24</v>
      </c>
      <c r="K3040" s="6">
        <v>4.6399999999999997</v>
      </c>
      <c r="L3040" s="6">
        <v>70</v>
      </c>
      <c r="N3040" s="1">
        <f t="shared" si="371"/>
        <v>0</v>
      </c>
      <c r="O3040" s="6" t="s">
        <v>20</v>
      </c>
      <c r="Q3040" s="6" t="s">
        <v>21</v>
      </c>
      <c r="R3040" s="6" t="s">
        <v>21</v>
      </c>
      <c r="S3040" s="6" t="s">
        <v>21</v>
      </c>
      <c r="T3040" s="6" t="s">
        <v>21</v>
      </c>
      <c r="U3040" s="6">
        <f t="shared" si="372"/>
        <v>373.96799999999996</v>
      </c>
      <c r="V3040" s="6">
        <f t="shared" si="373"/>
        <v>373.96799999999996</v>
      </c>
    </row>
    <row r="3041" spans="1:22" hidden="1" x14ac:dyDescent="0.35">
      <c r="A3041" s="6" t="s">
        <v>3332</v>
      </c>
      <c r="B3041" s="6" t="s">
        <v>3320</v>
      </c>
      <c r="C3041" s="6" t="s">
        <v>3321</v>
      </c>
      <c r="D3041" s="6">
        <f t="shared" si="374"/>
        <v>0.5</v>
      </c>
      <c r="E3041" s="6" t="s">
        <v>19</v>
      </c>
      <c r="F3041" s="6" t="str">
        <f>MID(A3041,19,1)</f>
        <v>S</v>
      </c>
      <c r="G3041" s="6">
        <v>-22.652820506165991</v>
      </c>
      <c r="H3041" s="6">
        <v>-47.323823176991937</v>
      </c>
      <c r="I3041" s="9">
        <v>326.7</v>
      </c>
      <c r="K3041" s="6">
        <v>5.52</v>
      </c>
      <c r="L3041" s="6">
        <v>50</v>
      </c>
      <c r="N3041" s="1">
        <f t="shared" si="371"/>
        <v>0</v>
      </c>
      <c r="O3041" s="6" t="s">
        <v>20</v>
      </c>
      <c r="Q3041" s="6" t="s">
        <v>21</v>
      </c>
      <c r="R3041" s="6" t="s">
        <v>21</v>
      </c>
      <c r="S3041" s="6" t="s">
        <v>21</v>
      </c>
      <c r="T3041" s="6" t="s">
        <v>21</v>
      </c>
      <c r="U3041" s="6">
        <f t="shared" si="372"/>
        <v>163.35</v>
      </c>
      <c r="V3041" s="6">
        <f t="shared" si="373"/>
        <v>163.35</v>
      </c>
    </row>
    <row r="3042" spans="1:22" x14ac:dyDescent="0.35">
      <c r="A3042" s="6" t="s">
        <v>3333</v>
      </c>
      <c r="B3042" s="6" t="s">
        <v>3320</v>
      </c>
      <c r="C3042" s="6" t="s">
        <v>3321</v>
      </c>
      <c r="D3042" s="6">
        <f t="shared" si="374"/>
        <v>0.5</v>
      </c>
      <c r="E3042" s="6" t="s">
        <v>19</v>
      </c>
      <c r="F3042" s="6" t="str">
        <f>MID(A3042,19,1)</f>
        <v>N</v>
      </c>
      <c r="G3042" s="6">
        <v>-22.767622619705332</v>
      </c>
      <c r="H3042" s="6">
        <v>-47.444942313826417</v>
      </c>
      <c r="I3042" s="9">
        <v>7241.5</v>
      </c>
      <c r="K3042" s="6">
        <v>2.89</v>
      </c>
      <c r="L3042" s="6">
        <v>70</v>
      </c>
      <c r="N3042" s="1">
        <f t="shared" si="371"/>
        <v>0</v>
      </c>
      <c r="O3042" s="6" t="s">
        <v>20</v>
      </c>
      <c r="Q3042" s="6" t="s">
        <v>21</v>
      </c>
      <c r="R3042" s="6" t="s">
        <v>21</v>
      </c>
      <c r="S3042" s="6" t="s">
        <v>21</v>
      </c>
      <c r="T3042" s="6" t="s">
        <v>21</v>
      </c>
      <c r="U3042" s="6">
        <f t="shared" si="372"/>
        <v>5069.0499999999993</v>
      </c>
      <c r="V3042" s="6">
        <f t="shared" si="373"/>
        <v>5069.0499999999993</v>
      </c>
    </row>
    <row r="3043" spans="1:22" hidden="1" x14ac:dyDescent="0.35">
      <c r="A3043" s="6" t="s">
        <v>3334</v>
      </c>
      <c r="B3043" s="6" t="s">
        <v>3320</v>
      </c>
      <c r="C3043" s="6" t="s">
        <v>3321</v>
      </c>
      <c r="D3043" s="6">
        <f t="shared" si="374"/>
        <v>0.5</v>
      </c>
      <c r="E3043" s="6" t="s">
        <v>19</v>
      </c>
      <c r="F3043" s="6" t="str">
        <f>MID(A3043,19,1)</f>
        <v>S</v>
      </c>
      <c r="G3043" s="6">
        <v>-22.763655650733511</v>
      </c>
      <c r="H3043" s="6">
        <v>-47.446977244953949</v>
      </c>
      <c r="I3043" s="9">
        <v>13608.44</v>
      </c>
      <c r="K3043" s="6">
        <v>4.3899999999999997</v>
      </c>
      <c r="L3043" s="6">
        <v>70</v>
      </c>
      <c r="N3043" s="1">
        <f t="shared" si="371"/>
        <v>0</v>
      </c>
      <c r="O3043" s="6" t="s">
        <v>20</v>
      </c>
      <c r="Q3043" s="6" t="s">
        <v>21</v>
      </c>
      <c r="R3043" s="6" t="s">
        <v>21</v>
      </c>
      <c r="S3043" s="6" t="s">
        <v>21</v>
      </c>
      <c r="T3043" s="6" t="s">
        <v>21</v>
      </c>
      <c r="U3043" s="6">
        <f t="shared" si="372"/>
        <v>9525.9079999999994</v>
      </c>
      <c r="V3043" s="6">
        <f t="shared" si="373"/>
        <v>9525.9079999999994</v>
      </c>
    </row>
    <row r="3044" spans="1:22" hidden="1" x14ac:dyDescent="0.35">
      <c r="A3044" s="6" t="s">
        <v>3335</v>
      </c>
      <c r="B3044" s="6" t="s">
        <v>3320</v>
      </c>
      <c r="C3044" s="6" t="s">
        <v>3321</v>
      </c>
      <c r="D3044" s="6">
        <f t="shared" si="374"/>
        <v>0.5</v>
      </c>
      <c r="E3044" s="6" t="s">
        <v>19</v>
      </c>
      <c r="F3044" s="6" t="str">
        <f>MID(A3044,19,1)</f>
        <v>S</v>
      </c>
      <c r="G3044" s="6">
        <v>-22.768869151779828</v>
      </c>
      <c r="H3044" s="6">
        <v>-47.446526284992643</v>
      </c>
      <c r="I3044" s="9">
        <v>2462.8000000000002</v>
      </c>
      <c r="K3044" s="6">
        <v>2.8</v>
      </c>
      <c r="L3044" s="6">
        <v>70</v>
      </c>
      <c r="N3044" s="1">
        <f t="shared" si="371"/>
        <v>0</v>
      </c>
      <c r="O3044" s="6" t="s">
        <v>20</v>
      </c>
      <c r="Q3044" s="6" t="s">
        <v>21</v>
      </c>
      <c r="R3044" s="6" t="s">
        <v>21</v>
      </c>
      <c r="S3044" s="6" t="s">
        <v>21</v>
      </c>
      <c r="T3044" s="6" t="s">
        <v>21</v>
      </c>
      <c r="U3044" s="6">
        <f t="shared" si="372"/>
        <v>1723.96</v>
      </c>
      <c r="V3044" s="6">
        <f t="shared" si="373"/>
        <v>1723.96</v>
      </c>
    </row>
    <row r="3045" spans="1:22" hidden="1" x14ac:dyDescent="0.35">
      <c r="A3045" s="6" t="s">
        <v>3336</v>
      </c>
      <c r="B3045" s="6" t="s">
        <v>3320</v>
      </c>
      <c r="C3045" s="6" t="s">
        <v>3321</v>
      </c>
      <c r="D3045" s="6">
        <f t="shared" si="374"/>
        <v>0.5</v>
      </c>
      <c r="E3045" s="6" t="s">
        <v>19</v>
      </c>
      <c r="F3045" s="6" t="str">
        <f>MID(A3045,19,1)</f>
        <v>S</v>
      </c>
      <c r="G3045" s="6">
        <v>-22.65759301028174</v>
      </c>
      <c r="H3045" s="6">
        <v>-47.321512176746033</v>
      </c>
      <c r="I3045" s="9">
        <v>1319.13</v>
      </c>
      <c r="K3045" s="6">
        <v>3.6</v>
      </c>
      <c r="L3045" s="6">
        <v>50</v>
      </c>
      <c r="N3045" s="1">
        <f t="shared" si="371"/>
        <v>0</v>
      </c>
      <c r="O3045" s="6" t="s">
        <v>20</v>
      </c>
      <c r="Q3045" s="6" t="s">
        <v>21</v>
      </c>
      <c r="R3045" s="6" t="s">
        <v>21</v>
      </c>
      <c r="S3045" s="6" t="s">
        <v>21</v>
      </c>
      <c r="T3045" s="6" t="s">
        <v>21</v>
      </c>
      <c r="U3045" s="6">
        <f t="shared" si="372"/>
        <v>659.56500000000005</v>
      </c>
      <c r="V3045" s="6">
        <f t="shared" si="373"/>
        <v>659.56500000000005</v>
      </c>
    </row>
    <row r="3046" spans="1:22" x14ac:dyDescent="0.35">
      <c r="A3046" s="8" t="s">
        <v>3337</v>
      </c>
      <c r="B3046" s="8" t="s">
        <v>3320</v>
      </c>
      <c r="C3046" s="8" t="s">
        <v>3321</v>
      </c>
      <c r="D3046" s="6">
        <f t="shared" si="374"/>
        <v>0.5</v>
      </c>
      <c r="E3046" s="8" t="s">
        <v>19</v>
      </c>
      <c r="F3046" s="6" t="str">
        <f>MID(A3046,19,1)</f>
        <v>N</v>
      </c>
      <c r="G3046" s="8">
        <v>-22.65589542809095</v>
      </c>
      <c r="H3046" s="8">
        <v>-47.322810799564728</v>
      </c>
      <c r="I3046" s="7">
        <v>966.21</v>
      </c>
      <c r="J3046" s="7"/>
      <c r="K3046" s="8">
        <v>2.74</v>
      </c>
      <c r="L3046" s="8">
        <v>70</v>
      </c>
      <c r="M3046" s="8"/>
      <c r="N3046" s="11">
        <f t="shared" si="371"/>
        <v>676.34699999999998</v>
      </c>
      <c r="O3046" s="8" t="s">
        <v>25</v>
      </c>
      <c r="P3046" s="8"/>
      <c r="Q3046" s="8" t="s">
        <v>21</v>
      </c>
      <c r="R3046" s="8" t="s">
        <v>26</v>
      </c>
      <c r="S3046" s="8" t="s">
        <v>21</v>
      </c>
      <c r="T3046" s="8" t="s">
        <v>26</v>
      </c>
      <c r="U3046" s="6">
        <f t="shared" si="372"/>
        <v>0</v>
      </c>
    </row>
    <row r="3047" spans="1:22" hidden="1" x14ac:dyDescent="0.35">
      <c r="A3047" s="6" t="s">
        <v>3338</v>
      </c>
      <c r="B3047" s="6" t="s">
        <v>3320</v>
      </c>
      <c r="C3047" s="6" t="s">
        <v>3321</v>
      </c>
      <c r="D3047" s="6">
        <f t="shared" si="374"/>
        <v>0.5</v>
      </c>
      <c r="E3047" s="6" t="s">
        <v>23</v>
      </c>
      <c r="F3047" s="6" t="str">
        <f>MID(A3047,19,1)</f>
        <v>C</v>
      </c>
      <c r="G3047" s="6">
        <v>-22.769004147191911</v>
      </c>
      <c r="H3047" s="6">
        <v>-47.445776542101761</v>
      </c>
      <c r="I3047" s="9">
        <v>5704.64</v>
      </c>
      <c r="J3047" s="9">
        <f>I3047/500</f>
        <v>11.409280000000001</v>
      </c>
      <c r="K3047" s="6">
        <v>2.66</v>
      </c>
      <c r="L3047" s="6">
        <v>80</v>
      </c>
      <c r="N3047" s="1">
        <f t="shared" si="371"/>
        <v>0</v>
      </c>
      <c r="O3047" s="6" t="s">
        <v>20</v>
      </c>
      <c r="Q3047" s="6" t="s">
        <v>21</v>
      </c>
      <c r="R3047" s="6" t="s">
        <v>21</v>
      </c>
      <c r="S3047" s="6" t="s">
        <v>21</v>
      </c>
      <c r="T3047" s="6" t="s">
        <v>21</v>
      </c>
      <c r="U3047" s="6">
        <f t="shared" si="372"/>
        <v>4563.7120000000004</v>
      </c>
      <c r="V3047" s="6">
        <f t="shared" ref="V3047:V3049" si="375">(I3047*(L3047/100))</f>
        <v>4563.7120000000004</v>
      </c>
    </row>
    <row r="3048" spans="1:22" x14ac:dyDescent="0.35">
      <c r="A3048" s="6" t="s">
        <v>3339</v>
      </c>
      <c r="B3048" s="6" t="s">
        <v>3320</v>
      </c>
      <c r="C3048" s="6" t="s">
        <v>3321</v>
      </c>
      <c r="D3048" s="6">
        <f t="shared" si="374"/>
        <v>0.5</v>
      </c>
      <c r="E3048" s="6" t="s">
        <v>19</v>
      </c>
      <c r="F3048" s="6" t="str">
        <f>MID(A3048,19,1)</f>
        <v>N</v>
      </c>
      <c r="G3048" s="6">
        <v>-22.657978885453691</v>
      </c>
      <c r="H3048" s="6">
        <v>-47.321727281176798</v>
      </c>
      <c r="I3048" s="9">
        <v>1091.56</v>
      </c>
      <c r="K3048" s="6">
        <v>2.79</v>
      </c>
      <c r="L3048" s="6">
        <v>50</v>
      </c>
      <c r="N3048" s="1">
        <f t="shared" si="371"/>
        <v>0</v>
      </c>
      <c r="O3048" s="6" t="s">
        <v>20</v>
      </c>
      <c r="Q3048" s="6" t="s">
        <v>21</v>
      </c>
      <c r="R3048" s="6" t="s">
        <v>21</v>
      </c>
      <c r="S3048" s="6" t="s">
        <v>21</v>
      </c>
      <c r="T3048" s="6" t="s">
        <v>21</v>
      </c>
      <c r="U3048" s="6">
        <f t="shared" si="372"/>
        <v>545.78</v>
      </c>
      <c r="V3048" s="6">
        <f t="shared" si="375"/>
        <v>545.78</v>
      </c>
    </row>
    <row r="3049" spans="1:22" hidden="1" x14ac:dyDescent="0.35">
      <c r="A3049" s="6" t="s">
        <v>3340</v>
      </c>
      <c r="B3049" s="6" t="s">
        <v>3320</v>
      </c>
      <c r="C3049" s="6" t="s">
        <v>3321</v>
      </c>
      <c r="D3049" s="6">
        <f t="shared" si="374"/>
        <v>0.5</v>
      </c>
      <c r="E3049" s="6" t="s">
        <v>19</v>
      </c>
      <c r="F3049" s="6" t="str">
        <f>MID(A3049,19,1)</f>
        <v>S</v>
      </c>
      <c r="G3049" s="6">
        <v>-22.655579808533538</v>
      </c>
      <c r="H3049" s="6">
        <v>-47.322564568479827</v>
      </c>
      <c r="I3049" s="9">
        <v>814.51</v>
      </c>
      <c r="K3049" s="6">
        <v>3.44</v>
      </c>
      <c r="L3049" s="6">
        <v>50</v>
      </c>
      <c r="N3049" s="1">
        <f t="shared" si="371"/>
        <v>0</v>
      </c>
      <c r="O3049" s="6" t="s">
        <v>20</v>
      </c>
      <c r="Q3049" s="6" t="s">
        <v>21</v>
      </c>
      <c r="R3049" s="6" t="s">
        <v>21</v>
      </c>
      <c r="S3049" s="6" t="s">
        <v>21</v>
      </c>
      <c r="T3049" s="6" t="s">
        <v>21</v>
      </c>
      <c r="U3049" s="6">
        <f t="shared" si="372"/>
        <v>407.255</v>
      </c>
      <c r="V3049" s="6">
        <f t="shared" si="375"/>
        <v>407.255</v>
      </c>
    </row>
    <row r="3050" spans="1:22" x14ac:dyDescent="0.35">
      <c r="A3050" s="8" t="s">
        <v>3341</v>
      </c>
      <c r="B3050" s="8" t="s">
        <v>3320</v>
      </c>
      <c r="C3050" s="8" t="s">
        <v>3321</v>
      </c>
      <c r="D3050" s="6">
        <f t="shared" si="374"/>
        <v>0.5</v>
      </c>
      <c r="E3050" s="8" t="s">
        <v>19</v>
      </c>
      <c r="F3050" s="6" t="str">
        <f>MID(A3050,19,1)</f>
        <v>N</v>
      </c>
      <c r="G3050" s="8">
        <v>-22.65367063060166</v>
      </c>
      <c r="H3050" s="8">
        <v>-47.323927805960608</v>
      </c>
      <c r="I3050" s="7">
        <v>1209.81</v>
      </c>
      <c r="J3050" s="7"/>
      <c r="K3050" s="8">
        <v>3.54</v>
      </c>
      <c r="L3050" s="8">
        <v>70</v>
      </c>
      <c r="M3050" s="8"/>
      <c r="N3050" s="11">
        <f t="shared" si="371"/>
        <v>846.86699999999996</v>
      </c>
      <c r="O3050" s="8" t="s">
        <v>25</v>
      </c>
      <c r="P3050" s="8"/>
      <c r="Q3050" s="8" t="s">
        <v>21</v>
      </c>
      <c r="R3050" s="8" t="s">
        <v>26</v>
      </c>
      <c r="S3050" s="8" t="s">
        <v>21</v>
      </c>
      <c r="T3050" s="8" t="s">
        <v>26</v>
      </c>
      <c r="U3050" s="6">
        <f t="shared" si="372"/>
        <v>0</v>
      </c>
    </row>
    <row r="3051" spans="1:22" x14ac:dyDescent="0.35">
      <c r="A3051" s="6" t="s">
        <v>3342</v>
      </c>
      <c r="B3051" s="6" t="s">
        <v>3320</v>
      </c>
      <c r="C3051" s="6" t="s">
        <v>3321</v>
      </c>
      <c r="D3051" s="6">
        <f t="shared" si="374"/>
        <v>0.5</v>
      </c>
      <c r="E3051" s="6" t="s">
        <v>19</v>
      </c>
      <c r="F3051" s="6" t="str">
        <f>MID(A3051,19,1)</f>
        <v>N</v>
      </c>
      <c r="G3051" s="6">
        <v>-22.76665692267402</v>
      </c>
      <c r="H3051" s="6">
        <v>-47.442331457450223</v>
      </c>
      <c r="I3051" s="9">
        <v>1141.19</v>
      </c>
      <c r="K3051" s="6">
        <v>3.7</v>
      </c>
      <c r="L3051" s="6">
        <v>70</v>
      </c>
      <c r="N3051" s="1">
        <f t="shared" si="371"/>
        <v>0</v>
      </c>
      <c r="O3051" s="6" t="s">
        <v>20</v>
      </c>
      <c r="Q3051" s="6" t="s">
        <v>21</v>
      </c>
      <c r="R3051" s="6" t="s">
        <v>21</v>
      </c>
      <c r="S3051" s="6" t="s">
        <v>21</v>
      </c>
      <c r="T3051" s="6" t="s">
        <v>21</v>
      </c>
      <c r="U3051" s="6">
        <f t="shared" si="372"/>
        <v>798.83299999999997</v>
      </c>
      <c r="V3051" s="6">
        <f t="shared" ref="V3051:V3080" si="376">(I3051*(L3051/100))</f>
        <v>798.83299999999997</v>
      </c>
    </row>
    <row r="3052" spans="1:22" hidden="1" x14ac:dyDescent="0.35">
      <c r="A3052" s="6" t="s">
        <v>3343</v>
      </c>
      <c r="B3052" s="6" t="s">
        <v>3320</v>
      </c>
      <c r="C3052" s="6" t="s">
        <v>3321</v>
      </c>
      <c r="D3052" s="6">
        <f t="shared" si="374"/>
        <v>0.5</v>
      </c>
      <c r="E3052" s="6" t="s">
        <v>19</v>
      </c>
      <c r="F3052" s="6" t="str">
        <f>MID(A3052,19,1)</f>
        <v>S</v>
      </c>
      <c r="G3052" s="6">
        <v>-22.651312591303679</v>
      </c>
      <c r="H3052" s="6">
        <v>-47.324508877394642</v>
      </c>
      <c r="I3052" s="9">
        <v>1121.9100000000001</v>
      </c>
      <c r="K3052" s="6">
        <v>4.67</v>
      </c>
      <c r="L3052" s="6">
        <v>50</v>
      </c>
      <c r="N3052" s="1">
        <f t="shared" si="371"/>
        <v>0</v>
      </c>
      <c r="O3052" s="6" t="s">
        <v>20</v>
      </c>
      <c r="Q3052" s="6" t="s">
        <v>21</v>
      </c>
      <c r="R3052" s="6" t="s">
        <v>21</v>
      </c>
      <c r="S3052" s="6" t="s">
        <v>21</v>
      </c>
      <c r="T3052" s="6" t="s">
        <v>21</v>
      </c>
      <c r="U3052" s="6">
        <f t="shared" si="372"/>
        <v>560.95500000000004</v>
      </c>
      <c r="V3052" s="6">
        <f t="shared" si="376"/>
        <v>560.95500000000004</v>
      </c>
    </row>
    <row r="3053" spans="1:22" x14ac:dyDescent="0.35">
      <c r="A3053" s="6" t="s">
        <v>3344</v>
      </c>
      <c r="B3053" s="6" t="s">
        <v>3320</v>
      </c>
      <c r="C3053" s="6" t="s">
        <v>3321</v>
      </c>
      <c r="D3053" s="6">
        <f t="shared" si="374"/>
        <v>0.5</v>
      </c>
      <c r="E3053" s="6" t="s">
        <v>19</v>
      </c>
      <c r="F3053" s="6" t="str">
        <f>MID(A3053,19,1)</f>
        <v>N</v>
      </c>
      <c r="G3053" s="6">
        <v>-22.650731439513809</v>
      </c>
      <c r="H3053" s="6">
        <v>-47.32514523744733</v>
      </c>
      <c r="I3053" s="9">
        <v>444.44</v>
      </c>
      <c r="K3053" s="6">
        <v>4.8</v>
      </c>
      <c r="L3053" s="6">
        <v>50</v>
      </c>
      <c r="N3053" s="1">
        <f t="shared" si="371"/>
        <v>0</v>
      </c>
      <c r="O3053" s="6" t="s">
        <v>20</v>
      </c>
      <c r="Q3053" s="6" t="s">
        <v>21</v>
      </c>
      <c r="R3053" s="6" t="s">
        <v>21</v>
      </c>
      <c r="S3053" s="6" t="s">
        <v>21</v>
      </c>
      <c r="T3053" s="6" t="s">
        <v>21</v>
      </c>
      <c r="U3053" s="6">
        <f t="shared" si="372"/>
        <v>222.22</v>
      </c>
      <c r="V3053" s="6">
        <f t="shared" si="376"/>
        <v>222.22</v>
      </c>
    </row>
    <row r="3054" spans="1:22" hidden="1" x14ac:dyDescent="0.35">
      <c r="A3054" s="6" t="s">
        <v>3345</v>
      </c>
      <c r="B3054" s="6" t="s">
        <v>3320</v>
      </c>
      <c r="C3054" s="6" t="s">
        <v>3321</v>
      </c>
      <c r="D3054" s="6">
        <f t="shared" si="374"/>
        <v>0.5</v>
      </c>
      <c r="E3054" s="6" t="s">
        <v>23</v>
      </c>
      <c r="F3054" s="6" t="str">
        <f>MID(A3054,19,1)</f>
        <v>C</v>
      </c>
      <c r="G3054" s="6">
        <v>-22.763169858849569</v>
      </c>
      <c r="H3054" s="6">
        <v>-47.44557911528139</v>
      </c>
      <c r="I3054" s="9">
        <v>5360.76</v>
      </c>
      <c r="J3054" s="9">
        <f>I3054/500</f>
        <v>10.72152</v>
      </c>
      <c r="K3054" s="6">
        <v>4.13</v>
      </c>
      <c r="L3054" s="6">
        <v>80</v>
      </c>
      <c r="N3054" s="1">
        <f t="shared" si="371"/>
        <v>0</v>
      </c>
      <c r="O3054" s="6" t="s">
        <v>20</v>
      </c>
      <c r="Q3054" s="6" t="s">
        <v>21</v>
      </c>
      <c r="R3054" s="6" t="s">
        <v>21</v>
      </c>
      <c r="S3054" s="6" t="s">
        <v>21</v>
      </c>
      <c r="T3054" s="6" t="s">
        <v>21</v>
      </c>
      <c r="U3054" s="6">
        <f t="shared" si="372"/>
        <v>4288.6080000000002</v>
      </c>
      <c r="V3054" s="6">
        <f t="shared" si="376"/>
        <v>4288.6080000000002</v>
      </c>
    </row>
    <row r="3055" spans="1:22" x14ac:dyDescent="0.35">
      <c r="A3055" s="6" t="s">
        <v>3346</v>
      </c>
      <c r="B3055" s="6" t="s">
        <v>3320</v>
      </c>
      <c r="C3055" s="6" t="s">
        <v>3321</v>
      </c>
      <c r="D3055" s="6">
        <f t="shared" si="374"/>
        <v>0.5</v>
      </c>
      <c r="E3055" s="6" t="s">
        <v>19</v>
      </c>
      <c r="F3055" s="6" t="str">
        <f>MID(A3055,19,1)</f>
        <v>N</v>
      </c>
      <c r="G3055" s="6">
        <v>-22.766944199494439</v>
      </c>
      <c r="H3055" s="6">
        <v>-47.444784715522253</v>
      </c>
      <c r="I3055" s="9">
        <v>8778.98</v>
      </c>
      <c r="K3055" s="6">
        <v>4.1500000000000004</v>
      </c>
      <c r="L3055" s="6">
        <v>70</v>
      </c>
      <c r="N3055" s="1">
        <f t="shared" si="371"/>
        <v>0</v>
      </c>
      <c r="O3055" s="6" t="s">
        <v>20</v>
      </c>
      <c r="Q3055" s="6" t="s">
        <v>21</v>
      </c>
      <c r="R3055" s="6" t="s">
        <v>21</v>
      </c>
      <c r="S3055" s="6" t="s">
        <v>21</v>
      </c>
      <c r="T3055" s="6" t="s">
        <v>21</v>
      </c>
      <c r="U3055" s="6">
        <f t="shared" si="372"/>
        <v>6145.2859999999991</v>
      </c>
      <c r="V3055" s="6">
        <f t="shared" si="376"/>
        <v>6145.2859999999991</v>
      </c>
    </row>
    <row r="3056" spans="1:22" hidden="1" x14ac:dyDescent="0.35">
      <c r="A3056" s="6" t="s">
        <v>3347</v>
      </c>
      <c r="B3056" s="6" t="s">
        <v>3320</v>
      </c>
      <c r="C3056" s="6" t="s">
        <v>3321</v>
      </c>
      <c r="D3056" s="6">
        <f t="shared" si="374"/>
        <v>0.5</v>
      </c>
      <c r="E3056" s="6" t="s">
        <v>19</v>
      </c>
      <c r="F3056" s="6" t="str">
        <f>MID(A3056,19,1)</f>
        <v>S</v>
      </c>
      <c r="G3056" s="6">
        <v>-22.768720369763429</v>
      </c>
      <c r="H3056" s="6">
        <v>-47.445975786268939</v>
      </c>
      <c r="I3056" s="9">
        <v>4125.42</v>
      </c>
      <c r="K3056" s="6">
        <v>2.63</v>
      </c>
      <c r="L3056" s="6">
        <v>70</v>
      </c>
      <c r="N3056" s="1">
        <f t="shared" si="371"/>
        <v>0</v>
      </c>
      <c r="O3056" s="6" t="s">
        <v>20</v>
      </c>
      <c r="Q3056" s="6" t="s">
        <v>21</v>
      </c>
      <c r="R3056" s="6" t="s">
        <v>21</v>
      </c>
      <c r="S3056" s="6" t="s">
        <v>21</v>
      </c>
      <c r="T3056" s="6" t="s">
        <v>21</v>
      </c>
      <c r="U3056" s="6">
        <f t="shared" si="372"/>
        <v>2887.7939999999999</v>
      </c>
      <c r="V3056" s="6">
        <f t="shared" si="376"/>
        <v>2887.7939999999999</v>
      </c>
    </row>
    <row r="3057" spans="1:22" hidden="1" x14ac:dyDescent="0.35">
      <c r="A3057" s="6" t="s">
        <v>3348</v>
      </c>
      <c r="B3057" s="6" t="s">
        <v>3320</v>
      </c>
      <c r="C3057" s="6" t="s">
        <v>3321</v>
      </c>
      <c r="D3057" s="6">
        <f t="shared" si="374"/>
        <v>0.5</v>
      </c>
      <c r="E3057" s="6" t="s">
        <v>19</v>
      </c>
      <c r="F3057" s="6" t="str">
        <f>MID(A3057,19,1)</f>
        <v>S</v>
      </c>
      <c r="G3057" s="6">
        <v>-22.766034067906201</v>
      </c>
      <c r="H3057" s="6">
        <v>-47.445684869120711</v>
      </c>
      <c r="I3057" s="9">
        <v>1199.9000000000001</v>
      </c>
      <c r="K3057" s="6">
        <v>1.52</v>
      </c>
      <c r="L3057" s="6">
        <v>80</v>
      </c>
      <c r="N3057" s="1">
        <f t="shared" si="371"/>
        <v>0</v>
      </c>
      <c r="O3057" s="6" t="s">
        <v>20</v>
      </c>
      <c r="Q3057" s="6" t="s">
        <v>21</v>
      </c>
      <c r="R3057" s="6" t="s">
        <v>21</v>
      </c>
      <c r="S3057" s="6" t="s">
        <v>21</v>
      </c>
      <c r="T3057" s="6" t="s">
        <v>21</v>
      </c>
      <c r="U3057" s="6">
        <f t="shared" si="372"/>
        <v>959.92000000000007</v>
      </c>
      <c r="V3057" s="6">
        <f t="shared" si="376"/>
        <v>959.92000000000007</v>
      </c>
    </row>
    <row r="3058" spans="1:22" x14ac:dyDescent="0.35">
      <c r="A3058" s="6" t="s">
        <v>3349</v>
      </c>
      <c r="B3058" s="6" t="s">
        <v>3320</v>
      </c>
      <c r="C3058" s="6" t="s">
        <v>3321</v>
      </c>
      <c r="D3058" s="6">
        <f t="shared" si="374"/>
        <v>0.5</v>
      </c>
      <c r="E3058" s="6" t="s">
        <v>19</v>
      </c>
      <c r="F3058" s="6" t="str">
        <f>MID(A3058,19,1)</f>
        <v>N</v>
      </c>
      <c r="G3058" s="6">
        <v>-22.65188048734322</v>
      </c>
      <c r="H3058" s="6">
        <v>-47.324732932532427</v>
      </c>
      <c r="I3058" s="9">
        <v>605.08000000000004</v>
      </c>
      <c r="K3058" s="6">
        <v>5.38</v>
      </c>
      <c r="L3058" s="6">
        <v>50</v>
      </c>
      <c r="N3058" s="1">
        <f t="shared" si="371"/>
        <v>0</v>
      </c>
      <c r="O3058" s="6" t="s">
        <v>20</v>
      </c>
      <c r="Q3058" s="6" t="s">
        <v>21</v>
      </c>
      <c r="R3058" s="6" t="s">
        <v>21</v>
      </c>
      <c r="S3058" s="6" t="s">
        <v>21</v>
      </c>
      <c r="T3058" s="6" t="s">
        <v>21</v>
      </c>
      <c r="U3058" s="6">
        <f t="shared" si="372"/>
        <v>302.54000000000002</v>
      </c>
      <c r="V3058" s="6">
        <f t="shared" si="376"/>
        <v>302.54000000000002</v>
      </c>
    </row>
    <row r="3059" spans="1:22" hidden="1" x14ac:dyDescent="0.35">
      <c r="A3059" s="6" t="s">
        <v>3350</v>
      </c>
      <c r="B3059" s="6" t="s">
        <v>3320</v>
      </c>
      <c r="C3059" s="6" t="s">
        <v>3321</v>
      </c>
      <c r="D3059" s="6">
        <f t="shared" si="374"/>
        <v>0.5</v>
      </c>
      <c r="E3059" s="6" t="s">
        <v>19</v>
      </c>
      <c r="F3059" s="6" t="str">
        <f>MID(A3059,19,1)</f>
        <v>S</v>
      </c>
      <c r="G3059" s="6">
        <v>-22.76602480119778</v>
      </c>
      <c r="H3059" s="6">
        <v>-47.445883556499282</v>
      </c>
      <c r="I3059" s="9">
        <v>808.16</v>
      </c>
      <c r="K3059" s="6">
        <v>1.43</v>
      </c>
      <c r="L3059" s="6">
        <v>70</v>
      </c>
      <c r="N3059" s="1">
        <f t="shared" si="371"/>
        <v>0</v>
      </c>
      <c r="O3059" s="6" t="s">
        <v>20</v>
      </c>
      <c r="Q3059" s="6" t="s">
        <v>21</v>
      </c>
      <c r="R3059" s="6" t="s">
        <v>21</v>
      </c>
      <c r="S3059" s="6" t="s">
        <v>21</v>
      </c>
      <c r="T3059" s="6" t="s">
        <v>21</v>
      </c>
      <c r="U3059" s="6">
        <f t="shared" si="372"/>
        <v>565.71199999999999</v>
      </c>
      <c r="V3059" s="6">
        <f t="shared" si="376"/>
        <v>565.71199999999999</v>
      </c>
    </row>
    <row r="3060" spans="1:22" x14ac:dyDescent="0.35">
      <c r="A3060" s="6" t="s">
        <v>3351</v>
      </c>
      <c r="B3060" s="6" t="s">
        <v>3320</v>
      </c>
      <c r="C3060" s="6" t="s">
        <v>3321</v>
      </c>
      <c r="D3060" s="6">
        <f t="shared" si="374"/>
        <v>0.5</v>
      </c>
      <c r="E3060" s="6" t="s">
        <v>19</v>
      </c>
      <c r="F3060" s="6" t="str">
        <f>MID(A3060,19,1)</f>
        <v>N</v>
      </c>
      <c r="G3060" s="6">
        <v>-22.766126433731898</v>
      </c>
      <c r="H3060" s="6">
        <v>-47.443174162675312</v>
      </c>
      <c r="I3060" s="9">
        <v>2761.3</v>
      </c>
      <c r="K3060" s="6">
        <v>2.2599999999999998</v>
      </c>
      <c r="L3060" s="6">
        <v>70</v>
      </c>
      <c r="N3060" s="1">
        <f t="shared" si="371"/>
        <v>0</v>
      </c>
      <c r="O3060" s="6" t="s">
        <v>20</v>
      </c>
      <c r="Q3060" s="6" t="s">
        <v>21</v>
      </c>
      <c r="R3060" s="6" t="s">
        <v>21</v>
      </c>
      <c r="S3060" s="6" t="s">
        <v>21</v>
      </c>
      <c r="T3060" s="6" t="s">
        <v>21</v>
      </c>
      <c r="U3060" s="6">
        <f t="shared" si="372"/>
        <v>1932.91</v>
      </c>
      <c r="V3060" s="6">
        <f t="shared" si="376"/>
        <v>1932.91</v>
      </c>
    </row>
    <row r="3061" spans="1:22" x14ac:dyDescent="0.35">
      <c r="A3061" s="6" t="s">
        <v>3352</v>
      </c>
      <c r="B3061" s="6" t="s">
        <v>3320</v>
      </c>
      <c r="C3061" s="6" t="s">
        <v>3321</v>
      </c>
      <c r="D3061" s="6">
        <f t="shared" si="374"/>
        <v>0.5</v>
      </c>
      <c r="E3061" s="6" t="s">
        <v>19</v>
      </c>
      <c r="F3061" s="6" t="str">
        <f>MID(A3061,19,1)</f>
        <v>N</v>
      </c>
      <c r="G3061" s="6">
        <v>-22.766334648515979</v>
      </c>
      <c r="H3061" s="6">
        <v>-47.443646485860313</v>
      </c>
      <c r="I3061" s="9">
        <v>5302.26</v>
      </c>
      <c r="K3061" s="6">
        <v>3.8</v>
      </c>
      <c r="L3061" s="6">
        <v>70</v>
      </c>
      <c r="N3061" s="1">
        <f t="shared" si="371"/>
        <v>0</v>
      </c>
      <c r="O3061" s="6" t="s">
        <v>20</v>
      </c>
      <c r="Q3061" s="6" t="s">
        <v>21</v>
      </c>
      <c r="R3061" s="6" t="s">
        <v>21</v>
      </c>
      <c r="S3061" s="6" t="s">
        <v>21</v>
      </c>
      <c r="T3061" s="6" t="s">
        <v>21</v>
      </c>
      <c r="U3061" s="6">
        <f t="shared" si="372"/>
        <v>3711.5819999999999</v>
      </c>
      <c r="V3061" s="6">
        <f t="shared" si="376"/>
        <v>3711.5819999999999</v>
      </c>
    </row>
    <row r="3062" spans="1:22" hidden="1" x14ac:dyDescent="0.35">
      <c r="A3062" s="6" t="s">
        <v>3353</v>
      </c>
      <c r="B3062" s="6" t="s">
        <v>3320</v>
      </c>
      <c r="C3062" s="6" t="s">
        <v>3321</v>
      </c>
      <c r="D3062" s="6">
        <f t="shared" si="374"/>
        <v>0.5</v>
      </c>
      <c r="E3062" s="6" t="s">
        <v>23</v>
      </c>
      <c r="F3062" s="6" t="str">
        <f>MID(A3062,19,1)</f>
        <v>C</v>
      </c>
      <c r="G3062" s="6">
        <v>-22.763204252011239</v>
      </c>
      <c r="H3062" s="6">
        <v>-47.445380102256593</v>
      </c>
      <c r="I3062" s="9">
        <v>3956.93</v>
      </c>
      <c r="J3062" s="9">
        <f>I3062/500</f>
        <v>7.9138599999999997</v>
      </c>
      <c r="K3062" s="6">
        <v>3.34</v>
      </c>
      <c r="L3062" s="6">
        <v>70</v>
      </c>
      <c r="N3062" s="1">
        <f t="shared" si="371"/>
        <v>0</v>
      </c>
      <c r="O3062" s="6" t="s">
        <v>20</v>
      </c>
      <c r="Q3062" s="6" t="s">
        <v>21</v>
      </c>
      <c r="R3062" s="6" t="s">
        <v>21</v>
      </c>
      <c r="S3062" s="6" t="s">
        <v>21</v>
      </c>
      <c r="T3062" s="6" t="s">
        <v>21</v>
      </c>
      <c r="U3062" s="6">
        <f t="shared" si="372"/>
        <v>2769.8509999999997</v>
      </c>
      <c r="V3062" s="6">
        <f t="shared" si="376"/>
        <v>2769.8509999999997</v>
      </c>
    </row>
    <row r="3063" spans="1:22" x14ac:dyDescent="0.35">
      <c r="A3063" s="6" t="s">
        <v>3354</v>
      </c>
      <c r="B3063" s="6" t="s">
        <v>3320</v>
      </c>
      <c r="C3063" s="6" t="s">
        <v>3321</v>
      </c>
      <c r="D3063" s="6">
        <f t="shared" si="374"/>
        <v>0.5</v>
      </c>
      <c r="E3063" s="6" t="s">
        <v>19</v>
      </c>
      <c r="F3063" s="6" t="str">
        <f>MID(A3063,19,1)</f>
        <v>N</v>
      </c>
      <c r="G3063" s="6">
        <v>-22.768930151010149</v>
      </c>
      <c r="H3063" s="6">
        <v>-47.445021772182947</v>
      </c>
      <c r="I3063" s="9">
        <v>2375.8200000000002</v>
      </c>
      <c r="K3063" s="6">
        <v>2.39</v>
      </c>
      <c r="L3063" s="6">
        <v>70</v>
      </c>
      <c r="N3063" s="1">
        <f t="shared" si="371"/>
        <v>0</v>
      </c>
      <c r="O3063" s="6" t="s">
        <v>20</v>
      </c>
      <c r="Q3063" s="6" t="s">
        <v>21</v>
      </c>
      <c r="R3063" s="6" t="s">
        <v>21</v>
      </c>
      <c r="S3063" s="6" t="s">
        <v>21</v>
      </c>
      <c r="T3063" s="6" t="s">
        <v>21</v>
      </c>
      <c r="U3063" s="6">
        <f t="shared" si="372"/>
        <v>1663.0740000000001</v>
      </c>
      <c r="V3063" s="6">
        <f t="shared" si="376"/>
        <v>1663.0740000000001</v>
      </c>
    </row>
    <row r="3064" spans="1:22" hidden="1" x14ac:dyDescent="0.35">
      <c r="A3064" s="6" t="s">
        <v>3355</v>
      </c>
      <c r="B3064" s="6" t="s">
        <v>3320</v>
      </c>
      <c r="C3064" s="6" t="s">
        <v>3321</v>
      </c>
      <c r="D3064" s="6">
        <f t="shared" si="374"/>
        <v>0.5</v>
      </c>
      <c r="E3064" s="6" t="s">
        <v>19</v>
      </c>
      <c r="F3064" s="6" t="str">
        <f>MID(A3064,19,1)</f>
        <v>S</v>
      </c>
      <c r="G3064" s="6">
        <v>-22.76312197117954</v>
      </c>
      <c r="H3064" s="6">
        <v>-47.445780598285488</v>
      </c>
      <c r="I3064" s="9">
        <v>3826.44</v>
      </c>
      <c r="K3064" s="6">
        <v>5.08</v>
      </c>
      <c r="L3064" s="6">
        <v>70</v>
      </c>
      <c r="N3064" s="1">
        <f t="shared" si="371"/>
        <v>0</v>
      </c>
      <c r="O3064" s="6" t="s">
        <v>20</v>
      </c>
      <c r="Q3064" s="6" t="s">
        <v>21</v>
      </c>
      <c r="R3064" s="6" t="s">
        <v>21</v>
      </c>
      <c r="S3064" s="6" t="s">
        <v>21</v>
      </c>
      <c r="T3064" s="6" t="s">
        <v>21</v>
      </c>
      <c r="U3064" s="6">
        <f t="shared" si="372"/>
        <v>2678.5079999999998</v>
      </c>
      <c r="V3064" s="6">
        <f t="shared" si="376"/>
        <v>2678.5079999999998</v>
      </c>
    </row>
    <row r="3065" spans="1:22" x14ac:dyDescent="0.35">
      <c r="A3065" s="6" t="s">
        <v>3356</v>
      </c>
      <c r="B3065" s="6" t="s">
        <v>3320</v>
      </c>
      <c r="C3065" s="6" t="s">
        <v>3321</v>
      </c>
      <c r="D3065" s="6">
        <f t="shared" si="374"/>
        <v>0.5</v>
      </c>
      <c r="E3065" s="6" t="s">
        <v>19</v>
      </c>
      <c r="F3065" s="6" t="str">
        <f>MID(A3065,19,1)</f>
        <v>N</v>
      </c>
      <c r="G3065" s="6">
        <v>-22.768530557672712</v>
      </c>
      <c r="H3065" s="6">
        <v>-47.445576197805927</v>
      </c>
      <c r="I3065" s="9">
        <v>3205.9</v>
      </c>
      <c r="K3065" s="6">
        <v>2.41</v>
      </c>
      <c r="L3065" s="6">
        <v>70</v>
      </c>
      <c r="N3065" s="1">
        <f t="shared" si="371"/>
        <v>0</v>
      </c>
      <c r="O3065" s="6" t="s">
        <v>20</v>
      </c>
      <c r="Q3065" s="6" t="s">
        <v>21</v>
      </c>
      <c r="R3065" s="6" t="s">
        <v>21</v>
      </c>
      <c r="S3065" s="6" t="s">
        <v>21</v>
      </c>
      <c r="T3065" s="6" t="s">
        <v>21</v>
      </c>
      <c r="U3065" s="6">
        <f t="shared" si="372"/>
        <v>2244.13</v>
      </c>
      <c r="V3065" s="6">
        <f t="shared" si="376"/>
        <v>2244.13</v>
      </c>
    </row>
    <row r="3066" spans="1:22" x14ac:dyDescent="0.35">
      <c r="A3066" s="6" t="s">
        <v>3357</v>
      </c>
      <c r="B3066" s="6" t="s">
        <v>3320</v>
      </c>
      <c r="C3066" s="6" t="s">
        <v>3321</v>
      </c>
      <c r="D3066" s="6">
        <f t="shared" si="374"/>
        <v>0.5</v>
      </c>
      <c r="E3066" s="6" t="s">
        <v>19</v>
      </c>
      <c r="F3066" s="6" t="str">
        <f>MID(A3066,19,1)</f>
        <v>N</v>
      </c>
      <c r="G3066" s="6">
        <v>-22.766066910391292</v>
      </c>
      <c r="H3066" s="6">
        <v>-47.445487903026979</v>
      </c>
      <c r="I3066" s="9">
        <v>721.98</v>
      </c>
      <c r="K3066" s="6">
        <v>2.2599999999999998</v>
      </c>
      <c r="L3066" s="6">
        <v>70</v>
      </c>
      <c r="N3066" s="1">
        <f t="shared" si="371"/>
        <v>0</v>
      </c>
      <c r="O3066" s="6" t="s">
        <v>20</v>
      </c>
      <c r="Q3066" s="6" t="s">
        <v>21</v>
      </c>
      <c r="R3066" s="6" t="s">
        <v>21</v>
      </c>
      <c r="S3066" s="6" t="s">
        <v>21</v>
      </c>
      <c r="T3066" s="6" t="s">
        <v>21</v>
      </c>
      <c r="U3066" s="6">
        <f t="shared" si="372"/>
        <v>505.38599999999997</v>
      </c>
      <c r="V3066" s="6">
        <f t="shared" si="376"/>
        <v>505.38599999999997</v>
      </c>
    </row>
    <row r="3067" spans="1:22" x14ac:dyDescent="0.35">
      <c r="A3067" s="6" t="s">
        <v>3358</v>
      </c>
      <c r="B3067" s="6" t="s">
        <v>3320</v>
      </c>
      <c r="C3067" s="6" t="s">
        <v>3321</v>
      </c>
      <c r="D3067" s="6">
        <f t="shared" si="374"/>
        <v>0.5</v>
      </c>
      <c r="E3067" s="6" t="s">
        <v>19</v>
      </c>
      <c r="F3067" s="6" t="str">
        <f>MID(A3067,19,1)</f>
        <v>N</v>
      </c>
      <c r="G3067" s="6">
        <v>-22.764195511309062</v>
      </c>
      <c r="H3067" s="6">
        <v>-47.44343652999838</v>
      </c>
      <c r="I3067" s="9">
        <v>3229.84</v>
      </c>
      <c r="K3067" s="6">
        <v>2.77</v>
      </c>
      <c r="L3067" s="6">
        <v>70</v>
      </c>
      <c r="N3067" s="1">
        <f t="shared" si="371"/>
        <v>0</v>
      </c>
      <c r="O3067" s="6" t="s">
        <v>20</v>
      </c>
      <c r="Q3067" s="6" t="s">
        <v>21</v>
      </c>
      <c r="R3067" s="6" t="s">
        <v>21</v>
      </c>
      <c r="S3067" s="6" t="s">
        <v>21</v>
      </c>
      <c r="T3067" s="6" t="s">
        <v>21</v>
      </c>
      <c r="U3067" s="6">
        <f t="shared" si="372"/>
        <v>2260.8879999999999</v>
      </c>
      <c r="V3067" s="6">
        <f t="shared" si="376"/>
        <v>2260.8879999999999</v>
      </c>
    </row>
    <row r="3068" spans="1:22" x14ac:dyDescent="0.35">
      <c r="A3068" s="6" t="s">
        <v>3359</v>
      </c>
      <c r="B3068" s="6" t="s">
        <v>3320</v>
      </c>
      <c r="C3068" s="6" t="s">
        <v>3321</v>
      </c>
      <c r="D3068" s="6">
        <f t="shared" si="374"/>
        <v>0.5</v>
      </c>
      <c r="E3068" s="6" t="s">
        <v>19</v>
      </c>
      <c r="F3068" s="6" t="str">
        <f>MID(A3068,19,1)</f>
        <v>N</v>
      </c>
      <c r="G3068" s="6">
        <v>-22.76622255623964</v>
      </c>
      <c r="H3068" s="6">
        <v>-47.444764342169648</v>
      </c>
      <c r="I3068" s="9">
        <v>10568.59</v>
      </c>
      <c r="K3068" s="6">
        <v>3.63</v>
      </c>
      <c r="L3068" s="6">
        <v>70</v>
      </c>
      <c r="N3068" s="1">
        <f t="shared" si="371"/>
        <v>0</v>
      </c>
      <c r="O3068" s="6" t="s">
        <v>20</v>
      </c>
      <c r="Q3068" s="6" t="s">
        <v>21</v>
      </c>
      <c r="R3068" s="6" t="s">
        <v>21</v>
      </c>
      <c r="S3068" s="6" t="s">
        <v>21</v>
      </c>
      <c r="T3068" s="6" t="s">
        <v>21</v>
      </c>
      <c r="U3068" s="6">
        <f t="shared" si="372"/>
        <v>7398.0129999999999</v>
      </c>
      <c r="V3068" s="6">
        <f t="shared" si="376"/>
        <v>7398.0129999999999</v>
      </c>
    </row>
    <row r="3069" spans="1:22" x14ac:dyDescent="0.35">
      <c r="A3069" s="6" t="s">
        <v>3360</v>
      </c>
      <c r="B3069" s="6" t="s">
        <v>3320</v>
      </c>
      <c r="C3069" s="6" t="s">
        <v>3321</v>
      </c>
      <c r="D3069" s="6">
        <f t="shared" si="374"/>
        <v>0.5</v>
      </c>
      <c r="E3069" s="6" t="s">
        <v>19</v>
      </c>
      <c r="F3069" s="6" t="str">
        <f>MID(A3069,19,1)</f>
        <v>N</v>
      </c>
      <c r="G3069" s="6">
        <v>-22.764619519811429</v>
      </c>
      <c r="H3069" s="6">
        <v>-47.444346665152047</v>
      </c>
      <c r="I3069" s="9">
        <v>35848.61</v>
      </c>
      <c r="K3069" s="6">
        <v>3.02</v>
      </c>
      <c r="L3069" s="6">
        <v>70</v>
      </c>
      <c r="N3069" s="1">
        <f t="shared" si="371"/>
        <v>0</v>
      </c>
      <c r="O3069" s="6" t="s">
        <v>20</v>
      </c>
      <c r="Q3069" s="6" t="s">
        <v>21</v>
      </c>
      <c r="R3069" s="6" t="s">
        <v>21</v>
      </c>
      <c r="S3069" s="6" t="s">
        <v>21</v>
      </c>
      <c r="T3069" s="6" t="s">
        <v>21</v>
      </c>
      <c r="U3069" s="6">
        <f t="shared" si="372"/>
        <v>25094.026999999998</v>
      </c>
      <c r="V3069" s="6">
        <f t="shared" si="376"/>
        <v>25094.026999999998</v>
      </c>
    </row>
    <row r="3070" spans="1:22" x14ac:dyDescent="0.35">
      <c r="A3070" s="6" t="s">
        <v>3361</v>
      </c>
      <c r="B3070" s="6" t="s">
        <v>3362</v>
      </c>
      <c r="C3070" s="6" t="s">
        <v>3363</v>
      </c>
      <c r="D3070" s="6">
        <f t="shared" si="374"/>
        <v>0.5</v>
      </c>
      <c r="E3070" s="6" t="s">
        <v>19</v>
      </c>
      <c r="F3070" s="6" t="str">
        <f>MID(A3070,19,1)</f>
        <v>N</v>
      </c>
      <c r="G3070" s="6">
        <v>-22.649373322596979</v>
      </c>
      <c r="H3070" s="6">
        <v>-47.325693167788472</v>
      </c>
      <c r="I3070" s="9">
        <v>892.56</v>
      </c>
      <c r="K3070" s="6">
        <v>5.6</v>
      </c>
      <c r="L3070" s="6">
        <v>50</v>
      </c>
      <c r="N3070" s="1">
        <f t="shared" si="371"/>
        <v>0</v>
      </c>
      <c r="O3070" s="6" t="s">
        <v>20</v>
      </c>
      <c r="Q3070" s="6" t="s">
        <v>21</v>
      </c>
      <c r="R3070" s="6" t="s">
        <v>21</v>
      </c>
      <c r="S3070" s="6" t="s">
        <v>21</v>
      </c>
      <c r="T3070" s="6" t="s">
        <v>21</v>
      </c>
      <c r="U3070" s="6">
        <f t="shared" si="372"/>
        <v>446.28</v>
      </c>
      <c r="V3070" s="6">
        <f t="shared" si="376"/>
        <v>446.28</v>
      </c>
    </row>
    <row r="3071" spans="1:22" x14ac:dyDescent="0.35">
      <c r="A3071" s="6" t="s">
        <v>3364</v>
      </c>
      <c r="B3071" s="6" t="s">
        <v>3362</v>
      </c>
      <c r="C3071" s="6" t="s">
        <v>3363</v>
      </c>
      <c r="D3071" s="6">
        <f t="shared" si="374"/>
        <v>0.5</v>
      </c>
      <c r="E3071" s="6" t="s">
        <v>19</v>
      </c>
      <c r="F3071" s="6" t="str">
        <f>MID(A3071,19,1)</f>
        <v>N</v>
      </c>
      <c r="G3071" s="6">
        <v>-22.644349969065459</v>
      </c>
      <c r="H3071" s="6">
        <v>-47.327353462805704</v>
      </c>
      <c r="I3071" s="9">
        <v>2001.92</v>
      </c>
      <c r="K3071" s="6">
        <v>3.96</v>
      </c>
      <c r="L3071" s="6">
        <v>50</v>
      </c>
      <c r="N3071" s="1">
        <f t="shared" si="371"/>
        <v>0</v>
      </c>
      <c r="O3071" s="6" t="s">
        <v>20</v>
      </c>
      <c r="Q3071" s="6" t="s">
        <v>21</v>
      </c>
      <c r="R3071" s="6" t="s">
        <v>21</v>
      </c>
      <c r="S3071" s="6" t="s">
        <v>21</v>
      </c>
      <c r="T3071" s="6" t="s">
        <v>21</v>
      </c>
      <c r="U3071" s="6">
        <f t="shared" si="372"/>
        <v>1000.96</v>
      </c>
      <c r="V3071" s="6">
        <f t="shared" si="376"/>
        <v>1000.96</v>
      </c>
    </row>
    <row r="3072" spans="1:22" hidden="1" x14ac:dyDescent="0.35">
      <c r="A3072" s="6" t="s">
        <v>3365</v>
      </c>
      <c r="B3072" s="6" t="s">
        <v>3362</v>
      </c>
      <c r="C3072" s="6" t="s">
        <v>3363</v>
      </c>
      <c r="D3072" s="6">
        <f t="shared" si="374"/>
        <v>0.5</v>
      </c>
      <c r="E3072" s="6" t="s">
        <v>19</v>
      </c>
      <c r="F3072" s="6" t="str">
        <f>MID(A3072,19,1)</f>
        <v>S</v>
      </c>
      <c r="G3072" s="6">
        <v>-22.75525302944785</v>
      </c>
      <c r="H3072" s="6">
        <v>-47.445465212449882</v>
      </c>
      <c r="I3072" s="9">
        <v>2061.44</v>
      </c>
      <c r="K3072" s="6">
        <v>3.73</v>
      </c>
      <c r="L3072" s="6">
        <v>70</v>
      </c>
      <c r="N3072" s="1">
        <f t="shared" si="371"/>
        <v>0</v>
      </c>
      <c r="O3072" s="6" t="s">
        <v>20</v>
      </c>
      <c r="Q3072" s="6" t="s">
        <v>21</v>
      </c>
      <c r="R3072" s="6" t="s">
        <v>21</v>
      </c>
      <c r="S3072" s="6" t="s">
        <v>21</v>
      </c>
      <c r="T3072" s="6" t="s">
        <v>21</v>
      </c>
      <c r="U3072" s="6">
        <f t="shared" si="372"/>
        <v>1443.008</v>
      </c>
      <c r="V3072" s="6">
        <f t="shared" si="376"/>
        <v>1443.008</v>
      </c>
    </row>
    <row r="3073" spans="1:22" x14ac:dyDescent="0.35">
      <c r="A3073" s="6" t="s">
        <v>3366</v>
      </c>
      <c r="B3073" s="6" t="s">
        <v>3362</v>
      </c>
      <c r="C3073" s="6" t="s">
        <v>3363</v>
      </c>
      <c r="D3073" s="6">
        <f t="shared" si="374"/>
        <v>0.5</v>
      </c>
      <c r="E3073" s="6" t="s">
        <v>19</v>
      </c>
      <c r="F3073" s="6" t="str">
        <f>MID(A3073,19,1)</f>
        <v>N</v>
      </c>
      <c r="G3073" s="6">
        <v>-22.759542371253279</v>
      </c>
      <c r="H3073" s="6">
        <v>-47.445116940471777</v>
      </c>
      <c r="I3073" s="9">
        <v>1466.43</v>
      </c>
      <c r="K3073" s="6">
        <v>4.03</v>
      </c>
      <c r="L3073" s="6">
        <v>70</v>
      </c>
      <c r="N3073" s="1">
        <f t="shared" si="371"/>
        <v>0</v>
      </c>
      <c r="O3073" s="6" t="s">
        <v>20</v>
      </c>
      <c r="Q3073" s="6" t="s">
        <v>21</v>
      </c>
      <c r="R3073" s="6" t="s">
        <v>21</v>
      </c>
      <c r="S3073" s="6" t="s">
        <v>21</v>
      </c>
      <c r="T3073" s="6" t="s">
        <v>21</v>
      </c>
      <c r="U3073" s="6">
        <f t="shared" si="372"/>
        <v>1026.501</v>
      </c>
      <c r="V3073" s="6">
        <f t="shared" si="376"/>
        <v>1026.501</v>
      </c>
    </row>
    <row r="3074" spans="1:22" hidden="1" x14ac:dyDescent="0.35">
      <c r="A3074" s="6" t="s">
        <v>3367</v>
      </c>
      <c r="B3074" s="6" t="s">
        <v>3362</v>
      </c>
      <c r="C3074" s="6" t="s">
        <v>3363</v>
      </c>
      <c r="D3074" s="6">
        <f t="shared" si="374"/>
        <v>0.5</v>
      </c>
      <c r="E3074" s="6" t="s">
        <v>19</v>
      </c>
      <c r="F3074" s="6" t="str">
        <f>MID(A3074,19,1)</f>
        <v>S</v>
      </c>
      <c r="G3074" s="6">
        <v>-22.760007672067651</v>
      </c>
      <c r="H3074" s="6">
        <v>-47.445662450922853</v>
      </c>
      <c r="I3074" s="9">
        <v>2231.71</v>
      </c>
      <c r="K3074" s="6">
        <v>5.29</v>
      </c>
      <c r="L3074" s="6">
        <v>70</v>
      </c>
      <c r="N3074" s="1">
        <f t="shared" ref="N3074:N3137" si="377">IF(OR(R3074="Sim",S3074="Sim",T3074="Sim"),(L3074/100)*I3074,0)</f>
        <v>0</v>
      </c>
      <c r="O3074" s="6" t="s">
        <v>20</v>
      </c>
      <c r="Q3074" s="6" t="s">
        <v>21</v>
      </c>
      <c r="R3074" s="6" t="s">
        <v>21</v>
      </c>
      <c r="S3074" s="6" t="s">
        <v>21</v>
      </c>
      <c r="T3074" s="6" t="s">
        <v>21</v>
      </c>
      <c r="U3074" s="6">
        <f t="shared" si="372"/>
        <v>1562.1969999999999</v>
      </c>
      <c r="V3074" s="6">
        <f t="shared" si="376"/>
        <v>1562.1969999999999</v>
      </c>
    </row>
    <row r="3075" spans="1:22" hidden="1" x14ac:dyDescent="0.35">
      <c r="A3075" s="6" t="s">
        <v>3368</v>
      </c>
      <c r="B3075" s="6" t="s">
        <v>3362</v>
      </c>
      <c r="C3075" s="6" t="s">
        <v>3363</v>
      </c>
      <c r="D3075" s="6">
        <f t="shared" si="374"/>
        <v>0.5</v>
      </c>
      <c r="E3075" s="6" t="s">
        <v>23</v>
      </c>
      <c r="F3075" s="6" t="str">
        <f>MID(A3075,19,1)</f>
        <v>C</v>
      </c>
      <c r="G3075" s="6">
        <v>-22.759553885598841</v>
      </c>
      <c r="H3075" s="6">
        <v>-47.445436983707523</v>
      </c>
      <c r="I3075" s="9">
        <v>4205.8900000000003</v>
      </c>
      <c r="J3075" s="9">
        <f>I3075/500</f>
        <v>8.4117800000000003</v>
      </c>
      <c r="K3075" s="6">
        <v>4.96</v>
      </c>
      <c r="L3075" s="6">
        <v>80</v>
      </c>
      <c r="N3075" s="1">
        <f t="shared" si="377"/>
        <v>0</v>
      </c>
      <c r="O3075" s="6" t="s">
        <v>20</v>
      </c>
      <c r="Q3075" s="6" t="s">
        <v>21</v>
      </c>
      <c r="R3075" s="6" t="s">
        <v>21</v>
      </c>
      <c r="S3075" s="6" t="s">
        <v>21</v>
      </c>
      <c r="T3075" s="6" t="s">
        <v>21</v>
      </c>
      <c r="U3075" s="6">
        <f t="shared" ref="U3075:U3138" si="378">IF(N3075=0,(I3075*(L3075/100)),0)</f>
        <v>3364.7120000000004</v>
      </c>
      <c r="V3075" s="6">
        <f t="shared" si="376"/>
        <v>3364.7120000000004</v>
      </c>
    </row>
    <row r="3076" spans="1:22" x14ac:dyDescent="0.35">
      <c r="A3076" s="6" t="s">
        <v>3369</v>
      </c>
      <c r="B3076" s="6" t="s">
        <v>3362</v>
      </c>
      <c r="C3076" s="6" t="s">
        <v>3363</v>
      </c>
      <c r="D3076" s="6">
        <f t="shared" si="374"/>
        <v>0.5</v>
      </c>
      <c r="E3076" s="6" t="s">
        <v>19</v>
      </c>
      <c r="F3076" s="6" t="str">
        <f>MID(A3076,19,1)</f>
        <v>N</v>
      </c>
      <c r="G3076" s="6">
        <v>-22.760378588247189</v>
      </c>
      <c r="H3076" s="6">
        <v>-47.445285701741483</v>
      </c>
      <c r="I3076" s="9">
        <v>1624.81</v>
      </c>
      <c r="K3076" s="6">
        <v>3.74</v>
      </c>
      <c r="L3076" s="6">
        <v>70</v>
      </c>
      <c r="N3076" s="1">
        <f t="shared" si="377"/>
        <v>0</v>
      </c>
      <c r="O3076" s="6" t="s">
        <v>20</v>
      </c>
      <c r="Q3076" s="6" t="s">
        <v>21</v>
      </c>
      <c r="R3076" s="6" t="s">
        <v>21</v>
      </c>
      <c r="S3076" s="6" t="s">
        <v>21</v>
      </c>
      <c r="T3076" s="6" t="s">
        <v>21</v>
      </c>
      <c r="U3076" s="6">
        <f t="shared" si="378"/>
        <v>1137.367</v>
      </c>
      <c r="V3076" s="6">
        <f t="shared" si="376"/>
        <v>1137.367</v>
      </c>
    </row>
    <row r="3077" spans="1:22" hidden="1" x14ac:dyDescent="0.35">
      <c r="A3077" s="6" t="s">
        <v>3370</v>
      </c>
      <c r="B3077" s="6" t="s">
        <v>3362</v>
      </c>
      <c r="C3077" s="6" t="s">
        <v>3363</v>
      </c>
      <c r="D3077" s="6">
        <f t="shared" si="374"/>
        <v>0.5</v>
      </c>
      <c r="E3077" s="6" t="s">
        <v>19</v>
      </c>
      <c r="F3077" s="6" t="str">
        <f>MID(A3077,19,1)</f>
        <v>S</v>
      </c>
      <c r="G3077" s="6">
        <v>-22.759511867708099</v>
      </c>
      <c r="H3077" s="6">
        <v>-47.445757837559213</v>
      </c>
      <c r="I3077" s="9">
        <v>1448.88</v>
      </c>
      <c r="K3077" s="6">
        <v>5.01</v>
      </c>
      <c r="L3077" s="6">
        <v>70</v>
      </c>
      <c r="N3077" s="1">
        <f t="shared" si="377"/>
        <v>0</v>
      </c>
      <c r="O3077" s="6" t="s">
        <v>20</v>
      </c>
      <c r="Q3077" s="6" t="s">
        <v>21</v>
      </c>
      <c r="R3077" s="6" t="s">
        <v>21</v>
      </c>
      <c r="S3077" s="6" t="s">
        <v>21</v>
      </c>
      <c r="T3077" s="6" t="s">
        <v>21</v>
      </c>
      <c r="U3077" s="6">
        <f t="shared" si="378"/>
        <v>1014.216</v>
      </c>
      <c r="V3077" s="6">
        <f t="shared" si="376"/>
        <v>1014.216</v>
      </c>
    </row>
    <row r="3078" spans="1:22" hidden="1" x14ac:dyDescent="0.35">
      <c r="A3078" s="6" t="s">
        <v>3371</v>
      </c>
      <c r="B3078" s="6" t="s">
        <v>3362</v>
      </c>
      <c r="C3078" s="6" t="s">
        <v>3363</v>
      </c>
      <c r="D3078" s="6">
        <f t="shared" si="374"/>
        <v>0.5</v>
      </c>
      <c r="E3078" s="6" t="s">
        <v>19</v>
      </c>
      <c r="F3078" s="6" t="str">
        <f>MID(A3078,19,1)</f>
        <v>S</v>
      </c>
      <c r="G3078" s="6">
        <v>-22.757589583369711</v>
      </c>
      <c r="H3078" s="6">
        <v>-47.445582313866517</v>
      </c>
      <c r="I3078" s="9">
        <v>12.55</v>
      </c>
      <c r="K3078" s="6">
        <v>5.44</v>
      </c>
      <c r="L3078" s="6">
        <v>0</v>
      </c>
      <c r="N3078" s="1">
        <f t="shared" si="377"/>
        <v>0</v>
      </c>
      <c r="Q3078" s="6" t="s">
        <v>21</v>
      </c>
      <c r="R3078" s="6" t="s">
        <v>21</v>
      </c>
      <c r="S3078" s="6" t="s">
        <v>21</v>
      </c>
      <c r="T3078" s="6" t="s">
        <v>21</v>
      </c>
      <c r="U3078" s="6">
        <f t="shared" si="378"/>
        <v>0</v>
      </c>
      <c r="V3078" s="6">
        <f t="shared" si="376"/>
        <v>0</v>
      </c>
    </row>
    <row r="3079" spans="1:22" hidden="1" x14ac:dyDescent="0.35">
      <c r="A3079" s="6" t="s">
        <v>3372</v>
      </c>
      <c r="B3079" s="6" t="s">
        <v>3362</v>
      </c>
      <c r="C3079" s="6" t="s">
        <v>3363</v>
      </c>
      <c r="D3079" s="6">
        <f t="shared" si="374"/>
        <v>0.5</v>
      </c>
      <c r="E3079" s="6" t="s">
        <v>23</v>
      </c>
      <c r="F3079" s="6" t="str">
        <f>MID(A3079,19,1)</f>
        <v>C</v>
      </c>
      <c r="G3079" s="6">
        <v>-22.757650067254222</v>
      </c>
      <c r="H3079" s="6">
        <v>-47.445367805709473</v>
      </c>
      <c r="I3079" s="9">
        <v>103.72</v>
      </c>
      <c r="J3079" s="9">
        <f>I3079/500</f>
        <v>0.20743999999999999</v>
      </c>
      <c r="K3079" s="6">
        <v>4.9000000000000004</v>
      </c>
      <c r="L3079" s="6">
        <v>0</v>
      </c>
      <c r="N3079" s="1">
        <f t="shared" si="377"/>
        <v>0</v>
      </c>
      <c r="Q3079" s="6" t="s">
        <v>21</v>
      </c>
      <c r="R3079" s="6" t="s">
        <v>21</v>
      </c>
      <c r="S3079" s="6" t="s">
        <v>21</v>
      </c>
      <c r="T3079" s="6" t="s">
        <v>21</v>
      </c>
      <c r="U3079" s="6">
        <f t="shared" si="378"/>
        <v>0</v>
      </c>
      <c r="V3079" s="6">
        <f t="shared" si="376"/>
        <v>0</v>
      </c>
    </row>
    <row r="3080" spans="1:22" x14ac:dyDescent="0.35">
      <c r="A3080" s="6" t="s">
        <v>3373</v>
      </c>
      <c r="B3080" s="6" t="s">
        <v>3362</v>
      </c>
      <c r="C3080" s="6" t="s">
        <v>3363</v>
      </c>
      <c r="D3080" s="6">
        <f t="shared" si="374"/>
        <v>0.5</v>
      </c>
      <c r="E3080" s="6" t="s">
        <v>19</v>
      </c>
      <c r="F3080" s="6" t="str">
        <f>MID(A3080,19,1)</f>
        <v>N</v>
      </c>
      <c r="G3080" s="6">
        <v>-22.64760849226165</v>
      </c>
      <c r="H3080" s="6">
        <v>-47.32637865551753</v>
      </c>
      <c r="I3080" s="9">
        <v>997.05</v>
      </c>
      <c r="K3080" s="6">
        <v>5.51</v>
      </c>
      <c r="L3080" s="6">
        <v>50</v>
      </c>
      <c r="N3080" s="1">
        <f t="shared" si="377"/>
        <v>0</v>
      </c>
      <c r="O3080" s="6" t="s">
        <v>20</v>
      </c>
      <c r="Q3080" s="6" t="s">
        <v>21</v>
      </c>
      <c r="R3080" s="6" t="s">
        <v>21</v>
      </c>
      <c r="S3080" s="6" t="s">
        <v>21</v>
      </c>
      <c r="T3080" s="6" t="s">
        <v>21</v>
      </c>
      <c r="U3080" s="6">
        <f t="shared" si="378"/>
        <v>498.52499999999998</v>
      </c>
      <c r="V3080" s="6">
        <f t="shared" si="376"/>
        <v>498.52499999999998</v>
      </c>
    </row>
    <row r="3081" spans="1:22" hidden="1" x14ac:dyDescent="0.35">
      <c r="A3081" s="8" t="s">
        <v>3374</v>
      </c>
      <c r="B3081" s="8" t="s">
        <v>3362</v>
      </c>
      <c r="C3081" s="8" t="s">
        <v>3363</v>
      </c>
      <c r="D3081" s="6">
        <f t="shared" si="374"/>
        <v>0.5</v>
      </c>
      <c r="E3081" s="8" t="s">
        <v>19</v>
      </c>
      <c r="F3081" s="6" t="str">
        <f>MID(A3081,19,1)</f>
        <v>S</v>
      </c>
      <c r="G3081" s="8">
        <v>-22.64825990991752</v>
      </c>
      <c r="H3081" s="8">
        <v>-47.325700416558348</v>
      </c>
      <c r="I3081" s="7">
        <v>1763.2</v>
      </c>
      <c r="J3081" s="7"/>
      <c r="K3081" s="8">
        <v>5.82</v>
      </c>
      <c r="L3081" s="8">
        <v>70</v>
      </c>
      <c r="M3081" s="8"/>
      <c r="N3081" s="11">
        <f t="shared" si="377"/>
        <v>1234.24</v>
      </c>
      <c r="O3081" s="8" t="s">
        <v>48</v>
      </c>
      <c r="P3081" s="8"/>
      <c r="Q3081" s="8" t="s">
        <v>21</v>
      </c>
      <c r="R3081" s="8" t="s">
        <v>26</v>
      </c>
      <c r="S3081" s="8" t="s">
        <v>21</v>
      </c>
      <c r="T3081" s="8" t="s">
        <v>26</v>
      </c>
      <c r="U3081" s="6">
        <f t="shared" si="378"/>
        <v>0</v>
      </c>
    </row>
    <row r="3082" spans="1:22" hidden="1" x14ac:dyDescent="0.35">
      <c r="A3082" s="6" t="s">
        <v>3375</v>
      </c>
      <c r="B3082" s="6" t="s">
        <v>3362</v>
      </c>
      <c r="C3082" s="6" t="s">
        <v>3363</v>
      </c>
      <c r="D3082" s="6">
        <f t="shared" si="374"/>
        <v>0.5</v>
      </c>
      <c r="E3082" s="6" t="s">
        <v>23</v>
      </c>
      <c r="F3082" s="6" t="str">
        <f>MID(A3082,19,1)</f>
        <v>C</v>
      </c>
      <c r="G3082" s="6">
        <v>-22.755275985891402</v>
      </c>
      <c r="H3082" s="6">
        <v>-47.445282735351739</v>
      </c>
      <c r="I3082" s="9">
        <v>5958.07</v>
      </c>
      <c r="J3082" s="9">
        <f>I3082/500</f>
        <v>11.916139999999999</v>
      </c>
      <c r="K3082" s="6">
        <v>3.67</v>
      </c>
      <c r="L3082" s="6">
        <v>80</v>
      </c>
      <c r="N3082" s="1">
        <f t="shared" si="377"/>
        <v>0</v>
      </c>
      <c r="O3082" s="6" t="s">
        <v>20</v>
      </c>
      <c r="Q3082" s="6" t="s">
        <v>21</v>
      </c>
      <c r="R3082" s="6" t="s">
        <v>21</v>
      </c>
      <c r="S3082" s="6" t="s">
        <v>21</v>
      </c>
      <c r="T3082" s="6" t="s">
        <v>21</v>
      </c>
      <c r="U3082" s="6">
        <f t="shared" si="378"/>
        <v>4766.4560000000001</v>
      </c>
      <c r="V3082" s="6">
        <f t="shared" ref="V3082:V3116" si="379">(I3082*(L3082/100))</f>
        <v>4766.4560000000001</v>
      </c>
    </row>
    <row r="3083" spans="1:22" x14ac:dyDescent="0.35">
      <c r="A3083" s="6" t="s">
        <v>3376</v>
      </c>
      <c r="B3083" s="6" t="s">
        <v>3362</v>
      </c>
      <c r="C3083" s="6" t="s">
        <v>3363</v>
      </c>
      <c r="D3083" s="6">
        <f t="shared" si="374"/>
        <v>0.5</v>
      </c>
      <c r="E3083" s="6" t="s">
        <v>19</v>
      </c>
      <c r="F3083" s="6" t="str">
        <f>MID(A3083,19,1)</f>
        <v>N</v>
      </c>
      <c r="G3083" s="6">
        <v>-22.755306226950871</v>
      </c>
      <c r="H3083" s="6">
        <v>-47.445083462563012</v>
      </c>
      <c r="I3083" s="9">
        <v>2056.21</v>
      </c>
      <c r="K3083" s="6">
        <v>3.53</v>
      </c>
      <c r="L3083" s="6">
        <v>70</v>
      </c>
      <c r="N3083" s="1">
        <f t="shared" si="377"/>
        <v>0</v>
      </c>
      <c r="O3083" s="6" t="s">
        <v>20</v>
      </c>
      <c r="Q3083" s="6" t="s">
        <v>21</v>
      </c>
      <c r="R3083" s="6" t="s">
        <v>21</v>
      </c>
      <c r="S3083" s="6" t="s">
        <v>21</v>
      </c>
      <c r="T3083" s="6" t="s">
        <v>21</v>
      </c>
      <c r="U3083" s="6">
        <f t="shared" si="378"/>
        <v>1439.347</v>
      </c>
      <c r="V3083" s="6">
        <f t="shared" si="379"/>
        <v>1439.347</v>
      </c>
    </row>
    <row r="3084" spans="1:22" hidden="1" x14ac:dyDescent="0.35">
      <c r="A3084" s="6" t="s">
        <v>3377</v>
      </c>
      <c r="B3084" s="6" t="s">
        <v>3362</v>
      </c>
      <c r="C3084" s="6" t="s">
        <v>3363</v>
      </c>
      <c r="D3084" s="6">
        <f t="shared" si="374"/>
        <v>0.5</v>
      </c>
      <c r="E3084" s="6" t="s">
        <v>19</v>
      </c>
      <c r="F3084" s="6" t="str">
        <f>MID(A3084,19,1)</f>
        <v>S</v>
      </c>
      <c r="G3084" s="6">
        <v>-22.64419528015156</v>
      </c>
      <c r="H3084" s="6">
        <v>-47.327028174088142</v>
      </c>
      <c r="I3084" s="9">
        <v>2001.61</v>
      </c>
      <c r="K3084" s="6">
        <v>4.88</v>
      </c>
      <c r="L3084" s="6">
        <v>50</v>
      </c>
      <c r="N3084" s="1">
        <f t="shared" si="377"/>
        <v>0</v>
      </c>
      <c r="O3084" s="6" t="s">
        <v>20</v>
      </c>
      <c r="Q3084" s="6" t="s">
        <v>21</v>
      </c>
      <c r="R3084" s="6" t="s">
        <v>21</v>
      </c>
      <c r="S3084" s="6" t="s">
        <v>21</v>
      </c>
      <c r="T3084" s="6" t="s">
        <v>21</v>
      </c>
      <c r="U3084" s="6">
        <f t="shared" si="378"/>
        <v>1000.8049999999999</v>
      </c>
      <c r="V3084" s="6">
        <f t="shared" si="379"/>
        <v>1000.8049999999999</v>
      </c>
    </row>
    <row r="3085" spans="1:22" x14ac:dyDescent="0.35">
      <c r="A3085" s="6" t="s">
        <v>3378</v>
      </c>
      <c r="B3085" s="6" t="s">
        <v>3379</v>
      </c>
      <c r="C3085" s="6" t="s">
        <v>3380</v>
      </c>
      <c r="D3085" s="6">
        <f t="shared" si="374"/>
        <v>0.5</v>
      </c>
      <c r="E3085" s="6" t="s">
        <v>19</v>
      </c>
      <c r="F3085" s="6" t="str">
        <f>MID(A3085,19,1)</f>
        <v>N</v>
      </c>
      <c r="G3085" s="6">
        <v>-22.638120101799899</v>
      </c>
      <c r="H3085" s="6">
        <v>-47.330550242921682</v>
      </c>
      <c r="I3085" s="9">
        <v>1683.27</v>
      </c>
      <c r="K3085" s="6">
        <v>2.31</v>
      </c>
      <c r="L3085" s="6">
        <v>50</v>
      </c>
      <c r="N3085" s="1">
        <f t="shared" si="377"/>
        <v>0</v>
      </c>
      <c r="O3085" s="6" t="s">
        <v>20</v>
      </c>
      <c r="Q3085" s="6" t="s">
        <v>21</v>
      </c>
      <c r="R3085" s="6" t="s">
        <v>21</v>
      </c>
      <c r="S3085" s="6" t="s">
        <v>21</v>
      </c>
      <c r="T3085" s="6" t="s">
        <v>21</v>
      </c>
      <c r="U3085" s="6">
        <f t="shared" si="378"/>
        <v>841.63499999999999</v>
      </c>
      <c r="V3085" s="6">
        <f t="shared" si="379"/>
        <v>841.63499999999999</v>
      </c>
    </row>
    <row r="3086" spans="1:22" hidden="1" x14ac:dyDescent="0.35">
      <c r="A3086" s="6" t="s">
        <v>3381</v>
      </c>
      <c r="B3086" s="6" t="s">
        <v>3379</v>
      </c>
      <c r="C3086" s="6" t="s">
        <v>3380</v>
      </c>
      <c r="D3086" s="6">
        <f t="shared" ref="D3086:D3149" si="380">C3086-B3086</f>
        <v>0.5</v>
      </c>
      <c r="E3086" s="6" t="s">
        <v>19</v>
      </c>
      <c r="F3086" s="6" t="str">
        <f>MID(A3086,19,1)</f>
        <v>S</v>
      </c>
      <c r="G3086" s="6">
        <v>-22.6380649112178</v>
      </c>
      <c r="H3086" s="6">
        <v>-47.330039186399453</v>
      </c>
      <c r="I3086" s="9">
        <v>9.6</v>
      </c>
      <c r="K3086" s="6">
        <v>3.95</v>
      </c>
      <c r="L3086" s="6">
        <v>0</v>
      </c>
      <c r="N3086" s="1">
        <f t="shared" si="377"/>
        <v>0</v>
      </c>
      <c r="Q3086" s="6" t="s">
        <v>21</v>
      </c>
      <c r="R3086" s="6" t="s">
        <v>21</v>
      </c>
      <c r="S3086" s="6" t="s">
        <v>21</v>
      </c>
      <c r="T3086" s="6" t="s">
        <v>21</v>
      </c>
      <c r="U3086" s="6">
        <f t="shared" si="378"/>
        <v>0</v>
      </c>
      <c r="V3086" s="6">
        <f t="shared" si="379"/>
        <v>0</v>
      </c>
    </row>
    <row r="3087" spans="1:22" hidden="1" x14ac:dyDescent="0.35">
      <c r="A3087" s="6" t="s">
        <v>3382</v>
      </c>
      <c r="B3087" s="6" t="s">
        <v>3379</v>
      </c>
      <c r="C3087" s="6" t="s">
        <v>3380</v>
      </c>
      <c r="D3087" s="6">
        <f t="shared" si="380"/>
        <v>0.5</v>
      </c>
      <c r="E3087" s="6" t="s">
        <v>23</v>
      </c>
      <c r="F3087" s="6" t="str">
        <f>MID(A3087,19,1)</f>
        <v>C</v>
      </c>
      <c r="G3087" s="6">
        <v>-22.638976088190962</v>
      </c>
      <c r="H3087" s="6">
        <v>-47.32954768420084</v>
      </c>
      <c r="I3087" s="9">
        <v>1217.3699999999999</v>
      </c>
      <c r="J3087" s="9">
        <f>I3087/500</f>
        <v>2.4347399999999997</v>
      </c>
      <c r="K3087" s="6">
        <v>3.01</v>
      </c>
      <c r="L3087" s="6">
        <v>0</v>
      </c>
      <c r="N3087" s="1">
        <f t="shared" si="377"/>
        <v>0</v>
      </c>
      <c r="Q3087" s="6" t="s">
        <v>21</v>
      </c>
      <c r="R3087" s="6" t="s">
        <v>21</v>
      </c>
      <c r="S3087" s="6" t="s">
        <v>21</v>
      </c>
      <c r="T3087" s="6" t="s">
        <v>21</v>
      </c>
      <c r="U3087" s="6">
        <f t="shared" si="378"/>
        <v>0</v>
      </c>
      <c r="V3087" s="6">
        <f t="shared" si="379"/>
        <v>0</v>
      </c>
    </row>
    <row r="3088" spans="1:22" hidden="1" x14ac:dyDescent="0.35">
      <c r="A3088" s="6" t="s">
        <v>3383</v>
      </c>
      <c r="B3088" s="6" t="s">
        <v>3379</v>
      </c>
      <c r="C3088" s="6" t="s">
        <v>3380</v>
      </c>
      <c r="D3088" s="6">
        <f t="shared" si="380"/>
        <v>0.5</v>
      </c>
      <c r="E3088" s="6" t="s">
        <v>19</v>
      </c>
      <c r="F3088" s="6" t="str">
        <f>MID(A3088,19,1)</f>
        <v>S</v>
      </c>
      <c r="G3088" s="6">
        <v>-22.75098190103818</v>
      </c>
      <c r="H3088" s="6">
        <v>-47.445389677277973</v>
      </c>
      <c r="I3088" s="9">
        <v>1729.04</v>
      </c>
      <c r="K3088" s="6">
        <v>5.6</v>
      </c>
      <c r="L3088" s="6">
        <v>70</v>
      </c>
      <c r="N3088" s="1">
        <f t="shared" si="377"/>
        <v>0</v>
      </c>
      <c r="O3088" s="6" t="s">
        <v>20</v>
      </c>
      <c r="Q3088" s="6" t="s">
        <v>21</v>
      </c>
      <c r="R3088" s="6" t="s">
        <v>21</v>
      </c>
      <c r="S3088" s="6" t="s">
        <v>21</v>
      </c>
      <c r="T3088" s="6" t="s">
        <v>21</v>
      </c>
      <c r="U3088" s="6">
        <f t="shared" si="378"/>
        <v>1210.328</v>
      </c>
      <c r="V3088" s="6">
        <f t="shared" si="379"/>
        <v>1210.328</v>
      </c>
    </row>
    <row r="3089" spans="1:22" x14ac:dyDescent="0.35">
      <c r="A3089" s="6" t="s">
        <v>3384</v>
      </c>
      <c r="B3089" s="6" t="s">
        <v>3379</v>
      </c>
      <c r="C3089" s="6" t="s">
        <v>3380</v>
      </c>
      <c r="D3089" s="6">
        <f t="shared" si="380"/>
        <v>0.5</v>
      </c>
      <c r="E3089" s="6" t="s">
        <v>19</v>
      </c>
      <c r="F3089" s="6" t="str">
        <f>MID(A3089,19,1)</f>
        <v>N</v>
      </c>
      <c r="G3089" s="6">
        <v>-22.634739827973618</v>
      </c>
      <c r="H3089" s="6">
        <v>-47.333407767410357</v>
      </c>
      <c r="I3089" s="9">
        <v>15.31</v>
      </c>
      <c r="K3089" s="6">
        <v>0.85</v>
      </c>
      <c r="L3089" s="6">
        <v>0</v>
      </c>
      <c r="N3089" s="1">
        <f t="shared" si="377"/>
        <v>0</v>
      </c>
      <c r="Q3089" s="6" t="s">
        <v>21</v>
      </c>
      <c r="R3089" s="6" t="s">
        <v>21</v>
      </c>
      <c r="S3089" s="6" t="s">
        <v>21</v>
      </c>
      <c r="T3089" s="6" t="s">
        <v>21</v>
      </c>
      <c r="U3089" s="6">
        <f t="shared" si="378"/>
        <v>0</v>
      </c>
      <c r="V3089" s="6">
        <f t="shared" si="379"/>
        <v>0</v>
      </c>
    </row>
    <row r="3090" spans="1:22" hidden="1" x14ac:dyDescent="0.35">
      <c r="A3090" s="6" t="s">
        <v>3385</v>
      </c>
      <c r="B3090" s="6" t="s">
        <v>3379</v>
      </c>
      <c r="C3090" s="6" t="s">
        <v>3380</v>
      </c>
      <c r="D3090" s="6">
        <f t="shared" si="380"/>
        <v>0.5</v>
      </c>
      <c r="E3090" s="6" t="s">
        <v>19</v>
      </c>
      <c r="F3090" s="6" t="str">
        <f>MID(A3090,19,1)</f>
        <v>S</v>
      </c>
      <c r="G3090" s="6">
        <v>-22.746914533222721</v>
      </c>
      <c r="H3090" s="6">
        <v>-47.446435191610171</v>
      </c>
      <c r="I3090" s="9">
        <v>2019.12</v>
      </c>
      <c r="K3090" s="6">
        <v>4.6100000000000003</v>
      </c>
      <c r="L3090" s="6">
        <v>70</v>
      </c>
      <c r="N3090" s="1">
        <f t="shared" si="377"/>
        <v>0</v>
      </c>
      <c r="O3090" s="6" t="s">
        <v>20</v>
      </c>
      <c r="Q3090" s="6" t="s">
        <v>21</v>
      </c>
      <c r="R3090" s="6" t="s">
        <v>21</v>
      </c>
      <c r="S3090" s="6" t="s">
        <v>21</v>
      </c>
      <c r="T3090" s="6" t="s">
        <v>21</v>
      </c>
      <c r="U3090" s="6">
        <f t="shared" si="378"/>
        <v>1413.3839999999998</v>
      </c>
      <c r="V3090" s="6">
        <f t="shared" si="379"/>
        <v>1413.3839999999998</v>
      </c>
    </row>
    <row r="3091" spans="1:22" hidden="1" x14ac:dyDescent="0.35">
      <c r="A3091" s="6" t="s">
        <v>3386</v>
      </c>
      <c r="B3091" s="6" t="s">
        <v>3379</v>
      </c>
      <c r="C3091" s="6" t="s">
        <v>3380</v>
      </c>
      <c r="D3091" s="6">
        <f t="shared" si="380"/>
        <v>0.5</v>
      </c>
      <c r="E3091" s="6" t="s">
        <v>19</v>
      </c>
      <c r="F3091" s="6" t="str">
        <f>MID(A3091,19,1)</f>
        <v>S</v>
      </c>
      <c r="G3091" s="6">
        <v>-22.637104810293511</v>
      </c>
      <c r="H3091" s="6">
        <v>-47.330780686839411</v>
      </c>
      <c r="I3091" s="9">
        <v>1064.8900000000001</v>
      </c>
      <c r="K3091" s="6">
        <v>2.62</v>
      </c>
      <c r="L3091" s="6">
        <v>50</v>
      </c>
      <c r="N3091" s="1">
        <f t="shared" si="377"/>
        <v>0</v>
      </c>
      <c r="O3091" s="6" t="s">
        <v>20</v>
      </c>
      <c r="Q3091" s="6" t="s">
        <v>21</v>
      </c>
      <c r="R3091" s="6" t="s">
        <v>21</v>
      </c>
      <c r="S3091" s="6" t="s">
        <v>21</v>
      </c>
      <c r="T3091" s="6" t="s">
        <v>21</v>
      </c>
      <c r="U3091" s="6">
        <f t="shared" si="378"/>
        <v>532.44500000000005</v>
      </c>
      <c r="V3091" s="6">
        <f t="shared" si="379"/>
        <v>532.44500000000005</v>
      </c>
    </row>
    <row r="3092" spans="1:22" hidden="1" x14ac:dyDescent="0.35">
      <c r="A3092" s="6" t="s">
        <v>3387</v>
      </c>
      <c r="B3092" s="6" t="s">
        <v>3379</v>
      </c>
      <c r="C3092" s="6" t="s">
        <v>3380</v>
      </c>
      <c r="D3092" s="6">
        <f t="shared" si="380"/>
        <v>0.5</v>
      </c>
      <c r="E3092" s="6" t="s">
        <v>19</v>
      </c>
      <c r="F3092" s="6" t="str">
        <f>MID(A3092,19,1)</f>
        <v>S</v>
      </c>
      <c r="G3092" s="6">
        <v>-22.639245362345289</v>
      </c>
      <c r="H3092" s="6">
        <v>-47.328440904927049</v>
      </c>
      <c r="I3092" s="9">
        <v>133.88999999999999</v>
      </c>
      <c r="K3092" s="6">
        <v>2.64</v>
      </c>
      <c r="L3092" s="6">
        <v>50</v>
      </c>
      <c r="N3092" s="1">
        <f t="shared" si="377"/>
        <v>0</v>
      </c>
      <c r="O3092" s="6" t="s">
        <v>20</v>
      </c>
      <c r="Q3092" s="6" t="s">
        <v>21</v>
      </c>
      <c r="R3092" s="6" t="s">
        <v>21</v>
      </c>
      <c r="S3092" s="6" t="s">
        <v>21</v>
      </c>
      <c r="T3092" s="6" t="s">
        <v>21</v>
      </c>
      <c r="U3092" s="6">
        <f t="shared" si="378"/>
        <v>66.944999999999993</v>
      </c>
      <c r="V3092" s="6">
        <f t="shared" si="379"/>
        <v>66.944999999999993</v>
      </c>
    </row>
    <row r="3093" spans="1:22" hidden="1" x14ac:dyDescent="0.35">
      <c r="A3093" s="6" t="s">
        <v>3388</v>
      </c>
      <c r="B3093" s="6" t="s">
        <v>3379</v>
      </c>
      <c r="C3093" s="6" t="s">
        <v>3380</v>
      </c>
      <c r="D3093" s="6">
        <f t="shared" si="380"/>
        <v>0.5</v>
      </c>
      <c r="E3093" s="6" t="s">
        <v>19</v>
      </c>
      <c r="F3093" s="6" t="str">
        <f>MID(A3093,19,1)</f>
        <v>S</v>
      </c>
      <c r="G3093" s="6">
        <v>-22.64063906053018</v>
      </c>
      <c r="H3093" s="6">
        <v>-47.328056702033557</v>
      </c>
      <c r="I3093" s="9">
        <v>1272.0899999999999</v>
      </c>
      <c r="K3093" s="6">
        <v>2.56</v>
      </c>
      <c r="L3093" s="6">
        <v>50</v>
      </c>
      <c r="N3093" s="1">
        <f t="shared" si="377"/>
        <v>0</v>
      </c>
      <c r="O3093" s="6" t="s">
        <v>20</v>
      </c>
      <c r="Q3093" s="6" t="s">
        <v>21</v>
      </c>
      <c r="R3093" s="6" t="s">
        <v>21</v>
      </c>
      <c r="S3093" s="6" t="s">
        <v>21</v>
      </c>
      <c r="T3093" s="6" t="s">
        <v>21</v>
      </c>
      <c r="U3093" s="6">
        <f t="shared" si="378"/>
        <v>636.04499999999996</v>
      </c>
      <c r="V3093" s="6">
        <f t="shared" si="379"/>
        <v>636.04499999999996</v>
      </c>
    </row>
    <row r="3094" spans="1:22" hidden="1" x14ac:dyDescent="0.35">
      <c r="A3094" s="6" t="s">
        <v>3389</v>
      </c>
      <c r="B3094" s="6" t="s">
        <v>3379</v>
      </c>
      <c r="C3094" s="6" t="s">
        <v>3380</v>
      </c>
      <c r="D3094" s="6">
        <f t="shared" si="380"/>
        <v>0.5</v>
      </c>
      <c r="E3094" s="6" t="s">
        <v>23</v>
      </c>
      <c r="F3094" s="6" t="str">
        <f>MID(A3094,19,1)</f>
        <v>C</v>
      </c>
      <c r="G3094" s="6">
        <v>-22.637402613947049</v>
      </c>
      <c r="H3094" s="6">
        <v>-47.33082957400115</v>
      </c>
      <c r="I3094" s="9">
        <v>747.72</v>
      </c>
      <c r="J3094" s="9">
        <f>I3094/500</f>
        <v>1.4954400000000001</v>
      </c>
      <c r="K3094" s="6">
        <v>2.23</v>
      </c>
      <c r="L3094" s="6">
        <v>0</v>
      </c>
      <c r="N3094" s="1">
        <f t="shared" si="377"/>
        <v>0</v>
      </c>
      <c r="Q3094" s="6" t="s">
        <v>21</v>
      </c>
      <c r="R3094" s="6" t="s">
        <v>21</v>
      </c>
      <c r="S3094" s="6" t="s">
        <v>21</v>
      </c>
      <c r="T3094" s="6" t="s">
        <v>21</v>
      </c>
      <c r="U3094" s="6">
        <f t="shared" si="378"/>
        <v>0</v>
      </c>
      <c r="V3094" s="6">
        <f t="shared" si="379"/>
        <v>0</v>
      </c>
    </row>
    <row r="3095" spans="1:22" hidden="1" x14ac:dyDescent="0.35">
      <c r="A3095" s="6" t="s">
        <v>3390</v>
      </c>
      <c r="B3095" s="6" t="s">
        <v>3379</v>
      </c>
      <c r="C3095" s="6" t="s">
        <v>3380</v>
      </c>
      <c r="D3095" s="6">
        <f t="shared" si="380"/>
        <v>0.5</v>
      </c>
      <c r="E3095" s="6" t="s">
        <v>19</v>
      </c>
      <c r="F3095" s="6" t="str">
        <f>MID(A3095,19,1)</f>
        <v>S</v>
      </c>
      <c r="G3095" s="6">
        <v>-22.63630902973016</v>
      </c>
      <c r="H3095" s="6">
        <v>-47.331511473644277</v>
      </c>
      <c r="I3095" s="9">
        <v>62.8</v>
      </c>
      <c r="K3095" s="6">
        <v>2.56</v>
      </c>
      <c r="L3095" s="6">
        <v>50</v>
      </c>
      <c r="N3095" s="1">
        <f t="shared" si="377"/>
        <v>0</v>
      </c>
      <c r="O3095" s="6" t="s">
        <v>20</v>
      </c>
      <c r="Q3095" s="6" t="s">
        <v>21</v>
      </c>
      <c r="R3095" s="6" t="s">
        <v>21</v>
      </c>
      <c r="S3095" s="6" t="s">
        <v>21</v>
      </c>
      <c r="T3095" s="6" t="s">
        <v>21</v>
      </c>
      <c r="U3095" s="6">
        <f t="shared" si="378"/>
        <v>31.4</v>
      </c>
      <c r="V3095" s="6">
        <f t="shared" si="379"/>
        <v>31.4</v>
      </c>
    </row>
    <row r="3096" spans="1:22" x14ac:dyDescent="0.35">
      <c r="A3096" s="6" t="s">
        <v>3391</v>
      </c>
      <c r="B3096" s="6" t="s">
        <v>3379</v>
      </c>
      <c r="C3096" s="6" t="s">
        <v>3380</v>
      </c>
      <c r="D3096" s="6">
        <f t="shared" si="380"/>
        <v>0.5</v>
      </c>
      <c r="E3096" s="6" t="s">
        <v>19</v>
      </c>
      <c r="F3096" s="6" t="str">
        <f>MID(A3096,19,1)</f>
        <v>N</v>
      </c>
      <c r="G3096" s="6">
        <v>-22.750981811172402</v>
      </c>
      <c r="H3096" s="6">
        <v>-47.444995245353986</v>
      </c>
      <c r="I3096" s="9">
        <v>1781.65</v>
      </c>
      <c r="K3096" s="6">
        <v>5.9</v>
      </c>
      <c r="L3096" s="6">
        <v>70</v>
      </c>
      <c r="N3096" s="1">
        <f t="shared" si="377"/>
        <v>0</v>
      </c>
      <c r="O3096" s="6" t="s">
        <v>20</v>
      </c>
      <c r="Q3096" s="6" t="s">
        <v>21</v>
      </c>
      <c r="R3096" s="6" t="s">
        <v>21</v>
      </c>
      <c r="S3096" s="6" t="s">
        <v>21</v>
      </c>
      <c r="T3096" s="6" t="s">
        <v>21</v>
      </c>
      <c r="U3096" s="6">
        <f t="shared" si="378"/>
        <v>1247.155</v>
      </c>
      <c r="V3096" s="6">
        <f t="shared" si="379"/>
        <v>1247.155</v>
      </c>
    </row>
    <row r="3097" spans="1:22" x14ac:dyDescent="0.35">
      <c r="A3097" s="6" t="s">
        <v>3392</v>
      </c>
      <c r="B3097" s="6" t="s">
        <v>3379</v>
      </c>
      <c r="C3097" s="6" t="s">
        <v>3380</v>
      </c>
      <c r="D3097" s="6">
        <f t="shared" si="380"/>
        <v>0.5</v>
      </c>
      <c r="E3097" s="6" t="s">
        <v>19</v>
      </c>
      <c r="F3097" s="6" t="str">
        <f>MID(A3097,19,1)</f>
        <v>N</v>
      </c>
      <c r="G3097" s="6">
        <v>-22.746809411585481</v>
      </c>
      <c r="H3097" s="6">
        <v>-47.446067946757523</v>
      </c>
      <c r="I3097" s="9">
        <v>2064.48</v>
      </c>
      <c r="K3097" s="6">
        <v>3.34</v>
      </c>
      <c r="L3097" s="6">
        <v>70</v>
      </c>
      <c r="N3097" s="1">
        <f t="shared" si="377"/>
        <v>0</v>
      </c>
      <c r="O3097" s="6" t="s">
        <v>20</v>
      </c>
      <c r="Q3097" s="6" t="s">
        <v>21</v>
      </c>
      <c r="R3097" s="6" t="s">
        <v>21</v>
      </c>
      <c r="S3097" s="6" t="s">
        <v>21</v>
      </c>
      <c r="T3097" s="6" t="s">
        <v>21</v>
      </c>
      <c r="U3097" s="6">
        <f t="shared" si="378"/>
        <v>1445.136</v>
      </c>
      <c r="V3097" s="6">
        <f t="shared" si="379"/>
        <v>1445.136</v>
      </c>
    </row>
    <row r="3098" spans="1:22" x14ac:dyDescent="0.35">
      <c r="A3098" s="6" t="s">
        <v>3393</v>
      </c>
      <c r="B3098" s="6" t="s">
        <v>3379</v>
      </c>
      <c r="C3098" s="6" t="s">
        <v>3380</v>
      </c>
      <c r="D3098" s="6">
        <f t="shared" si="380"/>
        <v>0.5</v>
      </c>
      <c r="E3098" s="6" t="s">
        <v>19</v>
      </c>
      <c r="F3098" s="6" t="str">
        <f>MID(A3098,19,1)</f>
        <v>N</v>
      </c>
      <c r="G3098" s="6">
        <v>-22.639540049480889</v>
      </c>
      <c r="H3098" s="6">
        <v>-47.330004676718438</v>
      </c>
      <c r="I3098" s="9">
        <v>5729.69</v>
      </c>
      <c r="K3098" s="6">
        <v>4.46</v>
      </c>
      <c r="L3098" s="6">
        <v>50</v>
      </c>
      <c r="N3098" s="1">
        <f t="shared" si="377"/>
        <v>0</v>
      </c>
      <c r="O3098" s="6" t="s">
        <v>20</v>
      </c>
      <c r="Q3098" s="6" t="s">
        <v>21</v>
      </c>
      <c r="R3098" s="6" t="s">
        <v>21</v>
      </c>
      <c r="S3098" s="6" t="s">
        <v>21</v>
      </c>
      <c r="T3098" s="6" t="s">
        <v>21</v>
      </c>
      <c r="U3098" s="6">
        <f t="shared" si="378"/>
        <v>2864.8449999999998</v>
      </c>
      <c r="V3098" s="6">
        <f t="shared" si="379"/>
        <v>2864.8449999999998</v>
      </c>
    </row>
    <row r="3099" spans="1:22" hidden="1" x14ac:dyDescent="0.35">
      <c r="A3099" s="6" t="s">
        <v>3394</v>
      </c>
      <c r="B3099" s="6" t="s">
        <v>3379</v>
      </c>
      <c r="C3099" s="6" t="s">
        <v>3380</v>
      </c>
      <c r="D3099" s="6">
        <f t="shared" si="380"/>
        <v>0.5</v>
      </c>
      <c r="E3099" s="6" t="s">
        <v>23</v>
      </c>
      <c r="F3099" s="6" t="str">
        <f>MID(A3099,19,1)</f>
        <v>C</v>
      </c>
      <c r="G3099" s="6">
        <v>-22.750993961560461</v>
      </c>
      <c r="H3099" s="6">
        <v>-47.445206968040161</v>
      </c>
      <c r="I3099" s="9">
        <v>4823.88</v>
      </c>
      <c r="J3099" s="9">
        <f>I3099/500</f>
        <v>9.6477599999999999</v>
      </c>
      <c r="K3099" s="6">
        <v>6.07</v>
      </c>
      <c r="L3099" s="6">
        <v>80</v>
      </c>
      <c r="N3099" s="1">
        <f t="shared" si="377"/>
        <v>0</v>
      </c>
      <c r="O3099" s="6" t="s">
        <v>20</v>
      </c>
      <c r="Q3099" s="6" t="s">
        <v>21</v>
      </c>
      <c r="R3099" s="6" t="s">
        <v>21</v>
      </c>
      <c r="S3099" s="6" t="s">
        <v>21</v>
      </c>
      <c r="T3099" s="6" t="s">
        <v>21</v>
      </c>
      <c r="U3099" s="6">
        <f t="shared" si="378"/>
        <v>3859.1040000000003</v>
      </c>
      <c r="V3099" s="6">
        <f t="shared" si="379"/>
        <v>3859.1040000000003</v>
      </c>
    </row>
    <row r="3100" spans="1:22" x14ac:dyDescent="0.35">
      <c r="A3100" s="6" t="s">
        <v>3395</v>
      </c>
      <c r="B3100" s="6" t="s">
        <v>3379</v>
      </c>
      <c r="C3100" s="6" t="s">
        <v>3380</v>
      </c>
      <c r="D3100" s="6">
        <f t="shared" si="380"/>
        <v>0.5</v>
      </c>
      <c r="E3100" s="6" t="s">
        <v>19</v>
      </c>
      <c r="F3100" s="6" t="str">
        <f>MID(A3100,19,1)</f>
        <v>N</v>
      </c>
      <c r="G3100" s="6">
        <v>-22.635682767531922</v>
      </c>
      <c r="H3100" s="6">
        <v>-47.332299170050881</v>
      </c>
      <c r="I3100" s="9">
        <v>1975.83</v>
      </c>
      <c r="K3100" s="6">
        <v>1.44</v>
      </c>
      <c r="L3100" s="6">
        <v>0</v>
      </c>
      <c r="N3100" s="1">
        <f t="shared" si="377"/>
        <v>0</v>
      </c>
      <c r="Q3100" s="6" t="s">
        <v>21</v>
      </c>
      <c r="R3100" s="6" t="s">
        <v>21</v>
      </c>
      <c r="S3100" s="6" t="s">
        <v>21</v>
      </c>
      <c r="T3100" s="6" t="s">
        <v>21</v>
      </c>
      <c r="U3100" s="6">
        <f t="shared" si="378"/>
        <v>0</v>
      </c>
      <c r="V3100" s="6">
        <f t="shared" si="379"/>
        <v>0</v>
      </c>
    </row>
    <row r="3101" spans="1:22" x14ac:dyDescent="0.35">
      <c r="A3101" s="6" t="s">
        <v>3396</v>
      </c>
      <c r="B3101" s="6" t="s">
        <v>3379</v>
      </c>
      <c r="C3101" s="6" t="s">
        <v>3380</v>
      </c>
      <c r="D3101" s="6">
        <f t="shared" si="380"/>
        <v>0.5</v>
      </c>
      <c r="E3101" s="6" t="s">
        <v>19</v>
      </c>
      <c r="F3101" s="6" t="str">
        <f>MID(A3101,19,1)</f>
        <v>N</v>
      </c>
      <c r="G3101" s="6">
        <v>-22.640132175446151</v>
      </c>
      <c r="H3101" s="6">
        <v>-47.329123692587018</v>
      </c>
      <c r="I3101" s="9">
        <v>2191.09</v>
      </c>
      <c r="K3101" s="6">
        <v>5.98</v>
      </c>
      <c r="L3101" s="6">
        <v>50</v>
      </c>
      <c r="N3101" s="1">
        <f t="shared" si="377"/>
        <v>0</v>
      </c>
      <c r="O3101" s="6" t="s">
        <v>20</v>
      </c>
      <c r="Q3101" s="6" t="s">
        <v>21</v>
      </c>
      <c r="R3101" s="6" t="s">
        <v>21</v>
      </c>
      <c r="S3101" s="6" t="s">
        <v>21</v>
      </c>
      <c r="T3101" s="6" t="s">
        <v>21</v>
      </c>
      <c r="U3101" s="6">
        <f t="shared" si="378"/>
        <v>1095.5450000000001</v>
      </c>
      <c r="V3101" s="6">
        <f t="shared" si="379"/>
        <v>1095.5450000000001</v>
      </c>
    </row>
    <row r="3102" spans="1:22" hidden="1" x14ac:dyDescent="0.35">
      <c r="A3102" s="6" t="s">
        <v>3397</v>
      </c>
      <c r="B3102" s="6" t="s">
        <v>3379</v>
      </c>
      <c r="C3102" s="6" t="s">
        <v>3380</v>
      </c>
      <c r="D3102" s="6">
        <f t="shared" si="380"/>
        <v>0.5</v>
      </c>
      <c r="E3102" s="6" t="s">
        <v>23</v>
      </c>
      <c r="F3102" s="6" t="str">
        <f>MID(A3102,19,1)</f>
        <v>C</v>
      </c>
      <c r="G3102" s="6">
        <v>-22.746856366847219</v>
      </c>
      <c r="H3102" s="6">
        <v>-47.446245827745919</v>
      </c>
      <c r="I3102" s="9">
        <v>5825.53</v>
      </c>
      <c r="J3102" s="9">
        <f t="shared" ref="J3102:J3103" si="381">I3102/500</f>
        <v>11.651059999999999</v>
      </c>
      <c r="K3102" s="6">
        <v>3.73</v>
      </c>
      <c r="L3102" s="6">
        <v>80</v>
      </c>
      <c r="N3102" s="1">
        <f t="shared" si="377"/>
        <v>0</v>
      </c>
      <c r="O3102" s="6" t="s">
        <v>20</v>
      </c>
      <c r="Q3102" s="6" t="s">
        <v>21</v>
      </c>
      <c r="R3102" s="6" t="s">
        <v>21</v>
      </c>
      <c r="S3102" s="6" t="s">
        <v>21</v>
      </c>
      <c r="T3102" s="6" t="s">
        <v>21</v>
      </c>
      <c r="U3102" s="6">
        <f t="shared" si="378"/>
        <v>4660.424</v>
      </c>
      <c r="V3102" s="6">
        <f t="shared" si="379"/>
        <v>4660.424</v>
      </c>
    </row>
    <row r="3103" spans="1:22" hidden="1" x14ac:dyDescent="0.35">
      <c r="A3103" s="6" t="s">
        <v>3398</v>
      </c>
      <c r="B3103" s="6" t="s">
        <v>3379</v>
      </c>
      <c r="C3103" s="6" t="s">
        <v>3380</v>
      </c>
      <c r="D3103" s="6">
        <f t="shared" si="380"/>
        <v>0.5</v>
      </c>
      <c r="E3103" s="6" t="s">
        <v>23</v>
      </c>
      <c r="F3103" s="6" t="str">
        <f>MID(A3103,19,1)</f>
        <v>C</v>
      </c>
      <c r="G3103" s="6">
        <v>-22.638898872940452</v>
      </c>
      <c r="H3103" s="6">
        <v>-47.330065241342588</v>
      </c>
      <c r="I3103" s="9">
        <v>5937.95</v>
      </c>
      <c r="J3103" s="9">
        <f t="shared" si="381"/>
        <v>11.8759</v>
      </c>
      <c r="K3103" s="6">
        <v>3.14</v>
      </c>
      <c r="L3103" s="6">
        <v>50</v>
      </c>
      <c r="N3103" s="1">
        <f t="shared" si="377"/>
        <v>0</v>
      </c>
      <c r="O3103" s="6" t="s">
        <v>20</v>
      </c>
      <c r="Q3103" s="6" t="s">
        <v>21</v>
      </c>
      <c r="R3103" s="6" t="s">
        <v>21</v>
      </c>
      <c r="S3103" s="6" t="s">
        <v>21</v>
      </c>
      <c r="T3103" s="6" t="s">
        <v>21</v>
      </c>
      <c r="U3103" s="6">
        <f t="shared" si="378"/>
        <v>2968.9749999999999</v>
      </c>
      <c r="V3103" s="6">
        <f t="shared" si="379"/>
        <v>2968.9749999999999</v>
      </c>
    </row>
    <row r="3104" spans="1:22" hidden="1" x14ac:dyDescent="0.35">
      <c r="A3104" s="6" t="s">
        <v>3399</v>
      </c>
      <c r="B3104" s="6" t="s">
        <v>3379</v>
      </c>
      <c r="C3104" s="6" t="s">
        <v>3380</v>
      </c>
      <c r="D3104" s="6">
        <f t="shared" si="380"/>
        <v>0.5</v>
      </c>
      <c r="E3104" s="6" t="s">
        <v>19</v>
      </c>
      <c r="F3104" s="6" t="str">
        <f>MID(A3104,19,1)</f>
        <v>S</v>
      </c>
      <c r="G3104" s="6">
        <v>-22.635439190193139</v>
      </c>
      <c r="H3104" s="6">
        <v>-47.332229948464871</v>
      </c>
      <c r="I3104" s="9">
        <v>1078.9000000000001</v>
      </c>
      <c r="K3104" s="6">
        <v>1.64</v>
      </c>
      <c r="L3104" s="6">
        <v>50</v>
      </c>
      <c r="N3104" s="1">
        <f t="shared" si="377"/>
        <v>0</v>
      </c>
      <c r="O3104" s="6" t="s">
        <v>20</v>
      </c>
      <c r="Q3104" s="6" t="s">
        <v>21</v>
      </c>
      <c r="R3104" s="6" t="s">
        <v>21</v>
      </c>
      <c r="S3104" s="6" t="s">
        <v>21</v>
      </c>
      <c r="T3104" s="6" t="s">
        <v>21</v>
      </c>
      <c r="U3104" s="6">
        <f t="shared" si="378"/>
        <v>539.45000000000005</v>
      </c>
      <c r="V3104" s="6">
        <f t="shared" si="379"/>
        <v>539.45000000000005</v>
      </c>
    </row>
    <row r="3105" spans="1:22" x14ac:dyDescent="0.35">
      <c r="A3105" s="6" t="s">
        <v>3400</v>
      </c>
      <c r="B3105" s="6" t="s">
        <v>3379</v>
      </c>
      <c r="C3105" s="6" t="s">
        <v>3380</v>
      </c>
      <c r="D3105" s="6">
        <f t="shared" si="380"/>
        <v>0.5</v>
      </c>
      <c r="E3105" s="6" t="s">
        <v>19</v>
      </c>
      <c r="F3105" s="6" t="str">
        <f>MID(A3105,19,1)</f>
        <v>N</v>
      </c>
      <c r="G3105" s="6">
        <v>-22.6366414794979</v>
      </c>
      <c r="H3105" s="6">
        <v>-47.331802073469071</v>
      </c>
      <c r="I3105" s="9">
        <v>1995.33</v>
      </c>
      <c r="K3105" s="6">
        <v>1.25</v>
      </c>
      <c r="L3105" s="6">
        <v>50</v>
      </c>
      <c r="N3105" s="1">
        <f t="shared" si="377"/>
        <v>0</v>
      </c>
      <c r="O3105" s="6" t="s">
        <v>20</v>
      </c>
      <c r="Q3105" s="6" t="s">
        <v>21</v>
      </c>
      <c r="R3105" s="6" t="s">
        <v>21</v>
      </c>
      <c r="S3105" s="6" t="s">
        <v>21</v>
      </c>
      <c r="T3105" s="6" t="s">
        <v>21</v>
      </c>
      <c r="U3105" s="6">
        <f t="shared" si="378"/>
        <v>997.66499999999996</v>
      </c>
      <c r="V3105" s="6">
        <f t="shared" si="379"/>
        <v>997.66499999999996</v>
      </c>
    </row>
    <row r="3106" spans="1:22" x14ac:dyDescent="0.35">
      <c r="A3106" s="6" t="s">
        <v>3401</v>
      </c>
      <c r="B3106" s="6" t="s">
        <v>3379</v>
      </c>
      <c r="C3106" s="6" t="s">
        <v>3380</v>
      </c>
      <c r="D3106" s="6">
        <f t="shared" si="380"/>
        <v>0.5</v>
      </c>
      <c r="E3106" s="6" t="s">
        <v>19</v>
      </c>
      <c r="F3106" s="6" t="str">
        <f>MID(A3106,19,1)</f>
        <v>N</v>
      </c>
      <c r="G3106" s="6">
        <v>-22.640328645315609</v>
      </c>
      <c r="H3106" s="6">
        <v>-47.329390355751947</v>
      </c>
      <c r="I3106" s="9">
        <v>2100.67</v>
      </c>
      <c r="K3106" s="6">
        <v>4.83</v>
      </c>
      <c r="L3106" s="6">
        <v>50</v>
      </c>
      <c r="N3106" s="1">
        <f t="shared" si="377"/>
        <v>0</v>
      </c>
      <c r="O3106" s="6" t="s">
        <v>20</v>
      </c>
      <c r="Q3106" s="6" t="s">
        <v>21</v>
      </c>
      <c r="R3106" s="6" t="s">
        <v>21</v>
      </c>
      <c r="S3106" s="6" t="s">
        <v>21</v>
      </c>
      <c r="T3106" s="6" t="s">
        <v>21</v>
      </c>
      <c r="U3106" s="6">
        <f t="shared" si="378"/>
        <v>1050.335</v>
      </c>
      <c r="V3106" s="6">
        <f t="shared" si="379"/>
        <v>1050.335</v>
      </c>
    </row>
    <row r="3107" spans="1:22" hidden="1" x14ac:dyDescent="0.35">
      <c r="A3107" s="6" t="s">
        <v>3402</v>
      </c>
      <c r="B3107" s="6" t="s">
        <v>3379</v>
      </c>
      <c r="C3107" s="6" t="s">
        <v>3380</v>
      </c>
      <c r="D3107" s="6">
        <f t="shared" si="380"/>
        <v>0.5</v>
      </c>
      <c r="E3107" s="6" t="s">
        <v>19</v>
      </c>
      <c r="F3107" s="6" t="str">
        <f>MID(A3107,19,1)</f>
        <v>S</v>
      </c>
      <c r="G3107" s="6">
        <v>-22.638596414449069</v>
      </c>
      <c r="H3107" s="6">
        <v>-47.329190822124112</v>
      </c>
      <c r="I3107" s="9">
        <v>810.29</v>
      </c>
      <c r="K3107" s="6">
        <v>3.68</v>
      </c>
      <c r="L3107" s="6">
        <v>50</v>
      </c>
      <c r="N3107" s="1">
        <f t="shared" si="377"/>
        <v>0</v>
      </c>
      <c r="O3107" s="6" t="s">
        <v>20</v>
      </c>
      <c r="Q3107" s="6" t="s">
        <v>21</v>
      </c>
      <c r="R3107" s="6" t="s">
        <v>21</v>
      </c>
      <c r="S3107" s="6" t="s">
        <v>21</v>
      </c>
      <c r="T3107" s="6" t="s">
        <v>21</v>
      </c>
      <c r="U3107" s="6">
        <f t="shared" si="378"/>
        <v>405.14499999999998</v>
      </c>
      <c r="V3107" s="6">
        <f t="shared" si="379"/>
        <v>405.14499999999998</v>
      </c>
    </row>
    <row r="3108" spans="1:22" hidden="1" x14ac:dyDescent="0.35">
      <c r="A3108" s="6" t="s">
        <v>3403</v>
      </c>
      <c r="B3108" s="6" t="s">
        <v>3379</v>
      </c>
      <c r="C3108" s="6" t="s">
        <v>3380</v>
      </c>
      <c r="D3108" s="6">
        <f t="shared" si="380"/>
        <v>0.5</v>
      </c>
      <c r="E3108" s="6" t="s">
        <v>19</v>
      </c>
      <c r="F3108" s="6" t="str">
        <f>MID(A3108,19,1)</f>
        <v>S</v>
      </c>
      <c r="G3108" s="6">
        <v>-22.640035721105061</v>
      </c>
      <c r="H3108" s="6">
        <v>-47.32845570584356</v>
      </c>
      <c r="I3108" s="9">
        <v>3849.97</v>
      </c>
      <c r="K3108" s="6">
        <v>2.94</v>
      </c>
      <c r="L3108" s="6">
        <v>50</v>
      </c>
      <c r="N3108" s="1">
        <f t="shared" si="377"/>
        <v>0</v>
      </c>
      <c r="O3108" s="6" t="s">
        <v>20</v>
      </c>
      <c r="Q3108" s="6" t="s">
        <v>21</v>
      </c>
      <c r="R3108" s="6" t="s">
        <v>21</v>
      </c>
      <c r="S3108" s="6" t="s">
        <v>21</v>
      </c>
      <c r="T3108" s="6" t="s">
        <v>21</v>
      </c>
      <c r="U3108" s="6">
        <f t="shared" si="378"/>
        <v>1924.9849999999999</v>
      </c>
      <c r="V3108" s="6">
        <f t="shared" si="379"/>
        <v>1924.9849999999999</v>
      </c>
    </row>
    <row r="3109" spans="1:22" hidden="1" x14ac:dyDescent="0.35">
      <c r="A3109" s="6" t="s">
        <v>3404</v>
      </c>
      <c r="B3109" s="6" t="s">
        <v>3379</v>
      </c>
      <c r="C3109" s="6" t="s">
        <v>3380</v>
      </c>
      <c r="D3109" s="6">
        <f t="shared" si="380"/>
        <v>0.5</v>
      </c>
      <c r="E3109" s="6" t="s">
        <v>19</v>
      </c>
      <c r="F3109" s="6" t="str">
        <f>MID(A3109,19,1)</f>
        <v>S</v>
      </c>
      <c r="G3109" s="6">
        <v>-22.638872146479368</v>
      </c>
      <c r="H3109" s="6">
        <v>-47.329236542606658</v>
      </c>
      <c r="I3109" s="9">
        <v>4040.47</v>
      </c>
      <c r="K3109" s="6">
        <v>3.64</v>
      </c>
      <c r="L3109" s="6">
        <v>50</v>
      </c>
      <c r="N3109" s="1">
        <f t="shared" si="377"/>
        <v>0</v>
      </c>
      <c r="O3109" s="6" t="s">
        <v>20</v>
      </c>
      <c r="Q3109" s="6" t="s">
        <v>21</v>
      </c>
      <c r="R3109" s="6" t="s">
        <v>21</v>
      </c>
      <c r="S3109" s="6" t="s">
        <v>21</v>
      </c>
      <c r="T3109" s="6" t="s">
        <v>21</v>
      </c>
      <c r="U3109" s="6">
        <f t="shared" si="378"/>
        <v>2020.2349999999999</v>
      </c>
      <c r="V3109" s="6">
        <f t="shared" si="379"/>
        <v>2020.2349999999999</v>
      </c>
    </row>
    <row r="3110" spans="1:22" x14ac:dyDescent="0.35">
      <c r="A3110" s="6" t="s">
        <v>3405</v>
      </c>
      <c r="B3110" s="6" t="s">
        <v>3406</v>
      </c>
      <c r="C3110" s="6" t="s">
        <v>3407</v>
      </c>
      <c r="D3110" s="6">
        <f t="shared" si="380"/>
        <v>0.5</v>
      </c>
      <c r="E3110" s="6" t="s">
        <v>19</v>
      </c>
      <c r="F3110" s="6" t="str">
        <f>MID(A3110,19,1)</f>
        <v>N</v>
      </c>
      <c r="G3110" s="6">
        <v>-22.63412963096274</v>
      </c>
      <c r="H3110" s="6">
        <v>-47.333868633875753</v>
      </c>
      <c r="I3110" s="9">
        <v>615.04999999999995</v>
      </c>
      <c r="K3110" s="6">
        <v>2.41</v>
      </c>
      <c r="L3110" s="6">
        <v>50</v>
      </c>
      <c r="N3110" s="1">
        <f t="shared" si="377"/>
        <v>0</v>
      </c>
      <c r="O3110" s="6" t="s">
        <v>20</v>
      </c>
      <c r="Q3110" s="6" t="s">
        <v>21</v>
      </c>
      <c r="R3110" s="6" t="s">
        <v>21</v>
      </c>
      <c r="S3110" s="6" t="s">
        <v>21</v>
      </c>
      <c r="T3110" s="6" t="s">
        <v>21</v>
      </c>
      <c r="U3110" s="6">
        <f t="shared" si="378"/>
        <v>307.52499999999998</v>
      </c>
      <c r="V3110" s="6">
        <f t="shared" si="379"/>
        <v>307.52499999999998</v>
      </c>
    </row>
    <row r="3111" spans="1:22" x14ac:dyDescent="0.35">
      <c r="A3111" s="6" t="s">
        <v>3408</v>
      </c>
      <c r="B3111" s="6" t="s">
        <v>3406</v>
      </c>
      <c r="C3111" s="6" t="s">
        <v>3407</v>
      </c>
      <c r="D3111" s="6">
        <f t="shared" si="380"/>
        <v>0.5</v>
      </c>
      <c r="E3111" s="6" t="s">
        <v>19</v>
      </c>
      <c r="F3111" s="6" t="str">
        <f>MID(A3111,19,1)</f>
        <v>N</v>
      </c>
      <c r="G3111" s="6">
        <v>-22.632202203549671</v>
      </c>
      <c r="H3111" s="6">
        <v>-47.33560943468563</v>
      </c>
      <c r="I3111" s="9">
        <v>1244.8800000000001</v>
      </c>
      <c r="K3111" s="6">
        <v>4.82</v>
      </c>
      <c r="L3111" s="6">
        <v>50</v>
      </c>
      <c r="N3111" s="1">
        <f t="shared" si="377"/>
        <v>0</v>
      </c>
      <c r="O3111" s="6" t="s">
        <v>20</v>
      </c>
      <c r="Q3111" s="6" t="s">
        <v>21</v>
      </c>
      <c r="R3111" s="6" t="s">
        <v>21</v>
      </c>
      <c r="S3111" s="6" t="s">
        <v>21</v>
      </c>
      <c r="T3111" s="6" t="s">
        <v>21</v>
      </c>
      <c r="U3111" s="6">
        <f t="shared" si="378"/>
        <v>622.44000000000005</v>
      </c>
      <c r="V3111" s="6">
        <f t="shared" si="379"/>
        <v>622.44000000000005</v>
      </c>
    </row>
    <row r="3112" spans="1:22" hidden="1" x14ac:dyDescent="0.35">
      <c r="A3112" s="6" t="s">
        <v>3409</v>
      </c>
      <c r="B3112" s="6" t="s">
        <v>3406</v>
      </c>
      <c r="C3112" s="6" t="s">
        <v>3407</v>
      </c>
      <c r="D3112" s="6">
        <f t="shared" si="380"/>
        <v>0.5</v>
      </c>
      <c r="E3112" s="6" t="s">
        <v>19</v>
      </c>
      <c r="F3112" s="6" t="str">
        <f>MID(A3112,19,1)</f>
        <v>S</v>
      </c>
      <c r="G3112" s="6">
        <v>-22.743406857520469</v>
      </c>
      <c r="H3112" s="6">
        <v>-47.449021793422887</v>
      </c>
      <c r="I3112" s="9">
        <v>1796.68</v>
      </c>
      <c r="K3112" s="6">
        <v>4.38</v>
      </c>
      <c r="L3112" s="6">
        <v>70</v>
      </c>
      <c r="N3112" s="1">
        <f t="shared" si="377"/>
        <v>0</v>
      </c>
      <c r="O3112" s="6" t="s">
        <v>20</v>
      </c>
      <c r="Q3112" s="6" t="s">
        <v>21</v>
      </c>
      <c r="R3112" s="6" t="s">
        <v>21</v>
      </c>
      <c r="S3112" s="6" t="s">
        <v>21</v>
      </c>
      <c r="T3112" s="6" t="s">
        <v>21</v>
      </c>
      <c r="U3112" s="6">
        <f t="shared" si="378"/>
        <v>1257.6759999999999</v>
      </c>
      <c r="V3112" s="6">
        <f t="shared" si="379"/>
        <v>1257.6759999999999</v>
      </c>
    </row>
    <row r="3113" spans="1:22" hidden="1" x14ac:dyDescent="0.35">
      <c r="A3113" s="6" t="s">
        <v>3410</v>
      </c>
      <c r="B3113" s="6" t="s">
        <v>3406</v>
      </c>
      <c r="C3113" s="6" t="s">
        <v>3407</v>
      </c>
      <c r="D3113" s="6">
        <f t="shared" si="380"/>
        <v>0.5</v>
      </c>
      <c r="E3113" s="6" t="s">
        <v>19</v>
      </c>
      <c r="F3113" s="6" t="str">
        <f>MID(A3113,19,1)</f>
        <v>S</v>
      </c>
      <c r="G3113" s="6">
        <v>-22.631044433460001</v>
      </c>
      <c r="H3113" s="6">
        <v>-47.336079348099382</v>
      </c>
      <c r="I3113" s="9">
        <v>973.9</v>
      </c>
      <c r="K3113" s="6">
        <v>5.85</v>
      </c>
      <c r="L3113" s="6">
        <v>50</v>
      </c>
      <c r="N3113" s="1">
        <f t="shared" si="377"/>
        <v>0</v>
      </c>
      <c r="O3113" s="6" t="s">
        <v>20</v>
      </c>
      <c r="Q3113" s="6" t="s">
        <v>21</v>
      </c>
      <c r="R3113" s="6" t="s">
        <v>21</v>
      </c>
      <c r="S3113" s="6" t="s">
        <v>21</v>
      </c>
      <c r="T3113" s="6" t="s">
        <v>21</v>
      </c>
      <c r="U3113" s="6">
        <f t="shared" si="378"/>
        <v>486.95</v>
      </c>
      <c r="V3113" s="6">
        <f t="shared" si="379"/>
        <v>486.95</v>
      </c>
    </row>
    <row r="3114" spans="1:22" hidden="1" x14ac:dyDescent="0.35">
      <c r="A3114" s="6" t="s">
        <v>3411</v>
      </c>
      <c r="B3114" s="6" t="s">
        <v>3406</v>
      </c>
      <c r="C3114" s="6" t="s">
        <v>3407</v>
      </c>
      <c r="D3114" s="6">
        <f t="shared" si="380"/>
        <v>0.5</v>
      </c>
      <c r="E3114" s="6" t="s">
        <v>19</v>
      </c>
      <c r="F3114" s="6" t="str">
        <f>MID(A3114,19,1)</f>
        <v>S</v>
      </c>
      <c r="G3114" s="6">
        <v>-22.63276530218792</v>
      </c>
      <c r="H3114" s="6">
        <v>-47.334544523799131</v>
      </c>
      <c r="I3114" s="9">
        <v>1987.6</v>
      </c>
      <c r="K3114" s="6">
        <v>6.95</v>
      </c>
      <c r="L3114" s="6">
        <v>50</v>
      </c>
      <c r="N3114" s="1">
        <f t="shared" si="377"/>
        <v>0</v>
      </c>
      <c r="O3114" s="6" t="s">
        <v>20</v>
      </c>
      <c r="Q3114" s="6" t="s">
        <v>21</v>
      </c>
      <c r="R3114" s="6" t="s">
        <v>21</v>
      </c>
      <c r="S3114" s="6" t="s">
        <v>21</v>
      </c>
      <c r="T3114" s="6" t="s">
        <v>21</v>
      </c>
      <c r="U3114" s="6">
        <f t="shared" si="378"/>
        <v>993.8</v>
      </c>
      <c r="V3114" s="6">
        <f t="shared" si="379"/>
        <v>993.8</v>
      </c>
    </row>
    <row r="3115" spans="1:22" x14ac:dyDescent="0.35">
      <c r="A3115" s="6" t="s">
        <v>3412</v>
      </c>
      <c r="B3115" s="6" t="s">
        <v>3406</v>
      </c>
      <c r="C3115" s="6" t="s">
        <v>3407</v>
      </c>
      <c r="D3115" s="6">
        <f t="shared" si="380"/>
        <v>0.5</v>
      </c>
      <c r="E3115" s="6" t="s">
        <v>19</v>
      </c>
      <c r="F3115" s="6" t="str">
        <f>MID(A3115,19,1)</f>
        <v>N</v>
      </c>
      <c r="G3115" s="6">
        <v>-22.628142739245799</v>
      </c>
      <c r="H3115" s="6">
        <v>-47.339403113035559</v>
      </c>
      <c r="I3115" s="9">
        <v>530.85</v>
      </c>
      <c r="K3115" s="6">
        <v>1.57</v>
      </c>
      <c r="L3115" s="6">
        <v>50</v>
      </c>
      <c r="N3115" s="1">
        <f t="shared" si="377"/>
        <v>0</v>
      </c>
      <c r="O3115" s="6" t="s">
        <v>20</v>
      </c>
      <c r="Q3115" s="6" t="s">
        <v>21</v>
      </c>
      <c r="R3115" s="6" t="s">
        <v>21</v>
      </c>
      <c r="S3115" s="6" t="s">
        <v>21</v>
      </c>
      <c r="T3115" s="6" t="s">
        <v>21</v>
      </c>
      <c r="U3115" s="6">
        <f t="shared" si="378"/>
        <v>265.42500000000001</v>
      </c>
      <c r="V3115" s="6">
        <f t="shared" si="379"/>
        <v>265.42500000000001</v>
      </c>
    </row>
    <row r="3116" spans="1:22" hidden="1" x14ac:dyDescent="0.35">
      <c r="A3116" s="6" t="s">
        <v>3413</v>
      </c>
      <c r="B3116" s="6" t="s">
        <v>3406</v>
      </c>
      <c r="C3116" s="6" t="s">
        <v>3407</v>
      </c>
      <c r="D3116" s="6">
        <f t="shared" si="380"/>
        <v>0.5</v>
      </c>
      <c r="E3116" s="6" t="s">
        <v>23</v>
      </c>
      <c r="F3116" s="6" t="str">
        <f>MID(A3116,19,1)</f>
        <v>C</v>
      </c>
      <c r="G3116" s="6">
        <v>-22.74331665960295</v>
      </c>
      <c r="H3116" s="6">
        <v>-47.448846772801801</v>
      </c>
      <c r="I3116" s="9">
        <v>5291.03</v>
      </c>
      <c r="J3116" s="9">
        <f>I3116/500</f>
        <v>10.58206</v>
      </c>
      <c r="K3116" s="6">
        <v>4.3099999999999996</v>
      </c>
      <c r="L3116" s="6">
        <v>80</v>
      </c>
      <c r="N3116" s="1">
        <f t="shared" si="377"/>
        <v>0</v>
      </c>
      <c r="O3116" s="6" t="s">
        <v>20</v>
      </c>
      <c r="Q3116" s="6" t="s">
        <v>21</v>
      </c>
      <c r="R3116" s="6" t="s">
        <v>21</v>
      </c>
      <c r="S3116" s="6" t="s">
        <v>21</v>
      </c>
      <c r="T3116" s="6" t="s">
        <v>21</v>
      </c>
      <c r="U3116" s="6">
        <f t="shared" si="378"/>
        <v>4232.8239999999996</v>
      </c>
      <c r="V3116" s="6">
        <f t="shared" si="379"/>
        <v>4232.8239999999996</v>
      </c>
    </row>
    <row r="3117" spans="1:22" x14ac:dyDescent="0.35">
      <c r="A3117" s="8" t="s">
        <v>3414</v>
      </c>
      <c r="B3117" s="8" t="s">
        <v>3406</v>
      </c>
      <c r="C3117" s="8" t="s">
        <v>3407</v>
      </c>
      <c r="D3117" s="6">
        <f t="shared" si="380"/>
        <v>0.5</v>
      </c>
      <c r="E3117" s="8" t="s">
        <v>19</v>
      </c>
      <c r="F3117" s="6" t="str">
        <f>MID(A3117,19,1)</f>
        <v>N</v>
      </c>
      <c r="G3117" s="8">
        <v>-22.63276578504032</v>
      </c>
      <c r="H3117" s="8">
        <v>-47.334831274388463</v>
      </c>
      <c r="I3117" s="7">
        <v>3740.23</v>
      </c>
      <c r="J3117" s="7"/>
      <c r="K3117" s="8">
        <v>5.28</v>
      </c>
      <c r="L3117" s="8">
        <v>70</v>
      </c>
      <c r="M3117" s="8"/>
      <c r="N3117" s="11">
        <f t="shared" si="377"/>
        <v>2618.1610000000001</v>
      </c>
      <c r="O3117" s="8" t="s">
        <v>71</v>
      </c>
      <c r="P3117" s="8"/>
      <c r="Q3117" s="8" t="s">
        <v>21</v>
      </c>
      <c r="R3117" s="8" t="s">
        <v>26</v>
      </c>
      <c r="S3117" s="8" t="s">
        <v>21</v>
      </c>
      <c r="T3117" s="8" t="s">
        <v>26</v>
      </c>
      <c r="U3117" s="6">
        <f t="shared" si="378"/>
        <v>0</v>
      </c>
    </row>
    <row r="3118" spans="1:22" x14ac:dyDescent="0.35">
      <c r="A3118" s="6" t="s">
        <v>3415</v>
      </c>
      <c r="B3118" s="6" t="s">
        <v>3406</v>
      </c>
      <c r="C3118" s="6" t="s">
        <v>3407</v>
      </c>
      <c r="D3118" s="6">
        <f t="shared" si="380"/>
        <v>0.5</v>
      </c>
      <c r="E3118" s="6" t="s">
        <v>19</v>
      </c>
      <c r="F3118" s="6" t="str">
        <f>MID(A3118,19,1)</f>
        <v>N</v>
      </c>
      <c r="G3118" s="6">
        <v>-22.74320671085043</v>
      </c>
      <c r="H3118" s="6">
        <v>-47.4487060016097</v>
      </c>
      <c r="I3118" s="9">
        <v>1839.94</v>
      </c>
      <c r="K3118" s="6">
        <v>3.99</v>
      </c>
      <c r="L3118" s="6">
        <v>70</v>
      </c>
      <c r="N3118" s="1">
        <f t="shared" si="377"/>
        <v>0</v>
      </c>
      <c r="O3118" s="6" t="s">
        <v>20</v>
      </c>
      <c r="Q3118" s="6" t="s">
        <v>21</v>
      </c>
      <c r="R3118" s="6" t="s">
        <v>21</v>
      </c>
      <c r="S3118" s="6" t="s">
        <v>21</v>
      </c>
      <c r="T3118" s="6" t="s">
        <v>21</v>
      </c>
      <c r="U3118" s="6">
        <f t="shared" si="378"/>
        <v>1287.9579999999999</v>
      </c>
      <c r="V3118" s="6">
        <f t="shared" ref="V3118:V3120" si="382">(I3118*(L3118/100))</f>
        <v>1287.9579999999999</v>
      </c>
    </row>
    <row r="3119" spans="1:22" x14ac:dyDescent="0.35">
      <c r="A3119" s="6" t="s">
        <v>3416</v>
      </c>
      <c r="B3119" s="6" t="s">
        <v>3406</v>
      </c>
      <c r="C3119" s="6" t="s">
        <v>3407</v>
      </c>
      <c r="D3119" s="6">
        <f t="shared" si="380"/>
        <v>0.5</v>
      </c>
      <c r="E3119" s="6" t="s">
        <v>19</v>
      </c>
      <c r="F3119" s="6" t="str">
        <f>MID(A3119,19,1)</f>
        <v>N</v>
      </c>
      <c r="G3119" s="6">
        <v>-22.739927530190311</v>
      </c>
      <c r="H3119" s="6">
        <v>-47.452532987355887</v>
      </c>
      <c r="I3119" s="9">
        <v>2446</v>
      </c>
      <c r="K3119" s="6">
        <v>4.78</v>
      </c>
      <c r="L3119" s="6">
        <v>70</v>
      </c>
      <c r="N3119" s="1">
        <f t="shared" si="377"/>
        <v>0</v>
      </c>
      <c r="O3119" s="6" t="s">
        <v>20</v>
      </c>
      <c r="Q3119" s="6" t="s">
        <v>21</v>
      </c>
      <c r="R3119" s="6" t="s">
        <v>21</v>
      </c>
      <c r="S3119" s="6" t="s">
        <v>21</v>
      </c>
      <c r="T3119" s="6" t="s">
        <v>21</v>
      </c>
      <c r="U3119" s="6">
        <f t="shared" si="378"/>
        <v>1712.1999999999998</v>
      </c>
      <c r="V3119" s="6">
        <f t="shared" si="382"/>
        <v>1712.1999999999998</v>
      </c>
    </row>
    <row r="3120" spans="1:22" hidden="1" x14ac:dyDescent="0.35">
      <c r="A3120" s="6" t="s">
        <v>3417</v>
      </c>
      <c r="B3120" s="6" t="s">
        <v>3406</v>
      </c>
      <c r="C3120" s="6" t="s">
        <v>3407</v>
      </c>
      <c r="D3120" s="6">
        <f t="shared" si="380"/>
        <v>0.5</v>
      </c>
      <c r="E3120" s="6" t="s">
        <v>23</v>
      </c>
      <c r="F3120" s="6" t="str">
        <f>MID(A3120,19,1)</f>
        <v>C</v>
      </c>
      <c r="G3120" s="6">
        <v>-22.740069307790112</v>
      </c>
      <c r="H3120" s="6">
        <v>-47.452658137376517</v>
      </c>
      <c r="I3120" s="9">
        <v>6679.39</v>
      </c>
      <c r="J3120" s="9">
        <f>I3120/500</f>
        <v>13.358780000000001</v>
      </c>
      <c r="K3120" s="6">
        <v>4.87</v>
      </c>
      <c r="L3120" s="6">
        <v>80</v>
      </c>
      <c r="N3120" s="1">
        <f t="shared" si="377"/>
        <v>0</v>
      </c>
      <c r="O3120" s="6" t="s">
        <v>20</v>
      </c>
      <c r="Q3120" s="6" t="s">
        <v>21</v>
      </c>
      <c r="R3120" s="6" t="s">
        <v>21</v>
      </c>
      <c r="S3120" s="6" t="s">
        <v>21</v>
      </c>
      <c r="T3120" s="6" t="s">
        <v>21</v>
      </c>
      <c r="U3120" s="6">
        <f t="shared" si="378"/>
        <v>5343.5120000000006</v>
      </c>
      <c r="V3120" s="6">
        <f t="shared" si="382"/>
        <v>5343.5120000000006</v>
      </c>
    </row>
    <row r="3121" spans="1:22" x14ac:dyDescent="0.35">
      <c r="A3121" s="8" t="s">
        <v>3418</v>
      </c>
      <c r="B3121" s="8" t="s">
        <v>3406</v>
      </c>
      <c r="C3121" s="8" t="s">
        <v>3407</v>
      </c>
      <c r="D3121" s="6">
        <f t="shared" si="380"/>
        <v>0.5</v>
      </c>
      <c r="E3121" s="8" t="s">
        <v>19</v>
      </c>
      <c r="F3121" s="6" t="str">
        <f>MID(A3121,19,1)</f>
        <v>N</v>
      </c>
      <c r="G3121" s="8">
        <v>-22.62926730176034</v>
      </c>
      <c r="H3121" s="8">
        <v>-47.338071162852373</v>
      </c>
      <c r="I3121" s="7">
        <v>3911.26</v>
      </c>
      <c r="J3121" s="7"/>
      <c r="K3121" s="8">
        <v>4.3099999999999996</v>
      </c>
      <c r="L3121" s="8">
        <v>70</v>
      </c>
      <c r="M3121" s="8"/>
      <c r="N3121" s="11">
        <f t="shared" si="377"/>
        <v>2737.8820000000001</v>
      </c>
      <c r="O3121" s="8" t="s">
        <v>71</v>
      </c>
      <c r="P3121" s="8"/>
      <c r="Q3121" s="8" t="s">
        <v>21</v>
      </c>
      <c r="R3121" s="8" t="s">
        <v>26</v>
      </c>
      <c r="S3121" s="8" t="s">
        <v>21</v>
      </c>
      <c r="T3121" s="8" t="s">
        <v>26</v>
      </c>
      <c r="U3121" s="6">
        <f t="shared" si="378"/>
        <v>0</v>
      </c>
    </row>
    <row r="3122" spans="1:22" hidden="1" x14ac:dyDescent="0.35">
      <c r="A3122" s="6" t="s">
        <v>3419</v>
      </c>
      <c r="B3122" s="6" t="s">
        <v>3406</v>
      </c>
      <c r="C3122" s="6" t="s">
        <v>3407</v>
      </c>
      <c r="D3122" s="6">
        <f t="shared" si="380"/>
        <v>0.5</v>
      </c>
      <c r="E3122" s="6" t="s">
        <v>19</v>
      </c>
      <c r="F3122" s="6" t="str">
        <f>MID(A3122,19,1)</f>
        <v>S</v>
      </c>
      <c r="G3122" s="6">
        <v>-22.628661723096631</v>
      </c>
      <c r="H3122" s="6">
        <v>-47.338254594328731</v>
      </c>
      <c r="I3122" s="9">
        <v>7848.51</v>
      </c>
      <c r="K3122" s="6">
        <v>3.62</v>
      </c>
      <c r="L3122" s="6">
        <v>50</v>
      </c>
      <c r="N3122" s="1">
        <f t="shared" si="377"/>
        <v>0</v>
      </c>
      <c r="O3122" s="6" t="s">
        <v>20</v>
      </c>
      <c r="Q3122" s="6" t="s">
        <v>21</v>
      </c>
      <c r="R3122" s="6" t="s">
        <v>21</v>
      </c>
      <c r="S3122" s="6" t="s">
        <v>21</v>
      </c>
      <c r="T3122" s="6" t="s">
        <v>21</v>
      </c>
      <c r="U3122" s="6">
        <f t="shared" si="378"/>
        <v>3924.2550000000001</v>
      </c>
      <c r="V3122" s="6">
        <f t="shared" ref="V3122:V3130" si="383">(I3122*(L3122/100))</f>
        <v>3924.2550000000001</v>
      </c>
    </row>
    <row r="3123" spans="1:22" hidden="1" x14ac:dyDescent="0.35">
      <c r="A3123" s="6" t="s">
        <v>3420</v>
      </c>
      <c r="B3123" s="6" t="s">
        <v>3406</v>
      </c>
      <c r="C3123" s="6" t="s">
        <v>3407</v>
      </c>
      <c r="D3123" s="6">
        <f t="shared" si="380"/>
        <v>0.5</v>
      </c>
      <c r="E3123" s="6" t="s">
        <v>19</v>
      </c>
      <c r="F3123" s="6" t="str">
        <f>MID(A3123,19,1)</f>
        <v>S</v>
      </c>
      <c r="G3123" s="6">
        <v>-22.630370415233411</v>
      </c>
      <c r="H3123" s="6">
        <v>-47.33667246012368</v>
      </c>
      <c r="I3123" s="9">
        <v>2637.31</v>
      </c>
      <c r="K3123" s="6">
        <v>6.16</v>
      </c>
      <c r="L3123" s="6">
        <v>50</v>
      </c>
      <c r="N3123" s="1">
        <f t="shared" si="377"/>
        <v>0</v>
      </c>
      <c r="O3123" s="6" t="s">
        <v>20</v>
      </c>
      <c r="Q3123" s="6" t="s">
        <v>21</v>
      </c>
      <c r="R3123" s="6" t="s">
        <v>21</v>
      </c>
      <c r="S3123" s="6" t="s">
        <v>21</v>
      </c>
      <c r="T3123" s="6" t="s">
        <v>21</v>
      </c>
      <c r="U3123" s="6">
        <f t="shared" si="378"/>
        <v>1318.655</v>
      </c>
      <c r="V3123" s="6">
        <f t="shared" si="383"/>
        <v>1318.655</v>
      </c>
    </row>
    <row r="3124" spans="1:22" hidden="1" x14ac:dyDescent="0.35">
      <c r="A3124" s="6" t="s">
        <v>3421</v>
      </c>
      <c r="B3124" s="6" t="s">
        <v>3406</v>
      </c>
      <c r="C3124" s="6" t="s">
        <v>3407</v>
      </c>
      <c r="D3124" s="6">
        <f t="shared" si="380"/>
        <v>0.5</v>
      </c>
      <c r="E3124" s="6" t="s">
        <v>19</v>
      </c>
      <c r="F3124" s="6" t="str">
        <f>MID(A3124,19,1)</f>
        <v>S</v>
      </c>
      <c r="G3124" s="6">
        <v>-22.740175557433091</v>
      </c>
      <c r="H3124" s="6">
        <v>-47.452811654581048</v>
      </c>
      <c r="I3124" s="9">
        <v>2443.7399999999998</v>
      </c>
      <c r="K3124" s="6">
        <v>5.05</v>
      </c>
      <c r="L3124" s="6">
        <v>70</v>
      </c>
      <c r="N3124" s="1">
        <f t="shared" si="377"/>
        <v>0</v>
      </c>
      <c r="O3124" s="6" t="s">
        <v>20</v>
      </c>
      <c r="Q3124" s="6" t="s">
        <v>21</v>
      </c>
      <c r="R3124" s="6" t="s">
        <v>21</v>
      </c>
      <c r="S3124" s="6" t="s">
        <v>21</v>
      </c>
      <c r="T3124" s="6" t="s">
        <v>21</v>
      </c>
      <c r="U3124" s="6">
        <f t="shared" si="378"/>
        <v>1710.6179999999997</v>
      </c>
      <c r="V3124" s="6">
        <f t="shared" si="383"/>
        <v>1710.6179999999997</v>
      </c>
    </row>
    <row r="3125" spans="1:22" x14ac:dyDescent="0.35">
      <c r="A3125" s="6" t="s">
        <v>3422</v>
      </c>
      <c r="B3125" s="6" t="s">
        <v>3406</v>
      </c>
      <c r="C3125" s="6" t="s">
        <v>3407</v>
      </c>
      <c r="D3125" s="6">
        <f t="shared" si="380"/>
        <v>0.5</v>
      </c>
      <c r="E3125" s="6" t="s">
        <v>19</v>
      </c>
      <c r="F3125" s="6" t="str">
        <f>MID(A3125,19,1)</f>
        <v>N</v>
      </c>
      <c r="G3125" s="6">
        <v>-22.630014509011438</v>
      </c>
      <c r="H3125" s="6">
        <v>-47.337645281430888</v>
      </c>
      <c r="I3125" s="9">
        <v>1309.3599999999999</v>
      </c>
      <c r="K3125" s="6">
        <v>4.54</v>
      </c>
      <c r="L3125" s="6">
        <v>50</v>
      </c>
      <c r="N3125" s="1">
        <f t="shared" si="377"/>
        <v>0</v>
      </c>
      <c r="O3125" s="6" t="s">
        <v>20</v>
      </c>
      <c r="Q3125" s="6" t="s">
        <v>21</v>
      </c>
      <c r="R3125" s="6" t="s">
        <v>21</v>
      </c>
      <c r="S3125" s="6" t="s">
        <v>21</v>
      </c>
      <c r="T3125" s="6" t="s">
        <v>21</v>
      </c>
      <c r="U3125" s="6">
        <f t="shared" si="378"/>
        <v>654.67999999999995</v>
      </c>
      <c r="V3125" s="6">
        <f t="shared" si="383"/>
        <v>654.67999999999995</v>
      </c>
    </row>
    <row r="3126" spans="1:22" hidden="1" x14ac:dyDescent="0.35">
      <c r="A3126" s="6" t="s">
        <v>3423</v>
      </c>
      <c r="B3126" s="6" t="s">
        <v>3424</v>
      </c>
      <c r="C3126" s="6" t="s">
        <v>3425</v>
      </c>
      <c r="D3126" s="6">
        <f t="shared" si="380"/>
        <v>0.5</v>
      </c>
      <c r="E3126" s="6" t="s">
        <v>19</v>
      </c>
      <c r="F3126" s="6" t="str">
        <f>MID(A3126,19,1)</f>
        <v>S</v>
      </c>
      <c r="G3126" s="6">
        <v>-22.623630466878041</v>
      </c>
      <c r="H3126" s="6">
        <v>-47.342987540121733</v>
      </c>
      <c r="I3126" s="9">
        <v>4069.6</v>
      </c>
      <c r="K3126" s="6">
        <v>4.72</v>
      </c>
      <c r="L3126" s="6">
        <v>50</v>
      </c>
      <c r="N3126" s="1">
        <f t="shared" si="377"/>
        <v>0</v>
      </c>
      <c r="O3126" s="6" t="s">
        <v>20</v>
      </c>
      <c r="Q3126" s="6" t="s">
        <v>21</v>
      </c>
      <c r="R3126" s="6" t="s">
        <v>21</v>
      </c>
      <c r="S3126" s="6" t="s">
        <v>21</v>
      </c>
      <c r="T3126" s="6" t="s">
        <v>21</v>
      </c>
      <c r="U3126" s="6">
        <f t="shared" si="378"/>
        <v>2034.8</v>
      </c>
      <c r="V3126" s="6">
        <f t="shared" si="383"/>
        <v>2034.8</v>
      </c>
    </row>
    <row r="3127" spans="1:22" hidden="1" x14ac:dyDescent="0.35">
      <c r="A3127" s="6" t="s">
        <v>3426</v>
      </c>
      <c r="B3127" s="6" t="s">
        <v>3424</v>
      </c>
      <c r="C3127" s="6" t="s">
        <v>3425</v>
      </c>
      <c r="D3127" s="6">
        <f t="shared" si="380"/>
        <v>0.5</v>
      </c>
      <c r="E3127" s="6" t="s">
        <v>19</v>
      </c>
      <c r="F3127" s="6" t="str">
        <f>MID(A3127,19,1)</f>
        <v>S</v>
      </c>
      <c r="G3127" s="6">
        <v>-22.734866874331409</v>
      </c>
      <c r="H3127" s="6">
        <v>-47.459191325601722</v>
      </c>
      <c r="I3127" s="9">
        <v>930.99</v>
      </c>
      <c r="K3127" s="6">
        <v>5</v>
      </c>
      <c r="L3127" s="6">
        <v>70</v>
      </c>
      <c r="N3127" s="1">
        <f t="shared" si="377"/>
        <v>0</v>
      </c>
      <c r="O3127" s="6" t="s">
        <v>20</v>
      </c>
      <c r="Q3127" s="6" t="s">
        <v>21</v>
      </c>
      <c r="R3127" s="6" t="s">
        <v>21</v>
      </c>
      <c r="S3127" s="6" t="s">
        <v>21</v>
      </c>
      <c r="T3127" s="6" t="s">
        <v>21</v>
      </c>
      <c r="U3127" s="6">
        <f t="shared" si="378"/>
        <v>651.69299999999998</v>
      </c>
      <c r="V3127" s="6">
        <f t="shared" si="383"/>
        <v>651.69299999999998</v>
      </c>
    </row>
    <row r="3128" spans="1:22" x14ac:dyDescent="0.35">
      <c r="A3128" s="6" t="s">
        <v>3427</v>
      </c>
      <c r="B3128" s="6" t="s">
        <v>3424</v>
      </c>
      <c r="C3128" s="6" t="s">
        <v>3425</v>
      </c>
      <c r="D3128" s="6">
        <f t="shared" si="380"/>
        <v>0.5</v>
      </c>
      <c r="E3128" s="6" t="s">
        <v>19</v>
      </c>
      <c r="F3128" s="6" t="str">
        <f>MID(A3128,19,1)</f>
        <v>N</v>
      </c>
      <c r="G3128" s="6">
        <v>-22.62287160319022</v>
      </c>
      <c r="H3128" s="6">
        <v>-47.344338494145518</v>
      </c>
      <c r="I3128" s="9">
        <v>2021.81</v>
      </c>
      <c r="K3128" s="6">
        <v>3.92</v>
      </c>
      <c r="L3128" s="6">
        <v>50</v>
      </c>
      <c r="N3128" s="1">
        <f t="shared" si="377"/>
        <v>0</v>
      </c>
      <c r="O3128" s="6" t="s">
        <v>20</v>
      </c>
      <c r="Q3128" s="6" t="s">
        <v>21</v>
      </c>
      <c r="R3128" s="6" t="s">
        <v>21</v>
      </c>
      <c r="S3128" s="6" t="s">
        <v>21</v>
      </c>
      <c r="T3128" s="6" t="s">
        <v>21</v>
      </c>
      <c r="U3128" s="6">
        <f t="shared" si="378"/>
        <v>1010.905</v>
      </c>
      <c r="V3128" s="6">
        <f t="shared" si="383"/>
        <v>1010.905</v>
      </c>
    </row>
    <row r="3129" spans="1:22" hidden="1" x14ac:dyDescent="0.35">
      <c r="A3129" s="6" t="s">
        <v>3428</v>
      </c>
      <c r="B3129" s="6" t="s">
        <v>3424</v>
      </c>
      <c r="C3129" s="6" t="s">
        <v>3425</v>
      </c>
      <c r="D3129" s="6">
        <f t="shared" si="380"/>
        <v>0.5</v>
      </c>
      <c r="E3129" s="6" t="s">
        <v>19</v>
      </c>
      <c r="F3129" s="6" t="str">
        <f>MID(A3129,19,1)</f>
        <v>S</v>
      </c>
      <c r="G3129" s="6">
        <v>-22.625856498815061</v>
      </c>
      <c r="H3129" s="6">
        <v>-47.340888448091022</v>
      </c>
      <c r="I3129" s="9">
        <v>9890.5300000000007</v>
      </c>
      <c r="K3129" s="6">
        <v>3.06</v>
      </c>
      <c r="L3129" s="6">
        <v>50</v>
      </c>
      <c r="N3129" s="1">
        <f t="shared" si="377"/>
        <v>0</v>
      </c>
      <c r="O3129" s="6" t="s">
        <v>20</v>
      </c>
      <c r="Q3129" s="6" t="s">
        <v>21</v>
      </c>
      <c r="R3129" s="6" t="s">
        <v>21</v>
      </c>
      <c r="S3129" s="6" t="s">
        <v>21</v>
      </c>
      <c r="T3129" s="6" t="s">
        <v>21</v>
      </c>
      <c r="U3129" s="6">
        <f t="shared" si="378"/>
        <v>4945.2650000000003</v>
      </c>
      <c r="V3129" s="6">
        <f t="shared" si="383"/>
        <v>4945.2650000000003</v>
      </c>
    </row>
    <row r="3130" spans="1:22" hidden="1" x14ac:dyDescent="0.35">
      <c r="A3130" s="6" t="s">
        <v>3429</v>
      </c>
      <c r="B3130" s="6" t="s">
        <v>3424</v>
      </c>
      <c r="C3130" s="6" t="s">
        <v>3425</v>
      </c>
      <c r="D3130" s="6">
        <f t="shared" si="380"/>
        <v>0.5</v>
      </c>
      <c r="E3130" s="6" t="s">
        <v>23</v>
      </c>
      <c r="F3130" s="6" t="str">
        <f>MID(A3130,19,1)</f>
        <v>C</v>
      </c>
      <c r="G3130" s="6">
        <v>-22.73683390544635</v>
      </c>
      <c r="H3130" s="6">
        <v>-47.456545385186047</v>
      </c>
      <c r="I3130" s="9">
        <v>5272.6</v>
      </c>
      <c r="J3130" s="9">
        <f>I3130/500</f>
        <v>10.545200000000001</v>
      </c>
      <c r="K3130" s="6">
        <v>6</v>
      </c>
      <c r="L3130" s="6">
        <v>80</v>
      </c>
      <c r="N3130" s="1">
        <f t="shared" si="377"/>
        <v>0</v>
      </c>
      <c r="O3130" s="6" t="s">
        <v>20</v>
      </c>
      <c r="Q3130" s="6" t="s">
        <v>21</v>
      </c>
      <c r="R3130" s="6" t="s">
        <v>21</v>
      </c>
      <c r="S3130" s="6" t="s">
        <v>21</v>
      </c>
      <c r="T3130" s="6" t="s">
        <v>21</v>
      </c>
      <c r="U3130" s="6">
        <f t="shared" si="378"/>
        <v>4218.0800000000008</v>
      </c>
      <c r="V3130" s="6">
        <f t="shared" si="383"/>
        <v>4218.0800000000008</v>
      </c>
    </row>
    <row r="3131" spans="1:22" hidden="1" x14ac:dyDescent="0.35">
      <c r="A3131" s="8" t="s">
        <v>3430</v>
      </c>
      <c r="B3131" s="8" t="s">
        <v>3424</v>
      </c>
      <c r="C3131" s="8" t="s">
        <v>3425</v>
      </c>
      <c r="D3131" s="6">
        <f t="shared" si="380"/>
        <v>0.5</v>
      </c>
      <c r="E3131" s="8" t="s">
        <v>19</v>
      </c>
      <c r="F3131" s="6" t="str">
        <f>MID(A3131,19,1)</f>
        <v>S</v>
      </c>
      <c r="G3131" s="8">
        <v>-22.621995172434641</v>
      </c>
      <c r="H3131" s="8">
        <v>-47.344592288002353</v>
      </c>
      <c r="I3131" s="7">
        <v>1307.8800000000001</v>
      </c>
      <c r="J3131" s="7"/>
      <c r="K3131" s="8">
        <v>2.9</v>
      </c>
      <c r="L3131" s="8">
        <v>80</v>
      </c>
      <c r="M3131" s="8"/>
      <c r="N3131" s="11">
        <f t="shared" si="377"/>
        <v>1046.3040000000001</v>
      </c>
      <c r="O3131" s="8" t="s">
        <v>25</v>
      </c>
      <c r="P3131" s="8"/>
      <c r="Q3131" s="8" t="s">
        <v>21</v>
      </c>
      <c r="R3131" s="8" t="s">
        <v>26</v>
      </c>
      <c r="S3131" s="8" t="s">
        <v>21</v>
      </c>
      <c r="T3131" s="8" t="s">
        <v>26</v>
      </c>
      <c r="U3131" s="6">
        <f t="shared" si="378"/>
        <v>0</v>
      </c>
    </row>
    <row r="3132" spans="1:22" x14ac:dyDescent="0.35">
      <c r="A3132" s="6" t="s">
        <v>3431</v>
      </c>
      <c r="B3132" s="6" t="s">
        <v>3424</v>
      </c>
      <c r="C3132" s="6" t="s">
        <v>3425</v>
      </c>
      <c r="D3132" s="6">
        <f t="shared" si="380"/>
        <v>0.5</v>
      </c>
      <c r="E3132" s="6" t="s">
        <v>19</v>
      </c>
      <c r="F3132" s="6" t="str">
        <f>MID(A3132,19,1)</f>
        <v>N</v>
      </c>
      <c r="G3132" s="6">
        <v>-22.736712886291421</v>
      </c>
      <c r="H3132" s="6">
        <v>-47.456420810388657</v>
      </c>
      <c r="I3132" s="9">
        <v>1835.69</v>
      </c>
      <c r="K3132" s="6">
        <v>5.99</v>
      </c>
      <c r="L3132" s="6">
        <v>70</v>
      </c>
      <c r="N3132" s="1">
        <f t="shared" si="377"/>
        <v>0</v>
      </c>
      <c r="O3132" s="6" t="s">
        <v>20</v>
      </c>
      <c r="Q3132" s="6" t="s">
        <v>21</v>
      </c>
      <c r="R3132" s="6" t="s">
        <v>21</v>
      </c>
      <c r="S3132" s="6" t="s">
        <v>21</v>
      </c>
      <c r="T3132" s="6" t="s">
        <v>21</v>
      </c>
      <c r="U3132" s="6">
        <f t="shared" si="378"/>
        <v>1284.9829999999999</v>
      </c>
      <c r="V3132" s="6">
        <f t="shared" ref="V3132:V3134" si="384">(I3132*(L3132/100))</f>
        <v>1284.9829999999999</v>
      </c>
    </row>
    <row r="3133" spans="1:22" x14ac:dyDescent="0.35">
      <c r="A3133" s="6" t="s">
        <v>3432</v>
      </c>
      <c r="B3133" s="6" t="s">
        <v>3424</v>
      </c>
      <c r="C3133" s="6" t="s">
        <v>3425</v>
      </c>
      <c r="D3133" s="6">
        <f t="shared" si="380"/>
        <v>0.5</v>
      </c>
      <c r="E3133" s="6" t="s">
        <v>19</v>
      </c>
      <c r="F3133" s="6" t="str">
        <f>MID(A3133,19,1)</f>
        <v>N</v>
      </c>
      <c r="G3133" s="6">
        <v>-22.626138701473561</v>
      </c>
      <c r="H3133" s="6">
        <v>-47.341271677641423</v>
      </c>
      <c r="I3133" s="9">
        <v>1818.99</v>
      </c>
      <c r="K3133" s="6">
        <v>3.29</v>
      </c>
      <c r="L3133" s="6">
        <v>50</v>
      </c>
      <c r="N3133" s="1">
        <f t="shared" si="377"/>
        <v>0</v>
      </c>
      <c r="O3133" s="6" t="s">
        <v>20</v>
      </c>
      <c r="Q3133" s="6" t="s">
        <v>21</v>
      </c>
      <c r="R3133" s="6" t="s">
        <v>21</v>
      </c>
      <c r="S3133" s="6" t="s">
        <v>21</v>
      </c>
      <c r="T3133" s="6" t="s">
        <v>21</v>
      </c>
      <c r="U3133" s="6">
        <f t="shared" si="378"/>
        <v>909.495</v>
      </c>
      <c r="V3133" s="6">
        <f t="shared" si="384"/>
        <v>909.495</v>
      </c>
    </row>
    <row r="3134" spans="1:22" hidden="1" x14ac:dyDescent="0.35">
      <c r="A3134" s="6" t="s">
        <v>3433</v>
      </c>
      <c r="B3134" s="6" t="s">
        <v>3424</v>
      </c>
      <c r="C3134" s="6" t="s">
        <v>3425</v>
      </c>
      <c r="D3134" s="6">
        <f t="shared" si="380"/>
        <v>0.5</v>
      </c>
      <c r="E3134" s="6" t="s">
        <v>23</v>
      </c>
      <c r="F3134" s="6" t="str">
        <f>MID(A3134,19,1)</f>
        <v>C</v>
      </c>
      <c r="G3134" s="6">
        <v>-22.73475450463906</v>
      </c>
      <c r="H3134" s="6">
        <v>-47.459052542527971</v>
      </c>
      <c r="I3134" s="9">
        <v>2503.94</v>
      </c>
      <c r="J3134" s="9">
        <f>I3134/500</f>
        <v>5.0078800000000001</v>
      </c>
      <c r="K3134" s="6">
        <v>4.95</v>
      </c>
      <c r="L3134" s="6">
        <v>80</v>
      </c>
      <c r="N3134" s="1">
        <f t="shared" si="377"/>
        <v>0</v>
      </c>
      <c r="O3134" s="6" t="s">
        <v>20</v>
      </c>
      <c r="Q3134" s="6" t="s">
        <v>21</v>
      </c>
      <c r="R3134" s="6" t="s">
        <v>21</v>
      </c>
      <c r="S3134" s="6" t="s">
        <v>21</v>
      </c>
      <c r="T3134" s="6" t="s">
        <v>21</v>
      </c>
      <c r="U3134" s="6">
        <f t="shared" si="378"/>
        <v>2003.152</v>
      </c>
      <c r="V3134" s="6">
        <f t="shared" si="384"/>
        <v>2003.152</v>
      </c>
    </row>
    <row r="3135" spans="1:22" x14ac:dyDescent="0.35">
      <c r="A3135" s="8" t="s">
        <v>3434</v>
      </c>
      <c r="B3135" s="8" t="s">
        <v>3424</v>
      </c>
      <c r="C3135" s="8" t="s">
        <v>3425</v>
      </c>
      <c r="D3135" s="6">
        <f t="shared" si="380"/>
        <v>0.5</v>
      </c>
      <c r="E3135" s="8" t="s">
        <v>19</v>
      </c>
      <c r="F3135" s="6" t="str">
        <f>MID(A3135,19,1)</f>
        <v>N</v>
      </c>
      <c r="G3135" s="8">
        <v>-22.626051968943131</v>
      </c>
      <c r="H3135" s="8">
        <v>-47.341092493133367</v>
      </c>
      <c r="I3135" s="7">
        <v>3514</v>
      </c>
      <c r="J3135" s="7"/>
      <c r="K3135" s="8">
        <v>3.03</v>
      </c>
      <c r="L3135" s="8">
        <v>70</v>
      </c>
      <c r="M3135" s="8"/>
      <c r="N3135" s="11">
        <f t="shared" si="377"/>
        <v>2459.7999999999997</v>
      </c>
      <c r="O3135" s="8" t="s">
        <v>71</v>
      </c>
      <c r="P3135" s="8"/>
      <c r="Q3135" s="8" t="s">
        <v>21</v>
      </c>
      <c r="R3135" s="8" t="s">
        <v>26</v>
      </c>
      <c r="S3135" s="8" t="s">
        <v>21</v>
      </c>
      <c r="T3135" s="8" t="s">
        <v>26</v>
      </c>
      <c r="U3135" s="6">
        <f t="shared" si="378"/>
        <v>0</v>
      </c>
    </row>
    <row r="3136" spans="1:22" hidden="1" x14ac:dyDescent="0.35">
      <c r="A3136" s="6" t="s">
        <v>3435</v>
      </c>
      <c r="B3136" s="6" t="s">
        <v>3424</v>
      </c>
      <c r="C3136" s="6" t="s">
        <v>3425</v>
      </c>
      <c r="D3136" s="6">
        <f t="shared" si="380"/>
        <v>0.5</v>
      </c>
      <c r="E3136" s="6" t="s">
        <v>19</v>
      </c>
      <c r="F3136" s="6" t="str">
        <f>MID(A3136,19,1)</f>
        <v>S</v>
      </c>
      <c r="G3136" s="6">
        <v>-22.736948651172629</v>
      </c>
      <c r="H3136" s="6">
        <v>-47.456683422153347</v>
      </c>
      <c r="I3136" s="9">
        <v>1835.74</v>
      </c>
      <c r="K3136" s="6">
        <v>6.22</v>
      </c>
      <c r="L3136" s="6">
        <v>70</v>
      </c>
      <c r="N3136" s="1">
        <f t="shared" si="377"/>
        <v>0</v>
      </c>
      <c r="O3136" s="6" t="s">
        <v>20</v>
      </c>
      <c r="Q3136" s="6" t="s">
        <v>21</v>
      </c>
      <c r="R3136" s="6" t="s">
        <v>21</v>
      </c>
      <c r="S3136" s="6" t="s">
        <v>21</v>
      </c>
      <c r="T3136" s="6" t="s">
        <v>21</v>
      </c>
      <c r="U3136" s="6">
        <f t="shared" si="378"/>
        <v>1285.018</v>
      </c>
      <c r="V3136" s="6">
        <f t="shared" ref="V3136:V3137" si="385">(I3136*(L3136/100))</f>
        <v>1285.018</v>
      </c>
    </row>
    <row r="3137" spans="1:22" x14ac:dyDescent="0.35">
      <c r="A3137" s="6" t="s">
        <v>3436</v>
      </c>
      <c r="B3137" s="6" t="s">
        <v>3424</v>
      </c>
      <c r="C3137" s="6" t="s">
        <v>3425</v>
      </c>
      <c r="D3137" s="6">
        <f t="shared" si="380"/>
        <v>0.5</v>
      </c>
      <c r="E3137" s="6" t="s">
        <v>19</v>
      </c>
      <c r="F3137" s="6" t="str">
        <f>MID(A3137,19,1)</f>
        <v>N</v>
      </c>
      <c r="G3137" s="6">
        <v>-22.73462341608672</v>
      </c>
      <c r="H3137" s="6">
        <v>-47.458937285868551</v>
      </c>
      <c r="I3137" s="9">
        <v>940.84</v>
      </c>
      <c r="K3137" s="6">
        <v>5.73</v>
      </c>
      <c r="L3137" s="6">
        <v>70</v>
      </c>
      <c r="N3137" s="1">
        <f t="shared" si="377"/>
        <v>0</v>
      </c>
      <c r="O3137" s="6" t="s">
        <v>20</v>
      </c>
      <c r="Q3137" s="6" t="s">
        <v>21</v>
      </c>
      <c r="R3137" s="6" t="s">
        <v>21</v>
      </c>
      <c r="S3137" s="6" t="s">
        <v>21</v>
      </c>
      <c r="T3137" s="6" t="s">
        <v>21</v>
      </c>
      <c r="U3137" s="6">
        <f t="shared" si="378"/>
        <v>658.58799999999997</v>
      </c>
      <c r="V3137" s="6">
        <f t="shared" si="385"/>
        <v>658.58799999999997</v>
      </c>
    </row>
    <row r="3138" spans="1:22" x14ac:dyDescent="0.35">
      <c r="A3138" s="8" t="s">
        <v>3437</v>
      </c>
      <c r="B3138" s="8" t="s">
        <v>3424</v>
      </c>
      <c r="C3138" s="8" t="s">
        <v>3425</v>
      </c>
      <c r="D3138" s="6">
        <f t="shared" si="380"/>
        <v>0.5</v>
      </c>
      <c r="E3138" s="8" t="s">
        <v>19</v>
      </c>
      <c r="F3138" s="6" t="str">
        <f>MID(A3138,19,1)</f>
        <v>N</v>
      </c>
      <c r="G3138" s="8">
        <v>-22.623160684707639</v>
      </c>
      <c r="H3138" s="8">
        <v>-47.343808121619183</v>
      </c>
      <c r="I3138" s="7">
        <v>2798.94</v>
      </c>
      <c r="J3138" s="7"/>
      <c r="K3138" s="8">
        <v>3.8</v>
      </c>
      <c r="L3138" s="8">
        <v>70</v>
      </c>
      <c r="M3138" s="8"/>
      <c r="N3138" s="11">
        <f t="shared" ref="N3138:N3201" si="386">IF(OR(R3138="Sim",S3138="Sim",T3138="Sim"),(L3138/100)*I3138,0)</f>
        <v>1959.2579999999998</v>
      </c>
      <c r="O3138" s="8" t="s">
        <v>71</v>
      </c>
      <c r="P3138" s="8"/>
      <c r="Q3138" s="8" t="s">
        <v>21</v>
      </c>
      <c r="R3138" s="8" t="s">
        <v>26</v>
      </c>
      <c r="S3138" s="8" t="s">
        <v>21</v>
      </c>
      <c r="T3138" s="8" t="s">
        <v>26</v>
      </c>
      <c r="U3138" s="6">
        <f t="shared" si="378"/>
        <v>0</v>
      </c>
    </row>
    <row r="3139" spans="1:22" x14ac:dyDescent="0.35">
      <c r="A3139" s="8" t="s">
        <v>3438</v>
      </c>
      <c r="B3139" s="8" t="s">
        <v>3439</v>
      </c>
      <c r="C3139" s="8" t="s">
        <v>3440</v>
      </c>
      <c r="D3139" s="6">
        <f t="shared" si="380"/>
        <v>0.5</v>
      </c>
      <c r="E3139" s="8" t="s">
        <v>19</v>
      </c>
      <c r="F3139" s="6" t="str">
        <f>MID(A3139,19,1)</f>
        <v>N</v>
      </c>
      <c r="G3139" s="8">
        <v>-22.619249668808848</v>
      </c>
      <c r="H3139" s="8">
        <v>-47.347710330513422</v>
      </c>
      <c r="I3139" s="7">
        <v>1771.16</v>
      </c>
      <c r="J3139" s="7"/>
      <c r="K3139" s="8">
        <v>2.68</v>
      </c>
      <c r="L3139" s="8">
        <v>70</v>
      </c>
      <c r="M3139" s="8"/>
      <c r="N3139" s="11">
        <f t="shared" si="386"/>
        <v>1239.8119999999999</v>
      </c>
      <c r="O3139" s="8" t="s">
        <v>25</v>
      </c>
      <c r="P3139" s="8"/>
      <c r="Q3139" s="8" t="s">
        <v>21</v>
      </c>
      <c r="R3139" s="8" t="s">
        <v>26</v>
      </c>
      <c r="S3139" s="8" t="s">
        <v>21</v>
      </c>
      <c r="T3139" s="8" t="s">
        <v>26</v>
      </c>
      <c r="U3139" s="6">
        <f t="shared" ref="U3139:U3202" si="387">IF(N3139=0,(I3139*(L3139/100)),0)</f>
        <v>0</v>
      </c>
    </row>
    <row r="3140" spans="1:22" x14ac:dyDescent="0.35">
      <c r="A3140" s="6" t="s">
        <v>3441</v>
      </c>
      <c r="B3140" s="6" t="s">
        <v>3439</v>
      </c>
      <c r="C3140" s="6" t="s">
        <v>3440</v>
      </c>
      <c r="D3140" s="6">
        <f t="shared" si="380"/>
        <v>0.5</v>
      </c>
      <c r="E3140" s="6" t="s">
        <v>19</v>
      </c>
      <c r="F3140" s="6" t="str">
        <f>MID(A3140,19,1)</f>
        <v>N</v>
      </c>
      <c r="G3140" s="6">
        <v>-22.72490812637249</v>
      </c>
      <c r="H3140" s="6">
        <v>-47.463543261042332</v>
      </c>
      <c r="I3140" s="9">
        <v>2226.81</v>
      </c>
      <c r="K3140" s="6">
        <v>3.34</v>
      </c>
      <c r="L3140" s="6">
        <v>70</v>
      </c>
      <c r="N3140" s="1">
        <f t="shared" si="386"/>
        <v>0</v>
      </c>
      <c r="O3140" s="6" t="s">
        <v>20</v>
      </c>
      <c r="Q3140" s="6" t="s">
        <v>21</v>
      </c>
      <c r="R3140" s="6" t="s">
        <v>21</v>
      </c>
      <c r="S3140" s="6" t="s">
        <v>21</v>
      </c>
      <c r="T3140" s="6" t="s">
        <v>21</v>
      </c>
      <c r="U3140" s="6">
        <f t="shared" si="387"/>
        <v>1558.7669999999998</v>
      </c>
      <c r="V3140" s="6">
        <f t="shared" ref="V3140:V3143" si="388">(I3140*(L3140/100))</f>
        <v>1558.7669999999998</v>
      </c>
    </row>
    <row r="3141" spans="1:22" hidden="1" x14ac:dyDescent="0.35">
      <c r="A3141" s="6" t="s">
        <v>3442</v>
      </c>
      <c r="B3141" s="6" t="s">
        <v>3439</v>
      </c>
      <c r="C3141" s="6" t="s">
        <v>3440</v>
      </c>
      <c r="D3141" s="6">
        <f t="shared" si="380"/>
        <v>0.5</v>
      </c>
      <c r="E3141" s="6" t="s">
        <v>19</v>
      </c>
      <c r="F3141" s="6" t="str">
        <f>MID(A3141,19,1)</f>
        <v>S</v>
      </c>
      <c r="G3141" s="6">
        <v>-22.61484384612454</v>
      </c>
      <c r="H3141" s="6">
        <v>-47.35113703352188</v>
      </c>
      <c r="I3141" s="9">
        <v>2884.65</v>
      </c>
      <c r="K3141" s="6">
        <v>6.07</v>
      </c>
      <c r="L3141" s="6">
        <v>50</v>
      </c>
      <c r="N3141" s="1">
        <f t="shared" si="386"/>
        <v>0</v>
      </c>
      <c r="O3141" s="6" t="s">
        <v>20</v>
      </c>
      <c r="Q3141" s="6" t="s">
        <v>21</v>
      </c>
      <c r="R3141" s="6" t="s">
        <v>21</v>
      </c>
      <c r="S3141" s="6" t="s">
        <v>21</v>
      </c>
      <c r="T3141" s="6" t="s">
        <v>21</v>
      </c>
      <c r="U3141" s="6">
        <f t="shared" si="387"/>
        <v>1442.325</v>
      </c>
      <c r="V3141" s="6">
        <f t="shared" si="388"/>
        <v>1442.325</v>
      </c>
    </row>
    <row r="3142" spans="1:22" hidden="1" x14ac:dyDescent="0.35">
      <c r="A3142" s="6" t="s">
        <v>3443</v>
      </c>
      <c r="B3142" s="6" t="s">
        <v>3439</v>
      </c>
      <c r="C3142" s="6" t="s">
        <v>3440</v>
      </c>
      <c r="D3142" s="6">
        <f t="shared" si="380"/>
        <v>0.5</v>
      </c>
      <c r="E3142" s="6" t="s">
        <v>19</v>
      </c>
      <c r="F3142" s="6" t="str">
        <f>MID(A3142,19,1)</f>
        <v>S</v>
      </c>
      <c r="G3142" s="6">
        <v>-22.615270307048402</v>
      </c>
      <c r="H3142" s="6">
        <v>-47.350940750935727</v>
      </c>
      <c r="I3142" s="9">
        <v>127.25</v>
      </c>
      <c r="K3142" s="6">
        <v>5.72</v>
      </c>
      <c r="L3142" s="6">
        <v>50</v>
      </c>
      <c r="N3142" s="1">
        <f t="shared" si="386"/>
        <v>0</v>
      </c>
      <c r="O3142" s="6" t="s">
        <v>20</v>
      </c>
      <c r="Q3142" s="6" t="s">
        <v>21</v>
      </c>
      <c r="R3142" s="6" t="s">
        <v>21</v>
      </c>
      <c r="S3142" s="6" t="s">
        <v>21</v>
      </c>
      <c r="T3142" s="6" t="s">
        <v>21</v>
      </c>
      <c r="U3142" s="6">
        <f t="shared" si="387"/>
        <v>63.625</v>
      </c>
      <c r="V3142" s="6">
        <f t="shared" si="388"/>
        <v>63.625</v>
      </c>
    </row>
    <row r="3143" spans="1:22" x14ac:dyDescent="0.35">
      <c r="A3143" s="6" t="s">
        <v>3444</v>
      </c>
      <c r="B3143" s="6" t="s">
        <v>3439</v>
      </c>
      <c r="C3143" s="6" t="s">
        <v>3440</v>
      </c>
      <c r="D3143" s="6">
        <f t="shared" si="380"/>
        <v>0.5</v>
      </c>
      <c r="E3143" s="6" t="s">
        <v>19</v>
      </c>
      <c r="F3143" s="6" t="str">
        <f>MID(A3143,19,1)</f>
        <v>N</v>
      </c>
      <c r="G3143" s="6">
        <v>-22.616564837548658</v>
      </c>
      <c r="H3143" s="6">
        <v>-47.350271318114963</v>
      </c>
      <c r="I3143" s="9">
        <v>1451.11</v>
      </c>
      <c r="K3143" s="6">
        <v>3.4</v>
      </c>
      <c r="L3143" s="6">
        <v>50</v>
      </c>
      <c r="N3143" s="1">
        <f t="shared" si="386"/>
        <v>0</v>
      </c>
      <c r="O3143" s="6" t="s">
        <v>20</v>
      </c>
      <c r="Q3143" s="6" t="s">
        <v>21</v>
      </c>
      <c r="R3143" s="6" t="s">
        <v>21</v>
      </c>
      <c r="S3143" s="6" t="s">
        <v>21</v>
      </c>
      <c r="T3143" s="6" t="s">
        <v>21</v>
      </c>
      <c r="U3143" s="6">
        <f t="shared" si="387"/>
        <v>725.55499999999995</v>
      </c>
      <c r="V3143" s="6">
        <f t="shared" si="388"/>
        <v>725.55499999999995</v>
      </c>
    </row>
    <row r="3144" spans="1:22" hidden="1" x14ac:dyDescent="0.35">
      <c r="A3144" s="8" t="s">
        <v>3445</v>
      </c>
      <c r="B3144" s="8" t="s">
        <v>3439</v>
      </c>
      <c r="C3144" s="8" t="s">
        <v>3440</v>
      </c>
      <c r="D3144" s="6">
        <f t="shared" si="380"/>
        <v>0.5</v>
      </c>
      <c r="E3144" s="8" t="s">
        <v>19</v>
      </c>
      <c r="F3144" s="6" t="str">
        <f>MID(A3144,19,1)</f>
        <v>S</v>
      </c>
      <c r="G3144" s="8">
        <v>-22.619211804421351</v>
      </c>
      <c r="H3144" s="8">
        <v>-47.347253136161143</v>
      </c>
      <c r="I3144" s="7">
        <v>1993.21</v>
      </c>
      <c r="J3144" s="7"/>
      <c r="K3144" s="8">
        <v>4.8600000000000003</v>
      </c>
      <c r="L3144" s="8">
        <v>70</v>
      </c>
      <c r="M3144" s="8"/>
      <c r="N3144" s="11">
        <f t="shared" si="386"/>
        <v>1395.2469999999998</v>
      </c>
      <c r="O3144" s="8" t="s">
        <v>25</v>
      </c>
      <c r="P3144" s="8"/>
      <c r="Q3144" s="8" t="s">
        <v>21</v>
      </c>
      <c r="R3144" s="8" t="s">
        <v>26</v>
      </c>
      <c r="S3144" s="8" t="s">
        <v>21</v>
      </c>
      <c r="T3144" s="8" t="s">
        <v>26</v>
      </c>
      <c r="U3144" s="6">
        <f t="shared" si="387"/>
        <v>0</v>
      </c>
    </row>
    <row r="3145" spans="1:22" hidden="1" x14ac:dyDescent="0.35">
      <c r="A3145" s="6" t="s">
        <v>3446</v>
      </c>
      <c r="B3145" s="6" t="s">
        <v>3439</v>
      </c>
      <c r="C3145" s="6" t="s">
        <v>3440</v>
      </c>
      <c r="D3145" s="6">
        <f t="shared" si="380"/>
        <v>0.5</v>
      </c>
      <c r="E3145" s="6" t="s">
        <v>19</v>
      </c>
      <c r="F3145" s="6" t="str">
        <f>MID(A3145,19,1)</f>
        <v>S</v>
      </c>
      <c r="G3145" s="6">
        <v>-22.61711464680576</v>
      </c>
      <c r="H3145" s="6">
        <v>-47.34917968077508</v>
      </c>
      <c r="I3145" s="9">
        <v>898.76</v>
      </c>
      <c r="K3145" s="6">
        <v>3.45</v>
      </c>
      <c r="L3145" s="6">
        <v>50</v>
      </c>
      <c r="N3145" s="1">
        <f t="shared" si="386"/>
        <v>0</v>
      </c>
      <c r="O3145" s="6" t="s">
        <v>20</v>
      </c>
      <c r="Q3145" s="6" t="s">
        <v>21</v>
      </c>
      <c r="R3145" s="6" t="s">
        <v>21</v>
      </c>
      <c r="S3145" s="6" t="s">
        <v>21</v>
      </c>
      <c r="T3145" s="6" t="s">
        <v>21</v>
      </c>
      <c r="U3145" s="6">
        <f t="shared" si="387"/>
        <v>449.38</v>
      </c>
      <c r="V3145" s="6">
        <f t="shared" ref="V3145:V3158" si="389">(I3145*(L3145/100))</f>
        <v>449.38</v>
      </c>
    </row>
    <row r="3146" spans="1:22" hidden="1" x14ac:dyDescent="0.35">
      <c r="A3146" s="6" t="s">
        <v>3447</v>
      </c>
      <c r="B3146" s="6" t="s">
        <v>3439</v>
      </c>
      <c r="C3146" s="6" t="s">
        <v>3440</v>
      </c>
      <c r="D3146" s="6">
        <f t="shared" si="380"/>
        <v>0.5</v>
      </c>
      <c r="E3146" s="6" t="s">
        <v>19</v>
      </c>
      <c r="F3146" s="6" t="str">
        <f>MID(A3146,19,1)</f>
        <v>S</v>
      </c>
      <c r="G3146" s="6">
        <v>-22.61821000684861</v>
      </c>
      <c r="H3146" s="6">
        <v>-47.347958293507723</v>
      </c>
      <c r="I3146" s="9">
        <v>944.55</v>
      </c>
      <c r="K3146" s="6">
        <v>5.65</v>
      </c>
      <c r="L3146" s="6">
        <v>50</v>
      </c>
      <c r="N3146" s="1">
        <f t="shared" si="386"/>
        <v>0</v>
      </c>
      <c r="O3146" s="6" t="s">
        <v>20</v>
      </c>
      <c r="Q3146" s="6" t="s">
        <v>21</v>
      </c>
      <c r="R3146" s="6" t="s">
        <v>21</v>
      </c>
      <c r="S3146" s="6" t="s">
        <v>21</v>
      </c>
      <c r="T3146" s="6" t="s">
        <v>21</v>
      </c>
      <c r="U3146" s="6">
        <f t="shared" si="387"/>
        <v>472.27499999999998</v>
      </c>
      <c r="V3146" s="6">
        <f t="shared" si="389"/>
        <v>472.27499999999998</v>
      </c>
    </row>
    <row r="3147" spans="1:22" hidden="1" x14ac:dyDescent="0.35">
      <c r="A3147" s="6" t="s">
        <v>3448</v>
      </c>
      <c r="B3147" s="6" t="s">
        <v>3439</v>
      </c>
      <c r="C3147" s="6" t="s">
        <v>3440</v>
      </c>
      <c r="D3147" s="6">
        <f t="shared" si="380"/>
        <v>0.5</v>
      </c>
      <c r="E3147" s="6" t="s">
        <v>19</v>
      </c>
      <c r="F3147" s="6" t="str">
        <f>MID(A3147,19,1)</f>
        <v>S</v>
      </c>
      <c r="G3147" s="6">
        <v>-22.618298131567379</v>
      </c>
      <c r="H3147" s="6">
        <v>-47.347968613470478</v>
      </c>
      <c r="I3147" s="9">
        <v>999.12</v>
      </c>
      <c r="K3147" s="6">
        <v>5.1100000000000003</v>
      </c>
      <c r="L3147" s="6">
        <v>50</v>
      </c>
      <c r="N3147" s="1">
        <f t="shared" si="386"/>
        <v>0</v>
      </c>
      <c r="O3147" s="6" t="s">
        <v>20</v>
      </c>
      <c r="Q3147" s="6" t="s">
        <v>21</v>
      </c>
      <c r="R3147" s="6" t="s">
        <v>21</v>
      </c>
      <c r="S3147" s="6" t="s">
        <v>21</v>
      </c>
      <c r="T3147" s="6" t="s">
        <v>21</v>
      </c>
      <c r="U3147" s="6">
        <f t="shared" si="387"/>
        <v>499.56</v>
      </c>
      <c r="V3147" s="6">
        <f t="shared" si="389"/>
        <v>499.56</v>
      </c>
    </row>
    <row r="3148" spans="1:22" hidden="1" x14ac:dyDescent="0.35">
      <c r="A3148" s="6" t="s">
        <v>3449</v>
      </c>
      <c r="B3148" s="6" t="s">
        <v>3439</v>
      </c>
      <c r="C3148" s="6" t="s">
        <v>3440</v>
      </c>
      <c r="D3148" s="6">
        <f t="shared" si="380"/>
        <v>0.5</v>
      </c>
      <c r="E3148" s="6" t="s">
        <v>19</v>
      </c>
      <c r="F3148" s="6" t="str">
        <f>MID(A3148,19,1)</f>
        <v>S</v>
      </c>
      <c r="G3148" s="6">
        <v>-22.729760571885059</v>
      </c>
      <c r="H3148" s="6">
        <v>-47.463210643332062</v>
      </c>
      <c r="I3148" s="9">
        <v>2130.1</v>
      </c>
      <c r="K3148" s="6">
        <v>2.36</v>
      </c>
      <c r="L3148" s="6">
        <v>70</v>
      </c>
      <c r="N3148" s="1">
        <f t="shared" si="386"/>
        <v>0</v>
      </c>
      <c r="O3148" s="6" t="s">
        <v>20</v>
      </c>
      <c r="Q3148" s="6" t="s">
        <v>21</v>
      </c>
      <c r="R3148" s="6" t="s">
        <v>21</v>
      </c>
      <c r="S3148" s="6" t="s">
        <v>21</v>
      </c>
      <c r="T3148" s="6" t="s">
        <v>21</v>
      </c>
      <c r="U3148" s="6">
        <f t="shared" si="387"/>
        <v>1491.07</v>
      </c>
      <c r="V3148" s="6">
        <f t="shared" si="389"/>
        <v>1491.07</v>
      </c>
    </row>
    <row r="3149" spans="1:22" hidden="1" x14ac:dyDescent="0.35">
      <c r="A3149" s="6" t="s">
        <v>3450</v>
      </c>
      <c r="B3149" s="6" t="s">
        <v>3439</v>
      </c>
      <c r="C3149" s="6" t="s">
        <v>3440</v>
      </c>
      <c r="D3149" s="6">
        <f t="shared" si="380"/>
        <v>0.5</v>
      </c>
      <c r="E3149" s="6" t="s">
        <v>23</v>
      </c>
      <c r="F3149" s="6" t="str">
        <f>MID(A3149,19,1)</f>
        <v>C</v>
      </c>
      <c r="G3149" s="6">
        <v>-22.72967542489107</v>
      </c>
      <c r="H3149" s="6">
        <v>-47.463051886726277</v>
      </c>
      <c r="I3149" s="9">
        <v>5787.72</v>
      </c>
      <c r="J3149" s="9">
        <f t="shared" ref="J3149:J3150" si="390">I3149/500</f>
        <v>11.57544</v>
      </c>
      <c r="K3149" s="6">
        <v>2.59</v>
      </c>
      <c r="L3149" s="6">
        <v>80</v>
      </c>
      <c r="N3149" s="1">
        <f t="shared" si="386"/>
        <v>0</v>
      </c>
      <c r="O3149" s="6" t="s">
        <v>20</v>
      </c>
      <c r="Q3149" s="6" t="s">
        <v>21</v>
      </c>
      <c r="R3149" s="6" t="s">
        <v>21</v>
      </c>
      <c r="S3149" s="6" t="s">
        <v>21</v>
      </c>
      <c r="T3149" s="6" t="s">
        <v>21</v>
      </c>
      <c r="U3149" s="6">
        <f t="shared" si="387"/>
        <v>4630.1760000000004</v>
      </c>
      <c r="V3149" s="6">
        <f t="shared" si="389"/>
        <v>4630.1760000000004</v>
      </c>
    </row>
    <row r="3150" spans="1:22" hidden="1" x14ac:dyDescent="0.35">
      <c r="A3150" s="6" t="s">
        <v>3451</v>
      </c>
      <c r="B3150" s="6" t="s">
        <v>3439</v>
      </c>
      <c r="C3150" s="6" t="s">
        <v>3440</v>
      </c>
      <c r="D3150" s="6">
        <f t="shared" ref="D3150:D3213" si="391">C3150-B3150</f>
        <v>0.5</v>
      </c>
      <c r="E3150" s="6" t="s">
        <v>23</v>
      </c>
      <c r="F3150" s="6" t="str">
        <f>MID(A3150,19,1)</f>
        <v>C</v>
      </c>
      <c r="G3150" s="6">
        <v>-22.724914153773629</v>
      </c>
      <c r="H3150" s="6">
        <v>-47.46372887980646</v>
      </c>
      <c r="I3150" s="9">
        <v>6384.26</v>
      </c>
      <c r="J3150" s="9">
        <f t="shared" si="390"/>
        <v>12.768520000000001</v>
      </c>
      <c r="K3150" s="6">
        <v>3.03</v>
      </c>
      <c r="L3150" s="6">
        <v>80</v>
      </c>
      <c r="N3150" s="1">
        <f t="shared" si="386"/>
        <v>0</v>
      </c>
      <c r="O3150" s="6" t="s">
        <v>20</v>
      </c>
      <c r="Q3150" s="6" t="s">
        <v>21</v>
      </c>
      <c r="R3150" s="6" t="s">
        <v>21</v>
      </c>
      <c r="S3150" s="6" t="s">
        <v>21</v>
      </c>
      <c r="T3150" s="6" t="s">
        <v>21</v>
      </c>
      <c r="U3150" s="6">
        <f t="shared" si="387"/>
        <v>5107.4080000000004</v>
      </c>
      <c r="V3150" s="6">
        <f t="shared" si="389"/>
        <v>5107.4080000000004</v>
      </c>
    </row>
    <row r="3151" spans="1:22" hidden="1" x14ac:dyDescent="0.35">
      <c r="A3151" s="6" t="s">
        <v>3452</v>
      </c>
      <c r="B3151" s="6" t="s">
        <v>3439</v>
      </c>
      <c r="C3151" s="6" t="s">
        <v>3440</v>
      </c>
      <c r="D3151" s="6">
        <f t="shared" si="391"/>
        <v>0.5</v>
      </c>
      <c r="E3151" s="6" t="s">
        <v>19</v>
      </c>
      <c r="F3151" s="6" t="str">
        <f>MID(A3151,19,1)</f>
        <v>S</v>
      </c>
      <c r="G3151" s="6">
        <v>-22.6157285527621</v>
      </c>
      <c r="H3151" s="6">
        <v>-47.350338624156137</v>
      </c>
      <c r="I3151" s="9">
        <v>2128.8200000000002</v>
      </c>
      <c r="K3151" s="6">
        <v>4.63</v>
      </c>
      <c r="L3151" s="6">
        <v>50</v>
      </c>
      <c r="N3151" s="1">
        <f t="shared" si="386"/>
        <v>0</v>
      </c>
      <c r="O3151" s="6" t="s">
        <v>20</v>
      </c>
      <c r="Q3151" s="6" t="s">
        <v>21</v>
      </c>
      <c r="R3151" s="6" t="s">
        <v>21</v>
      </c>
      <c r="S3151" s="6" t="s">
        <v>21</v>
      </c>
      <c r="T3151" s="6" t="s">
        <v>21</v>
      </c>
      <c r="U3151" s="6">
        <f t="shared" si="387"/>
        <v>1064.4100000000001</v>
      </c>
      <c r="V3151" s="6">
        <f t="shared" si="389"/>
        <v>1064.4100000000001</v>
      </c>
    </row>
    <row r="3152" spans="1:22" x14ac:dyDescent="0.35">
      <c r="A3152" s="6" t="s">
        <v>3453</v>
      </c>
      <c r="B3152" s="6" t="s">
        <v>3439</v>
      </c>
      <c r="C3152" s="6" t="s">
        <v>3440</v>
      </c>
      <c r="D3152" s="6">
        <f t="shared" si="391"/>
        <v>0.5</v>
      </c>
      <c r="E3152" s="6" t="s">
        <v>19</v>
      </c>
      <c r="F3152" s="6" t="str">
        <f>MID(A3152,19,1)</f>
        <v>N</v>
      </c>
      <c r="G3152" s="6">
        <v>-22.620928979696838</v>
      </c>
      <c r="H3152" s="6">
        <v>-47.346167140007807</v>
      </c>
      <c r="I3152" s="9">
        <v>274.43</v>
      </c>
      <c r="K3152" s="6">
        <v>6.21</v>
      </c>
      <c r="L3152" s="6">
        <v>50</v>
      </c>
      <c r="N3152" s="1">
        <f t="shared" si="386"/>
        <v>0</v>
      </c>
      <c r="O3152" s="6" t="s">
        <v>20</v>
      </c>
      <c r="Q3152" s="6" t="s">
        <v>21</v>
      </c>
      <c r="R3152" s="6" t="s">
        <v>21</v>
      </c>
      <c r="S3152" s="6" t="s">
        <v>21</v>
      </c>
      <c r="T3152" s="6" t="s">
        <v>21</v>
      </c>
      <c r="U3152" s="6">
        <f t="shared" si="387"/>
        <v>137.215</v>
      </c>
      <c r="V3152" s="6">
        <f t="shared" si="389"/>
        <v>137.215</v>
      </c>
    </row>
    <row r="3153" spans="1:22" hidden="1" x14ac:dyDescent="0.35">
      <c r="A3153" s="6" t="s">
        <v>3454</v>
      </c>
      <c r="B3153" s="6" t="s">
        <v>3439</v>
      </c>
      <c r="C3153" s="6" t="s">
        <v>3440</v>
      </c>
      <c r="D3153" s="6">
        <f t="shared" si="391"/>
        <v>0.5</v>
      </c>
      <c r="E3153" s="6" t="s">
        <v>19</v>
      </c>
      <c r="F3153" s="6" t="str">
        <f>MID(A3153,19,1)</f>
        <v>S</v>
      </c>
      <c r="G3153" s="6">
        <v>-22.614233642730149</v>
      </c>
      <c r="H3153" s="6">
        <v>-47.351873884283172</v>
      </c>
      <c r="I3153" s="9">
        <v>108.12</v>
      </c>
      <c r="K3153" s="6">
        <v>3.3</v>
      </c>
      <c r="L3153" s="6">
        <v>50</v>
      </c>
      <c r="N3153" s="1">
        <f t="shared" si="386"/>
        <v>0</v>
      </c>
      <c r="O3153" s="6" t="s">
        <v>20</v>
      </c>
      <c r="Q3153" s="6" t="s">
        <v>21</v>
      </c>
      <c r="R3153" s="6" t="s">
        <v>21</v>
      </c>
      <c r="S3153" s="6" t="s">
        <v>21</v>
      </c>
      <c r="T3153" s="6" t="s">
        <v>21</v>
      </c>
      <c r="U3153" s="6">
        <f t="shared" si="387"/>
        <v>54.06</v>
      </c>
      <c r="V3153" s="6">
        <f t="shared" si="389"/>
        <v>54.06</v>
      </c>
    </row>
    <row r="3154" spans="1:22" x14ac:dyDescent="0.35">
      <c r="A3154" s="6" t="s">
        <v>3455</v>
      </c>
      <c r="B3154" s="6" t="s">
        <v>3439</v>
      </c>
      <c r="C3154" s="6" t="s">
        <v>3440</v>
      </c>
      <c r="D3154" s="6">
        <f t="shared" si="391"/>
        <v>0.5</v>
      </c>
      <c r="E3154" s="6" t="s">
        <v>19</v>
      </c>
      <c r="F3154" s="6" t="str">
        <f>MID(A3154,19,1)</f>
        <v>N</v>
      </c>
      <c r="G3154" s="6">
        <v>-22.729591087709949</v>
      </c>
      <c r="H3154" s="6">
        <v>-47.462882594141647</v>
      </c>
      <c r="I3154" s="9">
        <v>2032.06</v>
      </c>
      <c r="K3154" s="6">
        <v>2.63</v>
      </c>
      <c r="L3154" s="6">
        <v>70</v>
      </c>
      <c r="N3154" s="1">
        <f t="shared" si="386"/>
        <v>0</v>
      </c>
      <c r="O3154" s="6" t="s">
        <v>20</v>
      </c>
      <c r="Q3154" s="6" t="s">
        <v>21</v>
      </c>
      <c r="R3154" s="6" t="s">
        <v>21</v>
      </c>
      <c r="S3154" s="6" t="s">
        <v>21</v>
      </c>
      <c r="T3154" s="6" t="s">
        <v>21</v>
      </c>
      <c r="U3154" s="6">
        <f t="shared" si="387"/>
        <v>1422.4419999999998</v>
      </c>
      <c r="V3154" s="6">
        <f t="shared" si="389"/>
        <v>1422.4419999999998</v>
      </c>
    </row>
    <row r="3155" spans="1:22" hidden="1" x14ac:dyDescent="0.35">
      <c r="A3155" s="6" t="s">
        <v>3456</v>
      </c>
      <c r="B3155" s="6" t="s">
        <v>3439</v>
      </c>
      <c r="C3155" s="6" t="s">
        <v>3440</v>
      </c>
      <c r="D3155" s="6">
        <f t="shared" si="391"/>
        <v>0.5</v>
      </c>
      <c r="E3155" s="6" t="s">
        <v>19</v>
      </c>
      <c r="F3155" s="6" t="str">
        <f>MID(A3155,19,1)</f>
        <v>S</v>
      </c>
      <c r="G3155" s="6">
        <v>-22.7249206408734</v>
      </c>
      <c r="H3155" s="6">
        <v>-47.463912312428207</v>
      </c>
      <c r="I3155" s="9">
        <v>2272.88</v>
      </c>
      <c r="K3155" s="6">
        <v>3.21</v>
      </c>
      <c r="L3155" s="6">
        <v>70</v>
      </c>
      <c r="N3155" s="1">
        <f t="shared" si="386"/>
        <v>0</v>
      </c>
      <c r="O3155" s="6" t="s">
        <v>20</v>
      </c>
      <c r="Q3155" s="6" t="s">
        <v>21</v>
      </c>
      <c r="R3155" s="6" t="s">
        <v>21</v>
      </c>
      <c r="S3155" s="6" t="s">
        <v>21</v>
      </c>
      <c r="T3155" s="6" t="s">
        <v>21</v>
      </c>
      <c r="U3155" s="6">
        <f t="shared" si="387"/>
        <v>1591.0160000000001</v>
      </c>
      <c r="V3155" s="6">
        <f t="shared" si="389"/>
        <v>1591.0160000000001</v>
      </c>
    </row>
    <row r="3156" spans="1:22" x14ac:dyDescent="0.35">
      <c r="A3156" s="6" t="s">
        <v>3457</v>
      </c>
      <c r="B3156" s="6" t="s">
        <v>3439</v>
      </c>
      <c r="C3156" s="6" t="s">
        <v>3440</v>
      </c>
      <c r="D3156" s="6">
        <f t="shared" si="391"/>
        <v>0.5</v>
      </c>
      <c r="E3156" s="6" t="s">
        <v>19</v>
      </c>
      <c r="F3156" s="6" t="str">
        <f>MID(A3156,19,1)</f>
        <v>N</v>
      </c>
      <c r="G3156" s="6">
        <v>-22.61529302072119</v>
      </c>
      <c r="H3156" s="6">
        <v>-47.351660774490917</v>
      </c>
      <c r="I3156" s="9">
        <v>2957.47</v>
      </c>
      <c r="K3156" s="6">
        <v>3.49</v>
      </c>
      <c r="L3156" s="6">
        <v>50</v>
      </c>
      <c r="N3156" s="1">
        <f t="shared" si="386"/>
        <v>0</v>
      </c>
      <c r="O3156" s="6" t="s">
        <v>20</v>
      </c>
      <c r="Q3156" s="6" t="s">
        <v>21</v>
      </c>
      <c r="R3156" s="6" t="s">
        <v>21</v>
      </c>
      <c r="S3156" s="6" t="s">
        <v>21</v>
      </c>
      <c r="T3156" s="6" t="s">
        <v>21</v>
      </c>
      <c r="U3156" s="6">
        <f t="shared" si="387"/>
        <v>1478.7349999999999</v>
      </c>
      <c r="V3156" s="6">
        <f t="shared" si="389"/>
        <v>1478.7349999999999</v>
      </c>
    </row>
    <row r="3157" spans="1:22" x14ac:dyDescent="0.35">
      <c r="A3157" s="6" t="s">
        <v>3458</v>
      </c>
      <c r="B3157" s="6" t="s">
        <v>3439</v>
      </c>
      <c r="C3157" s="6" t="s">
        <v>3440</v>
      </c>
      <c r="D3157" s="6">
        <f t="shared" si="391"/>
        <v>0.5</v>
      </c>
      <c r="E3157" s="6" t="s">
        <v>19</v>
      </c>
      <c r="F3157" s="6" t="str">
        <f>MID(A3157,19,1)</f>
        <v>N</v>
      </c>
      <c r="G3157" s="6">
        <v>-22.615128649995231</v>
      </c>
      <c r="H3157" s="6">
        <v>-47.351946269896182</v>
      </c>
      <c r="I3157" s="9">
        <v>749.15</v>
      </c>
      <c r="K3157" s="6">
        <v>3.77</v>
      </c>
      <c r="L3157" s="6">
        <v>50</v>
      </c>
      <c r="N3157" s="1">
        <f t="shared" si="386"/>
        <v>0</v>
      </c>
      <c r="O3157" s="6" t="s">
        <v>20</v>
      </c>
      <c r="Q3157" s="6" t="s">
        <v>21</v>
      </c>
      <c r="R3157" s="6" t="s">
        <v>21</v>
      </c>
      <c r="S3157" s="6" t="s">
        <v>21</v>
      </c>
      <c r="T3157" s="6" t="s">
        <v>21</v>
      </c>
      <c r="U3157" s="6">
        <f t="shared" si="387"/>
        <v>374.57499999999999</v>
      </c>
      <c r="V3157" s="6">
        <f t="shared" si="389"/>
        <v>374.57499999999999</v>
      </c>
    </row>
    <row r="3158" spans="1:22" x14ac:dyDescent="0.35">
      <c r="A3158" s="6" t="s">
        <v>3459</v>
      </c>
      <c r="B3158" s="6" t="s">
        <v>3460</v>
      </c>
      <c r="C3158" s="6" t="s">
        <v>3461</v>
      </c>
      <c r="D3158" s="6">
        <f t="shared" si="391"/>
        <v>0.5</v>
      </c>
      <c r="E3158" s="6" t="s">
        <v>19</v>
      </c>
      <c r="F3158" s="6" t="str">
        <f>MID(A3158,19,1)</f>
        <v>N</v>
      </c>
      <c r="G3158" s="6">
        <v>-22.716217565646279</v>
      </c>
      <c r="H3158" s="6">
        <v>-47.460659663243703</v>
      </c>
      <c r="I3158" s="9">
        <v>2084.85</v>
      </c>
      <c r="K3158" s="6">
        <v>4.75</v>
      </c>
      <c r="L3158" s="6">
        <v>70</v>
      </c>
      <c r="N3158" s="1">
        <f t="shared" si="386"/>
        <v>0</v>
      </c>
      <c r="O3158" s="6" t="s">
        <v>20</v>
      </c>
      <c r="Q3158" s="6" t="s">
        <v>21</v>
      </c>
      <c r="R3158" s="6" t="s">
        <v>21</v>
      </c>
      <c r="S3158" s="6" t="s">
        <v>21</v>
      </c>
      <c r="T3158" s="6" t="s">
        <v>21</v>
      </c>
      <c r="U3158" s="6">
        <f t="shared" si="387"/>
        <v>1459.3949999999998</v>
      </c>
      <c r="V3158" s="6">
        <f t="shared" si="389"/>
        <v>1459.3949999999998</v>
      </c>
    </row>
    <row r="3159" spans="1:22" hidden="1" x14ac:dyDescent="0.35">
      <c r="A3159" s="8" t="s">
        <v>3462</v>
      </c>
      <c r="B3159" s="8" t="s">
        <v>3460</v>
      </c>
      <c r="C3159" s="8" t="s">
        <v>3461</v>
      </c>
      <c r="D3159" s="6">
        <f t="shared" si="391"/>
        <v>0.5</v>
      </c>
      <c r="E3159" s="8" t="s">
        <v>19</v>
      </c>
      <c r="F3159" s="6" t="str">
        <f>MID(A3159,19,1)</f>
        <v>S</v>
      </c>
      <c r="G3159" s="8">
        <v>-22.612665061034679</v>
      </c>
      <c r="H3159" s="8">
        <v>-47.353467497057537</v>
      </c>
      <c r="I3159" s="7">
        <v>1935.04</v>
      </c>
      <c r="J3159" s="7"/>
      <c r="K3159" s="8">
        <v>3.93</v>
      </c>
      <c r="L3159" s="8">
        <v>70</v>
      </c>
      <c r="M3159" s="8"/>
      <c r="N3159" s="11">
        <f t="shared" si="386"/>
        <v>1354.5279999999998</v>
      </c>
      <c r="O3159" s="8" t="s">
        <v>25</v>
      </c>
      <c r="P3159" s="8"/>
      <c r="Q3159" s="8" t="s">
        <v>21</v>
      </c>
      <c r="R3159" s="8" t="s">
        <v>26</v>
      </c>
      <c r="S3159" s="8" t="s">
        <v>21</v>
      </c>
      <c r="T3159" s="8" t="s">
        <v>26</v>
      </c>
      <c r="U3159" s="6">
        <f t="shared" si="387"/>
        <v>0</v>
      </c>
    </row>
    <row r="3160" spans="1:22" hidden="1" x14ac:dyDescent="0.35">
      <c r="A3160" s="6" t="s">
        <v>3463</v>
      </c>
      <c r="B3160" s="6" t="s">
        <v>3460</v>
      </c>
      <c r="C3160" s="6" t="s">
        <v>3461</v>
      </c>
      <c r="D3160" s="6">
        <f t="shared" si="391"/>
        <v>0.5</v>
      </c>
      <c r="E3160" s="6" t="s">
        <v>19</v>
      </c>
      <c r="F3160" s="6" t="str">
        <f>MID(A3160,19,1)</f>
        <v>S</v>
      </c>
      <c r="G3160" s="6">
        <v>-22.610721467830569</v>
      </c>
      <c r="H3160" s="6">
        <v>-47.356244159825557</v>
      </c>
      <c r="I3160" s="9">
        <v>91.35</v>
      </c>
      <c r="K3160" s="6">
        <v>1.45</v>
      </c>
      <c r="L3160" s="6">
        <v>50</v>
      </c>
      <c r="N3160" s="1">
        <f t="shared" si="386"/>
        <v>0</v>
      </c>
      <c r="O3160" s="6" t="s">
        <v>20</v>
      </c>
      <c r="Q3160" s="6" t="s">
        <v>21</v>
      </c>
      <c r="R3160" s="6" t="s">
        <v>21</v>
      </c>
      <c r="S3160" s="6" t="s">
        <v>21</v>
      </c>
      <c r="T3160" s="6" t="s">
        <v>21</v>
      </c>
      <c r="U3160" s="6">
        <f t="shared" si="387"/>
        <v>45.674999999999997</v>
      </c>
      <c r="V3160" s="6">
        <f t="shared" ref="V3160:V3188" si="392">(I3160*(L3160/100))</f>
        <v>45.674999999999997</v>
      </c>
    </row>
    <row r="3161" spans="1:22" x14ac:dyDescent="0.35">
      <c r="A3161" s="6" t="s">
        <v>3464</v>
      </c>
      <c r="B3161" s="6" t="s">
        <v>3460</v>
      </c>
      <c r="C3161" s="6" t="s">
        <v>3461</v>
      </c>
      <c r="D3161" s="6">
        <f t="shared" si="391"/>
        <v>0.5</v>
      </c>
      <c r="E3161" s="6" t="s">
        <v>19</v>
      </c>
      <c r="F3161" s="6" t="str">
        <f>MID(A3161,19,1)</f>
        <v>N</v>
      </c>
      <c r="G3161" s="6">
        <v>-22.609009741216621</v>
      </c>
      <c r="H3161" s="6">
        <v>-47.360055902301369</v>
      </c>
      <c r="I3161" s="9">
        <v>950.81</v>
      </c>
      <c r="K3161" s="6">
        <v>5.69</v>
      </c>
      <c r="L3161" s="6">
        <v>50</v>
      </c>
      <c r="N3161" s="1">
        <f t="shared" si="386"/>
        <v>0</v>
      </c>
      <c r="O3161" s="6" t="s">
        <v>20</v>
      </c>
      <c r="Q3161" s="6" t="s">
        <v>21</v>
      </c>
      <c r="R3161" s="6" t="s">
        <v>21</v>
      </c>
      <c r="S3161" s="6" t="s">
        <v>21</v>
      </c>
      <c r="T3161" s="6" t="s">
        <v>21</v>
      </c>
      <c r="U3161" s="6">
        <f t="shared" si="387"/>
        <v>475.40499999999997</v>
      </c>
      <c r="V3161" s="6">
        <f t="shared" si="392"/>
        <v>475.40499999999997</v>
      </c>
    </row>
    <row r="3162" spans="1:22" hidden="1" x14ac:dyDescent="0.35">
      <c r="A3162" s="6" t="s">
        <v>3465</v>
      </c>
      <c r="B3162" s="6" t="s">
        <v>3460</v>
      </c>
      <c r="C3162" s="6" t="s">
        <v>3461</v>
      </c>
      <c r="D3162" s="6">
        <f t="shared" si="391"/>
        <v>0.5</v>
      </c>
      <c r="E3162" s="6" t="s">
        <v>23</v>
      </c>
      <c r="F3162" s="6" t="str">
        <f>MID(A3162,19,1)</f>
        <v>C</v>
      </c>
      <c r="G3162" s="6">
        <v>-22.7161512773792</v>
      </c>
      <c r="H3162" s="6">
        <v>-47.461034726049277</v>
      </c>
      <c r="I3162" s="9">
        <v>2117.98</v>
      </c>
      <c r="J3162" s="9">
        <f t="shared" ref="J3162:J3164" si="393">I3162/500</f>
        <v>4.2359600000000004</v>
      </c>
      <c r="K3162" s="6">
        <v>5.0999999999999996</v>
      </c>
      <c r="L3162" s="6">
        <v>70</v>
      </c>
      <c r="N3162" s="1">
        <f t="shared" si="386"/>
        <v>0</v>
      </c>
      <c r="O3162" s="6" t="s">
        <v>20</v>
      </c>
      <c r="Q3162" s="6" t="s">
        <v>21</v>
      </c>
      <c r="R3162" s="6" t="s">
        <v>21</v>
      </c>
      <c r="S3162" s="6" t="s">
        <v>21</v>
      </c>
      <c r="T3162" s="6" t="s">
        <v>21</v>
      </c>
      <c r="U3162" s="6">
        <f t="shared" si="387"/>
        <v>1482.586</v>
      </c>
      <c r="V3162" s="6">
        <f t="shared" si="392"/>
        <v>1482.586</v>
      </c>
    </row>
    <row r="3163" spans="1:22" hidden="1" x14ac:dyDescent="0.35">
      <c r="A3163" s="6" t="s">
        <v>3466</v>
      </c>
      <c r="B3163" s="6" t="s">
        <v>3460</v>
      </c>
      <c r="C3163" s="6" t="s">
        <v>3461</v>
      </c>
      <c r="D3163" s="6">
        <f t="shared" si="391"/>
        <v>0.5</v>
      </c>
      <c r="E3163" s="6" t="s">
        <v>23</v>
      </c>
      <c r="F3163" s="6" t="str">
        <f>MID(A3163,19,1)</f>
        <v>C</v>
      </c>
      <c r="G3163" s="6">
        <v>-22.720437284468069</v>
      </c>
      <c r="H3163" s="6">
        <v>-47.462496574735233</v>
      </c>
      <c r="I3163" s="9">
        <v>5301.91</v>
      </c>
      <c r="J3163" s="9">
        <f t="shared" si="393"/>
        <v>10.603819999999999</v>
      </c>
      <c r="K3163" s="6">
        <v>4.49</v>
      </c>
      <c r="L3163" s="6">
        <v>80</v>
      </c>
      <c r="N3163" s="1">
        <f t="shared" si="386"/>
        <v>0</v>
      </c>
      <c r="O3163" s="6" t="s">
        <v>20</v>
      </c>
      <c r="Q3163" s="6" t="s">
        <v>21</v>
      </c>
      <c r="R3163" s="6" t="s">
        <v>21</v>
      </c>
      <c r="S3163" s="6" t="s">
        <v>21</v>
      </c>
      <c r="T3163" s="6" t="s">
        <v>21</v>
      </c>
      <c r="U3163" s="6">
        <f t="shared" si="387"/>
        <v>4241.5280000000002</v>
      </c>
      <c r="V3163" s="6">
        <f t="shared" si="392"/>
        <v>4241.5280000000002</v>
      </c>
    </row>
    <row r="3164" spans="1:22" hidden="1" x14ac:dyDescent="0.35">
      <c r="A3164" s="6" t="s">
        <v>3467</v>
      </c>
      <c r="B3164" s="6" t="s">
        <v>3460</v>
      </c>
      <c r="C3164" s="6" t="s">
        <v>3461</v>
      </c>
      <c r="D3164" s="6">
        <f t="shared" si="391"/>
        <v>0.5</v>
      </c>
      <c r="E3164" s="6" t="s">
        <v>23</v>
      </c>
      <c r="F3164" s="6" t="str">
        <f>MID(A3164,19,1)</f>
        <v>C</v>
      </c>
      <c r="G3164" s="6">
        <v>-22.716177067942741</v>
      </c>
      <c r="H3164" s="6">
        <v>-47.460844434904232</v>
      </c>
      <c r="I3164" s="9">
        <v>5772.66</v>
      </c>
      <c r="J3164" s="9">
        <f t="shared" si="393"/>
        <v>11.54532</v>
      </c>
      <c r="K3164" s="6">
        <v>5.07</v>
      </c>
      <c r="L3164" s="6">
        <v>80</v>
      </c>
      <c r="N3164" s="1">
        <f t="shared" si="386"/>
        <v>0</v>
      </c>
      <c r="O3164" s="6" t="s">
        <v>20</v>
      </c>
      <c r="Q3164" s="6" t="s">
        <v>21</v>
      </c>
      <c r="R3164" s="6" t="s">
        <v>21</v>
      </c>
      <c r="S3164" s="6" t="s">
        <v>21</v>
      </c>
      <c r="T3164" s="6" t="s">
        <v>21</v>
      </c>
      <c r="U3164" s="6">
        <f t="shared" si="387"/>
        <v>4618.1279999999997</v>
      </c>
      <c r="V3164" s="6">
        <f t="shared" si="392"/>
        <v>4618.1279999999997</v>
      </c>
    </row>
    <row r="3165" spans="1:22" hidden="1" x14ac:dyDescent="0.35">
      <c r="A3165" s="6" t="s">
        <v>3468</v>
      </c>
      <c r="B3165" s="6" t="s">
        <v>3460</v>
      </c>
      <c r="C3165" s="6" t="s">
        <v>3461</v>
      </c>
      <c r="D3165" s="6">
        <f t="shared" si="391"/>
        <v>0.5</v>
      </c>
      <c r="E3165" s="6" t="s">
        <v>19</v>
      </c>
      <c r="F3165" s="6" t="str">
        <f>MID(A3165,19,1)</f>
        <v>S</v>
      </c>
      <c r="G3165" s="6">
        <v>-22.720402953522338</v>
      </c>
      <c r="H3165" s="6">
        <v>-47.462682257416532</v>
      </c>
      <c r="I3165" s="9">
        <v>1886.82</v>
      </c>
      <c r="K3165" s="6">
        <v>4.45</v>
      </c>
      <c r="L3165" s="6">
        <v>70</v>
      </c>
      <c r="N3165" s="1">
        <f t="shared" si="386"/>
        <v>0</v>
      </c>
      <c r="O3165" s="6" t="s">
        <v>20</v>
      </c>
      <c r="Q3165" s="6" t="s">
        <v>21</v>
      </c>
      <c r="R3165" s="6" t="s">
        <v>21</v>
      </c>
      <c r="S3165" s="6" t="s">
        <v>21</v>
      </c>
      <c r="T3165" s="6" t="s">
        <v>21</v>
      </c>
      <c r="U3165" s="6">
        <f t="shared" si="387"/>
        <v>1320.7739999999999</v>
      </c>
      <c r="V3165" s="6">
        <f t="shared" si="392"/>
        <v>1320.7739999999999</v>
      </c>
    </row>
    <row r="3166" spans="1:22" x14ac:dyDescent="0.35">
      <c r="A3166" s="6" t="s">
        <v>3469</v>
      </c>
      <c r="B3166" s="6" t="s">
        <v>3460</v>
      </c>
      <c r="C3166" s="6" t="s">
        <v>3461</v>
      </c>
      <c r="D3166" s="6">
        <f t="shared" si="391"/>
        <v>0.5</v>
      </c>
      <c r="E3166" s="6" t="s">
        <v>19</v>
      </c>
      <c r="F3166" s="6" t="str">
        <f>MID(A3166,19,1)</f>
        <v>N</v>
      </c>
      <c r="G3166" s="6">
        <v>-22.612678028513859</v>
      </c>
      <c r="H3166" s="6">
        <v>-47.354174513776691</v>
      </c>
      <c r="I3166" s="9">
        <v>2286.7600000000002</v>
      </c>
      <c r="K3166" s="6">
        <v>5.37</v>
      </c>
      <c r="L3166" s="6">
        <v>50</v>
      </c>
      <c r="N3166" s="1">
        <f t="shared" si="386"/>
        <v>0</v>
      </c>
      <c r="O3166" s="6" t="s">
        <v>20</v>
      </c>
      <c r="Q3166" s="6" t="s">
        <v>21</v>
      </c>
      <c r="R3166" s="6" t="s">
        <v>21</v>
      </c>
      <c r="S3166" s="6" t="s">
        <v>21</v>
      </c>
      <c r="T3166" s="6" t="s">
        <v>21</v>
      </c>
      <c r="U3166" s="6">
        <f t="shared" si="387"/>
        <v>1143.3800000000001</v>
      </c>
      <c r="V3166" s="6">
        <f t="shared" si="392"/>
        <v>1143.3800000000001</v>
      </c>
    </row>
    <row r="3167" spans="1:22" x14ac:dyDescent="0.35">
      <c r="A3167" s="6" t="s">
        <v>3470</v>
      </c>
      <c r="B3167" s="6" t="s">
        <v>3460</v>
      </c>
      <c r="C3167" s="6" t="s">
        <v>3461</v>
      </c>
      <c r="D3167" s="6">
        <f t="shared" si="391"/>
        <v>0.5</v>
      </c>
      <c r="E3167" s="6" t="s">
        <v>19</v>
      </c>
      <c r="F3167" s="6" t="str">
        <f>MID(A3167,19,1)</f>
        <v>N</v>
      </c>
      <c r="G3167" s="6">
        <v>-22.611145957270221</v>
      </c>
      <c r="H3167" s="6">
        <v>-47.356395242630178</v>
      </c>
      <c r="I3167" s="9">
        <v>293.7</v>
      </c>
      <c r="K3167" s="6">
        <v>4.66</v>
      </c>
      <c r="L3167" s="6">
        <v>50</v>
      </c>
      <c r="N3167" s="1">
        <f t="shared" si="386"/>
        <v>0</v>
      </c>
      <c r="O3167" s="6" t="s">
        <v>20</v>
      </c>
      <c r="Q3167" s="6" t="s">
        <v>21</v>
      </c>
      <c r="R3167" s="6" t="s">
        <v>21</v>
      </c>
      <c r="S3167" s="6" t="s">
        <v>21</v>
      </c>
      <c r="T3167" s="6" t="s">
        <v>21</v>
      </c>
      <c r="U3167" s="6">
        <f t="shared" si="387"/>
        <v>146.85</v>
      </c>
      <c r="V3167" s="6">
        <f t="shared" si="392"/>
        <v>146.85</v>
      </c>
    </row>
    <row r="3168" spans="1:22" x14ac:dyDescent="0.35">
      <c r="A3168" s="6" t="s">
        <v>3471</v>
      </c>
      <c r="B3168" s="6" t="s">
        <v>3460</v>
      </c>
      <c r="C3168" s="6" t="s">
        <v>3461</v>
      </c>
      <c r="D3168" s="6">
        <f t="shared" si="391"/>
        <v>0.5</v>
      </c>
      <c r="E3168" s="6" t="s">
        <v>19</v>
      </c>
      <c r="F3168" s="6" t="str">
        <f>MID(A3168,19,1)</f>
        <v>N</v>
      </c>
      <c r="G3168" s="6">
        <v>-22.610475588673729</v>
      </c>
      <c r="H3168" s="6">
        <v>-47.357643614489866</v>
      </c>
      <c r="I3168" s="9">
        <v>1036.3599999999999</v>
      </c>
      <c r="K3168" s="6">
        <v>4.75</v>
      </c>
      <c r="L3168" s="6">
        <v>50</v>
      </c>
      <c r="N3168" s="1">
        <f t="shared" si="386"/>
        <v>0</v>
      </c>
      <c r="O3168" s="6" t="s">
        <v>20</v>
      </c>
      <c r="Q3168" s="6" t="s">
        <v>21</v>
      </c>
      <c r="R3168" s="6" t="s">
        <v>21</v>
      </c>
      <c r="S3168" s="6" t="s">
        <v>21</v>
      </c>
      <c r="T3168" s="6" t="s">
        <v>21</v>
      </c>
      <c r="U3168" s="6">
        <f t="shared" si="387"/>
        <v>518.17999999999995</v>
      </c>
      <c r="V3168" s="6">
        <f t="shared" si="392"/>
        <v>518.17999999999995</v>
      </c>
    </row>
    <row r="3169" spans="1:22" x14ac:dyDescent="0.35">
      <c r="A3169" s="6" t="s">
        <v>3472</v>
      </c>
      <c r="B3169" s="6" t="s">
        <v>3460</v>
      </c>
      <c r="C3169" s="6" t="s">
        <v>3461</v>
      </c>
      <c r="D3169" s="6">
        <f t="shared" si="391"/>
        <v>0.5</v>
      </c>
      <c r="E3169" s="6" t="s">
        <v>19</v>
      </c>
      <c r="F3169" s="6" t="str">
        <f>MID(A3169,19,1)</f>
        <v>N</v>
      </c>
      <c r="G3169" s="6">
        <v>-22.609862142759141</v>
      </c>
      <c r="H3169" s="6">
        <v>-47.358964895533518</v>
      </c>
      <c r="I3169" s="9">
        <v>622.22</v>
      </c>
      <c r="K3169" s="6">
        <v>4.43</v>
      </c>
      <c r="L3169" s="6">
        <v>50</v>
      </c>
      <c r="N3169" s="1">
        <f t="shared" si="386"/>
        <v>0</v>
      </c>
      <c r="O3169" s="6" t="s">
        <v>20</v>
      </c>
      <c r="Q3169" s="6" t="s">
        <v>21</v>
      </c>
      <c r="R3169" s="6" t="s">
        <v>21</v>
      </c>
      <c r="S3169" s="6" t="s">
        <v>21</v>
      </c>
      <c r="T3169" s="6" t="s">
        <v>21</v>
      </c>
      <c r="U3169" s="6">
        <f t="shared" si="387"/>
        <v>311.11</v>
      </c>
      <c r="V3169" s="6">
        <f t="shared" si="392"/>
        <v>311.11</v>
      </c>
    </row>
    <row r="3170" spans="1:22" hidden="1" x14ac:dyDescent="0.35">
      <c r="A3170" s="6" t="s">
        <v>3473</v>
      </c>
      <c r="B3170" s="6" t="s">
        <v>3460</v>
      </c>
      <c r="C3170" s="6" t="s">
        <v>3461</v>
      </c>
      <c r="D3170" s="6">
        <f t="shared" si="391"/>
        <v>0.5</v>
      </c>
      <c r="E3170" s="6" t="s">
        <v>19</v>
      </c>
      <c r="F3170" s="6" t="str">
        <f>MID(A3170,19,1)</f>
        <v>S</v>
      </c>
      <c r="G3170" s="6">
        <v>-22.609531648993379</v>
      </c>
      <c r="H3170" s="6">
        <v>-47.358506514361949</v>
      </c>
      <c r="I3170" s="9">
        <v>2068.0500000000002</v>
      </c>
      <c r="K3170" s="6">
        <v>5</v>
      </c>
      <c r="L3170" s="6">
        <v>50</v>
      </c>
      <c r="N3170" s="1">
        <f t="shared" si="386"/>
        <v>0</v>
      </c>
      <c r="O3170" s="6" t="s">
        <v>20</v>
      </c>
      <c r="Q3170" s="6" t="s">
        <v>21</v>
      </c>
      <c r="R3170" s="6" t="s">
        <v>21</v>
      </c>
      <c r="S3170" s="6" t="s">
        <v>21</v>
      </c>
      <c r="T3170" s="6" t="s">
        <v>21</v>
      </c>
      <c r="U3170" s="6">
        <f t="shared" si="387"/>
        <v>1034.0250000000001</v>
      </c>
      <c r="V3170" s="6">
        <f t="shared" si="392"/>
        <v>1034.0250000000001</v>
      </c>
    </row>
    <row r="3171" spans="1:22" x14ac:dyDescent="0.35">
      <c r="A3171" s="6" t="s">
        <v>3474</v>
      </c>
      <c r="B3171" s="6" t="s">
        <v>3460</v>
      </c>
      <c r="C3171" s="6" t="s">
        <v>3461</v>
      </c>
      <c r="D3171" s="6">
        <f t="shared" si="391"/>
        <v>0.5</v>
      </c>
      <c r="E3171" s="6" t="s">
        <v>19</v>
      </c>
      <c r="F3171" s="6" t="str">
        <f>MID(A3171,19,1)</f>
        <v>N</v>
      </c>
      <c r="G3171" s="6">
        <v>-22.720440846922859</v>
      </c>
      <c r="H3171" s="6">
        <v>-47.462298491221382</v>
      </c>
      <c r="I3171" s="9">
        <v>1893.63</v>
      </c>
      <c r="K3171" s="6">
        <v>4.47</v>
      </c>
      <c r="L3171" s="6">
        <v>70</v>
      </c>
      <c r="N3171" s="1">
        <f t="shared" si="386"/>
        <v>0</v>
      </c>
      <c r="O3171" s="6" t="s">
        <v>20</v>
      </c>
      <c r="Q3171" s="6" t="s">
        <v>21</v>
      </c>
      <c r="R3171" s="6" t="s">
        <v>21</v>
      </c>
      <c r="S3171" s="6" t="s">
        <v>21</v>
      </c>
      <c r="T3171" s="6" t="s">
        <v>21</v>
      </c>
      <c r="U3171" s="6">
        <f t="shared" si="387"/>
        <v>1325.5409999999999</v>
      </c>
      <c r="V3171" s="6">
        <f t="shared" si="392"/>
        <v>1325.5409999999999</v>
      </c>
    </row>
    <row r="3172" spans="1:22" x14ac:dyDescent="0.35">
      <c r="A3172" s="6" t="s">
        <v>3475</v>
      </c>
      <c r="B3172" s="6" t="s">
        <v>3476</v>
      </c>
      <c r="C3172" s="6" t="s">
        <v>3477</v>
      </c>
      <c r="D3172" s="6">
        <f t="shared" si="391"/>
        <v>0.5</v>
      </c>
      <c r="E3172" s="6" t="s">
        <v>19</v>
      </c>
      <c r="F3172" s="6" t="str">
        <f>MID(A3172,19,1)</f>
        <v>N</v>
      </c>
      <c r="G3172" s="6">
        <v>-22.708018465330159</v>
      </c>
      <c r="H3172" s="6">
        <v>-47.457476682351263</v>
      </c>
      <c r="I3172" s="9">
        <v>2174.29</v>
      </c>
      <c r="K3172" s="6">
        <v>4.66</v>
      </c>
      <c r="L3172" s="6">
        <v>70</v>
      </c>
      <c r="N3172" s="1">
        <f t="shared" si="386"/>
        <v>0</v>
      </c>
      <c r="O3172" s="6" t="s">
        <v>20</v>
      </c>
      <c r="Q3172" s="6" t="s">
        <v>21</v>
      </c>
      <c r="R3172" s="6" t="s">
        <v>21</v>
      </c>
      <c r="S3172" s="6" t="s">
        <v>21</v>
      </c>
      <c r="T3172" s="6" t="s">
        <v>21</v>
      </c>
      <c r="U3172" s="6">
        <f t="shared" si="387"/>
        <v>1522.0029999999999</v>
      </c>
      <c r="V3172" s="6">
        <f t="shared" si="392"/>
        <v>1522.0029999999999</v>
      </c>
    </row>
    <row r="3173" spans="1:22" x14ac:dyDescent="0.35">
      <c r="A3173" s="6" t="s">
        <v>3478</v>
      </c>
      <c r="B3173" s="6" t="s">
        <v>3476</v>
      </c>
      <c r="C3173" s="6" t="s">
        <v>3477</v>
      </c>
      <c r="D3173" s="6">
        <f t="shared" si="391"/>
        <v>0.5</v>
      </c>
      <c r="E3173" s="6" t="s">
        <v>19</v>
      </c>
      <c r="F3173" s="6" t="str">
        <f>MID(A3173,19,1)</f>
        <v>N</v>
      </c>
      <c r="G3173" s="6">
        <v>-22.712843864941281</v>
      </c>
      <c r="H3173" s="6">
        <v>-47.459366240802751</v>
      </c>
      <c r="I3173" s="9">
        <v>1088.8499999999999</v>
      </c>
      <c r="K3173" s="6">
        <v>2.66</v>
      </c>
      <c r="L3173" s="6">
        <v>70</v>
      </c>
      <c r="N3173" s="1">
        <f t="shared" si="386"/>
        <v>0</v>
      </c>
      <c r="O3173" s="6" t="s">
        <v>20</v>
      </c>
      <c r="Q3173" s="6" t="s">
        <v>21</v>
      </c>
      <c r="R3173" s="6" t="s">
        <v>21</v>
      </c>
      <c r="S3173" s="6" t="s">
        <v>21</v>
      </c>
      <c r="T3173" s="6" t="s">
        <v>21</v>
      </c>
      <c r="U3173" s="6">
        <f t="shared" si="387"/>
        <v>762.19499999999994</v>
      </c>
      <c r="V3173" s="6">
        <f t="shared" si="392"/>
        <v>762.19499999999994</v>
      </c>
    </row>
    <row r="3174" spans="1:22" x14ac:dyDescent="0.35">
      <c r="A3174" s="6" t="s">
        <v>3479</v>
      </c>
      <c r="B3174" s="6" t="s">
        <v>3476</v>
      </c>
      <c r="C3174" s="6" t="s">
        <v>3477</v>
      </c>
      <c r="D3174" s="6">
        <f t="shared" si="391"/>
        <v>0.5</v>
      </c>
      <c r="E3174" s="6" t="s">
        <v>19</v>
      </c>
      <c r="F3174" s="6" t="str">
        <f>MID(A3174,19,1)</f>
        <v>N</v>
      </c>
      <c r="G3174" s="6">
        <v>-22.6081674615418</v>
      </c>
      <c r="H3174" s="6">
        <v>-47.360902796030999</v>
      </c>
      <c r="I3174" s="9">
        <v>309.11</v>
      </c>
      <c r="K3174" s="6">
        <v>6.42</v>
      </c>
      <c r="L3174" s="6">
        <v>50</v>
      </c>
      <c r="N3174" s="1">
        <f t="shared" si="386"/>
        <v>0</v>
      </c>
      <c r="O3174" s="6" t="s">
        <v>20</v>
      </c>
      <c r="Q3174" s="6" t="s">
        <v>21</v>
      </c>
      <c r="R3174" s="6" t="s">
        <v>21</v>
      </c>
      <c r="S3174" s="6" t="s">
        <v>21</v>
      </c>
      <c r="T3174" s="6" t="s">
        <v>21</v>
      </c>
      <c r="U3174" s="6">
        <f t="shared" si="387"/>
        <v>154.55500000000001</v>
      </c>
      <c r="V3174" s="6">
        <f t="shared" si="392"/>
        <v>154.55500000000001</v>
      </c>
    </row>
    <row r="3175" spans="1:22" x14ac:dyDescent="0.35">
      <c r="A3175" s="6" t="s">
        <v>3480</v>
      </c>
      <c r="B3175" s="6" t="s">
        <v>3476</v>
      </c>
      <c r="C3175" s="6" t="s">
        <v>3477</v>
      </c>
      <c r="D3175" s="6">
        <f t="shared" si="391"/>
        <v>0.5</v>
      </c>
      <c r="E3175" s="6" t="s">
        <v>19</v>
      </c>
      <c r="F3175" s="6" t="str">
        <f>MID(A3175,19,1)</f>
        <v>N</v>
      </c>
      <c r="G3175" s="6">
        <v>-22.601902687080369</v>
      </c>
      <c r="H3175" s="6">
        <v>-47.363563630253601</v>
      </c>
      <c r="I3175" s="9">
        <v>908.87</v>
      </c>
      <c r="K3175" s="6">
        <v>3.12</v>
      </c>
      <c r="L3175" s="6">
        <v>50</v>
      </c>
      <c r="N3175" s="1">
        <f t="shared" si="386"/>
        <v>0</v>
      </c>
      <c r="O3175" s="6" t="s">
        <v>20</v>
      </c>
      <c r="Q3175" s="6" t="s">
        <v>21</v>
      </c>
      <c r="R3175" s="6" t="s">
        <v>21</v>
      </c>
      <c r="S3175" s="6" t="s">
        <v>21</v>
      </c>
      <c r="T3175" s="6" t="s">
        <v>21</v>
      </c>
      <c r="U3175" s="6">
        <f t="shared" si="387"/>
        <v>454.435</v>
      </c>
      <c r="V3175" s="6">
        <f t="shared" si="392"/>
        <v>454.435</v>
      </c>
    </row>
    <row r="3176" spans="1:22" x14ac:dyDescent="0.35">
      <c r="A3176" s="6" t="s">
        <v>3481</v>
      </c>
      <c r="B3176" s="6" t="s">
        <v>3476</v>
      </c>
      <c r="C3176" s="6" t="s">
        <v>3477</v>
      </c>
      <c r="D3176" s="6">
        <f t="shared" si="391"/>
        <v>0.5</v>
      </c>
      <c r="E3176" s="6" t="s">
        <v>19</v>
      </c>
      <c r="F3176" s="6" t="str">
        <f>MID(A3176,19,1)</f>
        <v>N</v>
      </c>
      <c r="G3176" s="6">
        <v>-22.604118001462261</v>
      </c>
      <c r="H3176" s="6">
        <v>-47.362723663831602</v>
      </c>
      <c r="I3176" s="9">
        <v>742.8</v>
      </c>
      <c r="K3176" s="6">
        <v>4.84</v>
      </c>
      <c r="L3176" s="6">
        <v>50</v>
      </c>
      <c r="N3176" s="1">
        <f t="shared" si="386"/>
        <v>0</v>
      </c>
      <c r="O3176" s="6" t="s">
        <v>20</v>
      </c>
      <c r="Q3176" s="6" t="s">
        <v>21</v>
      </c>
      <c r="R3176" s="6" t="s">
        <v>21</v>
      </c>
      <c r="S3176" s="6" t="s">
        <v>21</v>
      </c>
      <c r="T3176" s="6" t="s">
        <v>21</v>
      </c>
      <c r="U3176" s="6">
        <f t="shared" si="387"/>
        <v>371.4</v>
      </c>
      <c r="V3176" s="6">
        <f t="shared" si="392"/>
        <v>371.4</v>
      </c>
    </row>
    <row r="3177" spans="1:22" x14ac:dyDescent="0.35">
      <c r="A3177" s="6" t="s">
        <v>3482</v>
      </c>
      <c r="B3177" s="6" t="s">
        <v>3476</v>
      </c>
      <c r="C3177" s="6" t="s">
        <v>3477</v>
      </c>
      <c r="D3177" s="6">
        <f t="shared" si="391"/>
        <v>0.5</v>
      </c>
      <c r="E3177" s="6" t="s">
        <v>19</v>
      </c>
      <c r="F3177" s="6" t="str">
        <f>MID(A3177,19,1)</f>
        <v>N</v>
      </c>
      <c r="G3177" s="6">
        <v>-22.60635146490236</v>
      </c>
      <c r="H3177" s="6">
        <v>-47.361850505979348</v>
      </c>
      <c r="I3177" s="9">
        <v>1365.04</v>
      </c>
      <c r="K3177" s="6">
        <v>6.53</v>
      </c>
      <c r="L3177" s="6">
        <v>50</v>
      </c>
      <c r="N3177" s="1">
        <f t="shared" si="386"/>
        <v>0</v>
      </c>
      <c r="O3177" s="6" t="s">
        <v>20</v>
      </c>
      <c r="Q3177" s="6" t="s">
        <v>21</v>
      </c>
      <c r="R3177" s="6" t="s">
        <v>21</v>
      </c>
      <c r="S3177" s="6" t="s">
        <v>21</v>
      </c>
      <c r="T3177" s="6" t="s">
        <v>21</v>
      </c>
      <c r="U3177" s="6">
        <f t="shared" si="387"/>
        <v>682.52</v>
      </c>
      <c r="V3177" s="6">
        <f t="shared" si="392"/>
        <v>682.52</v>
      </c>
    </row>
    <row r="3178" spans="1:22" hidden="1" x14ac:dyDescent="0.35">
      <c r="A3178" s="6" t="s">
        <v>3483</v>
      </c>
      <c r="B3178" s="6" t="s">
        <v>3476</v>
      </c>
      <c r="C3178" s="6" t="s">
        <v>3477</v>
      </c>
      <c r="D3178" s="6">
        <f t="shared" si="391"/>
        <v>0.5</v>
      </c>
      <c r="E3178" s="6" t="s">
        <v>19</v>
      </c>
      <c r="F3178" s="6" t="str">
        <f>MID(A3178,19,1)</f>
        <v>S</v>
      </c>
      <c r="G3178" s="6">
        <v>-22.607792718102651</v>
      </c>
      <c r="H3178" s="6">
        <v>-47.360669971496257</v>
      </c>
      <c r="I3178" s="9">
        <v>328.8</v>
      </c>
      <c r="K3178" s="6">
        <v>4.7300000000000004</v>
      </c>
      <c r="L3178" s="6">
        <v>50</v>
      </c>
      <c r="N3178" s="1">
        <f t="shared" si="386"/>
        <v>0</v>
      </c>
      <c r="O3178" s="6" t="s">
        <v>20</v>
      </c>
      <c r="Q3178" s="6" t="s">
        <v>21</v>
      </c>
      <c r="R3178" s="6" t="s">
        <v>21</v>
      </c>
      <c r="S3178" s="6" t="s">
        <v>21</v>
      </c>
      <c r="T3178" s="6" t="s">
        <v>21</v>
      </c>
      <c r="U3178" s="6">
        <f t="shared" si="387"/>
        <v>164.4</v>
      </c>
      <c r="V3178" s="6">
        <f t="shared" si="392"/>
        <v>164.4</v>
      </c>
    </row>
    <row r="3179" spans="1:22" hidden="1" x14ac:dyDescent="0.35">
      <c r="A3179" s="6" t="s">
        <v>3484</v>
      </c>
      <c r="B3179" s="6" t="s">
        <v>3476</v>
      </c>
      <c r="C3179" s="6" t="s">
        <v>3477</v>
      </c>
      <c r="D3179" s="6">
        <f t="shared" si="391"/>
        <v>0.5</v>
      </c>
      <c r="E3179" s="6" t="s">
        <v>19</v>
      </c>
      <c r="F3179" s="6" t="str">
        <f>MID(A3179,19,1)</f>
        <v>S</v>
      </c>
      <c r="G3179" s="6">
        <v>-22.712714298756509</v>
      </c>
      <c r="H3179" s="6">
        <v>-47.45970463732889</v>
      </c>
      <c r="I3179" s="9">
        <v>1118.49</v>
      </c>
      <c r="K3179" s="6">
        <v>3.5</v>
      </c>
      <c r="L3179" s="6">
        <v>70</v>
      </c>
      <c r="N3179" s="1">
        <f t="shared" si="386"/>
        <v>0</v>
      </c>
      <c r="O3179" s="6" t="s">
        <v>20</v>
      </c>
      <c r="Q3179" s="6" t="s">
        <v>21</v>
      </c>
      <c r="R3179" s="6" t="s">
        <v>21</v>
      </c>
      <c r="S3179" s="6" t="s">
        <v>21</v>
      </c>
      <c r="T3179" s="6" t="s">
        <v>21</v>
      </c>
      <c r="U3179" s="6">
        <f t="shared" si="387"/>
        <v>782.94299999999998</v>
      </c>
      <c r="V3179" s="6">
        <f t="shared" si="392"/>
        <v>782.94299999999998</v>
      </c>
    </row>
    <row r="3180" spans="1:22" hidden="1" x14ac:dyDescent="0.35">
      <c r="A3180" s="6" t="s">
        <v>3485</v>
      </c>
      <c r="B3180" s="6" t="s">
        <v>3476</v>
      </c>
      <c r="C3180" s="6" t="s">
        <v>3477</v>
      </c>
      <c r="D3180" s="6">
        <f t="shared" si="391"/>
        <v>0.5</v>
      </c>
      <c r="E3180" s="6" t="s">
        <v>19</v>
      </c>
      <c r="F3180" s="6" t="str">
        <f>MID(A3180,19,1)</f>
        <v>S</v>
      </c>
      <c r="G3180" s="6">
        <v>-22.6022480202755</v>
      </c>
      <c r="H3180" s="6">
        <v>-47.363031426409471</v>
      </c>
      <c r="I3180" s="9">
        <v>1347.48</v>
      </c>
      <c r="K3180" s="6">
        <v>3.98</v>
      </c>
      <c r="L3180" s="6">
        <v>50</v>
      </c>
      <c r="N3180" s="1">
        <f t="shared" si="386"/>
        <v>0</v>
      </c>
      <c r="O3180" s="6" t="s">
        <v>20</v>
      </c>
      <c r="Q3180" s="6" t="s">
        <v>21</v>
      </c>
      <c r="R3180" s="6" t="s">
        <v>21</v>
      </c>
      <c r="S3180" s="6" t="s">
        <v>21</v>
      </c>
      <c r="T3180" s="6" t="s">
        <v>21</v>
      </c>
      <c r="U3180" s="6">
        <f t="shared" si="387"/>
        <v>673.74</v>
      </c>
      <c r="V3180" s="6">
        <f t="shared" si="392"/>
        <v>673.74</v>
      </c>
    </row>
    <row r="3181" spans="1:22" hidden="1" x14ac:dyDescent="0.35">
      <c r="A3181" s="6" t="s">
        <v>3486</v>
      </c>
      <c r="B3181" s="6" t="s">
        <v>3476</v>
      </c>
      <c r="C3181" s="6" t="s">
        <v>3477</v>
      </c>
      <c r="D3181" s="6">
        <f t="shared" si="391"/>
        <v>0.5</v>
      </c>
      <c r="E3181" s="6" t="s">
        <v>19</v>
      </c>
      <c r="F3181" s="6" t="str">
        <f>MID(A3181,19,1)</f>
        <v>S</v>
      </c>
      <c r="G3181" s="6">
        <v>-22.710784906429151</v>
      </c>
      <c r="H3181" s="6">
        <v>-47.458947650343802</v>
      </c>
      <c r="I3181" s="9">
        <v>538.95000000000005</v>
      </c>
      <c r="K3181" s="6">
        <v>2.1</v>
      </c>
      <c r="L3181" s="6">
        <v>70</v>
      </c>
      <c r="N3181" s="1">
        <f t="shared" si="386"/>
        <v>0</v>
      </c>
      <c r="O3181" s="6" t="s">
        <v>20</v>
      </c>
      <c r="Q3181" s="6" t="s">
        <v>21</v>
      </c>
      <c r="R3181" s="6" t="s">
        <v>21</v>
      </c>
      <c r="S3181" s="6" t="s">
        <v>21</v>
      </c>
      <c r="T3181" s="6" t="s">
        <v>21</v>
      </c>
      <c r="U3181" s="6">
        <f t="shared" si="387"/>
        <v>377.26499999999999</v>
      </c>
      <c r="V3181" s="6">
        <f t="shared" si="392"/>
        <v>377.26499999999999</v>
      </c>
    </row>
    <row r="3182" spans="1:22" hidden="1" x14ac:dyDescent="0.35">
      <c r="A3182" s="6" t="s">
        <v>3487</v>
      </c>
      <c r="B3182" s="6" t="s">
        <v>3476</v>
      </c>
      <c r="C3182" s="6" t="s">
        <v>3477</v>
      </c>
      <c r="D3182" s="6">
        <f t="shared" si="391"/>
        <v>0.5</v>
      </c>
      <c r="E3182" s="6" t="s">
        <v>19</v>
      </c>
      <c r="F3182" s="6" t="str">
        <f>MID(A3182,19,1)</f>
        <v>S</v>
      </c>
      <c r="G3182" s="6">
        <v>-22.604937257953338</v>
      </c>
      <c r="H3182" s="6">
        <v>-47.361981403742021</v>
      </c>
      <c r="I3182" s="9">
        <v>183.09</v>
      </c>
      <c r="K3182" s="6">
        <v>4.67</v>
      </c>
      <c r="L3182" s="6">
        <v>50</v>
      </c>
      <c r="N3182" s="1">
        <f t="shared" si="386"/>
        <v>0</v>
      </c>
      <c r="O3182" s="6" t="s">
        <v>20</v>
      </c>
      <c r="Q3182" s="6" t="s">
        <v>21</v>
      </c>
      <c r="R3182" s="6" t="s">
        <v>21</v>
      </c>
      <c r="S3182" s="6" t="s">
        <v>21</v>
      </c>
      <c r="T3182" s="6" t="s">
        <v>21</v>
      </c>
      <c r="U3182" s="6">
        <f t="shared" si="387"/>
        <v>91.545000000000002</v>
      </c>
      <c r="V3182" s="6">
        <f t="shared" si="392"/>
        <v>91.545000000000002</v>
      </c>
    </row>
    <row r="3183" spans="1:22" hidden="1" x14ac:dyDescent="0.35">
      <c r="A3183" s="6" t="s">
        <v>3488</v>
      </c>
      <c r="B3183" s="6" t="s">
        <v>3476</v>
      </c>
      <c r="C3183" s="6" t="s">
        <v>3477</v>
      </c>
      <c r="D3183" s="6">
        <f t="shared" si="391"/>
        <v>0.5</v>
      </c>
      <c r="E3183" s="6" t="s">
        <v>19</v>
      </c>
      <c r="F3183" s="6" t="str">
        <f>MID(A3183,19,1)</f>
        <v>S</v>
      </c>
      <c r="G3183" s="6">
        <v>-22.707870042897969</v>
      </c>
      <c r="H3183" s="6">
        <v>-47.457811942367933</v>
      </c>
      <c r="I3183" s="9">
        <v>2208.0100000000002</v>
      </c>
      <c r="K3183" s="6">
        <v>3.64</v>
      </c>
      <c r="L3183" s="6">
        <v>70</v>
      </c>
      <c r="N3183" s="1">
        <f t="shared" si="386"/>
        <v>0</v>
      </c>
      <c r="O3183" s="6" t="s">
        <v>20</v>
      </c>
      <c r="Q3183" s="6" t="s">
        <v>21</v>
      </c>
      <c r="R3183" s="6" t="s">
        <v>21</v>
      </c>
      <c r="S3183" s="6" t="s">
        <v>21</v>
      </c>
      <c r="T3183" s="6" t="s">
        <v>21</v>
      </c>
      <c r="U3183" s="6">
        <f t="shared" si="387"/>
        <v>1545.607</v>
      </c>
      <c r="V3183" s="6">
        <f t="shared" si="392"/>
        <v>1545.607</v>
      </c>
    </row>
    <row r="3184" spans="1:22" x14ac:dyDescent="0.35">
      <c r="A3184" s="6" t="s">
        <v>3489</v>
      </c>
      <c r="B3184" s="6" t="s">
        <v>3476</v>
      </c>
      <c r="C3184" s="6" t="s">
        <v>3477</v>
      </c>
      <c r="D3184" s="6">
        <f t="shared" si="391"/>
        <v>0.5</v>
      </c>
      <c r="E3184" s="6" t="s">
        <v>19</v>
      </c>
      <c r="F3184" s="6" t="str">
        <f>MID(A3184,19,1)</f>
        <v>N</v>
      </c>
      <c r="G3184" s="6">
        <v>-22.603116977359559</v>
      </c>
      <c r="H3184" s="6">
        <v>-47.36312981396388</v>
      </c>
      <c r="I3184" s="9">
        <v>359.92</v>
      </c>
      <c r="K3184" s="6">
        <v>4.54</v>
      </c>
      <c r="L3184" s="6">
        <v>50</v>
      </c>
      <c r="N3184" s="1">
        <f t="shared" si="386"/>
        <v>0</v>
      </c>
      <c r="O3184" s="6" t="s">
        <v>20</v>
      </c>
      <c r="Q3184" s="6" t="s">
        <v>21</v>
      </c>
      <c r="R3184" s="6" t="s">
        <v>21</v>
      </c>
      <c r="S3184" s="6" t="s">
        <v>21</v>
      </c>
      <c r="T3184" s="6" t="s">
        <v>21</v>
      </c>
      <c r="U3184" s="6">
        <f t="shared" si="387"/>
        <v>179.96</v>
      </c>
      <c r="V3184" s="6">
        <f t="shared" si="392"/>
        <v>179.96</v>
      </c>
    </row>
    <row r="3185" spans="1:22" hidden="1" x14ac:dyDescent="0.35">
      <c r="A3185" s="6" t="s">
        <v>3490</v>
      </c>
      <c r="B3185" s="6" t="s">
        <v>3476</v>
      </c>
      <c r="C3185" s="6" t="s">
        <v>3477</v>
      </c>
      <c r="D3185" s="6">
        <f t="shared" si="391"/>
        <v>0.5</v>
      </c>
      <c r="E3185" s="6" t="s">
        <v>23</v>
      </c>
      <c r="F3185" s="6" t="str">
        <f>MID(A3185,19,1)</f>
        <v>C</v>
      </c>
      <c r="G3185" s="6">
        <v>-22.707948836123951</v>
      </c>
      <c r="H3185" s="6">
        <v>-47.457651771017581</v>
      </c>
      <c r="I3185" s="9">
        <v>5937.15</v>
      </c>
      <c r="J3185" s="9">
        <f t="shared" ref="J3185:J3186" si="394">I3185/500</f>
        <v>11.8743</v>
      </c>
      <c r="K3185" s="6">
        <v>4.01</v>
      </c>
      <c r="L3185" s="6">
        <v>80</v>
      </c>
      <c r="N3185" s="1">
        <f t="shared" si="386"/>
        <v>0</v>
      </c>
      <c r="O3185" s="6" t="s">
        <v>20</v>
      </c>
      <c r="Q3185" s="6" t="s">
        <v>21</v>
      </c>
      <c r="R3185" s="6" t="s">
        <v>21</v>
      </c>
      <c r="S3185" s="6" t="s">
        <v>21</v>
      </c>
      <c r="T3185" s="6" t="s">
        <v>21</v>
      </c>
      <c r="U3185" s="6">
        <f t="shared" si="387"/>
        <v>4749.72</v>
      </c>
      <c r="V3185" s="6">
        <f t="shared" si="392"/>
        <v>4749.72</v>
      </c>
    </row>
    <row r="3186" spans="1:22" hidden="1" x14ac:dyDescent="0.35">
      <c r="A3186" s="6" t="s">
        <v>3491</v>
      </c>
      <c r="B3186" s="6" t="s">
        <v>3476</v>
      </c>
      <c r="C3186" s="6" t="s">
        <v>3477</v>
      </c>
      <c r="D3186" s="6">
        <f t="shared" si="391"/>
        <v>0.5</v>
      </c>
      <c r="E3186" s="6" t="s">
        <v>23</v>
      </c>
      <c r="F3186" s="6" t="str">
        <f>MID(A3186,19,1)</f>
        <v>C</v>
      </c>
      <c r="G3186" s="6">
        <v>-22.710861904871631</v>
      </c>
      <c r="H3186" s="6">
        <v>-47.458782201598872</v>
      </c>
      <c r="I3186" s="9">
        <v>1471.28</v>
      </c>
      <c r="J3186" s="9">
        <f t="shared" si="394"/>
        <v>2.9425599999999998</v>
      </c>
      <c r="K3186" s="6">
        <v>2.81</v>
      </c>
      <c r="L3186" s="6">
        <v>80</v>
      </c>
      <c r="N3186" s="1">
        <f t="shared" si="386"/>
        <v>0</v>
      </c>
      <c r="O3186" s="6" t="s">
        <v>20</v>
      </c>
      <c r="Q3186" s="6" t="s">
        <v>21</v>
      </c>
      <c r="R3186" s="6" t="s">
        <v>21</v>
      </c>
      <c r="S3186" s="6" t="s">
        <v>21</v>
      </c>
      <c r="T3186" s="6" t="s">
        <v>21</v>
      </c>
      <c r="U3186" s="6">
        <f t="shared" si="387"/>
        <v>1177.0240000000001</v>
      </c>
      <c r="V3186" s="6">
        <f t="shared" si="392"/>
        <v>1177.0240000000001</v>
      </c>
    </row>
    <row r="3187" spans="1:22" x14ac:dyDescent="0.35">
      <c r="A3187" s="6" t="s">
        <v>3492</v>
      </c>
      <c r="B3187" s="6" t="s">
        <v>3476</v>
      </c>
      <c r="C3187" s="6" t="s">
        <v>3477</v>
      </c>
      <c r="D3187" s="6">
        <f t="shared" si="391"/>
        <v>0.5</v>
      </c>
      <c r="E3187" s="6" t="s">
        <v>19</v>
      </c>
      <c r="F3187" s="6" t="str">
        <f>MID(A3187,19,1)</f>
        <v>N</v>
      </c>
      <c r="G3187" s="6">
        <v>-22.710899982819029</v>
      </c>
      <c r="H3187" s="6">
        <v>-47.458600994782287</v>
      </c>
      <c r="I3187" s="9">
        <v>541.85</v>
      </c>
      <c r="K3187" s="6">
        <v>3.23</v>
      </c>
      <c r="L3187" s="6">
        <v>70</v>
      </c>
      <c r="N3187" s="1">
        <f t="shared" si="386"/>
        <v>0</v>
      </c>
      <c r="O3187" s="6" t="s">
        <v>20</v>
      </c>
      <c r="Q3187" s="6" t="s">
        <v>21</v>
      </c>
      <c r="R3187" s="6" t="s">
        <v>21</v>
      </c>
      <c r="S3187" s="6" t="s">
        <v>21</v>
      </c>
      <c r="T3187" s="6" t="s">
        <v>21</v>
      </c>
      <c r="U3187" s="6">
        <f t="shared" si="387"/>
        <v>379.29500000000002</v>
      </c>
      <c r="V3187" s="6">
        <f t="shared" si="392"/>
        <v>379.29500000000002</v>
      </c>
    </row>
    <row r="3188" spans="1:22" hidden="1" x14ac:dyDescent="0.35">
      <c r="A3188" s="6" t="s">
        <v>3493</v>
      </c>
      <c r="B3188" s="6" t="s">
        <v>3476</v>
      </c>
      <c r="C3188" s="6" t="s">
        <v>3477</v>
      </c>
      <c r="D3188" s="6">
        <f t="shared" si="391"/>
        <v>0.5</v>
      </c>
      <c r="E3188" s="6" t="s">
        <v>23</v>
      </c>
      <c r="F3188" s="6" t="str">
        <f>MID(A3188,19,1)</f>
        <v>C</v>
      </c>
      <c r="G3188" s="6">
        <v>-22.712752397176931</v>
      </c>
      <c r="H3188" s="6">
        <v>-47.459518143296968</v>
      </c>
      <c r="I3188" s="9">
        <v>3164.72</v>
      </c>
      <c r="J3188" s="9">
        <f>I3188/500</f>
        <v>6.32944</v>
      </c>
      <c r="K3188" s="6">
        <v>3.2</v>
      </c>
      <c r="L3188" s="6">
        <v>80</v>
      </c>
      <c r="N3188" s="1">
        <f t="shared" si="386"/>
        <v>0</v>
      </c>
      <c r="O3188" s="6" t="s">
        <v>20</v>
      </c>
      <c r="Q3188" s="6" t="s">
        <v>21</v>
      </c>
      <c r="R3188" s="6" t="s">
        <v>21</v>
      </c>
      <c r="S3188" s="6" t="s">
        <v>21</v>
      </c>
      <c r="T3188" s="6" t="s">
        <v>21</v>
      </c>
      <c r="U3188" s="6">
        <f t="shared" si="387"/>
        <v>2531.7759999999998</v>
      </c>
      <c r="V3188" s="6">
        <f t="shared" si="392"/>
        <v>2531.7759999999998</v>
      </c>
    </row>
    <row r="3189" spans="1:22" hidden="1" x14ac:dyDescent="0.35">
      <c r="A3189" s="8" t="s">
        <v>3494</v>
      </c>
      <c r="B3189" s="8" t="s">
        <v>3476</v>
      </c>
      <c r="C3189" s="8" t="s">
        <v>3477</v>
      </c>
      <c r="D3189" s="6">
        <f t="shared" si="391"/>
        <v>0.5</v>
      </c>
      <c r="E3189" s="8" t="s">
        <v>19</v>
      </c>
      <c r="F3189" s="6" t="str">
        <f>MID(A3189,19,1)</f>
        <v>S</v>
      </c>
      <c r="G3189" s="8">
        <v>-22.606327296099199</v>
      </c>
      <c r="H3189" s="8">
        <v>-47.361454312652519</v>
      </c>
      <c r="I3189" s="7">
        <v>1278.29</v>
      </c>
      <c r="J3189" s="7"/>
      <c r="K3189" s="8">
        <v>6.29</v>
      </c>
      <c r="L3189" s="8">
        <v>60</v>
      </c>
      <c r="M3189" s="8"/>
      <c r="N3189" s="11">
        <f t="shared" si="386"/>
        <v>766.97399999999993</v>
      </c>
      <c r="O3189" s="8" t="s">
        <v>25</v>
      </c>
      <c r="P3189" s="8"/>
      <c r="Q3189" s="8" t="s">
        <v>21</v>
      </c>
      <c r="R3189" s="8" t="s">
        <v>26</v>
      </c>
      <c r="S3189" s="8" t="s">
        <v>21</v>
      </c>
      <c r="T3189" s="8" t="s">
        <v>26</v>
      </c>
      <c r="U3189" s="6">
        <f t="shared" si="387"/>
        <v>0</v>
      </c>
    </row>
    <row r="3190" spans="1:22" hidden="1" x14ac:dyDescent="0.35">
      <c r="A3190" s="6" t="s">
        <v>3495</v>
      </c>
      <c r="B3190" s="6" t="s">
        <v>3476</v>
      </c>
      <c r="C3190" s="6" t="s">
        <v>3477</v>
      </c>
      <c r="D3190" s="6">
        <f t="shared" si="391"/>
        <v>0.5</v>
      </c>
      <c r="E3190" s="6" t="s">
        <v>19</v>
      </c>
      <c r="F3190" s="6" t="str">
        <f>MID(A3190,19,1)</f>
        <v>S</v>
      </c>
      <c r="G3190" s="6">
        <v>-22.604197616277169</v>
      </c>
      <c r="H3190" s="6">
        <v>-47.362288723980477</v>
      </c>
      <c r="I3190" s="9">
        <v>553.98</v>
      </c>
      <c r="K3190" s="6">
        <v>4.12</v>
      </c>
      <c r="L3190" s="6">
        <v>50</v>
      </c>
      <c r="N3190" s="1">
        <f t="shared" si="386"/>
        <v>0</v>
      </c>
      <c r="O3190" s="6" t="s">
        <v>20</v>
      </c>
      <c r="Q3190" s="6" t="s">
        <v>21</v>
      </c>
      <c r="R3190" s="6" t="s">
        <v>21</v>
      </c>
      <c r="S3190" s="6" t="s">
        <v>21</v>
      </c>
      <c r="T3190" s="6" t="s">
        <v>21</v>
      </c>
      <c r="U3190" s="6">
        <f t="shared" si="387"/>
        <v>276.99</v>
      </c>
      <c r="V3190" s="6">
        <f t="shared" ref="V3190:V3243" si="395">(I3190*(L3190/100))</f>
        <v>276.99</v>
      </c>
    </row>
    <row r="3191" spans="1:22" hidden="1" x14ac:dyDescent="0.35">
      <c r="A3191" s="6" t="s">
        <v>3496</v>
      </c>
      <c r="B3191" s="6" t="s">
        <v>3497</v>
      </c>
      <c r="C3191" s="6" t="s">
        <v>3498</v>
      </c>
      <c r="D3191" s="6">
        <f t="shared" si="391"/>
        <v>0.5</v>
      </c>
      <c r="E3191" s="6" t="s">
        <v>19</v>
      </c>
      <c r="F3191" s="6" t="str">
        <f>MID(A3191,19,1)</f>
        <v>S</v>
      </c>
      <c r="G3191" s="6">
        <v>-22.600157103656269</v>
      </c>
      <c r="H3191" s="6">
        <v>-47.363802315420727</v>
      </c>
      <c r="I3191" s="9">
        <v>678.31</v>
      </c>
      <c r="K3191" s="6">
        <v>1.96</v>
      </c>
      <c r="L3191" s="6">
        <v>50</v>
      </c>
      <c r="N3191" s="1">
        <f t="shared" si="386"/>
        <v>0</v>
      </c>
      <c r="O3191" s="6" t="s">
        <v>20</v>
      </c>
      <c r="Q3191" s="6" t="s">
        <v>21</v>
      </c>
      <c r="R3191" s="6" t="s">
        <v>21</v>
      </c>
      <c r="S3191" s="6" t="s">
        <v>21</v>
      </c>
      <c r="T3191" s="6" t="s">
        <v>21</v>
      </c>
      <c r="U3191" s="6">
        <f t="shared" si="387"/>
        <v>339.15499999999997</v>
      </c>
      <c r="V3191" s="6">
        <f t="shared" si="395"/>
        <v>339.15499999999997</v>
      </c>
    </row>
    <row r="3192" spans="1:22" hidden="1" x14ac:dyDescent="0.35">
      <c r="A3192" s="6" t="s">
        <v>3499</v>
      </c>
      <c r="B3192" s="6" t="s">
        <v>3497</v>
      </c>
      <c r="C3192" s="6" t="s">
        <v>3498</v>
      </c>
      <c r="D3192" s="6">
        <f t="shared" si="391"/>
        <v>0.5</v>
      </c>
      <c r="E3192" s="6" t="s">
        <v>19</v>
      </c>
      <c r="F3192" s="6" t="str">
        <f>MID(A3192,19,1)</f>
        <v>S</v>
      </c>
      <c r="G3192" s="6">
        <v>-22.702902431072019</v>
      </c>
      <c r="H3192" s="6">
        <v>-47.455983490155489</v>
      </c>
      <c r="I3192" s="9">
        <v>2852.59</v>
      </c>
      <c r="K3192" s="6">
        <v>3.42</v>
      </c>
      <c r="L3192" s="6">
        <v>70</v>
      </c>
      <c r="N3192" s="1">
        <f t="shared" si="386"/>
        <v>0</v>
      </c>
      <c r="O3192" s="6" t="s">
        <v>20</v>
      </c>
      <c r="Q3192" s="6" t="s">
        <v>21</v>
      </c>
      <c r="R3192" s="6" t="s">
        <v>21</v>
      </c>
      <c r="S3192" s="6" t="s">
        <v>21</v>
      </c>
      <c r="T3192" s="6" t="s">
        <v>21</v>
      </c>
      <c r="U3192" s="6">
        <f t="shared" si="387"/>
        <v>1996.8129999999999</v>
      </c>
      <c r="V3192" s="6">
        <f t="shared" si="395"/>
        <v>1996.8129999999999</v>
      </c>
    </row>
    <row r="3193" spans="1:22" hidden="1" x14ac:dyDescent="0.35">
      <c r="A3193" s="6" t="s">
        <v>3500</v>
      </c>
      <c r="B3193" s="6" t="s">
        <v>3497</v>
      </c>
      <c r="C3193" s="6" t="s">
        <v>3498</v>
      </c>
      <c r="D3193" s="6">
        <f t="shared" si="391"/>
        <v>0.5</v>
      </c>
      <c r="E3193" s="6" t="s">
        <v>23</v>
      </c>
      <c r="F3193" s="6" t="str">
        <f>MID(A3193,19,1)</f>
        <v>C</v>
      </c>
      <c r="G3193" s="6">
        <v>-22.704816657387632</v>
      </c>
      <c r="H3193" s="6">
        <v>-47.456440275601459</v>
      </c>
      <c r="I3193" s="9">
        <v>2151.6999999999998</v>
      </c>
      <c r="J3193" s="9">
        <f>I3193/500</f>
        <v>4.3033999999999999</v>
      </c>
      <c r="K3193" s="6">
        <v>3.39</v>
      </c>
      <c r="L3193" s="6">
        <v>80</v>
      </c>
      <c r="N3193" s="1">
        <f t="shared" si="386"/>
        <v>0</v>
      </c>
      <c r="O3193" s="6" t="s">
        <v>20</v>
      </c>
      <c r="Q3193" s="6" t="s">
        <v>21</v>
      </c>
      <c r="R3193" s="6" t="s">
        <v>21</v>
      </c>
      <c r="S3193" s="6" t="s">
        <v>21</v>
      </c>
      <c r="T3193" s="6" t="s">
        <v>21</v>
      </c>
      <c r="U3193" s="6">
        <f t="shared" si="387"/>
        <v>1721.36</v>
      </c>
      <c r="V3193" s="6">
        <f t="shared" si="395"/>
        <v>1721.36</v>
      </c>
    </row>
    <row r="3194" spans="1:22" hidden="1" x14ac:dyDescent="0.35">
      <c r="A3194" s="6" t="s">
        <v>3501</v>
      </c>
      <c r="B3194" s="6" t="s">
        <v>3497</v>
      </c>
      <c r="C3194" s="6" t="s">
        <v>3498</v>
      </c>
      <c r="D3194" s="6">
        <f t="shared" si="391"/>
        <v>0.5</v>
      </c>
      <c r="E3194" s="6" t="s">
        <v>19</v>
      </c>
      <c r="F3194" s="6" t="str">
        <f>MID(A3194,19,1)</f>
        <v>S</v>
      </c>
      <c r="G3194" s="6">
        <v>-22.699556290409632</v>
      </c>
      <c r="H3194" s="6">
        <v>-47.4545934023282</v>
      </c>
      <c r="I3194" s="9">
        <v>2315.34</v>
      </c>
      <c r="K3194" s="6">
        <v>3.68</v>
      </c>
      <c r="L3194" s="6">
        <v>70</v>
      </c>
      <c r="N3194" s="1">
        <f t="shared" si="386"/>
        <v>0</v>
      </c>
      <c r="O3194" s="6" t="s">
        <v>20</v>
      </c>
      <c r="Q3194" s="6" t="s">
        <v>21</v>
      </c>
      <c r="R3194" s="6" t="s">
        <v>21</v>
      </c>
      <c r="S3194" s="6" t="s">
        <v>21</v>
      </c>
      <c r="T3194" s="6" t="s">
        <v>21</v>
      </c>
      <c r="U3194" s="6">
        <f t="shared" si="387"/>
        <v>1620.7380000000001</v>
      </c>
      <c r="V3194" s="6">
        <f t="shared" si="395"/>
        <v>1620.7380000000001</v>
      </c>
    </row>
    <row r="3195" spans="1:22" hidden="1" x14ac:dyDescent="0.35">
      <c r="A3195" s="6" t="s">
        <v>3502</v>
      </c>
      <c r="B3195" s="6" t="s">
        <v>3497</v>
      </c>
      <c r="C3195" s="6" t="s">
        <v>3498</v>
      </c>
      <c r="D3195" s="6">
        <f t="shared" si="391"/>
        <v>0.5</v>
      </c>
      <c r="E3195" s="6" t="s">
        <v>19</v>
      </c>
      <c r="F3195" s="6" t="str">
        <f>MID(A3195,19,1)</f>
        <v>S</v>
      </c>
      <c r="G3195" s="6">
        <v>-22.59543547065978</v>
      </c>
      <c r="H3195" s="6">
        <v>-47.365556954534838</v>
      </c>
      <c r="I3195" s="9">
        <v>2262.7600000000002</v>
      </c>
      <c r="K3195" s="6">
        <v>4.72</v>
      </c>
      <c r="L3195" s="6">
        <v>50</v>
      </c>
      <c r="N3195" s="1">
        <f t="shared" si="386"/>
        <v>0</v>
      </c>
      <c r="O3195" s="6" t="s">
        <v>20</v>
      </c>
      <c r="Q3195" s="6" t="s">
        <v>21</v>
      </c>
      <c r="R3195" s="6" t="s">
        <v>21</v>
      </c>
      <c r="S3195" s="6" t="s">
        <v>21</v>
      </c>
      <c r="T3195" s="6" t="s">
        <v>21</v>
      </c>
      <c r="U3195" s="6">
        <f t="shared" si="387"/>
        <v>1131.3800000000001</v>
      </c>
      <c r="V3195" s="6">
        <f t="shared" si="395"/>
        <v>1131.3800000000001</v>
      </c>
    </row>
    <row r="3196" spans="1:22" hidden="1" x14ac:dyDescent="0.35">
      <c r="A3196" s="6" t="s">
        <v>3503</v>
      </c>
      <c r="B3196" s="6" t="s">
        <v>3497</v>
      </c>
      <c r="C3196" s="6" t="s">
        <v>3498</v>
      </c>
      <c r="D3196" s="6">
        <f t="shared" si="391"/>
        <v>0.5</v>
      </c>
      <c r="E3196" s="6" t="s">
        <v>19</v>
      </c>
      <c r="F3196" s="6" t="str">
        <f>MID(A3196,19,1)</f>
        <v>S</v>
      </c>
      <c r="G3196" s="6">
        <v>-22.59606094495317</v>
      </c>
      <c r="H3196" s="6">
        <v>-47.365343567932747</v>
      </c>
      <c r="I3196" s="9">
        <v>569.15</v>
      </c>
      <c r="K3196" s="6">
        <v>3.91</v>
      </c>
      <c r="L3196" s="6">
        <v>50</v>
      </c>
      <c r="N3196" s="1">
        <f t="shared" si="386"/>
        <v>0</v>
      </c>
      <c r="O3196" s="6" t="s">
        <v>20</v>
      </c>
      <c r="Q3196" s="6" t="s">
        <v>21</v>
      </c>
      <c r="R3196" s="6" t="s">
        <v>21</v>
      </c>
      <c r="S3196" s="6" t="s">
        <v>21</v>
      </c>
      <c r="T3196" s="6" t="s">
        <v>21</v>
      </c>
      <c r="U3196" s="6">
        <f t="shared" si="387"/>
        <v>284.57499999999999</v>
      </c>
      <c r="V3196" s="6">
        <f t="shared" si="395"/>
        <v>284.57499999999999</v>
      </c>
    </row>
    <row r="3197" spans="1:22" hidden="1" x14ac:dyDescent="0.35">
      <c r="A3197" s="6" t="s">
        <v>3504</v>
      </c>
      <c r="B3197" s="6" t="s">
        <v>3497</v>
      </c>
      <c r="C3197" s="6" t="s">
        <v>3498</v>
      </c>
      <c r="D3197" s="6">
        <f t="shared" si="391"/>
        <v>0.5</v>
      </c>
      <c r="E3197" s="6" t="s">
        <v>23</v>
      </c>
      <c r="F3197" s="6" t="str">
        <f>MID(A3197,19,1)</f>
        <v>C</v>
      </c>
      <c r="G3197" s="6">
        <v>-22.702845462885929</v>
      </c>
      <c r="H3197" s="6">
        <v>-47.455667053001918</v>
      </c>
      <c r="I3197" s="9">
        <v>2241.73</v>
      </c>
      <c r="J3197" s="9">
        <f>I3197/500</f>
        <v>4.48346</v>
      </c>
      <c r="K3197" s="6">
        <v>3.03</v>
      </c>
      <c r="L3197" s="6">
        <v>80</v>
      </c>
      <c r="N3197" s="1">
        <f t="shared" si="386"/>
        <v>0</v>
      </c>
      <c r="O3197" s="6" t="s">
        <v>20</v>
      </c>
      <c r="Q3197" s="6" t="s">
        <v>21</v>
      </c>
      <c r="R3197" s="6" t="s">
        <v>21</v>
      </c>
      <c r="S3197" s="6" t="s">
        <v>21</v>
      </c>
      <c r="T3197" s="6" t="s">
        <v>21</v>
      </c>
      <c r="U3197" s="6">
        <f t="shared" si="387"/>
        <v>1793.384</v>
      </c>
      <c r="V3197" s="6">
        <f t="shared" si="395"/>
        <v>1793.384</v>
      </c>
    </row>
    <row r="3198" spans="1:22" x14ac:dyDescent="0.35">
      <c r="A3198" s="6" t="s">
        <v>3505</v>
      </c>
      <c r="B3198" s="6" t="s">
        <v>3497</v>
      </c>
      <c r="C3198" s="6" t="s">
        <v>3498</v>
      </c>
      <c r="D3198" s="6">
        <f t="shared" si="391"/>
        <v>0.5</v>
      </c>
      <c r="E3198" s="6" t="s">
        <v>19</v>
      </c>
      <c r="F3198" s="6" t="str">
        <f>MID(A3198,19,1)</f>
        <v>N</v>
      </c>
      <c r="G3198" s="6">
        <v>-22.702956925838421</v>
      </c>
      <c r="H3198" s="6">
        <v>-47.455282436145637</v>
      </c>
      <c r="I3198" s="9">
        <v>791.14</v>
      </c>
      <c r="K3198" s="6">
        <v>3.36</v>
      </c>
      <c r="L3198" s="6">
        <v>70</v>
      </c>
      <c r="N3198" s="1">
        <f t="shared" si="386"/>
        <v>0</v>
      </c>
      <c r="O3198" s="6" t="s">
        <v>20</v>
      </c>
      <c r="Q3198" s="6" t="s">
        <v>21</v>
      </c>
      <c r="R3198" s="6" t="s">
        <v>21</v>
      </c>
      <c r="S3198" s="6" t="s">
        <v>21</v>
      </c>
      <c r="T3198" s="6" t="s">
        <v>21</v>
      </c>
      <c r="U3198" s="6">
        <f t="shared" si="387"/>
        <v>553.798</v>
      </c>
      <c r="V3198" s="6">
        <f t="shared" si="395"/>
        <v>553.798</v>
      </c>
    </row>
    <row r="3199" spans="1:22" x14ac:dyDescent="0.35">
      <c r="A3199" s="6" t="s">
        <v>3506</v>
      </c>
      <c r="B3199" s="6" t="s">
        <v>3497</v>
      </c>
      <c r="C3199" s="6" t="s">
        <v>3498</v>
      </c>
      <c r="D3199" s="6">
        <f t="shared" si="391"/>
        <v>0.5</v>
      </c>
      <c r="E3199" s="6" t="s">
        <v>19</v>
      </c>
      <c r="F3199" s="6" t="str">
        <f>MID(A3199,19,1)</f>
        <v>N</v>
      </c>
      <c r="G3199" s="6">
        <v>-22.703190406886169</v>
      </c>
      <c r="H3199" s="6">
        <v>-47.455515520524571</v>
      </c>
      <c r="I3199" s="9">
        <v>3059.99</v>
      </c>
      <c r="K3199" s="6">
        <v>3.7</v>
      </c>
      <c r="L3199" s="6">
        <v>70</v>
      </c>
      <c r="N3199" s="1">
        <f t="shared" si="386"/>
        <v>0</v>
      </c>
      <c r="O3199" s="6" t="s">
        <v>20</v>
      </c>
      <c r="Q3199" s="6" t="s">
        <v>21</v>
      </c>
      <c r="R3199" s="6" t="s">
        <v>21</v>
      </c>
      <c r="S3199" s="6" t="s">
        <v>21</v>
      </c>
      <c r="T3199" s="6" t="s">
        <v>21</v>
      </c>
      <c r="U3199" s="6">
        <f t="shared" si="387"/>
        <v>2141.9929999999999</v>
      </c>
      <c r="V3199" s="6">
        <f t="shared" si="395"/>
        <v>2141.9929999999999</v>
      </c>
    </row>
    <row r="3200" spans="1:22" x14ac:dyDescent="0.35">
      <c r="A3200" s="6" t="s">
        <v>3507</v>
      </c>
      <c r="B3200" s="6" t="s">
        <v>3497</v>
      </c>
      <c r="C3200" s="6" t="s">
        <v>3498</v>
      </c>
      <c r="D3200" s="6">
        <f t="shared" si="391"/>
        <v>0.5</v>
      </c>
      <c r="E3200" s="6" t="s">
        <v>19</v>
      </c>
      <c r="F3200" s="6" t="str">
        <f>MID(A3200,19,1)</f>
        <v>N</v>
      </c>
      <c r="G3200" s="6">
        <v>-22.704966048680529</v>
      </c>
      <c r="H3200" s="6">
        <v>-47.456287698252822</v>
      </c>
      <c r="I3200" s="9">
        <v>702.33</v>
      </c>
      <c r="K3200" s="6">
        <v>3.63</v>
      </c>
      <c r="L3200" s="6">
        <v>70</v>
      </c>
      <c r="N3200" s="1">
        <f t="shared" si="386"/>
        <v>0</v>
      </c>
      <c r="O3200" s="6" t="s">
        <v>20</v>
      </c>
      <c r="Q3200" s="6" t="s">
        <v>21</v>
      </c>
      <c r="R3200" s="6" t="s">
        <v>21</v>
      </c>
      <c r="S3200" s="6" t="s">
        <v>21</v>
      </c>
      <c r="T3200" s="6" t="s">
        <v>21</v>
      </c>
      <c r="U3200" s="6">
        <f t="shared" si="387"/>
        <v>491.63099999999997</v>
      </c>
      <c r="V3200" s="6">
        <f t="shared" si="395"/>
        <v>491.63099999999997</v>
      </c>
    </row>
    <row r="3201" spans="1:22" hidden="1" x14ac:dyDescent="0.35">
      <c r="A3201" s="6" t="s">
        <v>3508</v>
      </c>
      <c r="B3201" s="6" t="s">
        <v>3497</v>
      </c>
      <c r="C3201" s="6" t="s">
        <v>3498</v>
      </c>
      <c r="D3201" s="6">
        <f t="shared" si="391"/>
        <v>0.5</v>
      </c>
      <c r="E3201" s="6" t="s">
        <v>19</v>
      </c>
      <c r="F3201" s="6" t="str">
        <f>MID(A3201,19,1)</f>
        <v>S</v>
      </c>
      <c r="G3201" s="6">
        <v>-22.59811683210313</v>
      </c>
      <c r="H3201" s="6">
        <v>-47.364606877089422</v>
      </c>
      <c r="I3201" s="9">
        <v>1523.37</v>
      </c>
      <c r="K3201" s="6">
        <v>2.69</v>
      </c>
      <c r="L3201" s="6">
        <v>50</v>
      </c>
      <c r="N3201" s="1">
        <f t="shared" si="386"/>
        <v>0</v>
      </c>
      <c r="O3201" s="6" t="s">
        <v>20</v>
      </c>
      <c r="Q3201" s="6" t="s">
        <v>21</v>
      </c>
      <c r="R3201" s="6" t="s">
        <v>21</v>
      </c>
      <c r="S3201" s="6" t="s">
        <v>21</v>
      </c>
      <c r="T3201" s="6" t="s">
        <v>21</v>
      </c>
      <c r="U3201" s="6">
        <f t="shared" si="387"/>
        <v>761.68499999999995</v>
      </c>
      <c r="V3201" s="6">
        <f t="shared" si="395"/>
        <v>761.68499999999995</v>
      </c>
    </row>
    <row r="3202" spans="1:22" hidden="1" x14ac:dyDescent="0.35">
      <c r="A3202" s="6" t="s">
        <v>3509</v>
      </c>
      <c r="B3202" s="6" t="s">
        <v>3497</v>
      </c>
      <c r="C3202" s="6" t="s">
        <v>3498</v>
      </c>
      <c r="D3202" s="6">
        <f t="shared" si="391"/>
        <v>0.5</v>
      </c>
      <c r="E3202" s="6" t="s">
        <v>19</v>
      </c>
      <c r="F3202" s="6" t="str">
        <f>MID(A3202,19,1)</f>
        <v>S</v>
      </c>
      <c r="G3202" s="6">
        <v>-22.704764181683942</v>
      </c>
      <c r="H3202" s="6">
        <v>-47.456616591461618</v>
      </c>
      <c r="I3202" s="9">
        <v>714.85</v>
      </c>
      <c r="K3202" s="6">
        <v>3.42</v>
      </c>
      <c r="L3202" s="6">
        <v>70</v>
      </c>
      <c r="N3202" s="1">
        <f t="shared" ref="N3202:N3265" si="396">IF(OR(R3202="Sim",S3202="Sim",T3202="Sim"),(L3202/100)*I3202,0)</f>
        <v>0</v>
      </c>
      <c r="O3202" s="6" t="s">
        <v>20</v>
      </c>
      <c r="Q3202" s="6" t="s">
        <v>21</v>
      </c>
      <c r="R3202" s="6" t="s">
        <v>21</v>
      </c>
      <c r="S3202" s="6" t="s">
        <v>21</v>
      </c>
      <c r="T3202" s="6" t="s">
        <v>21</v>
      </c>
      <c r="U3202" s="6">
        <f t="shared" si="387"/>
        <v>500.39499999999998</v>
      </c>
      <c r="V3202" s="6">
        <f t="shared" si="395"/>
        <v>500.39499999999998</v>
      </c>
    </row>
    <row r="3203" spans="1:22" hidden="1" x14ac:dyDescent="0.35">
      <c r="A3203" s="6" t="s">
        <v>3510</v>
      </c>
      <c r="B3203" s="6" t="s">
        <v>3497</v>
      </c>
      <c r="C3203" s="6" t="s">
        <v>3498</v>
      </c>
      <c r="D3203" s="6">
        <f t="shared" si="391"/>
        <v>0.5</v>
      </c>
      <c r="E3203" s="6" t="s">
        <v>19</v>
      </c>
      <c r="F3203" s="6" t="str">
        <f>MID(A3203,19,1)</f>
        <v>S</v>
      </c>
      <c r="G3203" s="6">
        <v>-22.592814160532178</v>
      </c>
      <c r="H3203" s="6">
        <v>-47.366538724839401</v>
      </c>
      <c r="I3203" s="9">
        <v>1167.5</v>
      </c>
      <c r="K3203" s="6">
        <v>5.59</v>
      </c>
      <c r="L3203" s="6">
        <v>50</v>
      </c>
      <c r="N3203" s="1">
        <f t="shared" si="396"/>
        <v>0</v>
      </c>
      <c r="O3203" s="6" t="s">
        <v>20</v>
      </c>
      <c r="Q3203" s="6" t="s">
        <v>21</v>
      </c>
      <c r="R3203" s="6" t="s">
        <v>21</v>
      </c>
      <c r="S3203" s="6" t="s">
        <v>21</v>
      </c>
      <c r="T3203" s="6" t="s">
        <v>21</v>
      </c>
      <c r="U3203" s="6">
        <f t="shared" ref="U3203:U3266" si="397">IF(N3203=0,(I3203*(L3203/100)),0)</f>
        <v>583.75</v>
      </c>
      <c r="V3203" s="6">
        <f t="shared" si="395"/>
        <v>583.75</v>
      </c>
    </row>
    <row r="3204" spans="1:22" x14ac:dyDescent="0.35">
      <c r="A3204" s="6" t="s">
        <v>3511</v>
      </c>
      <c r="B3204" s="6" t="s">
        <v>3497</v>
      </c>
      <c r="C3204" s="6" t="s">
        <v>3498</v>
      </c>
      <c r="D3204" s="6">
        <f t="shared" si="391"/>
        <v>0.5</v>
      </c>
      <c r="E3204" s="6" t="s">
        <v>19</v>
      </c>
      <c r="F3204" s="6" t="str">
        <f>MID(A3204,19,1)</f>
        <v>N</v>
      </c>
      <c r="G3204" s="6">
        <v>-22.59309363664687</v>
      </c>
      <c r="H3204" s="6">
        <v>-47.366995809941578</v>
      </c>
      <c r="I3204" s="9">
        <v>1276.44</v>
      </c>
      <c r="K3204" s="6">
        <v>7.81</v>
      </c>
      <c r="L3204" s="6">
        <v>50</v>
      </c>
      <c r="N3204" s="1">
        <f t="shared" si="396"/>
        <v>0</v>
      </c>
      <c r="O3204" s="6" t="s">
        <v>20</v>
      </c>
      <c r="Q3204" s="6" t="s">
        <v>21</v>
      </c>
      <c r="R3204" s="6" t="s">
        <v>21</v>
      </c>
      <c r="S3204" s="6" t="s">
        <v>21</v>
      </c>
      <c r="T3204" s="6" t="s">
        <v>21</v>
      </c>
      <c r="U3204" s="6">
        <f t="shared" si="397"/>
        <v>638.22</v>
      </c>
      <c r="V3204" s="6">
        <f t="shared" si="395"/>
        <v>638.22</v>
      </c>
    </row>
    <row r="3205" spans="1:22" hidden="1" x14ac:dyDescent="0.35">
      <c r="A3205" s="6" t="s">
        <v>3512</v>
      </c>
      <c r="B3205" s="6" t="s">
        <v>3497</v>
      </c>
      <c r="C3205" s="6" t="s">
        <v>3498</v>
      </c>
      <c r="D3205" s="6">
        <f t="shared" si="391"/>
        <v>0.5</v>
      </c>
      <c r="E3205" s="6" t="s">
        <v>19</v>
      </c>
      <c r="F3205" s="6" t="str">
        <f>MID(A3205,19,1)</f>
        <v>S</v>
      </c>
      <c r="G3205" s="6">
        <v>-22.594063747369631</v>
      </c>
      <c r="H3205" s="6">
        <v>-47.366126834793498</v>
      </c>
      <c r="I3205" s="9">
        <v>56.79</v>
      </c>
      <c r="K3205" s="6">
        <v>8.8800000000000008</v>
      </c>
      <c r="L3205" s="6">
        <v>50</v>
      </c>
      <c r="N3205" s="1">
        <f t="shared" si="396"/>
        <v>0</v>
      </c>
      <c r="O3205" s="6" t="s">
        <v>20</v>
      </c>
      <c r="Q3205" s="6" t="s">
        <v>21</v>
      </c>
      <c r="R3205" s="6" t="s">
        <v>21</v>
      </c>
      <c r="S3205" s="6" t="s">
        <v>21</v>
      </c>
      <c r="T3205" s="6" t="s">
        <v>21</v>
      </c>
      <c r="U3205" s="6">
        <f t="shared" si="397"/>
        <v>28.395</v>
      </c>
      <c r="V3205" s="6">
        <f t="shared" si="395"/>
        <v>28.395</v>
      </c>
    </row>
    <row r="3206" spans="1:22" x14ac:dyDescent="0.35">
      <c r="A3206" s="6" t="s">
        <v>3513</v>
      </c>
      <c r="B3206" s="6" t="s">
        <v>3497</v>
      </c>
      <c r="C3206" s="6" t="s">
        <v>3498</v>
      </c>
      <c r="D3206" s="6">
        <f t="shared" si="391"/>
        <v>0.5</v>
      </c>
      <c r="E3206" s="6" t="s">
        <v>19</v>
      </c>
      <c r="F3206" s="6" t="str">
        <f>MID(A3206,19,1)</f>
        <v>N</v>
      </c>
      <c r="G3206" s="6">
        <v>-22.595565727571572</v>
      </c>
      <c r="H3206" s="6">
        <v>-47.366001575356471</v>
      </c>
      <c r="I3206" s="9">
        <v>465.37</v>
      </c>
      <c r="K3206" s="6">
        <v>4.3600000000000003</v>
      </c>
      <c r="L3206" s="6">
        <v>50</v>
      </c>
      <c r="N3206" s="1">
        <f t="shared" si="396"/>
        <v>0</v>
      </c>
      <c r="O3206" s="6" t="s">
        <v>20</v>
      </c>
      <c r="Q3206" s="6" t="s">
        <v>21</v>
      </c>
      <c r="R3206" s="6" t="s">
        <v>21</v>
      </c>
      <c r="S3206" s="6" t="s">
        <v>21</v>
      </c>
      <c r="T3206" s="6" t="s">
        <v>21</v>
      </c>
      <c r="U3206" s="6">
        <f t="shared" si="397"/>
        <v>232.685</v>
      </c>
      <c r="V3206" s="6">
        <f t="shared" si="395"/>
        <v>232.685</v>
      </c>
    </row>
    <row r="3207" spans="1:22" x14ac:dyDescent="0.35">
      <c r="A3207" s="6" t="s">
        <v>3514</v>
      </c>
      <c r="B3207" s="6" t="s">
        <v>3497</v>
      </c>
      <c r="C3207" s="6" t="s">
        <v>3498</v>
      </c>
      <c r="D3207" s="6">
        <f t="shared" si="391"/>
        <v>0.5</v>
      </c>
      <c r="E3207" s="6" t="s">
        <v>19</v>
      </c>
      <c r="F3207" s="6" t="str">
        <f>MID(A3207,19,1)</f>
        <v>N</v>
      </c>
      <c r="G3207" s="6">
        <v>-22.69967653108554</v>
      </c>
      <c r="H3207" s="6">
        <v>-47.454246547299178</v>
      </c>
      <c r="I3207" s="9">
        <v>2313.5100000000002</v>
      </c>
      <c r="K3207" s="6">
        <v>4.43</v>
      </c>
      <c r="L3207" s="6">
        <v>70</v>
      </c>
      <c r="N3207" s="1">
        <f t="shared" si="396"/>
        <v>0</v>
      </c>
      <c r="O3207" s="6" t="s">
        <v>20</v>
      </c>
      <c r="Q3207" s="6" t="s">
        <v>21</v>
      </c>
      <c r="R3207" s="6" t="s">
        <v>21</v>
      </c>
      <c r="S3207" s="6" t="s">
        <v>21</v>
      </c>
      <c r="T3207" s="6" t="s">
        <v>21</v>
      </c>
      <c r="U3207" s="6">
        <f t="shared" si="397"/>
        <v>1619.4570000000001</v>
      </c>
      <c r="V3207" s="6">
        <f t="shared" si="395"/>
        <v>1619.4570000000001</v>
      </c>
    </row>
    <row r="3208" spans="1:22" hidden="1" x14ac:dyDescent="0.35">
      <c r="A3208" s="6" t="s">
        <v>3515</v>
      </c>
      <c r="B3208" s="6" t="s">
        <v>3497</v>
      </c>
      <c r="C3208" s="6" t="s">
        <v>3498</v>
      </c>
      <c r="D3208" s="6">
        <f t="shared" si="391"/>
        <v>0.5</v>
      </c>
      <c r="E3208" s="6" t="s">
        <v>19</v>
      </c>
      <c r="F3208" s="6" t="str">
        <f>MID(A3208,19,1)</f>
        <v>S</v>
      </c>
      <c r="G3208" s="6">
        <v>-22.59466435116931</v>
      </c>
      <c r="H3208" s="6">
        <v>-47.365843036798367</v>
      </c>
      <c r="I3208" s="9">
        <v>353.06</v>
      </c>
      <c r="K3208" s="6">
        <v>8.2200000000000006</v>
      </c>
      <c r="L3208" s="6">
        <v>50</v>
      </c>
      <c r="N3208" s="1">
        <f t="shared" si="396"/>
        <v>0</v>
      </c>
      <c r="O3208" s="6" t="s">
        <v>20</v>
      </c>
      <c r="Q3208" s="6" t="s">
        <v>21</v>
      </c>
      <c r="R3208" s="6" t="s">
        <v>21</v>
      </c>
      <c r="S3208" s="6" t="s">
        <v>21</v>
      </c>
      <c r="T3208" s="6" t="s">
        <v>21</v>
      </c>
      <c r="U3208" s="6">
        <f t="shared" si="397"/>
        <v>176.53</v>
      </c>
      <c r="V3208" s="6">
        <f t="shared" si="395"/>
        <v>176.53</v>
      </c>
    </row>
    <row r="3209" spans="1:22" hidden="1" x14ac:dyDescent="0.35">
      <c r="A3209" s="6" t="s">
        <v>3516</v>
      </c>
      <c r="B3209" s="6" t="s">
        <v>3497</v>
      </c>
      <c r="C3209" s="6" t="s">
        <v>3498</v>
      </c>
      <c r="D3209" s="6">
        <f t="shared" si="391"/>
        <v>0.5</v>
      </c>
      <c r="E3209" s="6" t="s">
        <v>19</v>
      </c>
      <c r="F3209" s="6" t="str">
        <f>MID(A3209,19,1)</f>
        <v>S</v>
      </c>
      <c r="G3209" s="6">
        <v>-22.702574787532189</v>
      </c>
      <c r="H3209" s="6">
        <v>-47.456009615379109</v>
      </c>
      <c r="I3209" s="9">
        <v>680.51</v>
      </c>
      <c r="K3209" s="6">
        <v>3.45</v>
      </c>
      <c r="L3209" s="6">
        <v>70</v>
      </c>
      <c r="N3209" s="1">
        <f t="shared" si="396"/>
        <v>0</v>
      </c>
      <c r="O3209" s="6" t="s">
        <v>20</v>
      </c>
      <c r="Q3209" s="6" t="s">
        <v>21</v>
      </c>
      <c r="R3209" s="6" t="s">
        <v>21</v>
      </c>
      <c r="S3209" s="6" t="s">
        <v>21</v>
      </c>
      <c r="T3209" s="6" t="s">
        <v>21</v>
      </c>
      <c r="U3209" s="6">
        <f t="shared" si="397"/>
        <v>476.35699999999997</v>
      </c>
      <c r="V3209" s="6">
        <f t="shared" si="395"/>
        <v>476.35699999999997</v>
      </c>
    </row>
    <row r="3210" spans="1:22" x14ac:dyDescent="0.35">
      <c r="A3210" s="6" t="s">
        <v>3517</v>
      </c>
      <c r="B3210" s="6" t="s">
        <v>3497</v>
      </c>
      <c r="C3210" s="6" t="s">
        <v>3498</v>
      </c>
      <c r="D3210" s="6">
        <f t="shared" si="391"/>
        <v>0.5</v>
      </c>
      <c r="E3210" s="6" t="s">
        <v>19</v>
      </c>
      <c r="F3210" s="6" t="str">
        <f>MID(A3210,19,1)</f>
        <v>N</v>
      </c>
      <c r="G3210" s="6">
        <v>-22.597575696072489</v>
      </c>
      <c r="H3210" s="6">
        <v>-47.365225215318347</v>
      </c>
      <c r="I3210" s="9">
        <v>1429.9</v>
      </c>
      <c r="K3210" s="6">
        <v>3.59</v>
      </c>
      <c r="L3210" s="6">
        <v>50</v>
      </c>
      <c r="N3210" s="1">
        <f t="shared" si="396"/>
        <v>0</v>
      </c>
      <c r="O3210" s="6" t="s">
        <v>20</v>
      </c>
      <c r="Q3210" s="6" t="s">
        <v>21</v>
      </c>
      <c r="R3210" s="6" t="s">
        <v>21</v>
      </c>
      <c r="S3210" s="6" t="s">
        <v>21</v>
      </c>
      <c r="T3210" s="6" t="s">
        <v>21</v>
      </c>
      <c r="U3210" s="6">
        <f t="shared" si="397"/>
        <v>714.95</v>
      </c>
      <c r="V3210" s="6">
        <f t="shared" si="395"/>
        <v>714.95</v>
      </c>
    </row>
    <row r="3211" spans="1:22" hidden="1" x14ac:dyDescent="0.35">
      <c r="A3211" s="6" t="s">
        <v>3518</v>
      </c>
      <c r="B3211" s="6" t="s">
        <v>3497</v>
      </c>
      <c r="C3211" s="6" t="s">
        <v>3498</v>
      </c>
      <c r="D3211" s="6">
        <f t="shared" si="391"/>
        <v>0.5</v>
      </c>
      <c r="E3211" s="6" t="s">
        <v>19</v>
      </c>
      <c r="F3211" s="6" t="str">
        <f>MID(A3211,19,1)</f>
        <v>S</v>
      </c>
      <c r="G3211" s="6">
        <v>-22.70231175501171</v>
      </c>
      <c r="H3211" s="6">
        <v>-47.456255718333153</v>
      </c>
      <c r="I3211" s="9">
        <v>0.1</v>
      </c>
      <c r="K3211" s="6">
        <v>5.79</v>
      </c>
      <c r="N3211" s="1">
        <f t="shared" si="396"/>
        <v>0</v>
      </c>
      <c r="Q3211" s="6" t="s">
        <v>21</v>
      </c>
      <c r="R3211" s="6" t="s">
        <v>21</v>
      </c>
      <c r="S3211" s="6" t="s">
        <v>21</v>
      </c>
      <c r="T3211" s="6" t="s">
        <v>21</v>
      </c>
      <c r="U3211" s="6">
        <f t="shared" si="397"/>
        <v>0</v>
      </c>
      <c r="V3211" s="6">
        <f t="shared" si="395"/>
        <v>0</v>
      </c>
    </row>
    <row r="3212" spans="1:22" x14ac:dyDescent="0.35">
      <c r="A3212" s="6" t="s">
        <v>3519</v>
      </c>
      <c r="B3212" s="6" t="s">
        <v>3497</v>
      </c>
      <c r="C3212" s="6" t="s">
        <v>3498</v>
      </c>
      <c r="D3212" s="6">
        <f t="shared" si="391"/>
        <v>0.5</v>
      </c>
      <c r="E3212" s="6" t="s">
        <v>19</v>
      </c>
      <c r="F3212" s="6" t="str">
        <f>MID(A3212,19,1)</f>
        <v>N</v>
      </c>
      <c r="G3212" s="6">
        <v>-22.599810960526401</v>
      </c>
      <c r="H3212" s="6">
        <v>-47.36437796264056</v>
      </c>
      <c r="I3212" s="9">
        <v>1135.23</v>
      </c>
      <c r="K3212" s="6">
        <v>4.09</v>
      </c>
      <c r="L3212" s="6">
        <v>50</v>
      </c>
      <c r="N3212" s="1">
        <f t="shared" si="396"/>
        <v>0</v>
      </c>
      <c r="O3212" s="6" t="s">
        <v>20</v>
      </c>
      <c r="Q3212" s="6" t="s">
        <v>21</v>
      </c>
      <c r="R3212" s="6" t="s">
        <v>21</v>
      </c>
      <c r="S3212" s="6" t="s">
        <v>21</v>
      </c>
      <c r="T3212" s="6" t="s">
        <v>21</v>
      </c>
      <c r="U3212" s="6">
        <f t="shared" si="397"/>
        <v>567.61500000000001</v>
      </c>
      <c r="V3212" s="6">
        <f t="shared" si="395"/>
        <v>567.61500000000001</v>
      </c>
    </row>
    <row r="3213" spans="1:22" hidden="1" x14ac:dyDescent="0.35">
      <c r="A3213" s="6" t="s">
        <v>3520</v>
      </c>
      <c r="B3213" s="6" t="s">
        <v>3497</v>
      </c>
      <c r="C3213" s="6" t="s">
        <v>3498</v>
      </c>
      <c r="D3213" s="6">
        <f t="shared" si="391"/>
        <v>0.5</v>
      </c>
      <c r="E3213" s="6" t="s">
        <v>19</v>
      </c>
      <c r="F3213" s="6" t="str">
        <f>MID(A3213,19,1)</f>
        <v>S</v>
      </c>
      <c r="G3213" s="6">
        <v>-22.591870528195081</v>
      </c>
      <c r="H3213" s="6">
        <v>-47.366921678715059</v>
      </c>
      <c r="I3213" s="9">
        <v>991.74</v>
      </c>
      <c r="K3213" s="6">
        <v>4.96</v>
      </c>
      <c r="L3213" s="6">
        <v>50</v>
      </c>
      <c r="N3213" s="1">
        <f t="shared" si="396"/>
        <v>0</v>
      </c>
      <c r="O3213" s="6" t="s">
        <v>20</v>
      </c>
      <c r="Q3213" s="6" t="s">
        <v>21</v>
      </c>
      <c r="R3213" s="6" t="s">
        <v>21</v>
      </c>
      <c r="S3213" s="6" t="s">
        <v>21</v>
      </c>
      <c r="T3213" s="6" t="s">
        <v>21</v>
      </c>
      <c r="U3213" s="6">
        <f t="shared" si="397"/>
        <v>495.87</v>
      </c>
      <c r="V3213" s="6">
        <f t="shared" si="395"/>
        <v>495.87</v>
      </c>
    </row>
    <row r="3214" spans="1:22" hidden="1" x14ac:dyDescent="0.35">
      <c r="A3214" s="6" t="s">
        <v>3521</v>
      </c>
      <c r="B3214" s="6" t="s">
        <v>3497</v>
      </c>
      <c r="C3214" s="6" t="s">
        <v>3498</v>
      </c>
      <c r="D3214" s="6">
        <f t="shared" ref="D3214:D3277" si="398">C3214-B3214</f>
        <v>0.5</v>
      </c>
      <c r="E3214" s="6" t="s">
        <v>23</v>
      </c>
      <c r="F3214" s="6" t="str">
        <f>MID(A3214,19,1)</f>
        <v>C</v>
      </c>
      <c r="G3214" s="6">
        <v>-22.69965072920132</v>
      </c>
      <c r="H3214" s="6">
        <v>-47.454427638998219</v>
      </c>
      <c r="I3214" s="9">
        <v>6872.21</v>
      </c>
      <c r="J3214" s="9">
        <f>I3214/500</f>
        <v>13.74442</v>
      </c>
      <c r="K3214" s="6">
        <v>4.05</v>
      </c>
      <c r="L3214" s="6">
        <v>80</v>
      </c>
      <c r="N3214" s="1">
        <f t="shared" si="396"/>
        <v>0</v>
      </c>
      <c r="O3214" s="6" t="s">
        <v>20</v>
      </c>
      <c r="Q3214" s="6" t="s">
        <v>21</v>
      </c>
      <c r="R3214" s="6" t="s">
        <v>21</v>
      </c>
      <c r="S3214" s="6" t="s">
        <v>21</v>
      </c>
      <c r="T3214" s="6" t="s">
        <v>21</v>
      </c>
      <c r="U3214" s="6">
        <f t="shared" si="397"/>
        <v>5497.768</v>
      </c>
      <c r="V3214" s="6">
        <f t="shared" si="395"/>
        <v>5497.768</v>
      </c>
    </row>
    <row r="3215" spans="1:22" x14ac:dyDescent="0.35">
      <c r="A3215" s="6" t="s">
        <v>3522</v>
      </c>
      <c r="B3215" s="6" t="s">
        <v>3497</v>
      </c>
      <c r="C3215" s="6" t="s">
        <v>3498</v>
      </c>
      <c r="D3215" s="6">
        <f t="shared" si="398"/>
        <v>0.5</v>
      </c>
      <c r="E3215" s="6" t="s">
        <v>19</v>
      </c>
      <c r="F3215" s="6" t="str">
        <f>MID(A3215,19,1)</f>
        <v>N</v>
      </c>
      <c r="G3215" s="6">
        <v>-22.591955707031531</v>
      </c>
      <c r="H3215" s="6">
        <v>-47.367353296478733</v>
      </c>
      <c r="I3215" s="9">
        <v>542.4</v>
      </c>
      <c r="K3215" s="6">
        <v>5.17</v>
      </c>
      <c r="L3215" s="6">
        <v>50</v>
      </c>
      <c r="N3215" s="1">
        <f t="shared" si="396"/>
        <v>0</v>
      </c>
      <c r="O3215" s="6" t="s">
        <v>20</v>
      </c>
      <c r="Q3215" s="6" t="s">
        <v>21</v>
      </c>
      <c r="R3215" s="6" t="s">
        <v>21</v>
      </c>
      <c r="S3215" s="6" t="s">
        <v>21</v>
      </c>
      <c r="T3215" s="6" t="s">
        <v>21</v>
      </c>
      <c r="U3215" s="6">
        <f t="shared" si="397"/>
        <v>271.2</v>
      </c>
      <c r="V3215" s="6">
        <f t="shared" si="395"/>
        <v>271.2</v>
      </c>
    </row>
    <row r="3216" spans="1:22" hidden="1" x14ac:dyDescent="0.35">
      <c r="A3216" s="6" t="s">
        <v>3523</v>
      </c>
      <c r="B3216" s="6" t="s">
        <v>3497</v>
      </c>
      <c r="C3216" s="6" t="s">
        <v>3498</v>
      </c>
      <c r="D3216" s="6">
        <f t="shared" si="398"/>
        <v>0.5</v>
      </c>
      <c r="E3216" s="6" t="s">
        <v>19</v>
      </c>
      <c r="F3216" s="6" t="str">
        <f>MID(A3216,19,1)</f>
        <v>S</v>
      </c>
      <c r="G3216" s="6">
        <v>-22.594221555394419</v>
      </c>
      <c r="H3216" s="6">
        <v>-47.365976371500622</v>
      </c>
      <c r="I3216" s="9">
        <v>422.47</v>
      </c>
      <c r="K3216" s="6">
        <v>9.65</v>
      </c>
      <c r="L3216" s="6">
        <v>50</v>
      </c>
      <c r="N3216" s="1">
        <f t="shared" si="396"/>
        <v>0</v>
      </c>
      <c r="O3216" s="6" t="s">
        <v>20</v>
      </c>
      <c r="Q3216" s="6" t="s">
        <v>21</v>
      </c>
      <c r="R3216" s="6" t="s">
        <v>21</v>
      </c>
      <c r="S3216" s="6" t="s">
        <v>21</v>
      </c>
      <c r="T3216" s="6" t="s">
        <v>21</v>
      </c>
      <c r="U3216" s="6">
        <f t="shared" si="397"/>
        <v>211.23500000000001</v>
      </c>
      <c r="V3216" s="6">
        <f t="shared" si="395"/>
        <v>211.23500000000001</v>
      </c>
    </row>
    <row r="3217" spans="1:22" x14ac:dyDescent="0.35">
      <c r="A3217" s="6" t="s">
        <v>3524</v>
      </c>
      <c r="B3217" s="6" t="s">
        <v>3525</v>
      </c>
      <c r="C3217" s="6" t="s">
        <v>3526</v>
      </c>
      <c r="D3217" s="6">
        <f t="shared" si="398"/>
        <v>0.5</v>
      </c>
      <c r="E3217" s="6" t="s">
        <v>19</v>
      </c>
      <c r="F3217" s="6" t="str">
        <f>MID(A3217,19,1)</f>
        <v>N</v>
      </c>
      <c r="G3217" s="6">
        <v>-22.585789827516731</v>
      </c>
      <c r="H3217" s="6">
        <v>-47.367580089048047</v>
      </c>
      <c r="I3217" s="9">
        <v>1289.81</v>
      </c>
      <c r="K3217" s="6">
        <v>2.75</v>
      </c>
      <c r="L3217" s="6">
        <v>50</v>
      </c>
      <c r="N3217" s="1">
        <f t="shared" si="396"/>
        <v>0</v>
      </c>
      <c r="O3217" s="6" t="s">
        <v>20</v>
      </c>
      <c r="Q3217" s="6" t="s">
        <v>21</v>
      </c>
      <c r="R3217" s="6" t="s">
        <v>21</v>
      </c>
      <c r="S3217" s="6" t="s">
        <v>21</v>
      </c>
      <c r="T3217" s="6" t="s">
        <v>21</v>
      </c>
      <c r="U3217" s="6">
        <f t="shared" si="397"/>
        <v>644.90499999999997</v>
      </c>
      <c r="V3217" s="6">
        <f t="shared" si="395"/>
        <v>644.90499999999997</v>
      </c>
    </row>
    <row r="3218" spans="1:22" x14ac:dyDescent="0.35">
      <c r="A3218" s="6" t="s">
        <v>3527</v>
      </c>
      <c r="B3218" s="6" t="s">
        <v>3525</v>
      </c>
      <c r="C3218" s="6" t="s">
        <v>3526</v>
      </c>
      <c r="D3218" s="6">
        <f t="shared" si="398"/>
        <v>0.5</v>
      </c>
      <c r="E3218" s="6" t="s">
        <v>19</v>
      </c>
      <c r="F3218" s="6" t="str">
        <f>MID(A3218,19,1)</f>
        <v>N</v>
      </c>
      <c r="G3218" s="6">
        <v>-22.58970658734788</v>
      </c>
      <c r="H3218" s="6">
        <v>-47.367879509289153</v>
      </c>
      <c r="I3218" s="9">
        <v>5030.3900000000003</v>
      </c>
      <c r="K3218" s="6">
        <v>4.1900000000000004</v>
      </c>
      <c r="L3218" s="6">
        <v>50</v>
      </c>
      <c r="N3218" s="1">
        <f t="shared" si="396"/>
        <v>0</v>
      </c>
      <c r="O3218" s="6" t="s">
        <v>20</v>
      </c>
      <c r="Q3218" s="6" t="s">
        <v>21</v>
      </c>
      <c r="R3218" s="6" t="s">
        <v>21</v>
      </c>
      <c r="S3218" s="6" t="s">
        <v>21</v>
      </c>
      <c r="T3218" s="6" t="s">
        <v>21</v>
      </c>
      <c r="U3218" s="6">
        <f t="shared" si="397"/>
        <v>2515.1950000000002</v>
      </c>
      <c r="V3218" s="6">
        <f t="shared" si="395"/>
        <v>2515.1950000000002</v>
      </c>
    </row>
    <row r="3219" spans="1:22" hidden="1" x14ac:dyDescent="0.35">
      <c r="A3219" s="6" t="s">
        <v>3528</v>
      </c>
      <c r="B3219" s="6" t="s">
        <v>3525</v>
      </c>
      <c r="C3219" s="6" t="s">
        <v>3526</v>
      </c>
      <c r="D3219" s="6">
        <f t="shared" si="398"/>
        <v>0.5</v>
      </c>
      <c r="E3219" s="6" t="s">
        <v>23</v>
      </c>
      <c r="F3219" s="6" t="str">
        <f>MID(A3219,19,1)</f>
        <v>C</v>
      </c>
      <c r="G3219" s="6">
        <v>-22.691811679782958</v>
      </c>
      <c r="H3219" s="6">
        <v>-47.450419219645021</v>
      </c>
      <c r="I3219" s="9">
        <v>5572.48</v>
      </c>
      <c r="J3219" s="9">
        <f>I3219/500</f>
        <v>11.144959999999999</v>
      </c>
      <c r="K3219" s="6">
        <v>4.1900000000000004</v>
      </c>
      <c r="L3219" s="6">
        <v>80</v>
      </c>
      <c r="N3219" s="1">
        <f t="shared" si="396"/>
        <v>0</v>
      </c>
      <c r="O3219" s="6" t="s">
        <v>20</v>
      </c>
      <c r="Q3219" s="6" t="s">
        <v>21</v>
      </c>
      <c r="R3219" s="6" t="s">
        <v>21</v>
      </c>
      <c r="S3219" s="6" t="s">
        <v>21</v>
      </c>
      <c r="T3219" s="6" t="s">
        <v>21</v>
      </c>
      <c r="U3219" s="6">
        <f t="shared" si="397"/>
        <v>4457.9839999999995</v>
      </c>
      <c r="V3219" s="6">
        <f t="shared" si="395"/>
        <v>4457.9839999999995</v>
      </c>
    </row>
    <row r="3220" spans="1:22" hidden="1" x14ac:dyDescent="0.35">
      <c r="A3220" s="6" t="s">
        <v>3529</v>
      </c>
      <c r="B3220" s="6" t="s">
        <v>3525</v>
      </c>
      <c r="C3220" s="6" t="s">
        <v>3526</v>
      </c>
      <c r="D3220" s="6">
        <f t="shared" si="398"/>
        <v>0.5</v>
      </c>
      <c r="E3220" s="6" t="s">
        <v>19</v>
      </c>
      <c r="F3220" s="6" t="str">
        <f>MID(A3220,19,1)</f>
        <v>S</v>
      </c>
      <c r="G3220" s="6">
        <v>-22.590959335785769</v>
      </c>
      <c r="H3220" s="6">
        <v>-47.367052537176718</v>
      </c>
      <c r="I3220" s="9">
        <v>4038.74</v>
      </c>
      <c r="K3220" s="6">
        <v>3.37</v>
      </c>
      <c r="L3220" s="6">
        <v>50</v>
      </c>
      <c r="N3220" s="1">
        <f t="shared" si="396"/>
        <v>0</v>
      </c>
      <c r="O3220" s="6" t="s">
        <v>20</v>
      </c>
      <c r="Q3220" s="6" t="s">
        <v>21</v>
      </c>
      <c r="R3220" s="6" t="s">
        <v>21</v>
      </c>
      <c r="S3220" s="6" t="s">
        <v>21</v>
      </c>
      <c r="T3220" s="6" t="s">
        <v>21</v>
      </c>
      <c r="U3220" s="6">
        <f t="shared" si="397"/>
        <v>2019.37</v>
      </c>
      <c r="V3220" s="6">
        <f t="shared" si="395"/>
        <v>2019.37</v>
      </c>
    </row>
    <row r="3221" spans="1:22" x14ac:dyDescent="0.35">
      <c r="A3221" s="6" t="s">
        <v>3530</v>
      </c>
      <c r="B3221" s="6" t="s">
        <v>3525</v>
      </c>
      <c r="C3221" s="6" t="s">
        <v>3526</v>
      </c>
      <c r="D3221" s="6">
        <f t="shared" si="398"/>
        <v>0.5</v>
      </c>
      <c r="E3221" s="6" t="s">
        <v>19</v>
      </c>
      <c r="F3221" s="6" t="str">
        <f>MID(A3221,19,1)</f>
        <v>N</v>
      </c>
      <c r="G3221" s="6">
        <v>-22.590304276799891</v>
      </c>
      <c r="H3221" s="6">
        <v>-47.368682800809211</v>
      </c>
      <c r="I3221" s="9">
        <v>500.38</v>
      </c>
      <c r="K3221" s="6">
        <v>3.74</v>
      </c>
      <c r="L3221" s="6">
        <v>50</v>
      </c>
      <c r="N3221" s="1">
        <f t="shared" si="396"/>
        <v>0</v>
      </c>
      <c r="O3221" s="6" t="s">
        <v>20</v>
      </c>
      <c r="Q3221" s="6" t="s">
        <v>21</v>
      </c>
      <c r="R3221" s="6" t="s">
        <v>21</v>
      </c>
      <c r="S3221" s="6" t="s">
        <v>21</v>
      </c>
      <c r="T3221" s="6" t="s">
        <v>21</v>
      </c>
      <c r="U3221" s="6">
        <f t="shared" si="397"/>
        <v>250.19</v>
      </c>
      <c r="V3221" s="6">
        <f t="shared" si="395"/>
        <v>250.19</v>
      </c>
    </row>
    <row r="3222" spans="1:22" x14ac:dyDescent="0.35">
      <c r="A3222" s="6" t="s">
        <v>3531</v>
      </c>
      <c r="B3222" s="6" t="s">
        <v>3525</v>
      </c>
      <c r="C3222" s="6" t="s">
        <v>3526</v>
      </c>
      <c r="D3222" s="6">
        <f t="shared" si="398"/>
        <v>0.5</v>
      </c>
      <c r="E3222" s="6" t="s">
        <v>19</v>
      </c>
      <c r="F3222" s="6" t="str">
        <f>MID(A3222,19,1)</f>
        <v>N</v>
      </c>
      <c r="G3222" s="6">
        <v>-22.590465599308409</v>
      </c>
      <c r="H3222" s="6">
        <v>-47.368251369828258</v>
      </c>
      <c r="I3222" s="9">
        <v>1070.21</v>
      </c>
      <c r="K3222" s="6">
        <v>1.86</v>
      </c>
      <c r="L3222" s="6">
        <v>50</v>
      </c>
      <c r="N3222" s="1">
        <f t="shared" si="396"/>
        <v>0</v>
      </c>
      <c r="O3222" s="6" t="s">
        <v>20</v>
      </c>
      <c r="Q3222" s="6" t="s">
        <v>21</v>
      </c>
      <c r="R3222" s="6" t="s">
        <v>21</v>
      </c>
      <c r="S3222" s="6" t="s">
        <v>21</v>
      </c>
      <c r="T3222" s="6" t="s">
        <v>21</v>
      </c>
      <c r="U3222" s="6">
        <f t="shared" si="397"/>
        <v>535.10500000000002</v>
      </c>
      <c r="V3222" s="6">
        <f t="shared" si="395"/>
        <v>535.10500000000002</v>
      </c>
    </row>
    <row r="3223" spans="1:22" x14ac:dyDescent="0.35">
      <c r="A3223" s="6" t="s">
        <v>3532</v>
      </c>
      <c r="B3223" s="6" t="s">
        <v>3525</v>
      </c>
      <c r="C3223" s="6" t="s">
        <v>3526</v>
      </c>
      <c r="D3223" s="6">
        <f t="shared" si="398"/>
        <v>0.5</v>
      </c>
      <c r="E3223" s="6" t="s">
        <v>19</v>
      </c>
      <c r="F3223" s="6" t="str">
        <f>MID(A3223,19,1)</f>
        <v>N</v>
      </c>
      <c r="G3223" s="6">
        <v>-22.5889028863607</v>
      </c>
      <c r="H3223" s="6">
        <v>-47.368027245149158</v>
      </c>
      <c r="I3223" s="9">
        <v>1527.69</v>
      </c>
      <c r="K3223" s="6">
        <v>4.2699999999999996</v>
      </c>
      <c r="L3223" s="6">
        <v>50</v>
      </c>
      <c r="N3223" s="1">
        <f t="shared" si="396"/>
        <v>0</v>
      </c>
      <c r="O3223" s="6" t="s">
        <v>20</v>
      </c>
      <c r="Q3223" s="6" t="s">
        <v>21</v>
      </c>
      <c r="R3223" s="6" t="s">
        <v>21</v>
      </c>
      <c r="S3223" s="6" t="s">
        <v>21</v>
      </c>
      <c r="T3223" s="6" t="s">
        <v>21</v>
      </c>
      <c r="U3223" s="6">
        <f t="shared" si="397"/>
        <v>763.84500000000003</v>
      </c>
      <c r="V3223" s="6">
        <f t="shared" si="395"/>
        <v>763.84500000000003</v>
      </c>
    </row>
    <row r="3224" spans="1:22" hidden="1" x14ac:dyDescent="0.35">
      <c r="A3224" s="6" t="s">
        <v>3533</v>
      </c>
      <c r="B3224" s="6" t="s">
        <v>3525</v>
      </c>
      <c r="C3224" s="6" t="s">
        <v>3526</v>
      </c>
      <c r="D3224" s="6">
        <f t="shared" si="398"/>
        <v>0.5</v>
      </c>
      <c r="E3224" s="6" t="s">
        <v>19</v>
      </c>
      <c r="F3224" s="6" t="str">
        <f>MID(A3224,19,1)</f>
        <v>S</v>
      </c>
      <c r="G3224" s="6">
        <v>-22.586197557054529</v>
      </c>
      <c r="H3224" s="6">
        <v>-47.367210235384512</v>
      </c>
      <c r="I3224" s="9">
        <v>977.44</v>
      </c>
      <c r="K3224" s="6">
        <v>2.4700000000000002</v>
      </c>
      <c r="L3224" s="6">
        <v>50</v>
      </c>
      <c r="N3224" s="1">
        <f t="shared" si="396"/>
        <v>0</v>
      </c>
      <c r="O3224" s="6" t="s">
        <v>20</v>
      </c>
      <c r="Q3224" s="6" t="s">
        <v>21</v>
      </c>
      <c r="R3224" s="6" t="s">
        <v>21</v>
      </c>
      <c r="S3224" s="6" t="s">
        <v>21</v>
      </c>
      <c r="T3224" s="6" t="s">
        <v>21</v>
      </c>
      <c r="U3224" s="6">
        <f t="shared" si="397"/>
        <v>488.72</v>
      </c>
      <c r="V3224" s="6">
        <f t="shared" si="395"/>
        <v>488.72</v>
      </c>
    </row>
    <row r="3225" spans="1:22" x14ac:dyDescent="0.35">
      <c r="A3225" s="6" t="s">
        <v>3534</v>
      </c>
      <c r="B3225" s="6" t="s">
        <v>3525</v>
      </c>
      <c r="C3225" s="6" t="s">
        <v>3526</v>
      </c>
      <c r="D3225" s="6">
        <f t="shared" si="398"/>
        <v>0.5</v>
      </c>
      <c r="E3225" s="6" t="s">
        <v>19</v>
      </c>
      <c r="F3225" s="6" t="str">
        <f>MID(A3225,19,1)</f>
        <v>N</v>
      </c>
      <c r="G3225" s="6">
        <v>-22.695356654439049</v>
      </c>
      <c r="H3225" s="6">
        <v>-47.452524801875533</v>
      </c>
      <c r="I3225" s="9">
        <v>1768.8</v>
      </c>
      <c r="K3225" s="6">
        <v>3.1</v>
      </c>
      <c r="L3225" s="6">
        <v>70</v>
      </c>
      <c r="N3225" s="1">
        <f t="shared" si="396"/>
        <v>0</v>
      </c>
      <c r="O3225" s="6" t="s">
        <v>20</v>
      </c>
      <c r="Q3225" s="6" t="s">
        <v>21</v>
      </c>
      <c r="R3225" s="6" t="s">
        <v>21</v>
      </c>
      <c r="S3225" s="6" t="s">
        <v>21</v>
      </c>
      <c r="T3225" s="6" t="s">
        <v>21</v>
      </c>
      <c r="U3225" s="6">
        <f t="shared" si="397"/>
        <v>1238.1599999999999</v>
      </c>
      <c r="V3225" s="6">
        <f t="shared" si="395"/>
        <v>1238.1599999999999</v>
      </c>
    </row>
    <row r="3226" spans="1:22" hidden="1" x14ac:dyDescent="0.35">
      <c r="A3226" s="6" t="s">
        <v>3535</v>
      </c>
      <c r="B3226" s="6" t="s">
        <v>3525</v>
      </c>
      <c r="C3226" s="6" t="s">
        <v>3526</v>
      </c>
      <c r="D3226" s="6">
        <f t="shared" si="398"/>
        <v>0.5</v>
      </c>
      <c r="E3226" s="6" t="s">
        <v>19</v>
      </c>
      <c r="F3226" s="6" t="str">
        <f>MID(A3226,19,1)</f>
        <v>S</v>
      </c>
      <c r="G3226" s="6">
        <v>-22.695225869929821</v>
      </c>
      <c r="H3226" s="6">
        <v>-47.452866968376988</v>
      </c>
      <c r="I3226" s="9">
        <v>1776.86</v>
      </c>
      <c r="K3226" s="6">
        <v>3.3</v>
      </c>
      <c r="L3226" s="6">
        <v>70</v>
      </c>
      <c r="N3226" s="1">
        <f t="shared" si="396"/>
        <v>0</v>
      </c>
      <c r="O3226" s="6" t="s">
        <v>20</v>
      </c>
      <c r="Q3226" s="6" t="s">
        <v>21</v>
      </c>
      <c r="R3226" s="6" t="s">
        <v>21</v>
      </c>
      <c r="S3226" s="6" t="s">
        <v>21</v>
      </c>
      <c r="T3226" s="6" t="s">
        <v>21</v>
      </c>
      <c r="U3226" s="6">
        <f t="shared" si="397"/>
        <v>1243.8019999999999</v>
      </c>
      <c r="V3226" s="6">
        <f t="shared" si="395"/>
        <v>1243.8019999999999</v>
      </c>
    </row>
    <row r="3227" spans="1:22" hidden="1" x14ac:dyDescent="0.35">
      <c r="A3227" s="6" t="s">
        <v>3536</v>
      </c>
      <c r="B3227" s="6" t="s">
        <v>3525</v>
      </c>
      <c r="C3227" s="6" t="s">
        <v>3526</v>
      </c>
      <c r="D3227" s="6">
        <f t="shared" si="398"/>
        <v>0.5</v>
      </c>
      <c r="E3227" s="6" t="s">
        <v>23</v>
      </c>
      <c r="F3227" s="6" t="str">
        <f>MID(A3227,19,1)</f>
        <v>C</v>
      </c>
      <c r="G3227" s="6">
        <v>-22.695279820997591</v>
      </c>
      <c r="H3227" s="6">
        <v>-47.452689218610622</v>
      </c>
      <c r="I3227" s="9">
        <v>5056.57</v>
      </c>
      <c r="J3227" s="9">
        <f>I3227/500</f>
        <v>10.11314</v>
      </c>
      <c r="K3227" s="6">
        <v>3.28</v>
      </c>
      <c r="L3227" s="6">
        <v>80</v>
      </c>
      <c r="N3227" s="1">
        <f t="shared" si="396"/>
        <v>0</v>
      </c>
      <c r="O3227" s="6" t="s">
        <v>20</v>
      </c>
      <c r="Q3227" s="6" t="s">
        <v>21</v>
      </c>
      <c r="R3227" s="6" t="s">
        <v>21</v>
      </c>
      <c r="S3227" s="6" t="s">
        <v>21</v>
      </c>
      <c r="T3227" s="6" t="s">
        <v>21</v>
      </c>
      <c r="U3227" s="6">
        <f t="shared" si="397"/>
        <v>4045.2559999999999</v>
      </c>
      <c r="V3227" s="6">
        <f t="shared" si="395"/>
        <v>4045.2559999999999</v>
      </c>
    </row>
    <row r="3228" spans="1:22" x14ac:dyDescent="0.35">
      <c r="A3228" s="6" t="s">
        <v>3537</v>
      </c>
      <c r="B3228" s="6" t="s">
        <v>3525</v>
      </c>
      <c r="C3228" s="6" t="s">
        <v>3526</v>
      </c>
      <c r="D3228" s="6">
        <f t="shared" si="398"/>
        <v>0.5</v>
      </c>
      <c r="E3228" s="6" t="s">
        <v>19</v>
      </c>
      <c r="F3228" s="6" t="str">
        <f>MID(A3228,19,1)</f>
        <v>N</v>
      </c>
      <c r="G3228" s="6">
        <v>-22.590991659515819</v>
      </c>
      <c r="H3228" s="6">
        <v>-47.368210583009279</v>
      </c>
      <c r="I3228" s="9">
        <v>856.93</v>
      </c>
      <c r="K3228" s="6">
        <v>2.5499999999999998</v>
      </c>
      <c r="L3228" s="6">
        <v>50</v>
      </c>
      <c r="N3228" s="1">
        <f t="shared" si="396"/>
        <v>0</v>
      </c>
      <c r="O3228" s="6" t="s">
        <v>20</v>
      </c>
      <c r="Q3228" s="6" t="s">
        <v>21</v>
      </c>
      <c r="R3228" s="6" t="s">
        <v>21</v>
      </c>
      <c r="S3228" s="6" t="s">
        <v>21</v>
      </c>
      <c r="T3228" s="6" t="s">
        <v>21</v>
      </c>
      <c r="U3228" s="6">
        <f t="shared" si="397"/>
        <v>428.46499999999997</v>
      </c>
      <c r="V3228" s="6">
        <f t="shared" si="395"/>
        <v>428.46499999999997</v>
      </c>
    </row>
    <row r="3229" spans="1:22" x14ac:dyDescent="0.35">
      <c r="A3229" s="6" t="s">
        <v>3538</v>
      </c>
      <c r="B3229" s="6" t="s">
        <v>3525</v>
      </c>
      <c r="C3229" s="6" t="s">
        <v>3526</v>
      </c>
      <c r="D3229" s="6">
        <f t="shared" si="398"/>
        <v>0.5</v>
      </c>
      <c r="E3229" s="6" t="s">
        <v>19</v>
      </c>
      <c r="F3229" s="6" t="str">
        <f>MID(A3229,19,1)</f>
        <v>N</v>
      </c>
      <c r="G3229" s="6">
        <v>-22.69193059589195</v>
      </c>
      <c r="H3229" s="6">
        <v>-47.450289084961611</v>
      </c>
      <c r="I3229" s="9">
        <v>1649.96</v>
      </c>
      <c r="K3229" s="6">
        <v>3.83</v>
      </c>
      <c r="L3229" s="6">
        <v>70</v>
      </c>
      <c r="N3229" s="1">
        <f t="shared" si="396"/>
        <v>0</v>
      </c>
      <c r="O3229" s="6" t="s">
        <v>20</v>
      </c>
      <c r="Q3229" s="6" t="s">
        <v>21</v>
      </c>
      <c r="R3229" s="6" t="s">
        <v>21</v>
      </c>
      <c r="S3229" s="6" t="s">
        <v>21</v>
      </c>
      <c r="T3229" s="6" t="s">
        <v>21</v>
      </c>
      <c r="U3229" s="6">
        <f t="shared" si="397"/>
        <v>1154.972</v>
      </c>
      <c r="V3229" s="6">
        <f t="shared" si="395"/>
        <v>1154.972</v>
      </c>
    </row>
    <row r="3230" spans="1:22" hidden="1" x14ac:dyDescent="0.35">
      <c r="A3230" s="6" t="s">
        <v>3539</v>
      </c>
      <c r="B3230" s="6" t="s">
        <v>3525</v>
      </c>
      <c r="C3230" s="6" t="s">
        <v>3526</v>
      </c>
      <c r="D3230" s="6">
        <f t="shared" si="398"/>
        <v>0.5</v>
      </c>
      <c r="E3230" s="6" t="s">
        <v>19</v>
      </c>
      <c r="F3230" s="6" t="str">
        <f>MID(A3230,19,1)</f>
        <v>S</v>
      </c>
      <c r="G3230" s="6">
        <v>-22.691707376582858</v>
      </c>
      <c r="H3230" s="6">
        <v>-47.450556541394249</v>
      </c>
      <c r="I3230" s="9">
        <v>1732.38</v>
      </c>
      <c r="K3230" s="6">
        <v>4.37</v>
      </c>
      <c r="L3230" s="6">
        <v>70</v>
      </c>
      <c r="N3230" s="1">
        <f t="shared" si="396"/>
        <v>0</v>
      </c>
      <c r="O3230" s="6" t="s">
        <v>20</v>
      </c>
      <c r="Q3230" s="6" t="s">
        <v>21</v>
      </c>
      <c r="R3230" s="6" t="s">
        <v>21</v>
      </c>
      <c r="S3230" s="6" t="s">
        <v>21</v>
      </c>
      <c r="T3230" s="6" t="s">
        <v>21</v>
      </c>
      <c r="U3230" s="6">
        <f t="shared" si="397"/>
        <v>1212.6659999999999</v>
      </c>
      <c r="V3230" s="6">
        <f t="shared" si="395"/>
        <v>1212.6659999999999</v>
      </c>
    </row>
    <row r="3231" spans="1:22" x14ac:dyDescent="0.35">
      <c r="A3231" s="6" t="s">
        <v>3540</v>
      </c>
      <c r="B3231" s="6" t="s">
        <v>3525</v>
      </c>
      <c r="C3231" s="6" t="s">
        <v>3526</v>
      </c>
      <c r="D3231" s="6">
        <f t="shared" si="398"/>
        <v>0.5</v>
      </c>
      <c r="E3231" s="6" t="s">
        <v>19</v>
      </c>
      <c r="F3231" s="6" t="str">
        <f>MID(A3231,19,1)</f>
        <v>N</v>
      </c>
      <c r="G3231" s="6">
        <v>-22.58359136780971</v>
      </c>
      <c r="H3231" s="6">
        <v>-47.367394469488119</v>
      </c>
      <c r="I3231" s="9">
        <v>446.12</v>
      </c>
      <c r="K3231" s="6">
        <v>4.09</v>
      </c>
      <c r="L3231" s="6">
        <v>50</v>
      </c>
      <c r="N3231" s="1">
        <f t="shared" si="396"/>
        <v>0</v>
      </c>
      <c r="O3231" s="6" t="s">
        <v>20</v>
      </c>
      <c r="Q3231" s="6" t="s">
        <v>21</v>
      </c>
      <c r="R3231" s="6" t="s">
        <v>21</v>
      </c>
      <c r="S3231" s="6" t="s">
        <v>21</v>
      </c>
      <c r="T3231" s="6" t="s">
        <v>21</v>
      </c>
      <c r="U3231" s="6">
        <f t="shared" si="397"/>
        <v>223.06</v>
      </c>
      <c r="V3231" s="6">
        <f t="shared" si="395"/>
        <v>223.06</v>
      </c>
    </row>
    <row r="3232" spans="1:22" hidden="1" x14ac:dyDescent="0.35">
      <c r="A3232" s="6" t="s">
        <v>3541</v>
      </c>
      <c r="B3232" s="6" t="s">
        <v>3525</v>
      </c>
      <c r="C3232" s="6" t="s">
        <v>3526</v>
      </c>
      <c r="D3232" s="6">
        <f t="shared" si="398"/>
        <v>0.5</v>
      </c>
      <c r="E3232" s="6" t="s">
        <v>19</v>
      </c>
      <c r="F3232" s="6" t="str">
        <f>MID(A3232,19,1)</f>
        <v>S</v>
      </c>
      <c r="G3232" s="6">
        <v>-22.585087942377339</v>
      </c>
      <c r="H3232" s="6">
        <v>-47.367121566930457</v>
      </c>
      <c r="I3232" s="9">
        <v>23.56</v>
      </c>
      <c r="K3232" s="6">
        <v>6.22</v>
      </c>
      <c r="L3232" s="6">
        <v>0</v>
      </c>
      <c r="N3232" s="1">
        <f t="shared" si="396"/>
        <v>0</v>
      </c>
      <c r="Q3232" s="6" t="s">
        <v>21</v>
      </c>
      <c r="R3232" s="6" t="s">
        <v>21</v>
      </c>
      <c r="S3232" s="6" t="s">
        <v>21</v>
      </c>
      <c r="T3232" s="6" t="s">
        <v>21</v>
      </c>
      <c r="U3232" s="6">
        <f t="shared" si="397"/>
        <v>0</v>
      </c>
      <c r="V3232" s="6">
        <f t="shared" si="395"/>
        <v>0</v>
      </c>
    </row>
    <row r="3233" spans="1:22" hidden="1" x14ac:dyDescent="0.35">
      <c r="A3233" s="6" t="s">
        <v>3542</v>
      </c>
      <c r="B3233" s="6" t="s">
        <v>3525</v>
      </c>
      <c r="C3233" s="6" t="s">
        <v>3526</v>
      </c>
      <c r="D3233" s="6">
        <f t="shared" si="398"/>
        <v>0.5</v>
      </c>
      <c r="E3233" s="6" t="s">
        <v>19</v>
      </c>
      <c r="F3233" s="6" t="str">
        <f>MID(A3233,19,1)</f>
        <v>S</v>
      </c>
      <c r="G3233" s="6">
        <v>-22.588704840033412</v>
      </c>
      <c r="H3233" s="6">
        <v>-47.367152054552577</v>
      </c>
      <c r="I3233" s="9">
        <v>1279.44</v>
      </c>
      <c r="K3233" s="6">
        <v>3.56</v>
      </c>
      <c r="L3233" s="6">
        <v>50</v>
      </c>
      <c r="N3233" s="1">
        <f t="shared" si="396"/>
        <v>0</v>
      </c>
      <c r="O3233" s="6" t="s">
        <v>20</v>
      </c>
      <c r="Q3233" s="6" t="s">
        <v>21</v>
      </c>
      <c r="R3233" s="6" t="s">
        <v>21</v>
      </c>
      <c r="S3233" s="6" t="s">
        <v>21</v>
      </c>
      <c r="T3233" s="6" t="s">
        <v>21</v>
      </c>
      <c r="U3233" s="6">
        <f t="shared" si="397"/>
        <v>639.72</v>
      </c>
      <c r="V3233" s="6">
        <f t="shared" si="395"/>
        <v>639.72</v>
      </c>
    </row>
    <row r="3234" spans="1:22" hidden="1" x14ac:dyDescent="0.35">
      <c r="A3234" s="6" t="s">
        <v>3543</v>
      </c>
      <c r="B3234" s="6" t="s">
        <v>3525</v>
      </c>
      <c r="C3234" s="6" t="s">
        <v>3526</v>
      </c>
      <c r="D3234" s="6">
        <f t="shared" si="398"/>
        <v>0.5</v>
      </c>
      <c r="E3234" s="6" t="s">
        <v>19</v>
      </c>
      <c r="F3234" s="6" t="str">
        <f>MID(A3234,19,1)</f>
        <v>S</v>
      </c>
      <c r="G3234" s="6">
        <v>-22.584074887336719</v>
      </c>
      <c r="H3234" s="6">
        <v>-47.367045715868073</v>
      </c>
      <c r="I3234" s="9">
        <v>841.62</v>
      </c>
      <c r="K3234" s="6">
        <v>3.93</v>
      </c>
      <c r="L3234" s="6">
        <v>50</v>
      </c>
      <c r="N3234" s="1">
        <f t="shared" si="396"/>
        <v>0</v>
      </c>
      <c r="O3234" s="6" t="s">
        <v>20</v>
      </c>
      <c r="Q3234" s="6" t="s">
        <v>21</v>
      </c>
      <c r="R3234" s="6" t="s">
        <v>21</v>
      </c>
      <c r="S3234" s="6" t="s">
        <v>21</v>
      </c>
      <c r="T3234" s="6" t="s">
        <v>21</v>
      </c>
      <c r="U3234" s="6">
        <f t="shared" si="397"/>
        <v>420.81</v>
      </c>
      <c r="V3234" s="6">
        <f t="shared" si="395"/>
        <v>420.81</v>
      </c>
    </row>
    <row r="3235" spans="1:22" hidden="1" x14ac:dyDescent="0.35">
      <c r="A3235" s="6" t="s">
        <v>3544</v>
      </c>
      <c r="B3235" s="6" t="s">
        <v>3525</v>
      </c>
      <c r="C3235" s="6" t="s">
        <v>3526</v>
      </c>
      <c r="D3235" s="6">
        <f t="shared" si="398"/>
        <v>0.5</v>
      </c>
      <c r="E3235" s="6" t="s">
        <v>19</v>
      </c>
      <c r="F3235" s="6" t="str">
        <f>MID(A3235,19,1)</f>
        <v>S</v>
      </c>
      <c r="G3235" s="6">
        <v>-22.59093295524082</v>
      </c>
      <c r="H3235" s="6">
        <v>-47.366738446808</v>
      </c>
      <c r="I3235" s="9">
        <v>532.96</v>
      </c>
      <c r="K3235" s="6">
        <v>4.1399999999999997</v>
      </c>
      <c r="L3235" s="6">
        <v>50</v>
      </c>
      <c r="N3235" s="1">
        <f t="shared" si="396"/>
        <v>0</v>
      </c>
      <c r="O3235" s="6" t="s">
        <v>20</v>
      </c>
      <c r="Q3235" s="6" t="s">
        <v>21</v>
      </c>
      <c r="R3235" s="6" t="s">
        <v>21</v>
      </c>
      <c r="S3235" s="6" t="s">
        <v>21</v>
      </c>
      <c r="T3235" s="6" t="s">
        <v>21</v>
      </c>
      <c r="U3235" s="6">
        <f t="shared" si="397"/>
        <v>266.48</v>
      </c>
      <c r="V3235" s="6">
        <f t="shared" si="395"/>
        <v>266.48</v>
      </c>
    </row>
    <row r="3236" spans="1:22" x14ac:dyDescent="0.35">
      <c r="A3236" s="6" t="s">
        <v>3545</v>
      </c>
      <c r="B3236" s="6" t="s">
        <v>3525</v>
      </c>
      <c r="C3236" s="6" t="s">
        <v>3526</v>
      </c>
      <c r="D3236" s="6">
        <f t="shared" si="398"/>
        <v>0.5</v>
      </c>
      <c r="E3236" s="6" t="s">
        <v>19</v>
      </c>
      <c r="F3236" s="6" t="str">
        <f>MID(A3236,19,1)</f>
        <v>N</v>
      </c>
      <c r="G3236" s="6">
        <v>-22.59042308983252</v>
      </c>
      <c r="H3236" s="6">
        <v>-47.367943492053698</v>
      </c>
      <c r="I3236" s="9">
        <v>63.41</v>
      </c>
      <c r="K3236" s="6">
        <v>0.93</v>
      </c>
      <c r="L3236" s="6">
        <v>0</v>
      </c>
      <c r="N3236" s="1">
        <f t="shared" si="396"/>
        <v>0</v>
      </c>
      <c r="Q3236" s="6" t="s">
        <v>21</v>
      </c>
      <c r="R3236" s="6" t="s">
        <v>21</v>
      </c>
      <c r="S3236" s="6" t="s">
        <v>21</v>
      </c>
      <c r="T3236" s="6" t="s">
        <v>21</v>
      </c>
      <c r="U3236" s="6">
        <f t="shared" si="397"/>
        <v>0</v>
      </c>
      <c r="V3236" s="6">
        <f t="shared" si="395"/>
        <v>0</v>
      </c>
    </row>
    <row r="3237" spans="1:22" x14ac:dyDescent="0.35">
      <c r="A3237" s="6" t="s">
        <v>3546</v>
      </c>
      <c r="B3237" s="6" t="s">
        <v>3525</v>
      </c>
      <c r="C3237" s="6" t="s">
        <v>3526</v>
      </c>
      <c r="D3237" s="6">
        <f t="shared" si="398"/>
        <v>0.5</v>
      </c>
      <c r="E3237" s="6" t="s">
        <v>19</v>
      </c>
      <c r="F3237" s="6" t="str">
        <f>MID(A3237,19,1)</f>
        <v>N</v>
      </c>
      <c r="G3237" s="6">
        <v>-22.590996427947491</v>
      </c>
      <c r="H3237" s="6">
        <v>-47.367752990636603</v>
      </c>
      <c r="I3237" s="9">
        <v>5017.24</v>
      </c>
      <c r="K3237" s="6">
        <v>1.65</v>
      </c>
      <c r="L3237" s="6">
        <v>50</v>
      </c>
      <c r="N3237" s="1">
        <f t="shared" si="396"/>
        <v>0</v>
      </c>
      <c r="O3237" s="6" t="s">
        <v>20</v>
      </c>
      <c r="Q3237" s="6" t="s">
        <v>21</v>
      </c>
      <c r="R3237" s="6" t="s">
        <v>21</v>
      </c>
      <c r="S3237" s="6" t="s">
        <v>21</v>
      </c>
      <c r="T3237" s="6" t="s">
        <v>21</v>
      </c>
      <c r="U3237" s="6">
        <f t="shared" si="397"/>
        <v>2508.62</v>
      </c>
      <c r="V3237" s="6">
        <f t="shared" si="395"/>
        <v>2508.62</v>
      </c>
    </row>
    <row r="3238" spans="1:22" hidden="1" x14ac:dyDescent="0.35">
      <c r="A3238" s="6" t="s">
        <v>3547</v>
      </c>
      <c r="B3238" s="6" t="s">
        <v>3525</v>
      </c>
      <c r="C3238" s="6" t="s">
        <v>3526</v>
      </c>
      <c r="D3238" s="6">
        <f t="shared" si="398"/>
        <v>0.5</v>
      </c>
      <c r="E3238" s="6" t="s">
        <v>19</v>
      </c>
      <c r="F3238" s="6" t="str">
        <f>MID(A3238,19,1)</f>
        <v>S</v>
      </c>
      <c r="G3238" s="6">
        <v>-22.589512058242519</v>
      </c>
      <c r="H3238" s="6">
        <v>-47.367272565812527</v>
      </c>
      <c r="I3238" s="9">
        <v>4770.3500000000004</v>
      </c>
      <c r="K3238" s="6">
        <v>4.16</v>
      </c>
      <c r="L3238" s="6">
        <v>50</v>
      </c>
      <c r="N3238" s="1">
        <f t="shared" si="396"/>
        <v>0</v>
      </c>
      <c r="O3238" s="6" t="s">
        <v>20</v>
      </c>
      <c r="Q3238" s="6" t="s">
        <v>21</v>
      </c>
      <c r="R3238" s="6" t="s">
        <v>21</v>
      </c>
      <c r="S3238" s="6" t="s">
        <v>21</v>
      </c>
      <c r="T3238" s="6" t="s">
        <v>21</v>
      </c>
      <c r="U3238" s="6">
        <f t="shared" si="397"/>
        <v>2385.1750000000002</v>
      </c>
      <c r="V3238" s="6">
        <f t="shared" si="395"/>
        <v>2385.1750000000002</v>
      </c>
    </row>
    <row r="3239" spans="1:22" hidden="1" x14ac:dyDescent="0.35">
      <c r="A3239" s="6" t="s">
        <v>3548</v>
      </c>
      <c r="B3239" s="6" t="s">
        <v>3525</v>
      </c>
      <c r="C3239" s="6" t="s">
        <v>3526</v>
      </c>
      <c r="D3239" s="6">
        <f t="shared" si="398"/>
        <v>0.5</v>
      </c>
      <c r="E3239" s="6" t="s">
        <v>19</v>
      </c>
      <c r="F3239" s="6" t="str">
        <f>MID(A3239,19,1)</f>
        <v>S</v>
      </c>
      <c r="G3239" s="6">
        <v>-22.590294992976169</v>
      </c>
      <c r="H3239" s="6">
        <v>-47.366902653685841</v>
      </c>
      <c r="I3239" s="9">
        <v>1649.61</v>
      </c>
      <c r="K3239" s="6">
        <v>2.77</v>
      </c>
      <c r="L3239" s="6">
        <v>50</v>
      </c>
      <c r="N3239" s="1">
        <f t="shared" si="396"/>
        <v>0</v>
      </c>
      <c r="O3239" s="6" t="s">
        <v>20</v>
      </c>
      <c r="Q3239" s="6" t="s">
        <v>21</v>
      </c>
      <c r="R3239" s="6" t="s">
        <v>21</v>
      </c>
      <c r="S3239" s="6" t="s">
        <v>21</v>
      </c>
      <c r="T3239" s="6" t="s">
        <v>21</v>
      </c>
      <c r="U3239" s="6">
        <f t="shared" si="397"/>
        <v>824.80499999999995</v>
      </c>
      <c r="V3239" s="6">
        <f t="shared" si="395"/>
        <v>824.80499999999995</v>
      </c>
    </row>
    <row r="3240" spans="1:22" hidden="1" x14ac:dyDescent="0.35">
      <c r="A3240" s="6" t="s">
        <v>3549</v>
      </c>
      <c r="B3240" s="6" t="s">
        <v>3550</v>
      </c>
      <c r="C3240" s="6" t="s">
        <v>3551</v>
      </c>
      <c r="D3240" s="6">
        <f t="shared" si="398"/>
        <v>0.5</v>
      </c>
      <c r="E3240" s="6" t="s">
        <v>19</v>
      </c>
      <c r="F3240" s="6" t="str">
        <f>MID(A3240,19,1)</f>
        <v>S</v>
      </c>
      <c r="G3240" s="6">
        <v>-22.58098195816175</v>
      </c>
      <c r="H3240" s="6">
        <v>-47.366709164347249</v>
      </c>
      <c r="I3240" s="9">
        <v>1325.78</v>
      </c>
      <c r="K3240" s="6">
        <v>3.84</v>
      </c>
      <c r="L3240" s="6">
        <v>50</v>
      </c>
      <c r="N3240" s="1">
        <f t="shared" si="396"/>
        <v>0</v>
      </c>
      <c r="O3240" s="6" t="s">
        <v>20</v>
      </c>
      <c r="Q3240" s="6" t="s">
        <v>21</v>
      </c>
      <c r="R3240" s="6" t="s">
        <v>21</v>
      </c>
      <c r="S3240" s="6" t="s">
        <v>21</v>
      </c>
      <c r="T3240" s="6" t="s">
        <v>21</v>
      </c>
      <c r="U3240" s="6">
        <f t="shared" si="397"/>
        <v>662.89</v>
      </c>
      <c r="V3240" s="6">
        <f t="shared" si="395"/>
        <v>662.89</v>
      </c>
    </row>
    <row r="3241" spans="1:22" x14ac:dyDescent="0.35">
      <c r="A3241" s="6" t="s">
        <v>3552</v>
      </c>
      <c r="B3241" s="6" t="s">
        <v>3550</v>
      </c>
      <c r="C3241" s="6" t="s">
        <v>3551</v>
      </c>
      <c r="D3241" s="6">
        <f t="shared" si="398"/>
        <v>0.5</v>
      </c>
      <c r="E3241" s="6" t="s">
        <v>19</v>
      </c>
      <c r="F3241" s="6" t="str">
        <f>MID(A3241,19,1)</f>
        <v>N</v>
      </c>
      <c r="G3241" s="6">
        <v>-22.689196387657201</v>
      </c>
      <c r="H3241" s="6">
        <v>-47.446867293379853</v>
      </c>
      <c r="I3241" s="9">
        <v>1783.92</v>
      </c>
      <c r="K3241" s="6">
        <v>3.64</v>
      </c>
      <c r="L3241" s="6">
        <v>70</v>
      </c>
      <c r="N3241" s="1">
        <f t="shared" si="396"/>
        <v>0</v>
      </c>
      <c r="O3241" s="6" t="s">
        <v>20</v>
      </c>
      <c r="Q3241" s="6" t="s">
        <v>21</v>
      </c>
      <c r="R3241" s="6" t="s">
        <v>21</v>
      </c>
      <c r="S3241" s="6" t="s">
        <v>21</v>
      </c>
      <c r="T3241" s="6" t="s">
        <v>21</v>
      </c>
      <c r="U3241" s="6">
        <f t="shared" si="397"/>
        <v>1248.7439999999999</v>
      </c>
      <c r="V3241" s="6">
        <f t="shared" si="395"/>
        <v>1248.7439999999999</v>
      </c>
    </row>
    <row r="3242" spans="1:22" hidden="1" x14ac:dyDescent="0.35">
      <c r="A3242" s="6" t="s">
        <v>3553</v>
      </c>
      <c r="B3242" s="6" t="s">
        <v>3550</v>
      </c>
      <c r="C3242" s="6" t="s">
        <v>3551</v>
      </c>
      <c r="D3242" s="6">
        <f t="shared" si="398"/>
        <v>0.5</v>
      </c>
      <c r="E3242" s="6" t="s">
        <v>19</v>
      </c>
      <c r="F3242" s="6" t="str">
        <f>MID(A3242,19,1)</f>
        <v>S</v>
      </c>
      <c r="G3242" s="6">
        <v>-22.688926992889691</v>
      </c>
      <c r="H3242" s="6">
        <v>-47.447087888306953</v>
      </c>
      <c r="I3242" s="9">
        <v>1753.92</v>
      </c>
      <c r="K3242" s="6">
        <v>3.91</v>
      </c>
      <c r="L3242" s="6">
        <v>70</v>
      </c>
      <c r="N3242" s="1">
        <f t="shared" si="396"/>
        <v>0</v>
      </c>
      <c r="O3242" s="6" t="s">
        <v>20</v>
      </c>
      <c r="Q3242" s="6" t="s">
        <v>21</v>
      </c>
      <c r="R3242" s="6" t="s">
        <v>21</v>
      </c>
      <c r="S3242" s="6" t="s">
        <v>21</v>
      </c>
      <c r="T3242" s="6" t="s">
        <v>21</v>
      </c>
      <c r="U3242" s="6">
        <f t="shared" si="397"/>
        <v>1227.7439999999999</v>
      </c>
      <c r="V3242" s="6">
        <f t="shared" si="395"/>
        <v>1227.7439999999999</v>
      </c>
    </row>
    <row r="3243" spans="1:22" hidden="1" x14ac:dyDescent="0.35">
      <c r="A3243" s="6" t="s">
        <v>3554</v>
      </c>
      <c r="B3243" s="6" t="s">
        <v>3550</v>
      </c>
      <c r="C3243" s="6" t="s">
        <v>3551</v>
      </c>
      <c r="D3243" s="6">
        <f t="shared" si="398"/>
        <v>0.5</v>
      </c>
      <c r="E3243" s="6" t="s">
        <v>23</v>
      </c>
      <c r="F3243" s="6" t="str">
        <f>MID(A3243,19,1)</f>
        <v>C</v>
      </c>
      <c r="G3243" s="6">
        <v>-22.685999388686149</v>
      </c>
      <c r="H3243" s="6">
        <v>-47.443308080520623</v>
      </c>
      <c r="I3243" s="9">
        <v>1741.46</v>
      </c>
      <c r="J3243" s="9">
        <f>I3243/500</f>
        <v>3.48292</v>
      </c>
      <c r="K3243" s="6">
        <v>4.82</v>
      </c>
      <c r="L3243" s="6">
        <v>70</v>
      </c>
      <c r="N3243" s="1">
        <f t="shared" si="396"/>
        <v>0</v>
      </c>
      <c r="O3243" s="6" t="s">
        <v>20</v>
      </c>
      <c r="Q3243" s="6" t="s">
        <v>21</v>
      </c>
      <c r="R3243" s="6" t="s">
        <v>21</v>
      </c>
      <c r="S3243" s="6" t="s">
        <v>21</v>
      </c>
      <c r="T3243" s="6" t="s">
        <v>21</v>
      </c>
      <c r="U3243" s="6">
        <f t="shared" si="397"/>
        <v>1219.0219999999999</v>
      </c>
      <c r="V3243" s="6">
        <f t="shared" si="395"/>
        <v>1219.0219999999999</v>
      </c>
    </row>
    <row r="3244" spans="1:22" hidden="1" x14ac:dyDescent="0.35">
      <c r="A3244" s="8" t="s">
        <v>3555</v>
      </c>
      <c r="B3244" s="8" t="s">
        <v>3550</v>
      </c>
      <c r="C3244" s="8" t="s">
        <v>3551</v>
      </c>
      <c r="D3244" s="6">
        <f t="shared" si="398"/>
        <v>0.5</v>
      </c>
      <c r="E3244" s="8" t="s">
        <v>19</v>
      </c>
      <c r="F3244" s="6" t="str">
        <f>MID(A3244,19,1)</f>
        <v>S</v>
      </c>
      <c r="G3244" s="8">
        <v>-22.576259428908308</v>
      </c>
      <c r="H3244" s="8">
        <v>-47.366432070897631</v>
      </c>
      <c r="I3244" s="7">
        <v>1733.45</v>
      </c>
      <c r="J3244" s="7"/>
      <c r="K3244" s="8">
        <v>5.61</v>
      </c>
      <c r="L3244" s="8">
        <v>65</v>
      </c>
      <c r="M3244" s="8"/>
      <c r="N3244" s="11">
        <f t="shared" si="396"/>
        <v>1126.7425000000001</v>
      </c>
      <c r="O3244" s="8" t="s">
        <v>25</v>
      </c>
      <c r="P3244" s="8"/>
      <c r="Q3244" s="8" t="s">
        <v>21</v>
      </c>
      <c r="R3244" s="8" t="s">
        <v>26</v>
      </c>
      <c r="S3244" s="8" t="s">
        <v>21</v>
      </c>
      <c r="T3244" s="8" t="s">
        <v>26</v>
      </c>
      <c r="U3244" s="6">
        <f t="shared" si="397"/>
        <v>0</v>
      </c>
    </row>
    <row r="3245" spans="1:22" hidden="1" x14ac:dyDescent="0.35">
      <c r="A3245" s="6" t="s">
        <v>3556</v>
      </c>
      <c r="B3245" s="6" t="s">
        <v>3550</v>
      </c>
      <c r="C3245" s="6" t="s">
        <v>3551</v>
      </c>
      <c r="D3245" s="6">
        <f t="shared" si="398"/>
        <v>0.5</v>
      </c>
      <c r="E3245" s="6" t="s">
        <v>23</v>
      </c>
      <c r="F3245" s="6" t="str">
        <f>MID(A3245,19,1)</f>
        <v>C</v>
      </c>
      <c r="G3245" s="6">
        <v>-22.686103027169001</v>
      </c>
      <c r="H3245" s="6">
        <v>-47.443167967489671</v>
      </c>
      <c r="I3245" s="9">
        <v>5770.6</v>
      </c>
      <c r="J3245" s="9">
        <f>I3245/500</f>
        <v>11.5412</v>
      </c>
      <c r="K3245" s="6">
        <v>5.22</v>
      </c>
      <c r="L3245" s="6">
        <v>80</v>
      </c>
      <c r="N3245" s="1">
        <f t="shared" si="396"/>
        <v>0</v>
      </c>
      <c r="O3245" s="6" t="s">
        <v>20</v>
      </c>
      <c r="Q3245" s="6" t="s">
        <v>21</v>
      </c>
      <c r="R3245" s="6" t="s">
        <v>21</v>
      </c>
      <c r="S3245" s="6" t="s">
        <v>21</v>
      </c>
      <c r="T3245" s="6" t="s">
        <v>21</v>
      </c>
      <c r="U3245" s="6">
        <f t="shared" si="397"/>
        <v>4616.4800000000005</v>
      </c>
      <c r="V3245" s="6">
        <f t="shared" ref="V3245:V3252" si="399">(I3245*(L3245/100))</f>
        <v>4616.4800000000005</v>
      </c>
    </row>
    <row r="3246" spans="1:22" hidden="1" x14ac:dyDescent="0.35">
      <c r="A3246" s="6" t="s">
        <v>3557</v>
      </c>
      <c r="B3246" s="6" t="s">
        <v>3550</v>
      </c>
      <c r="C3246" s="6" t="s">
        <v>3551</v>
      </c>
      <c r="D3246" s="6">
        <f t="shared" si="398"/>
        <v>0.5</v>
      </c>
      <c r="E3246" s="6" t="s">
        <v>19</v>
      </c>
      <c r="F3246" s="6" t="str">
        <f>MID(A3246,19,1)</f>
        <v>S</v>
      </c>
      <c r="G3246" s="6">
        <v>-22.68754335414501</v>
      </c>
      <c r="H3246" s="6">
        <v>-47.445104662748641</v>
      </c>
      <c r="I3246" s="9">
        <v>144.66</v>
      </c>
      <c r="K3246" s="6">
        <v>4.1900000000000004</v>
      </c>
      <c r="L3246" s="6">
        <v>70</v>
      </c>
      <c r="N3246" s="1">
        <f t="shared" si="396"/>
        <v>0</v>
      </c>
      <c r="O3246" s="6" t="s">
        <v>20</v>
      </c>
      <c r="Q3246" s="6" t="s">
        <v>21</v>
      </c>
      <c r="R3246" s="6" t="s">
        <v>21</v>
      </c>
      <c r="S3246" s="6" t="s">
        <v>21</v>
      </c>
      <c r="T3246" s="6" t="s">
        <v>21</v>
      </c>
      <c r="U3246" s="6">
        <f t="shared" si="397"/>
        <v>101.26199999999999</v>
      </c>
      <c r="V3246" s="6">
        <f t="shared" si="399"/>
        <v>101.26199999999999</v>
      </c>
    </row>
    <row r="3247" spans="1:22" x14ac:dyDescent="0.35">
      <c r="A3247" s="6" t="s">
        <v>3558</v>
      </c>
      <c r="B3247" s="6" t="s">
        <v>3550</v>
      </c>
      <c r="C3247" s="6" t="s">
        <v>3551</v>
      </c>
      <c r="D3247" s="6">
        <f t="shared" si="398"/>
        <v>0.5</v>
      </c>
      <c r="E3247" s="6" t="s">
        <v>19</v>
      </c>
      <c r="F3247" s="6" t="str">
        <f>MID(A3247,19,1)</f>
        <v>N</v>
      </c>
      <c r="G3247" s="6">
        <v>-22.58113267469631</v>
      </c>
      <c r="H3247" s="6">
        <v>-47.367188535429662</v>
      </c>
      <c r="I3247" s="9">
        <v>1744.64</v>
      </c>
      <c r="K3247" s="6">
        <v>4.7699999999999996</v>
      </c>
      <c r="L3247" s="6">
        <v>50</v>
      </c>
      <c r="N3247" s="1">
        <f t="shared" si="396"/>
        <v>0</v>
      </c>
      <c r="O3247" s="6" t="s">
        <v>20</v>
      </c>
      <c r="Q3247" s="6" t="s">
        <v>21</v>
      </c>
      <c r="R3247" s="6" t="s">
        <v>21</v>
      </c>
      <c r="S3247" s="6" t="s">
        <v>21</v>
      </c>
      <c r="T3247" s="6" t="s">
        <v>21</v>
      </c>
      <c r="U3247" s="6">
        <f t="shared" si="397"/>
        <v>872.32</v>
      </c>
      <c r="V3247" s="6">
        <f t="shared" si="399"/>
        <v>872.32</v>
      </c>
    </row>
    <row r="3248" spans="1:22" hidden="1" x14ac:dyDescent="0.35">
      <c r="A3248" s="6" t="s">
        <v>3559</v>
      </c>
      <c r="B3248" s="6" t="s">
        <v>3550</v>
      </c>
      <c r="C3248" s="6" t="s">
        <v>3551</v>
      </c>
      <c r="D3248" s="6">
        <f t="shared" si="398"/>
        <v>0.5</v>
      </c>
      <c r="E3248" s="6" t="s">
        <v>19</v>
      </c>
      <c r="F3248" s="6" t="str">
        <f>MID(A3248,19,1)</f>
        <v>S</v>
      </c>
      <c r="G3248" s="6">
        <v>-22.58215377182395</v>
      </c>
      <c r="H3248" s="6">
        <v>-47.36686161405725</v>
      </c>
      <c r="I3248" s="9">
        <v>874.51</v>
      </c>
      <c r="K3248" s="6">
        <v>3.22</v>
      </c>
      <c r="L3248" s="6">
        <v>50</v>
      </c>
      <c r="N3248" s="1">
        <f t="shared" si="396"/>
        <v>0</v>
      </c>
      <c r="O3248" s="6" t="s">
        <v>20</v>
      </c>
      <c r="Q3248" s="6" t="s">
        <v>21</v>
      </c>
      <c r="R3248" s="6" t="s">
        <v>21</v>
      </c>
      <c r="S3248" s="6" t="s">
        <v>21</v>
      </c>
      <c r="T3248" s="6" t="s">
        <v>21</v>
      </c>
      <c r="U3248" s="6">
        <f t="shared" si="397"/>
        <v>437.255</v>
      </c>
      <c r="V3248" s="6">
        <f t="shared" si="399"/>
        <v>437.255</v>
      </c>
    </row>
    <row r="3249" spans="1:22" x14ac:dyDescent="0.35">
      <c r="A3249" s="6" t="s">
        <v>3560</v>
      </c>
      <c r="B3249" s="6" t="s">
        <v>3550</v>
      </c>
      <c r="C3249" s="6" t="s">
        <v>3551</v>
      </c>
      <c r="D3249" s="6">
        <f t="shared" si="398"/>
        <v>0.5</v>
      </c>
      <c r="E3249" s="6" t="s">
        <v>19</v>
      </c>
      <c r="F3249" s="6" t="str">
        <f>MID(A3249,19,1)</f>
        <v>N</v>
      </c>
      <c r="G3249" s="6">
        <v>-22.578655805422869</v>
      </c>
      <c r="H3249" s="6">
        <v>-47.367004151903657</v>
      </c>
      <c r="I3249" s="9">
        <v>437.66</v>
      </c>
      <c r="K3249" s="6">
        <v>7.48</v>
      </c>
      <c r="L3249" s="6">
        <v>50</v>
      </c>
      <c r="N3249" s="1">
        <f t="shared" si="396"/>
        <v>0</v>
      </c>
      <c r="O3249" s="6" t="s">
        <v>20</v>
      </c>
      <c r="Q3249" s="6" t="s">
        <v>21</v>
      </c>
      <c r="R3249" s="6" t="s">
        <v>21</v>
      </c>
      <c r="S3249" s="6" t="s">
        <v>21</v>
      </c>
      <c r="T3249" s="6" t="s">
        <v>21</v>
      </c>
      <c r="U3249" s="6">
        <f t="shared" si="397"/>
        <v>218.83</v>
      </c>
      <c r="V3249" s="6">
        <f t="shared" si="399"/>
        <v>218.83</v>
      </c>
    </row>
    <row r="3250" spans="1:22" x14ac:dyDescent="0.35">
      <c r="A3250" s="6" t="s">
        <v>3561</v>
      </c>
      <c r="B3250" s="6" t="s">
        <v>3550</v>
      </c>
      <c r="C3250" s="6" t="s">
        <v>3551</v>
      </c>
      <c r="D3250" s="6">
        <f t="shared" si="398"/>
        <v>0.5</v>
      </c>
      <c r="E3250" s="6" t="s">
        <v>19</v>
      </c>
      <c r="F3250" s="6" t="str">
        <f>MID(A3250,19,1)</f>
        <v>N</v>
      </c>
      <c r="G3250" s="6">
        <v>-22.576218877902939</v>
      </c>
      <c r="H3250" s="6">
        <v>-47.366793831918258</v>
      </c>
      <c r="I3250" s="9">
        <v>1734.77</v>
      </c>
      <c r="K3250" s="6">
        <v>5.25</v>
      </c>
      <c r="L3250" s="6">
        <v>50</v>
      </c>
      <c r="N3250" s="1">
        <f t="shared" si="396"/>
        <v>0</v>
      </c>
      <c r="O3250" s="6" t="s">
        <v>20</v>
      </c>
      <c r="Q3250" s="6" t="s">
        <v>21</v>
      </c>
      <c r="R3250" s="6" t="s">
        <v>21</v>
      </c>
      <c r="S3250" s="6" t="s">
        <v>21</v>
      </c>
      <c r="T3250" s="6" t="s">
        <v>21</v>
      </c>
      <c r="U3250" s="6">
        <f t="shared" si="397"/>
        <v>867.38499999999999</v>
      </c>
      <c r="V3250" s="6">
        <f t="shared" si="399"/>
        <v>867.38499999999999</v>
      </c>
    </row>
    <row r="3251" spans="1:22" x14ac:dyDescent="0.35">
      <c r="A3251" s="6" t="s">
        <v>3562</v>
      </c>
      <c r="B3251" s="6" t="s">
        <v>3550</v>
      </c>
      <c r="C3251" s="6" t="s">
        <v>3551</v>
      </c>
      <c r="D3251" s="6">
        <f t="shared" si="398"/>
        <v>0.5</v>
      </c>
      <c r="E3251" s="6" t="s">
        <v>19</v>
      </c>
      <c r="F3251" s="6" t="str">
        <f>MID(A3251,19,1)</f>
        <v>N</v>
      </c>
      <c r="G3251" s="6">
        <v>-22.687841574049731</v>
      </c>
      <c r="H3251" s="6">
        <v>-47.444880477564297</v>
      </c>
      <c r="I3251" s="9">
        <v>81.52</v>
      </c>
      <c r="K3251" s="6">
        <v>5.36</v>
      </c>
      <c r="L3251" s="6">
        <v>70</v>
      </c>
      <c r="N3251" s="1">
        <f t="shared" si="396"/>
        <v>0</v>
      </c>
      <c r="O3251" s="6" t="s">
        <v>20</v>
      </c>
      <c r="Q3251" s="6" t="s">
        <v>21</v>
      </c>
      <c r="R3251" s="6" t="s">
        <v>21</v>
      </c>
      <c r="S3251" s="6" t="s">
        <v>21</v>
      </c>
      <c r="T3251" s="6" t="s">
        <v>21</v>
      </c>
      <c r="U3251" s="6">
        <f t="shared" si="397"/>
        <v>57.063999999999993</v>
      </c>
      <c r="V3251" s="6">
        <f t="shared" si="399"/>
        <v>57.063999999999993</v>
      </c>
    </row>
    <row r="3252" spans="1:22" x14ac:dyDescent="0.35">
      <c r="A3252" s="6" t="s">
        <v>3563</v>
      </c>
      <c r="B3252" s="6" t="s">
        <v>3550</v>
      </c>
      <c r="C3252" s="6" t="s">
        <v>3551</v>
      </c>
      <c r="D3252" s="6">
        <f t="shared" si="398"/>
        <v>0.5</v>
      </c>
      <c r="E3252" s="6" t="s">
        <v>19</v>
      </c>
      <c r="F3252" s="6" t="str">
        <f>MID(A3252,19,1)</f>
        <v>N</v>
      </c>
      <c r="G3252" s="6">
        <v>-22.686190195481739</v>
      </c>
      <c r="H3252" s="6">
        <v>-47.443012186924207</v>
      </c>
      <c r="I3252" s="9">
        <v>1811.18</v>
      </c>
      <c r="K3252" s="6">
        <v>5.32</v>
      </c>
      <c r="L3252" s="6">
        <v>70</v>
      </c>
      <c r="N3252" s="1">
        <f t="shared" si="396"/>
        <v>0</v>
      </c>
      <c r="O3252" s="6" t="s">
        <v>20</v>
      </c>
      <c r="Q3252" s="6" t="s">
        <v>21</v>
      </c>
      <c r="R3252" s="6" t="s">
        <v>21</v>
      </c>
      <c r="S3252" s="6" t="s">
        <v>21</v>
      </c>
      <c r="T3252" s="6" t="s">
        <v>21</v>
      </c>
      <c r="U3252" s="6">
        <f t="shared" si="397"/>
        <v>1267.826</v>
      </c>
      <c r="V3252" s="6">
        <f t="shared" si="399"/>
        <v>1267.826</v>
      </c>
    </row>
    <row r="3253" spans="1:22" hidden="1" x14ac:dyDescent="0.35">
      <c r="A3253" s="8" t="s">
        <v>3564</v>
      </c>
      <c r="B3253" s="8" t="s">
        <v>3550</v>
      </c>
      <c r="C3253" s="8" t="s">
        <v>3551</v>
      </c>
      <c r="D3253" s="6">
        <f t="shared" si="398"/>
        <v>0.5</v>
      </c>
      <c r="E3253" s="8" t="s">
        <v>19</v>
      </c>
      <c r="F3253" s="6" t="str">
        <f>MID(A3253,19,1)</f>
        <v>S</v>
      </c>
      <c r="G3253" s="8">
        <v>-22.57950275701911</v>
      </c>
      <c r="H3253" s="8">
        <v>-47.366650757143233</v>
      </c>
      <c r="I3253" s="7">
        <v>1149.2</v>
      </c>
      <c r="J3253" s="7"/>
      <c r="K3253" s="8">
        <v>6.28</v>
      </c>
      <c r="L3253" s="8">
        <v>70</v>
      </c>
      <c r="M3253" s="8"/>
      <c r="N3253" s="11">
        <f t="shared" si="396"/>
        <v>804.43999999999994</v>
      </c>
      <c r="O3253" s="8" t="s">
        <v>25</v>
      </c>
      <c r="P3253" s="8"/>
      <c r="Q3253" s="8" t="s">
        <v>21</v>
      </c>
      <c r="R3253" s="8" t="s">
        <v>26</v>
      </c>
      <c r="S3253" s="8" t="s">
        <v>21</v>
      </c>
      <c r="T3253" s="8" t="s">
        <v>26</v>
      </c>
      <c r="U3253" s="6">
        <f t="shared" si="397"/>
        <v>0</v>
      </c>
    </row>
    <row r="3254" spans="1:22" x14ac:dyDescent="0.35">
      <c r="A3254" s="6" t="s">
        <v>3565</v>
      </c>
      <c r="B3254" s="6" t="s">
        <v>3550</v>
      </c>
      <c r="C3254" s="6" t="s">
        <v>3551</v>
      </c>
      <c r="D3254" s="6">
        <f t="shared" si="398"/>
        <v>0.5</v>
      </c>
      <c r="E3254" s="6" t="s">
        <v>19</v>
      </c>
      <c r="F3254" s="6" t="str">
        <f>MID(A3254,19,1)</f>
        <v>N</v>
      </c>
      <c r="G3254" s="6">
        <v>-22.579152635920341</v>
      </c>
      <c r="H3254" s="6">
        <v>-47.36704641379297</v>
      </c>
      <c r="I3254" s="9">
        <v>79.760000000000005</v>
      </c>
      <c r="K3254" s="6">
        <v>7.58</v>
      </c>
      <c r="L3254" s="6">
        <v>0</v>
      </c>
      <c r="N3254" s="1">
        <f t="shared" si="396"/>
        <v>0</v>
      </c>
      <c r="Q3254" s="6" t="s">
        <v>21</v>
      </c>
      <c r="R3254" s="6" t="s">
        <v>21</v>
      </c>
      <c r="S3254" s="6" t="s">
        <v>21</v>
      </c>
      <c r="T3254" s="6" t="s">
        <v>21</v>
      </c>
      <c r="U3254" s="6">
        <f t="shared" si="397"/>
        <v>0</v>
      </c>
      <c r="V3254" s="6">
        <f t="shared" ref="V3254:V3307" si="400">(I3254*(L3254/100))</f>
        <v>0</v>
      </c>
    </row>
    <row r="3255" spans="1:22" x14ac:dyDescent="0.35">
      <c r="A3255" s="6" t="s">
        <v>3566</v>
      </c>
      <c r="B3255" s="6" t="s">
        <v>3550</v>
      </c>
      <c r="C3255" s="6" t="s">
        <v>3551</v>
      </c>
      <c r="D3255" s="6">
        <f t="shared" si="398"/>
        <v>0.5</v>
      </c>
      <c r="E3255" s="6" t="s">
        <v>19</v>
      </c>
      <c r="F3255" s="6" t="str">
        <f>MID(A3255,19,1)</f>
        <v>N</v>
      </c>
      <c r="G3255" s="6">
        <v>-22.6877156154865</v>
      </c>
      <c r="H3255" s="6">
        <v>-47.44499583729656</v>
      </c>
      <c r="I3255" s="9">
        <v>290.39</v>
      </c>
      <c r="K3255" s="6">
        <v>5.09</v>
      </c>
      <c r="L3255" s="6">
        <v>80</v>
      </c>
      <c r="N3255" s="1">
        <f t="shared" si="396"/>
        <v>0</v>
      </c>
      <c r="O3255" s="6" t="s">
        <v>20</v>
      </c>
      <c r="Q3255" s="6" t="s">
        <v>21</v>
      </c>
      <c r="R3255" s="6" t="s">
        <v>21</v>
      </c>
      <c r="S3255" s="6" t="s">
        <v>21</v>
      </c>
      <c r="T3255" s="6" t="s">
        <v>21</v>
      </c>
      <c r="U3255" s="6">
        <f t="shared" si="397"/>
        <v>232.31200000000001</v>
      </c>
      <c r="V3255" s="6">
        <f t="shared" si="400"/>
        <v>232.31200000000001</v>
      </c>
    </row>
    <row r="3256" spans="1:22" hidden="1" x14ac:dyDescent="0.35">
      <c r="A3256" s="6" t="s">
        <v>3567</v>
      </c>
      <c r="B3256" s="6" t="s">
        <v>3550</v>
      </c>
      <c r="C3256" s="6" t="s">
        <v>3551</v>
      </c>
      <c r="D3256" s="6">
        <f t="shared" si="398"/>
        <v>0.5</v>
      </c>
      <c r="E3256" s="6" t="s">
        <v>23</v>
      </c>
      <c r="F3256" s="6" t="str">
        <f>MID(A3256,19,1)</f>
        <v>C</v>
      </c>
      <c r="G3256" s="6">
        <v>-22.68906990888539</v>
      </c>
      <c r="H3256" s="6">
        <v>-47.446985893339743</v>
      </c>
      <c r="I3256" s="9">
        <v>5819.13</v>
      </c>
      <c r="J3256" s="9">
        <f>I3256/500</f>
        <v>11.638260000000001</v>
      </c>
      <c r="K3256" s="6">
        <v>3.75</v>
      </c>
      <c r="L3256" s="6">
        <v>80</v>
      </c>
      <c r="N3256" s="1">
        <f t="shared" si="396"/>
        <v>0</v>
      </c>
      <c r="O3256" s="6" t="s">
        <v>20</v>
      </c>
      <c r="Q3256" s="6" t="s">
        <v>21</v>
      </c>
      <c r="R3256" s="6" t="s">
        <v>21</v>
      </c>
      <c r="S3256" s="6" t="s">
        <v>21</v>
      </c>
      <c r="T3256" s="6" t="s">
        <v>21</v>
      </c>
      <c r="U3256" s="6">
        <f t="shared" si="397"/>
        <v>4655.3040000000001</v>
      </c>
      <c r="V3256" s="6">
        <f t="shared" si="400"/>
        <v>4655.3040000000001</v>
      </c>
    </row>
    <row r="3257" spans="1:22" hidden="1" x14ac:dyDescent="0.35">
      <c r="A3257" s="6" t="s">
        <v>3568</v>
      </c>
      <c r="B3257" s="6" t="s">
        <v>3569</v>
      </c>
      <c r="C3257" s="6" t="s">
        <v>3570</v>
      </c>
      <c r="D3257" s="6">
        <f t="shared" si="398"/>
        <v>0.5</v>
      </c>
      <c r="E3257" s="6" t="s">
        <v>19</v>
      </c>
      <c r="F3257" s="6" t="str">
        <f>MID(A3257,19,1)</f>
        <v>S</v>
      </c>
      <c r="G3257" s="6">
        <v>-22.568050112258</v>
      </c>
      <c r="H3257" s="6">
        <v>-47.365763878839402</v>
      </c>
      <c r="I3257" s="9">
        <v>1028.24</v>
      </c>
      <c r="K3257" s="6">
        <v>5.35</v>
      </c>
      <c r="L3257" s="6">
        <v>50</v>
      </c>
      <c r="N3257" s="1">
        <f t="shared" si="396"/>
        <v>0</v>
      </c>
      <c r="O3257" s="6" t="s">
        <v>20</v>
      </c>
      <c r="Q3257" s="6" t="s">
        <v>21</v>
      </c>
      <c r="R3257" s="6" t="s">
        <v>21</v>
      </c>
      <c r="S3257" s="6" t="s">
        <v>21</v>
      </c>
      <c r="T3257" s="6" t="s">
        <v>21</v>
      </c>
      <c r="U3257" s="6">
        <f t="shared" si="397"/>
        <v>514.12</v>
      </c>
      <c r="V3257" s="6">
        <f t="shared" si="400"/>
        <v>514.12</v>
      </c>
    </row>
    <row r="3258" spans="1:22" hidden="1" x14ac:dyDescent="0.35">
      <c r="A3258" s="6" t="s">
        <v>3571</v>
      </c>
      <c r="B3258" s="6" t="s">
        <v>3569</v>
      </c>
      <c r="C3258" s="6" t="s">
        <v>3570</v>
      </c>
      <c r="D3258" s="6">
        <f t="shared" si="398"/>
        <v>0.5</v>
      </c>
      <c r="E3258" s="6" t="s">
        <v>19</v>
      </c>
      <c r="F3258" s="6" t="str">
        <f>MID(A3258,19,1)</f>
        <v>S</v>
      </c>
      <c r="G3258" s="6">
        <v>-22.56669035284693</v>
      </c>
      <c r="H3258" s="6">
        <v>-47.365628186659173</v>
      </c>
      <c r="I3258" s="9">
        <v>1089.19</v>
      </c>
      <c r="K3258" s="6">
        <v>7.87</v>
      </c>
      <c r="L3258" s="6">
        <v>50</v>
      </c>
      <c r="N3258" s="1">
        <f t="shared" si="396"/>
        <v>0</v>
      </c>
      <c r="O3258" s="6" t="s">
        <v>20</v>
      </c>
      <c r="Q3258" s="6" t="s">
        <v>21</v>
      </c>
      <c r="R3258" s="6" t="s">
        <v>21</v>
      </c>
      <c r="S3258" s="6" t="s">
        <v>21</v>
      </c>
      <c r="T3258" s="6" t="s">
        <v>21</v>
      </c>
      <c r="U3258" s="6">
        <f t="shared" si="397"/>
        <v>544.59500000000003</v>
      </c>
      <c r="V3258" s="6">
        <f t="shared" si="400"/>
        <v>544.59500000000003</v>
      </c>
    </row>
    <row r="3259" spans="1:22" x14ac:dyDescent="0.35">
      <c r="A3259" s="6" t="s">
        <v>3572</v>
      </c>
      <c r="B3259" s="6" t="s">
        <v>3569</v>
      </c>
      <c r="C3259" s="6" t="s">
        <v>3570</v>
      </c>
      <c r="D3259" s="6">
        <f t="shared" si="398"/>
        <v>0.5</v>
      </c>
      <c r="E3259" s="6" t="s">
        <v>19</v>
      </c>
      <c r="F3259" s="6" t="str">
        <f>MID(A3259,19,1)</f>
        <v>N</v>
      </c>
      <c r="G3259" s="6">
        <v>-22.682542966797389</v>
      </c>
      <c r="H3259" s="6">
        <v>-47.441262764969181</v>
      </c>
      <c r="I3259" s="9">
        <v>1548.74</v>
      </c>
      <c r="K3259" s="6">
        <v>4.71</v>
      </c>
      <c r="L3259" s="6">
        <v>70</v>
      </c>
      <c r="N3259" s="1">
        <f t="shared" si="396"/>
        <v>0</v>
      </c>
      <c r="O3259" s="6" t="s">
        <v>20</v>
      </c>
      <c r="Q3259" s="6" t="s">
        <v>21</v>
      </c>
      <c r="R3259" s="6" t="s">
        <v>21</v>
      </c>
      <c r="S3259" s="6" t="s">
        <v>21</v>
      </c>
      <c r="T3259" s="6" t="s">
        <v>21</v>
      </c>
      <c r="U3259" s="6">
        <f t="shared" si="397"/>
        <v>1084.1179999999999</v>
      </c>
      <c r="V3259" s="6">
        <f t="shared" si="400"/>
        <v>1084.1179999999999</v>
      </c>
    </row>
    <row r="3260" spans="1:22" hidden="1" x14ac:dyDescent="0.35">
      <c r="A3260" s="6" t="s">
        <v>3573</v>
      </c>
      <c r="B3260" s="6" t="s">
        <v>3569</v>
      </c>
      <c r="C3260" s="6" t="s">
        <v>3570</v>
      </c>
      <c r="D3260" s="6">
        <f t="shared" si="398"/>
        <v>0.5</v>
      </c>
      <c r="E3260" s="6" t="s">
        <v>23</v>
      </c>
      <c r="F3260" s="6" t="str">
        <f>MID(A3260,19,1)</f>
        <v>C</v>
      </c>
      <c r="G3260" s="6">
        <v>-22.678335833899279</v>
      </c>
      <c r="H3260" s="6">
        <v>-47.442316329306017</v>
      </c>
      <c r="I3260" s="9">
        <v>6706.27</v>
      </c>
      <c r="J3260" s="9">
        <f>I3260/500</f>
        <v>13.412540000000002</v>
      </c>
      <c r="K3260" s="6">
        <v>6.7</v>
      </c>
      <c r="L3260" s="6">
        <v>80</v>
      </c>
      <c r="N3260" s="1">
        <f t="shared" si="396"/>
        <v>0</v>
      </c>
      <c r="O3260" s="6" t="s">
        <v>20</v>
      </c>
      <c r="Q3260" s="6" t="s">
        <v>21</v>
      </c>
      <c r="R3260" s="6" t="s">
        <v>21</v>
      </c>
      <c r="S3260" s="6" t="s">
        <v>21</v>
      </c>
      <c r="T3260" s="6" t="s">
        <v>21</v>
      </c>
      <c r="U3260" s="6">
        <f t="shared" si="397"/>
        <v>5365.0160000000005</v>
      </c>
      <c r="V3260" s="6">
        <f t="shared" si="400"/>
        <v>5365.0160000000005</v>
      </c>
    </row>
    <row r="3261" spans="1:22" x14ac:dyDescent="0.35">
      <c r="A3261" s="6" t="s">
        <v>3574</v>
      </c>
      <c r="B3261" s="6" t="s">
        <v>3569</v>
      </c>
      <c r="C3261" s="6" t="s">
        <v>3570</v>
      </c>
      <c r="D3261" s="6">
        <f t="shared" si="398"/>
        <v>0.5</v>
      </c>
      <c r="E3261" s="6" t="s">
        <v>19</v>
      </c>
      <c r="F3261" s="6" t="str">
        <f>MID(A3261,19,1)</f>
        <v>N</v>
      </c>
      <c r="G3261" s="6">
        <v>-22.571709314267739</v>
      </c>
      <c r="H3261" s="6">
        <v>-47.366440212161301</v>
      </c>
      <c r="I3261" s="9">
        <v>2272.33</v>
      </c>
      <c r="K3261" s="6">
        <v>4.29</v>
      </c>
      <c r="L3261" s="6">
        <v>50</v>
      </c>
      <c r="N3261" s="1">
        <f t="shared" si="396"/>
        <v>0</v>
      </c>
      <c r="O3261" s="6" t="s">
        <v>20</v>
      </c>
      <c r="Q3261" s="6" t="s">
        <v>21</v>
      </c>
      <c r="R3261" s="6" t="s">
        <v>21</v>
      </c>
      <c r="S3261" s="6" t="s">
        <v>21</v>
      </c>
      <c r="T3261" s="6" t="s">
        <v>21</v>
      </c>
      <c r="U3261" s="6">
        <f t="shared" si="397"/>
        <v>1136.165</v>
      </c>
      <c r="V3261" s="6">
        <f t="shared" si="400"/>
        <v>1136.165</v>
      </c>
    </row>
    <row r="3262" spans="1:22" hidden="1" x14ac:dyDescent="0.35">
      <c r="A3262" s="6" t="s">
        <v>3575</v>
      </c>
      <c r="B3262" s="6" t="s">
        <v>3569</v>
      </c>
      <c r="C3262" s="6" t="s">
        <v>3570</v>
      </c>
      <c r="D3262" s="6">
        <f t="shared" si="398"/>
        <v>0.5</v>
      </c>
      <c r="E3262" s="6" t="s">
        <v>19</v>
      </c>
      <c r="F3262" s="6" t="str">
        <f>MID(A3262,19,1)</f>
        <v>S</v>
      </c>
      <c r="G3262" s="6">
        <v>-22.565442259742792</v>
      </c>
      <c r="H3262" s="6">
        <v>-47.36553551736835</v>
      </c>
      <c r="I3262" s="9">
        <v>74.3</v>
      </c>
      <c r="K3262" s="6">
        <v>7.53</v>
      </c>
      <c r="L3262" s="6">
        <v>50</v>
      </c>
      <c r="N3262" s="1">
        <f t="shared" si="396"/>
        <v>0</v>
      </c>
      <c r="O3262" s="6" t="s">
        <v>20</v>
      </c>
      <c r="Q3262" s="6" t="s">
        <v>21</v>
      </c>
      <c r="R3262" s="6" t="s">
        <v>21</v>
      </c>
      <c r="S3262" s="6" t="s">
        <v>21</v>
      </c>
      <c r="T3262" s="6" t="s">
        <v>21</v>
      </c>
      <c r="U3262" s="6">
        <f t="shared" si="397"/>
        <v>37.15</v>
      </c>
      <c r="V3262" s="6">
        <f t="shared" si="400"/>
        <v>37.15</v>
      </c>
    </row>
    <row r="3263" spans="1:22" hidden="1" x14ac:dyDescent="0.35">
      <c r="A3263" s="6" t="s">
        <v>3576</v>
      </c>
      <c r="B3263" s="6" t="s">
        <v>3569</v>
      </c>
      <c r="C3263" s="6" t="s">
        <v>3570</v>
      </c>
      <c r="D3263" s="6">
        <f t="shared" si="398"/>
        <v>0.5</v>
      </c>
      <c r="E3263" s="6" t="s">
        <v>23</v>
      </c>
      <c r="F3263" s="6" t="str">
        <f>MID(A3263,19,1)</f>
        <v>C</v>
      </c>
      <c r="G3263" s="6">
        <v>-22.682514394673461</v>
      </c>
      <c r="H3263" s="6">
        <v>-47.441619375555511</v>
      </c>
      <c r="I3263" s="9">
        <v>1477.49</v>
      </c>
      <c r="J3263" s="9">
        <f>I3263/500</f>
        <v>2.9549799999999999</v>
      </c>
      <c r="K3263" s="6">
        <v>7.17</v>
      </c>
      <c r="L3263" s="6">
        <v>70</v>
      </c>
      <c r="N3263" s="1">
        <f t="shared" si="396"/>
        <v>0</v>
      </c>
      <c r="O3263" s="6" t="s">
        <v>20</v>
      </c>
      <c r="Q3263" s="6" t="s">
        <v>21</v>
      </c>
      <c r="R3263" s="6" t="s">
        <v>21</v>
      </c>
      <c r="S3263" s="6" t="s">
        <v>21</v>
      </c>
      <c r="T3263" s="6" t="s">
        <v>21</v>
      </c>
      <c r="U3263" s="6">
        <f t="shared" si="397"/>
        <v>1034.2429999999999</v>
      </c>
      <c r="V3263" s="6">
        <f t="shared" si="400"/>
        <v>1034.2429999999999</v>
      </c>
    </row>
    <row r="3264" spans="1:22" hidden="1" x14ac:dyDescent="0.35">
      <c r="A3264" s="6" t="s">
        <v>3577</v>
      </c>
      <c r="B3264" s="6" t="s">
        <v>3569</v>
      </c>
      <c r="C3264" s="6" t="s">
        <v>3570</v>
      </c>
      <c r="D3264" s="6">
        <f t="shared" si="398"/>
        <v>0.5</v>
      </c>
      <c r="E3264" s="6" t="s">
        <v>19</v>
      </c>
      <c r="F3264" s="6" t="str">
        <f>MID(A3264,19,1)</f>
        <v>S</v>
      </c>
      <c r="G3264" s="6">
        <v>-22.678350030408161</v>
      </c>
      <c r="H3264" s="6">
        <v>-47.442511471412473</v>
      </c>
      <c r="I3264" s="9">
        <v>2077.4</v>
      </c>
      <c r="K3264" s="6">
        <v>7.03</v>
      </c>
      <c r="L3264" s="6">
        <v>70</v>
      </c>
      <c r="N3264" s="1">
        <f t="shared" si="396"/>
        <v>0</v>
      </c>
      <c r="O3264" s="6" t="s">
        <v>20</v>
      </c>
      <c r="Q3264" s="6" t="s">
        <v>21</v>
      </c>
      <c r="R3264" s="6" t="s">
        <v>21</v>
      </c>
      <c r="S3264" s="6" t="s">
        <v>21</v>
      </c>
      <c r="T3264" s="6" t="s">
        <v>21</v>
      </c>
      <c r="U3264" s="6">
        <f t="shared" si="397"/>
        <v>1454.18</v>
      </c>
      <c r="V3264" s="6">
        <f t="shared" si="400"/>
        <v>1454.18</v>
      </c>
    </row>
    <row r="3265" spans="1:22" x14ac:dyDescent="0.35">
      <c r="A3265" s="6" t="s">
        <v>3578</v>
      </c>
      <c r="B3265" s="6" t="s">
        <v>3569</v>
      </c>
      <c r="C3265" s="6" t="s">
        <v>3570</v>
      </c>
      <c r="D3265" s="6">
        <f t="shared" si="398"/>
        <v>0.5</v>
      </c>
      <c r="E3265" s="6" t="s">
        <v>19</v>
      </c>
      <c r="F3265" s="6" t="str">
        <f>MID(A3265,19,1)</f>
        <v>N</v>
      </c>
      <c r="G3265" s="6">
        <v>-22.682519163344949</v>
      </c>
      <c r="H3265" s="6">
        <v>-47.441442101945263</v>
      </c>
      <c r="I3265" s="9">
        <v>4766.62</v>
      </c>
      <c r="K3265" s="6">
        <v>5.94</v>
      </c>
      <c r="L3265" s="6">
        <v>80</v>
      </c>
      <c r="N3265" s="1">
        <f t="shared" si="396"/>
        <v>0</v>
      </c>
      <c r="O3265" s="6" t="s">
        <v>20</v>
      </c>
      <c r="Q3265" s="6" t="s">
        <v>21</v>
      </c>
      <c r="R3265" s="6" t="s">
        <v>21</v>
      </c>
      <c r="S3265" s="6" t="s">
        <v>21</v>
      </c>
      <c r="T3265" s="6" t="s">
        <v>21</v>
      </c>
      <c r="U3265" s="6">
        <f t="shared" si="397"/>
        <v>3813.2960000000003</v>
      </c>
      <c r="V3265" s="6">
        <f t="shared" si="400"/>
        <v>3813.2960000000003</v>
      </c>
    </row>
    <row r="3266" spans="1:22" hidden="1" x14ac:dyDescent="0.35">
      <c r="A3266" s="6" t="s">
        <v>3579</v>
      </c>
      <c r="B3266" s="6" t="s">
        <v>3569</v>
      </c>
      <c r="C3266" s="6" t="s">
        <v>3570</v>
      </c>
      <c r="D3266" s="6">
        <f t="shared" si="398"/>
        <v>0.5</v>
      </c>
      <c r="E3266" s="6" t="s">
        <v>19</v>
      </c>
      <c r="F3266" s="6" t="str">
        <f>MID(A3266,19,1)</f>
        <v>S</v>
      </c>
      <c r="G3266" s="6">
        <v>-22.571750796899359</v>
      </c>
      <c r="H3266" s="6">
        <v>-47.366072288260938</v>
      </c>
      <c r="I3266" s="9">
        <v>2274.2800000000002</v>
      </c>
      <c r="K3266" s="6">
        <v>3.46</v>
      </c>
      <c r="L3266" s="6">
        <v>50</v>
      </c>
      <c r="N3266" s="1">
        <f t="shared" ref="N3266:N3329" si="401">IF(OR(R3266="Sim",S3266="Sim",T3266="Sim"),(L3266/100)*I3266,0)</f>
        <v>0</v>
      </c>
      <c r="O3266" s="6" t="s">
        <v>20</v>
      </c>
      <c r="Q3266" s="6" t="s">
        <v>21</v>
      </c>
      <c r="R3266" s="6" t="s">
        <v>21</v>
      </c>
      <c r="S3266" s="6" t="s">
        <v>21</v>
      </c>
      <c r="T3266" s="6" t="s">
        <v>21</v>
      </c>
      <c r="U3266" s="6">
        <f t="shared" si="397"/>
        <v>1137.1400000000001</v>
      </c>
      <c r="V3266" s="6">
        <f t="shared" si="400"/>
        <v>1137.1400000000001</v>
      </c>
    </row>
    <row r="3267" spans="1:22" hidden="1" x14ac:dyDescent="0.35">
      <c r="A3267" s="6" t="s">
        <v>3580</v>
      </c>
      <c r="B3267" s="6" t="s">
        <v>3569</v>
      </c>
      <c r="C3267" s="6" t="s">
        <v>3570</v>
      </c>
      <c r="D3267" s="6">
        <f t="shared" si="398"/>
        <v>0.5</v>
      </c>
      <c r="E3267" s="6" t="s">
        <v>19</v>
      </c>
      <c r="F3267" s="6" t="str">
        <f>MID(A3267,19,1)</f>
        <v>S</v>
      </c>
      <c r="G3267" s="6">
        <v>-22.5680526799589</v>
      </c>
      <c r="H3267" s="6">
        <v>-47.365625210428682</v>
      </c>
      <c r="I3267" s="9">
        <v>34.03</v>
      </c>
      <c r="K3267" s="6">
        <v>5.57</v>
      </c>
      <c r="L3267" s="6">
        <v>50</v>
      </c>
      <c r="N3267" s="1">
        <f t="shared" si="401"/>
        <v>0</v>
      </c>
      <c r="O3267" s="6" t="s">
        <v>20</v>
      </c>
      <c r="Q3267" s="6" t="s">
        <v>21</v>
      </c>
      <c r="R3267" s="6" t="s">
        <v>21</v>
      </c>
      <c r="S3267" s="6" t="s">
        <v>21</v>
      </c>
      <c r="T3267" s="6" t="s">
        <v>21</v>
      </c>
      <c r="U3267" s="6">
        <f t="shared" ref="U3267:U3330" si="402">IF(N3267=0,(I3267*(L3267/100)),0)</f>
        <v>17.015000000000001</v>
      </c>
      <c r="V3267" s="6">
        <f t="shared" si="400"/>
        <v>17.015000000000001</v>
      </c>
    </row>
    <row r="3268" spans="1:22" hidden="1" x14ac:dyDescent="0.35">
      <c r="A3268" s="6" t="s">
        <v>3581</v>
      </c>
      <c r="B3268" s="6" t="s">
        <v>3569</v>
      </c>
      <c r="C3268" s="6" t="s">
        <v>3570</v>
      </c>
      <c r="D3268" s="6">
        <f t="shared" si="398"/>
        <v>0.5</v>
      </c>
      <c r="E3268" s="6" t="s">
        <v>19</v>
      </c>
      <c r="F3268" s="6" t="str">
        <f>MID(A3268,19,1)</f>
        <v>S</v>
      </c>
      <c r="G3268" s="6">
        <v>-22.568691054938132</v>
      </c>
      <c r="H3268" s="6">
        <v>-47.365738529826807</v>
      </c>
      <c r="I3268" s="9">
        <v>457.56</v>
      </c>
      <c r="K3268" s="6">
        <v>4.08</v>
      </c>
      <c r="L3268" s="6">
        <v>50</v>
      </c>
      <c r="N3268" s="1">
        <f t="shared" si="401"/>
        <v>0</v>
      </c>
      <c r="O3268" s="6" t="s">
        <v>20</v>
      </c>
      <c r="Q3268" s="6" t="s">
        <v>21</v>
      </c>
      <c r="R3268" s="6" t="s">
        <v>21</v>
      </c>
      <c r="S3268" s="6" t="s">
        <v>21</v>
      </c>
      <c r="T3268" s="6" t="s">
        <v>21</v>
      </c>
      <c r="U3268" s="6">
        <f t="shared" si="402"/>
        <v>228.78</v>
      </c>
      <c r="V3268" s="6">
        <f t="shared" si="400"/>
        <v>228.78</v>
      </c>
    </row>
    <row r="3269" spans="1:22" x14ac:dyDescent="0.35">
      <c r="A3269" s="6" t="s">
        <v>3582</v>
      </c>
      <c r="B3269" s="6" t="s">
        <v>3569</v>
      </c>
      <c r="C3269" s="6" t="s">
        <v>3570</v>
      </c>
      <c r="D3269" s="6">
        <f t="shared" si="398"/>
        <v>0.5</v>
      </c>
      <c r="E3269" s="6" t="s">
        <v>19</v>
      </c>
      <c r="F3269" s="6" t="str">
        <f>MID(A3269,19,1)</f>
        <v>N</v>
      </c>
      <c r="G3269" s="6">
        <v>-22.56532622888999</v>
      </c>
      <c r="H3269" s="6">
        <v>-47.36603113886747</v>
      </c>
      <c r="I3269" s="9">
        <v>166.71</v>
      </c>
      <c r="K3269" s="6">
        <v>5.56</v>
      </c>
      <c r="L3269" s="6">
        <v>50</v>
      </c>
      <c r="N3269" s="1">
        <f t="shared" si="401"/>
        <v>0</v>
      </c>
      <c r="O3269" s="6" t="s">
        <v>20</v>
      </c>
      <c r="Q3269" s="6" t="s">
        <v>21</v>
      </c>
      <c r="R3269" s="6" t="s">
        <v>21</v>
      </c>
      <c r="S3269" s="6" t="s">
        <v>21</v>
      </c>
      <c r="T3269" s="6" t="s">
        <v>21</v>
      </c>
      <c r="U3269" s="6">
        <f t="shared" si="402"/>
        <v>83.355000000000004</v>
      </c>
      <c r="V3269" s="6">
        <f t="shared" si="400"/>
        <v>83.355000000000004</v>
      </c>
    </row>
    <row r="3270" spans="1:22" x14ac:dyDescent="0.35">
      <c r="A3270" s="6" t="s">
        <v>3583</v>
      </c>
      <c r="B3270" s="6" t="s">
        <v>3569</v>
      </c>
      <c r="C3270" s="6" t="s">
        <v>3570</v>
      </c>
      <c r="D3270" s="6">
        <f t="shared" si="398"/>
        <v>0.5</v>
      </c>
      <c r="E3270" s="6" t="s">
        <v>19</v>
      </c>
      <c r="F3270" s="6" t="str">
        <f>MID(A3270,19,1)</f>
        <v>N</v>
      </c>
      <c r="G3270" s="6">
        <v>-22.567286729217269</v>
      </c>
      <c r="H3270" s="6">
        <v>-47.366095228822537</v>
      </c>
      <c r="I3270" s="9">
        <v>1666.39</v>
      </c>
      <c r="K3270" s="6">
        <v>4.72</v>
      </c>
      <c r="L3270" s="6">
        <v>50</v>
      </c>
      <c r="N3270" s="1">
        <f t="shared" si="401"/>
        <v>0</v>
      </c>
      <c r="O3270" s="6" t="s">
        <v>20</v>
      </c>
      <c r="Q3270" s="6" t="s">
        <v>21</v>
      </c>
      <c r="R3270" s="6" t="s">
        <v>21</v>
      </c>
      <c r="S3270" s="6" t="s">
        <v>21</v>
      </c>
      <c r="T3270" s="6" t="s">
        <v>21</v>
      </c>
      <c r="U3270" s="6">
        <f t="shared" si="402"/>
        <v>833.19500000000005</v>
      </c>
      <c r="V3270" s="6">
        <f t="shared" si="400"/>
        <v>833.19500000000005</v>
      </c>
    </row>
    <row r="3271" spans="1:22" x14ac:dyDescent="0.35">
      <c r="A3271" s="6" t="s">
        <v>3584</v>
      </c>
      <c r="B3271" s="6" t="s">
        <v>3569</v>
      </c>
      <c r="C3271" s="6" t="s">
        <v>3570</v>
      </c>
      <c r="D3271" s="6">
        <f t="shared" si="398"/>
        <v>0.5</v>
      </c>
      <c r="E3271" s="6" t="s">
        <v>19</v>
      </c>
      <c r="F3271" s="6" t="str">
        <f>MID(A3271,19,1)</f>
        <v>N</v>
      </c>
      <c r="G3271" s="6">
        <v>-22.678265758343361</v>
      </c>
      <c r="H3271" s="6">
        <v>-47.442150132366883</v>
      </c>
      <c r="I3271" s="9">
        <v>2098.23</v>
      </c>
      <c r="K3271" s="6">
        <v>6.42</v>
      </c>
      <c r="L3271" s="6">
        <v>70</v>
      </c>
      <c r="N3271" s="1">
        <f t="shared" si="401"/>
        <v>0</v>
      </c>
      <c r="O3271" s="6" t="s">
        <v>20</v>
      </c>
      <c r="Q3271" s="6" t="s">
        <v>21</v>
      </c>
      <c r="R3271" s="6" t="s">
        <v>21</v>
      </c>
      <c r="S3271" s="6" t="s">
        <v>21</v>
      </c>
      <c r="T3271" s="6" t="s">
        <v>21</v>
      </c>
      <c r="U3271" s="6">
        <f t="shared" si="402"/>
        <v>1468.761</v>
      </c>
      <c r="V3271" s="6">
        <f t="shared" si="400"/>
        <v>1468.761</v>
      </c>
    </row>
    <row r="3272" spans="1:22" x14ac:dyDescent="0.35">
      <c r="A3272" s="6" t="s">
        <v>3585</v>
      </c>
      <c r="B3272" s="6" t="s">
        <v>3586</v>
      </c>
      <c r="C3272" s="6" t="s">
        <v>3587</v>
      </c>
      <c r="D3272" s="6">
        <f t="shared" si="398"/>
        <v>0.5</v>
      </c>
      <c r="E3272" s="6" t="s">
        <v>19</v>
      </c>
      <c r="F3272" s="6" t="str">
        <f>MID(A3272,19,1)</f>
        <v>N</v>
      </c>
      <c r="G3272" s="6">
        <v>-22.55717885493252</v>
      </c>
      <c r="H3272" s="6">
        <v>-47.36817668774485</v>
      </c>
      <c r="I3272" s="9">
        <v>529.41999999999996</v>
      </c>
      <c r="K3272" s="6">
        <v>4.72</v>
      </c>
      <c r="L3272" s="6">
        <v>50</v>
      </c>
      <c r="N3272" s="1">
        <f t="shared" si="401"/>
        <v>0</v>
      </c>
      <c r="O3272" s="6" t="s">
        <v>20</v>
      </c>
      <c r="Q3272" s="6" t="s">
        <v>21</v>
      </c>
      <c r="R3272" s="6" t="s">
        <v>21</v>
      </c>
      <c r="S3272" s="6" t="s">
        <v>21</v>
      </c>
      <c r="T3272" s="6" t="s">
        <v>21</v>
      </c>
      <c r="U3272" s="6">
        <f t="shared" si="402"/>
        <v>264.70999999999998</v>
      </c>
      <c r="V3272" s="6">
        <f t="shared" si="400"/>
        <v>264.70999999999998</v>
      </c>
    </row>
    <row r="3273" spans="1:22" x14ac:dyDescent="0.35">
      <c r="A3273" s="6" t="s">
        <v>3588</v>
      </c>
      <c r="B3273" s="6" t="s">
        <v>3586</v>
      </c>
      <c r="C3273" s="6" t="s">
        <v>3587</v>
      </c>
      <c r="D3273" s="6">
        <f t="shared" si="398"/>
        <v>0.5</v>
      </c>
      <c r="E3273" s="6" t="s">
        <v>19</v>
      </c>
      <c r="F3273" s="6" t="str">
        <f>MID(A3273,19,1)</f>
        <v>N</v>
      </c>
      <c r="G3273" s="6">
        <v>-22.66972433988466</v>
      </c>
      <c r="H3273" s="6">
        <v>-47.446556887422773</v>
      </c>
      <c r="I3273" s="9">
        <v>1870.26</v>
      </c>
      <c r="K3273" s="6">
        <v>4.8499999999999996</v>
      </c>
      <c r="L3273" s="6">
        <v>70</v>
      </c>
      <c r="N3273" s="1">
        <f t="shared" si="401"/>
        <v>0</v>
      </c>
      <c r="O3273" s="6" t="s">
        <v>20</v>
      </c>
      <c r="Q3273" s="6" t="s">
        <v>21</v>
      </c>
      <c r="R3273" s="6" t="s">
        <v>21</v>
      </c>
      <c r="S3273" s="6" t="s">
        <v>21</v>
      </c>
      <c r="T3273" s="6" t="s">
        <v>21</v>
      </c>
      <c r="U3273" s="6">
        <f t="shared" si="402"/>
        <v>1309.182</v>
      </c>
      <c r="V3273" s="6">
        <f t="shared" si="400"/>
        <v>1309.182</v>
      </c>
    </row>
    <row r="3274" spans="1:22" x14ac:dyDescent="0.35">
      <c r="A3274" s="6" t="s">
        <v>3589</v>
      </c>
      <c r="B3274" s="6" t="s">
        <v>3586</v>
      </c>
      <c r="C3274" s="6" t="s">
        <v>3587</v>
      </c>
      <c r="D3274" s="6">
        <f t="shared" si="398"/>
        <v>0.5</v>
      </c>
      <c r="E3274" s="6" t="s">
        <v>19</v>
      </c>
      <c r="F3274" s="6" t="str">
        <f>MID(A3274,19,1)</f>
        <v>N</v>
      </c>
      <c r="G3274" s="6">
        <v>-22.673860342829659</v>
      </c>
      <c r="H3274" s="6">
        <v>-47.444394738875957</v>
      </c>
      <c r="I3274" s="9">
        <v>1888.32</v>
      </c>
      <c r="K3274" s="6">
        <v>5.19</v>
      </c>
      <c r="L3274" s="6">
        <v>70</v>
      </c>
      <c r="N3274" s="1">
        <f t="shared" si="401"/>
        <v>0</v>
      </c>
      <c r="O3274" s="6" t="s">
        <v>20</v>
      </c>
      <c r="Q3274" s="6" t="s">
        <v>21</v>
      </c>
      <c r="R3274" s="6" t="s">
        <v>21</v>
      </c>
      <c r="S3274" s="6" t="s">
        <v>21</v>
      </c>
      <c r="T3274" s="6" t="s">
        <v>21</v>
      </c>
      <c r="U3274" s="6">
        <f t="shared" si="402"/>
        <v>1321.8239999999998</v>
      </c>
      <c r="V3274" s="6">
        <f t="shared" si="400"/>
        <v>1321.8239999999998</v>
      </c>
    </row>
    <row r="3275" spans="1:22" hidden="1" x14ac:dyDescent="0.35">
      <c r="A3275" s="6" t="s">
        <v>3590</v>
      </c>
      <c r="B3275" s="6" t="s">
        <v>3586</v>
      </c>
      <c r="C3275" s="6" t="s">
        <v>3587</v>
      </c>
      <c r="D3275" s="6">
        <f t="shared" si="398"/>
        <v>0.5</v>
      </c>
      <c r="E3275" s="6" t="s">
        <v>23</v>
      </c>
      <c r="F3275" s="6" t="str">
        <f>MID(A3275,19,1)</f>
        <v>C</v>
      </c>
      <c r="G3275" s="6">
        <v>-22.55914709656658</v>
      </c>
      <c r="H3275" s="6">
        <v>-47.366961688853827</v>
      </c>
      <c r="I3275" s="9">
        <v>1174.1500000000001</v>
      </c>
      <c r="J3275" s="9">
        <f t="shared" ref="J3275:J3276" si="403">I3275/500</f>
        <v>2.3483000000000001</v>
      </c>
      <c r="K3275" s="6">
        <v>3.24</v>
      </c>
      <c r="L3275" s="6">
        <v>0</v>
      </c>
      <c r="N3275" s="1">
        <f t="shared" si="401"/>
        <v>0</v>
      </c>
      <c r="Q3275" s="6" t="s">
        <v>21</v>
      </c>
      <c r="R3275" s="6" t="s">
        <v>21</v>
      </c>
      <c r="S3275" s="6" t="s">
        <v>21</v>
      </c>
      <c r="T3275" s="6" t="s">
        <v>21</v>
      </c>
      <c r="U3275" s="6">
        <f t="shared" si="402"/>
        <v>0</v>
      </c>
      <c r="V3275" s="6">
        <f t="shared" si="400"/>
        <v>0</v>
      </c>
    </row>
    <row r="3276" spans="1:22" hidden="1" x14ac:dyDescent="0.35">
      <c r="A3276" s="6" t="s">
        <v>3591</v>
      </c>
      <c r="B3276" s="6" t="s">
        <v>3586</v>
      </c>
      <c r="C3276" s="6" t="s">
        <v>3587</v>
      </c>
      <c r="D3276" s="6">
        <f t="shared" si="398"/>
        <v>0.5</v>
      </c>
      <c r="E3276" s="6" t="s">
        <v>23</v>
      </c>
      <c r="F3276" s="6" t="str">
        <f>MID(A3276,19,1)</f>
        <v>C</v>
      </c>
      <c r="G3276" s="6">
        <v>-22.562960369816579</v>
      </c>
      <c r="H3276" s="6">
        <v>-47.365964586567657</v>
      </c>
      <c r="I3276" s="9">
        <v>1972.42</v>
      </c>
      <c r="J3276" s="9">
        <f t="shared" si="403"/>
        <v>3.9448400000000001</v>
      </c>
      <c r="K3276" s="6">
        <v>4.41</v>
      </c>
      <c r="L3276" s="6">
        <v>0</v>
      </c>
      <c r="N3276" s="1">
        <f t="shared" si="401"/>
        <v>0</v>
      </c>
      <c r="Q3276" s="6" t="s">
        <v>21</v>
      </c>
      <c r="R3276" s="6" t="s">
        <v>21</v>
      </c>
      <c r="S3276" s="6" t="s">
        <v>21</v>
      </c>
      <c r="T3276" s="6" t="s">
        <v>21</v>
      </c>
      <c r="U3276" s="6">
        <f t="shared" si="402"/>
        <v>0</v>
      </c>
      <c r="V3276" s="6">
        <f t="shared" si="400"/>
        <v>0</v>
      </c>
    </row>
    <row r="3277" spans="1:22" x14ac:dyDescent="0.35">
      <c r="A3277" s="6" t="s">
        <v>3592</v>
      </c>
      <c r="B3277" s="6" t="s">
        <v>3586</v>
      </c>
      <c r="C3277" s="6" t="s">
        <v>3587</v>
      </c>
      <c r="D3277" s="6">
        <f t="shared" si="398"/>
        <v>0.5</v>
      </c>
      <c r="E3277" s="6" t="s">
        <v>19</v>
      </c>
      <c r="F3277" s="6" t="str">
        <f>MID(A3277,19,1)</f>
        <v>N</v>
      </c>
      <c r="G3277" s="6">
        <v>-22.560430563559301</v>
      </c>
      <c r="H3277" s="6">
        <v>-47.366667031424427</v>
      </c>
      <c r="I3277" s="9">
        <v>110.66</v>
      </c>
      <c r="K3277" s="6">
        <v>1.57</v>
      </c>
      <c r="L3277" s="6">
        <v>50</v>
      </c>
      <c r="N3277" s="1">
        <f t="shared" si="401"/>
        <v>0</v>
      </c>
      <c r="O3277" s="6" t="s">
        <v>20</v>
      </c>
      <c r="Q3277" s="6" t="s">
        <v>21</v>
      </c>
      <c r="R3277" s="6" t="s">
        <v>21</v>
      </c>
      <c r="S3277" s="6" t="s">
        <v>21</v>
      </c>
      <c r="T3277" s="6" t="s">
        <v>21</v>
      </c>
      <c r="U3277" s="6">
        <f t="shared" si="402"/>
        <v>55.33</v>
      </c>
      <c r="V3277" s="6">
        <f t="shared" si="400"/>
        <v>55.33</v>
      </c>
    </row>
    <row r="3278" spans="1:22" hidden="1" x14ac:dyDescent="0.35">
      <c r="A3278" s="6" t="s">
        <v>3593</v>
      </c>
      <c r="B3278" s="6" t="s">
        <v>3586</v>
      </c>
      <c r="C3278" s="6" t="s">
        <v>3587</v>
      </c>
      <c r="D3278" s="6">
        <f t="shared" ref="D3278:D3341" si="404">C3278-B3278</f>
        <v>0.5</v>
      </c>
      <c r="E3278" s="6" t="s">
        <v>23</v>
      </c>
      <c r="F3278" s="6" t="str">
        <f>MID(A3278,19,1)</f>
        <v>C</v>
      </c>
      <c r="G3278" s="6">
        <v>-22.557051170274761</v>
      </c>
      <c r="H3278" s="6">
        <v>-47.368033338503118</v>
      </c>
      <c r="I3278" s="9">
        <v>448.29</v>
      </c>
      <c r="J3278" s="9">
        <f>I3278/500</f>
        <v>0.89658000000000004</v>
      </c>
      <c r="K3278" s="6">
        <v>6.26</v>
      </c>
      <c r="L3278" s="6">
        <v>0</v>
      </c>
      <c r="N3278" s="1">
        <f t="shared" si="401"/>
        <v>0</v>
      </c>
      <c r="Q3278" s="6" t="s">
        <v>21</v>
      </c>
      <c r="R3278" s="6" t="s">
        <v>21</v>
      </c>
      <c r="S3278" s="6" t="s">
        <v>21</v>
      </c>
      <c r="T3278" s="6" t="s">
        <v>21</v>
      </c>
      <c r="U3278" s="6">
        <f t="shared" si="402"/>
        <v>0</v>
      </c>
      <c r="V3278" s="6">
        <f t="shared" si="400"/>
        <v>0</v>
      </c>
    </row>
    <row r="3279" spans="1:22" hidden="1" x14ac:dyDescent="0.35">
      <c r="A3279" s="6" t="s">
        <v>3594</v>
      </c>
      <c r="B3279" s="6" t="s">
        <v>3586</v>
      </c>
      <c r="C3279" s="6" t="s">
        <v>3587</v>
      </c>
      <c r="D3279" s="6">
        <f t="shared" si="404"/>
        <v>0.5</v>
      </c>
      <c r="E3279" s="6" t="s">
        <v>19</v>
      </c>
      <c r="F3279" s="6" t="str">
        <f>MID(A3279,19,1)</f>
        <v>S</v>
      </c>
      <c r="G3279" s="6">
        <v>-22.5585556246359</v>
      </c>
      <c r="H3279" s="6">
        <v>-47.366975749897342</v>
      </c>
      <c r="I3279" s="9">
        <v>1112.82</v>
      </c>
      <c r="K3279" s="6">
        <v>4.3899999999999997</v>
      </c>
      <c r="L3279" s="6">
        <v>50</v>
      </c>
      <c r="N3279" s="1">
        <f t="shared" si="401"/>
        <v>0</v>
      </c>
      <c r="O3279" s="6" t="s">
        <v>20</v>
      </c>
      <c r="Q3279" s="6" t="s">
        <v>21</v>
      </c>
      <c r="R3279" s="6" t="s">
        <v>21</v>
      </c>
      <c r="S3279" s="6" t="s">
        <v>21</v>
      </c>
      <c r="T3279" s="6" t="s">
        <v>21</v>
      </c>
      <c r="U3279" s="6">
        <f t="shared" si="402"/>
        <v>556.41</v>
      </c>
      <c r="V3279" s="6">
        <f t="shared" si="400"/>
        <v>556.41</v>
      </c>
    </row>
    <row r="3280" spans="1:22" hidden="1" x14ac:dyDescent="0.35">
      <c r="A3280" s="6" t="s">
        <v>3595</v>
      </c>
      <c r="B3280" s="6" t="s">
        <v>3586</v>
      </c>
      <c r="C3280" s="6" t="s">
        <v>3587</v>
      </c>
      <c r="D3280" s="6">
        <f t="shared" si="404"/>
        <v>0.5</v>
      </c>
      <c r="E3280" s="6" t="s">
        <v>23</v>
      </c>
      <c r="F3280" s="6" t="str">
        <f>MID(A3280,19,1)</f>
        <v>C</v>
      </c>
      <c r="G3280" s="6">
        <v>-22.669804803601</v>
      </c>
      <c r="H3280" s="6">
        <v>-47.446720781260808</v>
      </c>
      <c r="I3280" s="9">
        <v>6128.92</v>
      </c>
      <c r="J3280" s="9">
        <f t="shared" ref="J3280:J3281" si="405">I3280/500</f>
        <v>12.25784</v>
      </c>
      <c r="K3280" s="6">
        <v>5.07</v>
      </c>
      <c r="L3280" s="6">
        <v>80</v>
      </c>
      <c r="N3280" s="1">
        <f t="shared" si="401"/>
        <v>0</v>
      </c>
      <c r="O3280" s="6" t="s">
        <v>20</v>
      </c>
      <c r="Q3280" s="6" t="s">
        <v>21</v>
      </c>
      <c r="R3280" s="6" t="s">
        <v>21</v>
      </c>
      <c r="S3280" s="6" t="s">
        <v>21</v>
      </c>
      <c r="T3280" s="6" t="s">
        <v>21</v>
      </c>
      <c r="U3280" s="6">
        <f t="shared" si="402"/>
        <v>4903.1360000000004</v>
      </c>
      <c r="V3280" s="6">
        <f t="shared" si="400"/>
        <v>4903.1360000000004</v>
      </c>
    </row>
    <row r="3281" spans="1:22" hidden="1" x14ac:dyDescent="0.35">
      <c r="A3281" s="6" t="s">
        <v>3596</v>
      </c>
      <c r="B3281" s="6" t="s">
        <v>3586</v>
      </c>
      <c r="C3281" s="6" t="s">
        <v>3587</v>
      </c>
      <c r="D3281" s="6">
        <f t="shared" si="404"/>
        <v>0.5</v>
      </c>
      <c r="E3281" s="6" t="s">
        <v>23</v>
      </c>
      <c r="F3281" s="6" t="str">
        <f>MID(A3281,19,1)</f>
        <v>C</v>
      </c>
      <c r="G3281" s="6">
        <v>-22.6739397965144</v>
      </c>
      <c r="H3281" s="6">
        <v>-47.444560372727288</v>
      </c>
      <c r="I3281" s="9">
        <v>5920.69</v>
      </c>
      <c r="J3281" s="9">
        <f t="shared" si="405"/>
        <v>11.841379999999999</v>
      </c>
      <c r="K3281" s="6">
        <v>4.29</v>
      </c>
      <c r="L3281" s="6">
        <v>80</v>
      </c>
      <c r="N3281" s="1">
        <f t="shared" si="401"/>
        <v>0</v>
      </c>
      <c r="O3281" s="6" t="s">
        <v>20</v>
      </c>
      <c r="Q3281" s="6" t="s">
        <v>21</v>
      </c>
      <c r="R3281" s="6" t="s">
        <v>21</v>
      </c>
      <c r="S3281" s="6" t="s">
        <v>21</v>
      </c>
      <c r="T3281" s="6" t="s">
        <v>21</v>
      </c>
      <c r="U3281" s="6">
        <f t="shared" si="402"/>
        <v>4736.5519999999997</v>
      </c>
      <c r="V3281" s="6">
        <f t="shared" si="400"/>
        <v>4736.5519999999997</v>
      </c>
    </row>
    <row r="3282" spans="1:22" hidden="1" x14ac:dyDescent="0.35">
      <c r="A3282" s="6" t="s">
        <v>3597</v>
      </c>
      <c r="B3282" s="6" t="s">
        <v>3586</v>
      </c>
      <c r="C3282" s="6" t="s">
        <v>3587</v>
      </c>
      <c r="D3282" s="6">
        <f t="shared" si="404"/>
        <v>0.5</v>
      </c>
      <c r="E3282" s="6" t="s">
        <v>19</v>
      </c>
      <c r="F3282" s="6" t="str">
        <f>MID(A3282,19,1)</f>
        <v>S</v>
      </c>
      <c r="G3282" s="6">
        <v>-22.563895235388159</v>
      </c>
      <c r="H3282" s="6">
        <v>-47.365609582427552</v>
      </c>
      <c r="I3282" s="9">
        <v>1269.48</v>
      </c>
      <c r="K3282" s="6">
        <v>4.72</v>
      </c>
      <c r="L3282" s="6">
        <v>50</v>
      </c>
      <c r="N3282" s="1">
        <f t="shared" si="401"/>
        <v>0</v>
      </c>
      <c r="O3282" s="6" t="s">
        <v>20</v>
      </c>
      <c r="Q3282" s="6" t="s">
        <v>21</v>
      </c>
      <c r="R3282" s="6" t="s">
        <v>21</v>
      </c>
      <c r="S3282" s="6" t="s">
        <v>21</v>
      </c>
      <c r="T3282" s="6" t="s">
        <v>21</v>
      </c>
      <c r="U3282" s="6">
        <f t="shared" si="402"/>
        <v>634.74</v>
      </c>
      <c r="V3282" s="6">
        <f t="shared" si="400"/>
        <v>634.74</v>
      </c>
    </row>
    <row r="3283" spans="1:22" hidden="1" x14ac:dyDescent="0.35">
      <c r="A3283" s="6" t="s">
        <v>3598</v>
      </c>
      <c r="B3283" s="6" t="s">
        <v>3586</v>
      </c>
      <c r="C3283" s="6" t="s">
        <v>3587</v>
      </c>
      <c r="D3283" s="6">
        <f t="shared" si="404"/>
        <v>0.5</v>
      </c>
      <c r="E3283" s="6" t="s">
        <v>19</v>
      </c>
      <c r="F3283" s="6" t="str">
        <f>MID(A3283,19,1)</f>
        <v>S</v>
      </c>
      <c r="G3283" s="6">
        <v>-22.562422546687369</v>
      </c>
      <c r="H3283" s="6">
        <v>-47.365769476041358</v>
      </c>
      <c r="I3283" s="9">
        <v>414.94</v>
      </c>
      <c r="K3283" s="6">
        <v>4.21</v>
      </c>
      <c r="L3283" s="6">
        <v>50</v>
      </c>
      <c r="N3283" s="1">
        <f t="shared" si="401"/>
        <v>0</v>
      </c>
      <c r="O3283" s="6" t="s">
        <v>20</v>
      </c>
      <c r="Q3283" s="6" t="s">
        <v>21</v>
      </c>
      <c r="R3283" s="6" t="s">
        <v>21</v>
      </c>
      <c r="S3283" s="6" t="s">
        <v>21</v>
      </c>
      <c r="T3283" s="6" t="s">
        <v>21</v>
      </c>
      <c r="U3283" s="6">
        <f t="shared" si="402"/>
        <v>207.47</v>
      </c>
      <c r="V3283" s="6">
        <f t="shared" si="400"/>
        <v>207.47</v>
      </c>
    </row>
    <row r="3284" spans="1:22" hidden="1" x14ac:dyDescent="0.35">
      <c r="A3284" s="6" t="s">
        <v>3599</v>
      </c>
      <c r="B3284" s="6" t="s">
        <v>3586</v>
      </c>
      <c r="C3284" s="6" t="s">
        <v>3587</v>
      </c>
      <c r="D3284" s="6">
        <f t="shared" si="404"/>
        <v>0.5</v>
      </c>
      <c r="E3284" s="6" t="s">
        <v>19</v>
      </c>
      <c r="F3284" s="6" t="str">
        <f>MID(A3284,19,1)</f>
        <v>S</v>
      </c>
      <c r="G3284" s="6">
        <v>-22.562158464851041</v>
      </c>
      <c r="H3284" s="6">
        <v>-47.365669321778022</v>
      </c>
      <c r="I3284" s="9">
        <v>0.08</v>
      </c>
      <c r="K3284" s="6">
        <v>3.66</v>
      </c>
      <c r="L3284" s="6">
        <v>50</v>
      </c>
      <c r="N3284" s="1">
        <f t="shared" si="401"/>
        <v>0</v>
      </c>
      <c r="O3284" s="6" t="s">
        <v>20</v>
      </c>
      <c r="Q3284" s="6" t="s">
        <v>21</v>
      </c>
      <c r="R3284" s="6" t="s">
        <v>21</v>
      </c>
      <c r="S3284" s="6" t="s">
        <v>21</v>
      </c>
      <c r="T3284" s="6" t="s">
        <v>21</v>
      </c>
      <c r="U3284" s="6">
        <f t="shared" si="402"/>
        <v>0.04</v>
      </c>
      <c r="V3284" s="6">
        <f t="shared" si="400"/>
        <v>0.04</v>
      </c>
    </row>
    <row r="3285" spans="1:22" x14ac:dyDescent="0.35">
      <c r="A3285" s="6" t="s">
        <v>3600</v>
      </c>
      <c r="B3285" s="6" t="s">
        <v>3586</v>
      </c>
      <c r="C3285" s="6" t="s">
        <v>3587</v>
      </c>
      <c r="D3285" s="6">
        <f t="shared" si="404"/>
        <v>0.5</v>
      </c>
      <c r="E3285" s="6" t="s">
        <v>19</v>
      </c>
      <c r="F3285" s="6" t="str">
        <f>MID(A3285,19,1)</f>
        <v>N</v>
      </c>
      <c r="G3285" s="6">
        <v>-22.562880107657509</v>
      </c>
      <c r="H3285" s="6">
        <v>-47.366152888190129</v>
      </c>
      <c r="I3285" s="9">
        <v>2121.1</v>
      </c>
      <c r="K3285" s="6">
        <v>3.59</v>
      </c>
      <c r="L3285" s="6">
        <v>50</v>
      </c>
      <c r="N3285" s="1">
        <f t="shared" si="401"/>
        <v>0</v>
      </c>
      <c r="O3285" s="6" t="s">
        <v>20</v>
      </c>
      <c r="Q3285" s="6" t="s">
        <v>21</v>
      </c>
      <c r="R3285" s="6" t="s">
        <v>21</v>
      </c>
      <c r="S3285" s="6" t="s">
        <v>21</v>
      </c>
      <c r="T3285" s="6" t="s">
        <v>21</v>
      </c>
      <c r="U3285" s="6">
        <f t="shared" si="402"/>
        <v>1060.55</v>
      </c>
      <c r="V3285" s="6">
        <f t="shared" si="400"/>
        <v>1060.55</v>
      </c>
    </row>
    <row r="3286" spans="1:22" hidden="1" x14ac:dyDescent="0.35">
      <c r="A3286" s="6" t="s">
        <v>3601</v>
      </c>
      <c r="B3286" s="6" t="s">
        <v>3586</v>
      </c>
      <c r="C3286" s="6" t="s">
        <v>3587</v>
      </c>
      <c r="D3286" s="6">
        <f t="shared" si="404"/>
        <v>0.5</v>
      </c>
      <c r="E3286" s="6" t="s">
        <v>19</v>
      </c>
      <c r="F3286" s="6" t="str">
        <f>MID(A3286,19,1)</f>
        <v>S</v>
      </c>
      <c r="G3286" s="6">
        <v>-22.561289541960971</v>
      </c>
      <c r="H3286" s="6">
        <v>-47.366025118937429</v>
      </c>
      <c r="I3286" s="9">
        <v>826.13</v>
      </c>
      <c r="K3286" s="6">
        <v>4.75</v>
      </c>
      <c r="L3286" s="6">
        <v>50</v>
      </c>
      <c r="N3286" s="1">
        <f t="shared" si="401"/>
        <v>0</v>
      </c>
      <c r="O3286" s="6" t="s">
        <v>20</v>
      </c>
      <c r="Q3286" s="6" t="s">
        <v>21</v>
      </c>
      <c r="R3286" s="6" t="s">
        <v>21</v>
      </c>
      <c r="S3286" s="6" t="s">
        <v>21</v>
      </c>
      <c r="T3286" s="6" t="s">
        <v>21</v>
      </c>
      <c r="U3286" s="6">
        <f t="shared" si="402"/>
        <v>413.065</v>
      </c>
      <c r="V3286" s="6">
        <f t="shared" si="400"/>
        <v>413.065</v>
      </c>
    </row>
    <row r="3287" spans="1:22" hidden="1" x14ac:dyDescent="0.35">
      <c r="A3287" s="6" t="s">
        <v>3602</v>
      </c>
      <c r="B3287" s="6" t="s">
        <v>3586</v>
      </c>
      <c r="C3287" s="6" t="s">
        <v>3587</v>
      </c>
      <c r="D3287" s="6">
        <f t="shared" si="404"/>
        <v>0.5</v>
      </c>
      <c r="E3287" s="6" t="s">
        <v>19</v>
      </c>
      <c r="F3287" s="6" t="str">
        <f>MID(A3287,19,1)</f>
        <v>S</v>
      </c>
      <c r="G3287" s="6">
        <v>-22.55995890089315</v>
      </c>
      <c r="H3287" s="6">
        <v>-47.366392394754108</v>
      </c>
      <c r="I3287" s="9">
        <v>493.11</v>
      </c>
      <c r="K3287" s="6">
        <v>2.56</v>
      </c>
      <c r="L3287" s="6">
        <v>50</v>
      </c>
      <c r="N3287" s="1">
        <f t="shared" si="401"/>
        <v>0</v>
      </c>
      <c r="O3287" s="6" t="s">
        <v>20</v>
      </c>
      <c r="Q3287" s="6" t="s">
        <v>21</v>
      </c>
      <c r="R3287" s="6" t="s">
        <v>21</v>
      </c>
      <c r="S3287" s="6" t="s">
        <v>21</v>
      </c>
      <c r="T3287" s="6" t="s">
        <v>21</v>
      </c>
      <c r="U3287" s="6">
        <f t="shared" si="402"/>
        <v>246.55500000000001</v>
      </c>
      <c r="V3287" s="6">
        <f t="shared" si="400"/>
        <v>246.55500000000001</v>
      </c>
    </row>
    <row r="3288" spans="1:22" x14ac:dyDescent="0.35">
      <c r="A3288" s="6" t="s">
        <v>3603</v>
      </c>
      <c r="B3288" s="6" t="s">
        <v>3586</v>
      </c>
      <c r="C3288" s="6" t="s">
        <v>3587</v>
      </c>
      <c r="D3288" s="6">
        <f t="shared" si="404"/>
        <v>0.5</v>
      </c>
      <c r="E3288" s="6" t="s">
        <v>19</v>
      </c>
      <c r="F3288" s="6" t="str">
        <f>MID(A3288,19,1)</f>
        <v>N</v>
      </c>
      <c r="G3288" s="6">
        <v>-22.559152803399609</v>
      </c>
      <c r="H3288" s="6">
        <v>-47.367149429260913</v>
      </c>
      <c r="I3288" s="9">
        <v>560.67999999999995</v>
      </c>
      <c r="K3288" s="6">
        <v>2.84</v>
      </c>
      <c r="L3288" s="6">
        <v>50</v>
      </c>
      <c r="N3288" s="1">
        <f t="shared" si="401"/>
        <v>0</v>
      </c>
      <c r="O3288" s="6" t="s">
        <v>20</v>
      </c>
      <c r="Q3288" s="6" t="s">
        <v>21</v>
      </c>
      <c r="R3288" s="6" t="s">
        <v>21</v>
      </c>
      <c r="S3288" s="6" t="s">
        <v>21</v>
      </c>
      <c r="T3288" s="6" t="s">
        <v>21</v>
      </c>
      <c r="U3288" s="6">
        <f t="shared" si="402"/>
        <v>280.33999999999997</v>
      </c>
      <c r="V3288" s="6">
        <f t="shared" si="400"/>
        <v>280.33999999999997</v>
      </c>
    </row>
    <row r="3289" spans="1:22" x14ac:dyDescent="0.35">
      <c r="A3289" s="6" t="s">
        <v>3604</v>
      </c>
      <c r="B3289" s="6" t="s">
        <v>3586</v>
      </c>
      <c r="C3289" s="6" t="s">
        <v>3587</v>
      </c>
      <c r="D3289" s="6">
        <f t="shared" si="404"/>
        <v>0.5</v>
      </c>
      <c r="E3289" s="6" t="s">
        <v>19</v>
      </c>
      <c r="F3289" s="6" t="str">
        <f>MID(A3289,19,1)</f>
        <v>N</v>
      </c>
      <c r="G3289" s="6">
        <v>-22.558117553829181</v>
      </c>
      <c r="H3289" s="6">
        <v>-47.367671300278033</v>
      </c>
      <c r="I3289" s="9">
        <v>464.03</v>
      </c>
      <c r="K3289" s="6">
        <v>2.4700000000000002</v>
      </c>
      <c r="L3289" s="6">
        <v>50</v>
      </c>
      <c r="N3289" s="1">
        <f t="shared" si="401"/>
        <v>0</v>
      </c>
      <c r="O3289" s="6" t="s">
        <v>20</v>
      </c>
      <c r="Q3289" s="6" t="s">
        <v>21</v>
      </c>
      <c r="R3289" s="6" t="s">
        <v>21</v>
      </c>
      <c r="S3289" s="6" t="s">
        <v>21</v>
      </c>
      <c r="T3289" s="6" t="s">
        <v>21</v>
      </c>
      <c r="U3289" s="6">
        <f t="shared" si="402"/>
        <v>232.01499999999999</v>
      </c>
      <c r="V3289" s="6">
        <f t="shared" si="400"/>
        <v>232.01499999999999</v>
      </c>
    </row>
    <row r="3290" spans="1:22" hidden="1" x14ac:dyDescent="0.35">
      <c r="A3290" s="6" t="s">
        <v>3605</v>
      </c>
      <c r="B3290" s="6" t="s">
        <v>3586</v>
      </c>
      <c r="C3290" s="6" t="s">
        <v>3587</v>
      </c>
      <c r="D3290" s="6">
        <f t="shared" si="404"/>
        <v>0.5</v>
      </c>
      <c r="E3290" s="6" t="s">
        <v>19</v>
      </c>
      <c r="F3290" s="6" t="str">
        <f>MID(A3290,19,1)</f>
        <v>S</v>
      </c>
      <c r="G3290" s="6">
        <v>-22.557072191558021</v>
      </c>
      <c r="H3290" s="6">
        <v>-47.367622069175383</v>
      </c>
      <c r="I3290" s="9">
        <v>265.5</v>
      </c>
      <c r="K3290" s="6">
        <v>5.66</v>
      </c>
      <c r="L3290" s="6">
        <v>50</v>
      </c>
      <c r="N3290" s="1">
        <f t="shared" si="401"/>
        <v>0</v>
      </c>
      <c r="O3290" s="6" t="s">
        <v>20</v>
      </c>
      <c r="Q3290" s="6" t="s">
        <v>21</v>
      </c>
      <c r="R3290" s="6" t="s">
        <v>21</v>
      </c>
      <c r="S3290" s="6" t="s">
        <v>21</v>
      </c>
      <c r="T3290" s="6" t="s">
        <v>21</v>
      </c>
      <c r="U3290" s="6">
        <f t="shared" si="402"/>
        <v>132.75</v>
      </c>
      <c r="V3290" s="6">
        <f t="shared" si="400"/>
        <v>132.75</v>
      </c>
    </row>
    <row r="3291" spans="1:22" hidden="1" x14ac:dyDescent="0.35">
      <c r="A3291" s="6" t="s">
        <v>3606</v>
      </c>
      <c r="B3291" s="6" t="s">
        <v>3586</v>
      </c>
      <c r="C3291" s="6" t="s">
        <v>3587</v>
      </c>
      <c r="D3291" s="6">
        <f t="shared" si="404"/>
        <v>0.5</v>
      </c>
      <c r="E3291" s="6" t="s">
        <v>19</v>
      </c>
      <c r="F3291" s="6" t="str">
        <f>MID(A3291,19,1)</f>
        <v>S</v>
      </c>
      <c r="G3291" s="6">
        <v>-22.556599222243712</v>
      </c>
      <c r="H3291" s="6">
        <v>-47.367941401364781</v>
      </c>
      <c r="I3291" s="9">
        <v>259.16000000000003</v>
      </c>
      <c r="K3291" s="6">
        <v>7.45</v>
      </c>
      <c r="L3291" s="6">
        <v>50</v>
      </c>
      <c r="N3291" s="1">
        <f t="shared" si="401"/>
        <v>0</v>
      </c>
      <c r="O3291" s="6" t="s">
        <v>20</v>
      </c>
      <c r="Q3291" s="6" t="s">
        <v>21</v>
      </c>
      <c r="R3291" s="6" t="s">
        <v>21</v>
      </c>
      <c r="S3291" s="6" t="s">
        <v>21</v>
      </c>
      <c r="T3291" s="6" t="s">
        <v>21</v>
      </c>
      <c r="U3291" s="6">
        <f t="shared" si="402"/>
        <v>129.58000000000001</v>
      </c>
      <c r="V3291" s="6">
        <f t="shared" si="400"/>
        <v>129.58000000000001</v>
      </c>
    </row>
    <row r="3292" spans="1:22" hidden="1" x14ac:dyDescent="0.35">
      <c r="A3292" s="6" t="s">
        <v>3607</v>
      </c>
      <c r="B3292" s="6" t="s">
        <v>3586</v>
      </c>
      <c r="C3292" s="6" t="s">
        <v>3587</v>
      </c>
      <c r="D3292" s="6">
        <f t="shared" si="404"/>
        <v>0.5</v>
      </c>
      <c r="E3292" s="6" t="s">
        <v>19</v>
      </c>
      <c r="F3292" s="6" t="str">
        <f>MID(A3292,19,1)</f>
        <v>S</v>
      </c>
      <c r="G3292" s="6">
        <v>-22.669904803875301</v>
      </c>
      <c r="H3292" s="6">
        <v>-47.446872450154054</v>
      </c>
      <c r="I3292" s="9">
        <v>1910.22</v>
      </c>
      <c r="K3292" s="6">
        <v>5.31</v>
      </c>
      <c r="L3292" s="6">
        <v>70</v>
      </c>
      <c r="N3292" s="1">
        <f t="shared" si="401"/>
        <v>0</v>
      </c>
      <c r="O3292" s="6" t="s">
        <v>20</v>
      </c>
      <c r="Q3292" s="6" t="s">
        <v>21</v>
      </c>
      <c r="R3292" s="6" t="s">
        <v>21</v>
      </c>
      <c r="S3292" s="6" t="s">
        <v>21</v>
      </c>
      <c r="T3292" s="6" t="s">
        <v>21</v>
      </c>
      <c r="U3292" s="6">
        <f t="shared" si="402"/>
        <v>1337.154</v>
      </c>
      <c r="V3292" s="6">
        <f t="shared" si="400"/>
        <v>1337.154</v>
      </c>
    </row>
    <row r="3293" spans="1:22" hidden="1" x14ac:dyDescent="0.35">
      <c r="A3293" s="6" t="s">
        <v>3608</v>
      </c>
      <c r="B3293" s="6" t="s">
        <v>3586</v>
      </c>
      <c r="C3293" s="6" t="s">
        <v>3587</v>
      </c>
      <c r="D3293" s="6">
        <f t="shared" si="404"/>
        <v>0.5</v>
      </c>
      <c r="E3293" s="6" t="s">
        <v>19</v>
      </c>
      <c r="F3293" s="6" t="str">
        <f>MID(A3293,19,1)</f>
        <v>S</v>
      </c>
      <c r="G3293" s="6">
        <v>-22.67402636254409</v>
      </c>
      <c r="H3293" s="6">
        <v>-47.444716413243682</v>
      </c>
      <c r="I3293" s="9">
        <v>1836.29</v>
      </c>
      <c r="K3293" s="6">
        <v>3.43</v>
      </c>
      <c r="L3293" s="6">
        <v>70</v>
      </c>
      <c r="N3293" s="1">
        <f t="shared" si="401"/>
        <v>0</v>
      </c>
      <c r="O3293" s="6" t="s">
        <v>20</v>
      </c>
      <c r="Q3293" s="6" t="s">
        <v>21</v>
      </c>
      <c r="R3293" s="6" t="s">
        <v>21</v>
      </c>
      <c r="S3293" s="6" t="s">
        <v>21</v>
      </c>
      <c r="T3293" s="6" t="s">
        <v>21</v>
      </c>
      <c r="U3293" s="6">
        <f t="shared" si="402"/>
        <v>1285.4029999999998</v>
      </c>
      <c r="V3293" s="6">
        <f t="shared" si="400"/>
        <v>1285.4029999999998</v>
      </c>
    </row>
    <row r="3294" spans="1:22" hidden="1" x14ac:dyDescent="0.35">
      <c r="A3294" s="6" t="s">
        <v>3609</v>
      </c>
      <c r="B3294" s="6" t="s">
        <v>3586</v>
      </c>
      <c r="C3294" s="6" t="s">
        <v>3587</v>
      </c>
      <c r="D3294" s="6">
        <f t="shared" si="404"/>
        <v>0.5</v>
      </c>
      <c r="E3294" s="6" t="s">
        <v>19</v>
      </c>
      <c r="F3294" s="6" t="str">
        <f>MID(A3294,19,1)</f>
        <v>S</v>
      </c>
      <c r="G3294" s="6">
        <v>-22.559736392758399</v>
      </c>
      <c r="H3294" s="6">
        <v>-47.366341427909887</v>
      </c>
      <c r="I3294" s="9">
        <v>35.93</v>
      </c>
      <c r="K3294" s="6">
        <v>1.91</v>
      </c>
      <c r="L3294" s="6">
        <v>50</v>
      </c>
      <c r="N3294" s="1">
        <f t="shared" si="401"/>
        <v>0</v>
      </c>
      <c r="O3294" s="6" t="s">
        <v>20</v>
      </c>
      <c r="Q3294" s="6" t="s">
        <v>21</v>
      </c>
      <c r="R3294" s="6" t="s">
        <v>21</v>
      </c>
      <c r="S3294" s="6" t="s">
        <v>21</v>
      </c>
      <c r="T3294" s="6" t="s">
        <v>21</v>
      </c>
      <c r="U3294" s="6">
        <f t="shared" si="402"/>
        <v>17.965</v>
      </c>
      <c r="V3294" s="6">
        <f t="shared" si="400"/>
        <v>17.965</v>
      </c>
    </row>
    <row r="3295" spans="1:22" hidden="1" x14ac:dyDescent="0.35">
      <c r="A3295" s="6" t="s">
        <v>3610</v>
      </c>
      <c r="B3295" s="6" t="s">
        <v>3586</v>
      </c>
      <c r="C3295" s="6" t="s">
        <v>3587</v>
      </c>
      <c r="D3295" s="6">
        <f t="shared" si="404"/>
        <v>0.5</v>
      </c>
      <c r="E3295" s="6" t="s">
        <v>19</v>
      </c>
      <c r="F3295" s="6" t="str">
        <f>MID(A3295,19,1)</f>
        <v>S</v>
      </c>
      <c r="G3295" s="6">
        <v>-22.557022102791979</v>
      </c>
      <c r="H3295" s="6">
        <v>-47.367811260592667</v>
      </c>
      <c r="I3295" s="9">
        <v>1400.06</v>
      </c>
      <c r="K3295" s="6">
        <v>5.81</v>
      </c>
      <c r="L3295" s="6">
        <v>50</v>
      </c>
      <c r="N3295" s="1">
        <f t="shared" si="401"/>
        <v>0</v>
      </c>
      <c r="O3295" s="6" t="s">
        <v>20</v>
      </c>
      <c r="Q3295" s="6" t="s">
        <v>21</v>
      </c>
      <c r="R3295" s="6" t="s">
        <v>21</v>
      </c>
      <c r="S3295" s="6" t="s">
        <v>21</v>
      </c>
      <c r="T3295" s="6" t="s">
        <v>21</v>
      </c>
      <c r="U3295" s="6">
        <f t="shared" si="402"/>
        <v>700.03</v>
      </c>
      <c r="V3295" s="6">
        <f t="shared" si="400"/>
        <v>700.03</v>
      </c>
    </row>
    <row r="3296" spans="1:22" hidden="1" x14ac:dyDescent="0.35">
      <c r="A3296" s="6" t="s">
        <v>3611</v>
      </c>
      <c r="B3296" s="6" t="s">
        <v>3612</v>
      </c>
      <c r="C3296" s="6" t="s">
        <v>3613</v>
      </c>
      <c r="D3296" s="6">
        <f t="shared" si="404"/>
        <v>0.5</v>
      </c>
      <c r="E3296" s="6" t="s">
        <v>23</v>
      </c>
      <c r="F3296" s="6" t="str">
        <f>MID(A3296,19,1)</f>
        <v>C</v>
      </c>
      <c r="G3296" s="6">
        <v>-22.55150206636695</v>
      </c>
      <c r="H3296" s="6">
        <v>-47.371847811720272</v>
      </c>
      <c r="I3296" s="9">
        <v>2093.8200000000002</v>
      </c>
      <c r="J3296" s="9">
        <f>I3296/500</f>
        <v>4.18764</v>
      </c>
      <c r="K3296" s="6">
        <v>3.63</v>
      </c>
      <c r="L3296" s="6">
        <v>50</v>
      </c>
      <c r="N3296" s="1">
        <f t="shared" si="401"/>
        <v>0</v>
      </c>
      <c r="O3296" s="6" t="s">
        <v>20</v>
      </c>
      <c r="Q3296" s="6" t="s">
        <v>21</v>
      </c>
      <c r="R3296" s="6" t="s">
        <v>21</v>
      </c>
      <c r="S3296" s="6" t="s">
        <v>21</v>
      </c>
      <c r="T3296" s="6" t="s">
        <v>21</v>
      </c>
      <c r="U3296" s="6">
        <f t="shared" si="402"/>
        <v>1046.9100000000001</v>
      </c>
      <c r="V3296" s="6">
        <f t="shared" si="400"/>
        <v>1046.9100000000001</v>
      </c>
    </row>
    <row r="3297" spans="1:22" hidden="1" x14ac:dyDescent="0.35">
      <c r="A3297" s="6" t="s">
        <v>3614</v>
      </c>
      <c r="B3297" s="6" t="s">
        <v>3612</v>
      </c>
      <c r="C3297" s="6" t="s">
        <v>3613</v>
      </c>
      <c r="D3297" s="6">
        <f t="shared" si="404"/>
        <v>0.5</v>
      </c>
      <c r="E3297" s="6" t="s">
        <v>19</v>
      </c>
      <c r="F3297" s="6" t="str">
        <f>MID(A3297,19,1)</f>
        <v>S</v>
      </c>
      <c r="G3297" s="6">
        <v>-22.55268226495345</v>
      </c>
      <c r="H3297" s="6">
        <v>-47.370616778628033</v>
      </c>
      <c r="I3297" s="9">
        <v>134.21</v>
      </c>
      <c r="K3297" s="6">
        <v>2.79</v>
      </c>
      <c r="L3297" s="6">
        <v>50</v>
      </c>
      <c r="N3297" s="1">
        <f t="shared" si="401"/>
        <v>0</v>
      </c>
      <c r="O3297" s="6" t="s">
        <v>20</v>
      </c>
      <c r="Q3297" s="6" t="s">
        <v>21</v>
      </c>
      <c r="R3297" s="6" t="s">
        <v>21</v>
      </c>
      <c r="S3297" s="6" t="s">
        <v>21</v>
      </c>
      <c r="T3297" s="6" t="s">
        <v>21</v>
      </c>
      <c r="U3297" s="6">
        <f t="shared" si="402"/>
        <v>67.105000000000004</v>
      </c>
      <c r="V3297" s="6">
        <f t="shared" si="400"/>
        <v>67.105000000000004</v>
      </c>
    </row>
    <row r="3298" spans="1:22" hidden="1" x14ac:dyDescent="0.35">
      <c r="A3298" s="6" t="s">
        <v>3615</v>
      </c>
      <c r="B3298" s="6" t="s">
        <v>3612</v>
      </c>
      <c r="C3298" s="6" t="s">
        <v>3613</v>
      </c>
      <c r="D3298" s="6">
        <f t="shared" si="404"/>
        <v>0.5</v>
      </c>
      <c r="E3298" s="6" t="s">
        <v>19</v>
      </c>
      <c r="F3298" s="6" t="str">
        <f>MID(A3298,19,1)</f>
        <v>S</v>
      </c>
      <c r="G3298" s="6">
        <v>-22.549809198215559</v>
      </c>
      <c r="H3298" s="6">
        <v>-47.372757439290133</v>
      </c>
      <c r="I3298" s="9">
        <v>69.790000000000006</v>
      </c>
      <c r="K3298" s="6">
        <v>1.8</v>
      </c>
      <c r="L3298" s="6">
        <v>50</v>
      </c>
      <c r="N3298" s="1">
        <f t="shared" si="401"/>
        <v>0</v>
      </c>
      <c r="O3298" s="6" t="s">
        <v>20</v>
      </c>
      <c r="Q3298" s="6" t="s">
        <v>21</v>
      </c>
      <c r="R3298" s="6" t="s">
        <v>21</v>
      </c>
      <c r="S3298" s="6" t="s">
        <v>21</v>
      </c>
      <c r="T3298" s="6" t="s">
        <v>21</v>
      </c>
      <c r="U3298" s="6">
        <f t="shared" si="402"/>
        <v>34.895000000000003</v>
      </c>
      <c r="V3298" s="6">
        <f t="shared" si="400"/>
        <v>34.895000000000003</v>
      </c>
    </row>
    <row r="3299" spans="1:22" x14ac:dyDescent="0.35">
      <c r="A3299" s="6" t="s">
        <v>3616</v>
      </c>
      <c r="B3299" s="6" t="s">
        <v>3612</v>
      </c>
      <c r="C3299" s="6" t="s">
        <v>3613</v>
      </c>
      <c r="D3299" s="6">
        <f t="shared" si="404"/>
        <v>0.5</v>
      </c>
      <c r="E3299" s="6" t="s">
        <v>19</v>
      </c>
      <c r="F3299" s="6" t="str">
        <f>MID(A3299,19,1)</f>
        <v>N</v>
      </c>
      <c r="G3299" s="6">
        <v>-22.552740210768629</v>
      </c>
      <c r="H3299" s="6">
        <v>-47.371290328821367</v>
      </c>
      <c r="I3299" s="9">
        <v>43.45</v>
      </c>
      <c r="K3299" s="6">
        <v>3.29</v>
      </c>
      <c r="L3299" s="6">
        <v>50</v>
      </c>
      <c r="N3299" s="1">
        <f t="shared" si="401"/>
        <v>0</v>
      </c>
      <c r="O3299" s="6" t="s">
        <v>20</v>
      </c>
      <c r="Q3299" s="6" t="s">
        <v>21</v>
      </c>
      <c r="R3299" s="6" t="s">
        <v>21</v>
      </c>
      <c r="S3299" s="6" t="s">
        <v>21</v>
      </c>
      <c r="T3299" s="6" t="s">
        <v>21</v>
      </c>
      <c r="U3299" s="6">
        <f t="shared" si="402"/>
        <v>21.725000000000001</v>
      </c>
      <c r="V3299" s="6">
        <f t="shared" si="400"/>
        <v>21.725000000000001</v>
      </c>
    </row>
    <row r="3300" spans="1:22" hidden="1" x14ac:dyDescent="0.35">
      <c r="A3300" s="6" t="s">
        <v>3617</v>
      </c>
      <c r="B3300" s="6" t="s">
        <v>3612</v>
      </c>
      <c r="C3300" s="6" t="s">
        <v>3613</v>
      </c>
      <c r="D3300" s="6">
        <f t="shared" si="404"/>
        <v>0.5</v>
      </c>
      <c r="E3300" s="6" t="s">
        <v>19</v>
      </c>
      <c r="F3300" s="6" t="str">
        <f>MID(A3300,19,1)</f>
        <v>S</v>
      </c>
      <c r="G3300" s="6">
        <v>-22.555705100451021</v>
      </c>
      <c r="H3300" s="6">
        <v>-47.368659806630667</v>
      </c>
      <c r="I3300" s="9">
        <v>849.15</v>
      </c>
      <c r="K3300" s="6">
        <v>3.65</v>
      </c>
      <c r="L3300" s="6">
        <v>50</v>
      </c>
      <c r="N3300" s="1">
        <f t="shared" si="401"/>
        <v>0</v>
      </c>
      <c r="O3300" s="6" t="s">
        <v>20</v>
      </c>
      <c r="Q3300" s="6" t="s">
        <v>21</v>
      </c>
      <c r="R3300" s="6" t="s">
        <v>21</v>
      </c>
      <c r="S3300" s="6" t="s">
        <v>21</v>
      </c>
      <c r="T3300" s="6" t="s">
        <v>21</v>
      </c>
      <c r="U3300" s="6">
        <f t="shared" si="402"/>
        <v>424.57499999999999</v>
      </c>
      <c r="V3300" s="6">
        <f t="shared" si="400"/>
        <v>424.57499999999999</v>
      </c>
    </row>
    <row r="3301" spans="1:22" hidden="1" x14ac:dyDescent="0.35">
      <c r="A3301" s="6" t="s">
        <v>3618</v>
      </c>
      <c r="B3301" s="6" t="s">
        <v>3612</v>
      </c>
      <c r="C3301" s="6" t="s">
        <v>3613</v>
      </c>
      <c r="D3301" s="6">
        <f t="shared" si="404"/>
        <v>0.5</v>
      </c>
      <c r="E3301" s="6" t="s">
        <v>19</v>
      </c>
      <c r="F3301" s="6" t="str">
        <f>MID(A3301,19,1)</f>
        <v>S</v>
      </c>
      <c r="G3301" s="6">
        <v>-22.664662998715521</v>
      </c>
      <c r="H3301" s="6">
        <v>-47.449030181694987</v>
      </c>
      <c r="I3301" s="9">
        <v>995.51</v>
      </c>
      <c r="K3301" s="6">
        <v>5.85</v>
      </c>
      <c r="L3301" s="6">
        <v>70</v>
      </c>
      <c r="N3301" s="1">
        <f t="shared" si="401"/>
        <v>0</v>
      </c>
      <c r="O3301" s="6" t="s">
        <v>20</v>
      </c>
      <c r="Q3301" s="6" t="s">
        <v>21</v>
      </c>
      <c r="R3301" s="6" t="s">
        <v>21</v>
      </c>
      <c r="S3301" s="6" t="s">
        <v>21</v>
      </c>
      <c r="T3301" s="6" t="s">
        <v>21</v>
      </c>
      <c r="U3301" s="6">
        <f t="shared" si="402"/>
        <v>696.85699999999997</v>
      </c>
      <c r="V3301" s="6">
        <f t="shared" si="400"/>
        <v>696.85699999999997</v>
      </c>
    </row>
    <row r="3302" spans="1:22" hidden="1" x14ac:dyDescent="0.35">
      <c r="A3302" s="6" t="s">
        <v>3619</v>
      </c>
      <c r="B3302" s="6" t="s">
        <v>3612</v>
      </c>
      <c r="C3302" s="6" t="s">
        <v>3613</v>
      </c>
      <c r="D3302" s="6">
        <f t="shared" si="404"/>
        <v>0.5</v>
      </c>
      <c r="E3302" s="6" t="s">
        <v>23</v>
      </c>
      <c r="F3302" s="6" t="str">
        <f>MID(A3302,19,1)</f>
        <v>C</v>
      </c>
      <c r="G3302" s="6">
        <v>-22.666815034588751</v>
      </c>
      <c r="H3302" s="6">
        <v>-47.448158374533037</v>
      </c>
      <c r="I3302" s="9">
        <v>2604.15</v>
      </c>
      <c r="J3302" s="9">
        <f>I3302/500</f>
        <v>5.2083000000000004</v>
      </c>
      <c r="K3302" s="6">
        <v>7.24</v>
      </c>
      <c r="L3302" s="6">
        <v>80</v>
      </c>
      <c r="N3302" s="1">
        <f t="shared" si="401"/>
        <v>0</v>
      </c>
      <c r="O3302" s="6" t="s">
        <v>20</v>
      </c>
      <c r="Q3302" s="6" t="s">
        <v>21</v>
      </c>
      <c r="R3302" s="6" t="s">
        <v>21</v>
      </c>
      <c r="S3302" s="6" t="s">
        <v>21</v>
      </c>
      <c r="T3302" s="6" t="s">
        <v>21</v>
      </c>
      <c r="U3302" s="6">
        <f t="shared" si="402"/>
        <v>2083.3200000000002</v>
      </c>
      <c r="V3302" s="6">
        <f t="shared" si="400"/>
        <v>2083.3200000000002</v>
      </c>
    </row>
    <row r="3303" spans="1:22" x14ac:dyDescent="0.35">
      <c r="A3303" s="6" t="s">
        <v>3620</v>
      </c>
      <c r="B3303" s="6" t="s">
        <v>3612</v>
      </c>
      <c r="C3303" s="6" t="s">
        <v>3613</v>
      </c>
      <c r="D3303" s="6">
        <f t="shared" si="404"/>
        <v>0.5</v>
      </c>
      <c r="E3303" s="6" t="s">
        <v>19</v>
      </c>
      <c r="F3303" s="6" t="str">
        <f>MID(A3303,19,1)</f>
        <v>N</v>
      </c>
      <c r="G3303" s="6">
        <v>-22.549647522095128</v>
      </c>
      <c r="H3303" s="6">
        <v>-47.373356428147197</v>
      </c>
      <c r="I3303" s="9">
        <v>292.83999999999997</v>
      </c>
      <c r="K3303" s="6">
        <v>2.78</v>
      </c>
      <c r="L3303" s="6">
        <v>50</v>
      </c>
      <c r="N3303" s="1">
        <f t="shared" si="401"/>
        <v>0</v>
      </c>
      <c r="O3303" s="6" t="s">
        <v>20</v>
      </c>
      <c r="Q3303" s="6" t="s">
        <v>21</v>
      </c>
      <c r="R3303" s="6" t="s">
        <v>21</v>
      </c>
      <c r="S3303" s="6" t="s">
        <v>21</v>
      </c>
      <c r="T3303" s="6" t="s">
        <v>21</v>
      </c>
      <c r="U3303" s="6">
        <f t="shared" si="402"/>
        <v>146.41999999999999</v>
      </c>
      <c r="V3303" s="6">
        <f t="shared" si="400"/>
        <v>146.41999999999999</v>
      </c>
    </row>
    <row r="3304" spans="1:22" hidden="1" x14ac:dyDescent="0.35">
      <c r="A3304" s="6" t="s">
        <v>3621</v>
      </c>
      <c r="B3304" s="6" t="s">
        <v>3612</v>
      </c>
      <c r="C3304" s="6" t="s">
        <v>3613</v>
      </c>
      <c r="D3304" s="6">
        <f t="shared" si="404"/>
        <v>0.5</v>
      </c>
      <c r="E3304" s="6" t="s">
        <v>23</v>
      </c>
      <c r="F3304" s="6" t="str">
        <f>MID(A3304,19,1)</f>
        <v>C</v>
      </c>
      <c r="G3304" s="6">
        <v>-22.66462525052378</v>
      </c>
      <c r="H3304" s="6">
        <v>-47.44885379153493</v>
      </c>
      <c r="I3304" s="9">
        <v>3225.64</v>
      </c>
      <c r="J3304" s="9">
        <f>I3304/500</f>
        <v>6.4512799999999997</v>
      </c>
      <c r="K3304" s="6">
        <v>6.01</v>
      </c>
      <c r="L3304" s="6">
        <v>80</v>
      </c>
      <c r="N3304" s="1">
        <f t="shared" si="401"/>
        <v>0</v>
      </c>
      <c r="O3304" s="6" t="s">
        <v>20</v>
      </c>
      <c r="Q3304" s="6" t="s">
        <v>21</v>
      </c>
      <c r="R3304" s="6" t="s">
        <v>21</v>
      </c>
      <c r="S3304" s="6" t="s">
        <v>21</v>
      </c>
      <c r="T3304" s="6" t="s">
        <v>21</v>
      </c>
      <c r="U3304" s="6">
        <f t="shared" si="402"/>
        <v>2580.5120000000002</v>
      </c>
      <c r="V3304" s="6">
        <f t="shared" si="400"/>
        <v>2580.5120000000002</v>
      </c>
    </row>
    <row r="3305" spans="1:22" hidden="1" x14ac:dyDescent="0.35">
      <c r="A3305" s="6" t="s">
        <v>3622</v>
      </c>
      <c r="B3305" s="6" t="s">
        <v>3612</v>
      </c>
      <c r="C3305" s="6" t="s">
        <v>3613</v>
      </c>
      <c r="D3305" s="6">
        <f t="shared" si="404"/>
        <v>0.5</v>
      </c>
      <c r="E3305" s="6" t="s">
        <v>19</v>
      </c>
      <c r="F3305" s="6" t="str">
        <f>MID(A3305,19,1)</f>
        <v>S</v>
      </c>
      <c r="G3305" s="6">
        <v>-22.55175505553736</v>
      </c>
      <c r="H3305" s="6">
        <v>-47.371255424440882</v>
      </c>
      <c r="I3305" s="9">
        <v>822.96</v>
      </c>
      <c r="K3305" s="6">
        <v>3</v>
      </c>
      <c r="L3305" s="6">
        <v>50</v>
      </c>
      <c r="N3305" s="1">
        <f t="shared" si="401"/>
        <v>0</v>
      </c>
      <c r="O3305" s="6" t="s">
        <v>20</v>
      </c>
      <c r="Q3305" s="6" t="s">
        <v>21</v>
      </c>
      <c r="R3305" s="6" t="s">
        <v>21</v>
      </c>
      <c r="S3305" s="6" t="s">
        <v>21</v>
      </c>
      <c r="T3305" s="6" t="s">
        <v>21</v>
      </c>
      <c r="U3305" s="6">
        <f t="shared" si="402"/>
        <v>411.48</v>
      </c>
      <c r="V3305" s="6">
        <f t="shared" si="400"/>
        <v>411.48</v>
      </c>
    </row>
    <row r="3306" spans="1:22" hidden="1" x14ac:dyDescent="0.35">
      <c r="A3306" s="6" t="s">
        <v>3623</v>
      </c>
      <c r="B3306" s="6" t="s">
        <v>3612</v>
      </c>
      <c r="C3306" s="6" t="s">
        <v>3613</v>
      </c>
      <c r="D3306" s="6">
        <f t="shared" si="404"/>
        <v>0.5</v>
      </c>
      <c r="E3306" s="6" t="s">
        <v>19</v>
      </c>
      <c r="F3306" s="6" t="str">
        <f>MID(A3306,19,1)</f>
        <v>S</v>
      </c>
      <c r="G3306" s="6">
        <v>-22.550796354521651</v>
      </c>
      <c r="H3306" s="6">
        <v>-47.371959282484468</v>
      </c>
      <c r="I3306" s="9">
        <v>89.15</v>
      </c>
      <c r="K3306" s="6">
        <v>2.0699999999999998</v>
      </c>
      <c r="L3306" s="6">
        <v>50</v>
      </c>
      <c r="N3306" s="1">
        <f t="shared" si="401"/>
        <v>0</v>
      </c>
      <c r="O3306" s="6" t="s">
        <v>20</v>
      </c>
      <c r="Q3306" s="6" t="s">
        <v>21</v>
      </c>
      <c r="R3306" s="6" t="s">
        <v>21</v>
      </c>
      <c r="S3306" s="6" t="s">
        <v>21</v>
      </c>
      <c r="T3306" s="6" t="s">
        <v>21</v>
      </c>
      <c r="U3306" s="6">
        <f t="shared" si="402"/>
        <v>44.575000000000003</v>
      </c>
      <c r="V3306" s="6">
        <f t="shared" si="400"/>
        <v>44.575000000000003</v>
      </c>
    </row>
    <row r="3307" spans="1:22" x14ac:dyDescent="0.35">
      <c r="A3307" s="6" t="s">
        <v>3624</v>
      </c>
      <c r="B3307" s="6" t="s">
        <v>3612</v>
      </c>
      <c r="C3307" s="6" t="s">
        <v>3613</v>
      </c>
      <c r="D3307" s="6">
        <f t="shared" si="404"/>
        <v>0.5</v>
      </c>
      <c r="E3307" s="6" t="s">
        <v>19</v>
      </c>
      <c r="F3307" s="6" t="str">
        <f>MID(A3307,19,1)</f>
        <v>N</v>
      </c>
      <c r="G3307" s="6">
        <v>-22.552811057831178</v>
      </c>
      <c r="H3307" s="6">
        <v>-47.371177212182047</v>
      </c>
      <c r="I3307" s="9">
        <v>107.04</v>
      </c>
      <c r="K3307" s="6">
        <v>3.29</v>
      </c>
      <c r="L3307" s="6">
        <v>50</v>
      </c>
      <c r="N3307" s="1">
        <f t="shared" si="401"/>
        <v>0</v>
      </c>
      <c r="O3307" s="6" t="s">
        <v>20</v>
      </c>
      <c r="Q3307" s="6" t="s">
        <v>21</v>
      </c>
      <c r="R3307" s="6" t="s">
        <v>21</v>
      </c>
      <c r="S3307" s="6" t="s">
        <v>21</v>
      </c>
      <c r="T3307" s="6" t="s">
        <v>21</v>
      </c>
      <c r="U3307" s="6">
        <f t="shared" si="402"/>
        <v>53.52</v>
      </c>
      <c r="V3307" s="6">
        <f t="shared" si="400"/>
        <v>53.52</v>
      </c>
    </row>
    <row r="3308" spans="1:22" hidden="1" x14ac:dyDescent="0.35">
      <c r="A3308" s="6" t="s">
        <v>3625</v>
      </c>
      <c r="B3308" s="6" t="s">
        <v>3612</v>
      </c>
      <c r="C3308" s="6" t="s">
        <v>3613</v>
      </c>
      <c r="D3308" s="6">
        <f t="shared" si="404"/>
        <v>0.5</v>
      </c>
      <c r="E3308" s="6" t="s">
        <v>19</v>
      </c>
      <c r="F3308" s="6" t="str">
        <f>MID(A3308,19,1)</f>
        <v>S</v>
      </c>
      <c r="G3308" s="6">
        <v>-22.553906316769481</v>
      </c>
      <c r="H3308" s="6">
        <v>-47.369980016804391</v>
      </c>
      <c r="I3308" s="9">
        <v>725.75</v>
      </c>
      <c r="K3308" s="6">
        <v>2.8</v>
      </c>
      <c r="L3308" s="6">
        <v>0</v>
      </c>
      <c r="N3308" s="1">
        <f t="shared" si="401"/>
        <v>0</v>
      </c>
      <c r="Q3308" s="6" t="s">
        <v>26</v>
      </c>
      <c r="R3308" s="6" t="s">
        <v>21</v>
      </c>
      <c r="S3308" s="6" t="s">
        <v>21</v>
      </c>
      <c r="T3308" s="6" t="s">
        <v>21</v>
      </c>
      <c r="U3308" s="6">
        <f t="shared" si="402"/>
        <v>0</v>
      </c>
    </row>
    <row r="3309" spans="1:22" hidden="1" x14ac:dyDescent="0.35">
      <c r="A3309" s="6" t="s">
        <v>3626</v>
      </c>
      <c r="B3309" s="6" t="s">
        <v>3612</v>
      </c>
      <c r="C3309" s="6" t="s">
        <v>3613</v>
      </c>
      <c r="D3309" s="6">
        <f t="shared" si="404"/>
        <v>0.5</v>
      </c>
      <c r="E3309" s="6" t="s">
        <v>19</v>
      </c>
      <c r="F3309" s="6" t="str">
        <f>MID(A3309,19,1)</f>
        <v>S</v>
      </c>
      <c r="G3309" s="6">
        <v>-22.666873619410669</v>
      </c>
      <c r="H3309" s="6">
        <v>-47.448328351372751</v>
      </c>
      <c r="I3309" s="9">
        <v>805.76</v>
      </c>
      <c r="K3309" s="6">
        <v>7.5</v>
      </c>
      <c r="L3309" s="6">
        <v>70</v>
      </c>
      <c r="N3309" s="1">
        <f t="shared" si="401"/>
        <v>0</v>
      </c>
      <c r="O3309" s="6" t="s">
        <v>20</v>
      </c>
      <c r="Q3309" s="6" t="s">
        <v>21</v>
      </c>
      <c r="R3309" s="6" t="s">
        <v>21</v>
      </c>
      <c r="S3309" s="6" t="s">
        <v>21</v>
      </c>
      <c r="T3309" s="6" t="s">
        <v>21</v>
      </c>
      <c r="U3309" s="6">
        <f t="shared" si="402"/>
        <v>564.03199999999993</v>
      </c>
      <c r="V3309" s="6">
        <f t="shared" ref="V3309:V3311" si="406">(I3309*(L3309/100))</f>
        <v>564.03199999999993</v>
      </c>
    </row>
    <row r="3310" spans="1:22" x14ac:dyDescent="0.35">
      <c r="A3310" s="6" t="s">
        <v>3627</v>
      </c>
      <c r="B3310" s="6" t="s">
        <v>3612</v>
      </c>
      <c r="C3310" s="6" t="s">
        <v>3613</v>
      </c>
      <c r="D3310" s="6">
        <f t="shared" si="404"/>
        <v>0.5</v>
      </c>
      <c r="E3310" s="6" t="s">
        <v>19</v>
      </c>
      <c r="F3310" s="6" t="str">
        <f>MID(A3310,19,1)</f>
        <v>N</v>
      </c>
      <c r="G3310" s="6">
        <v>-22.661241313670931</v>
      </c>
      <c r="H3310" s="6">
        <v>-47.449103409770878</v>
      </c>
      <c r="I3310" s="9">
        <v>1830.18</v>
      </c>
      <c r="K3310" s="6">
        <v>4.97</v>
      </c>
      <c r="L3310" s="6">
        <v>70</v>
      </c>
      <c r="N3310" s="1">
        <f t="shared" si="401"/>
        <v>0</v>
      </c>
      <c r="O3310" s="6" t="s">
        <v>20</v>
      </c>
      <c r="Q3310" s="6" t="s">
        <v>21</v>
      </c>
      <c r="R3310" s="6" t="s">
        <v>21</v>
      </c>
      <c r="S3310" s="6" t="s">
        <v>21</v>
      </c>
      <c r="T3310" s="6" t="s">
        <v>21</v>
      </c>
      <c r="U3310" s="6">
        <f t="shared" si="402"/>
        <v>1281.126</v>
      </c>
      <c r="V3310" s="6">
        <f t="shared" si="406"/>
        <v>1281.126</v>
      </c>
    </row>
    <row r="3311" spans="1:22" x14ac:dyDescent="0.35">
      <c r="A3311" s="6" t="s">
        <v>3628</v>
      </c>
      <c r="B3311" s="6" t="s">
        <v>3612</v>
      </c>
      <c r="C3311" s="6" t="s">
        <v>3613</v>
      </c>
      <c r="D3311" s="6">
        <f t="shared" si="404"/>
        <v>0.5</v>
      </c>
      <c r="E3311" s="6" t="s">
        <v>19</v>
      </c>
      <c r="F3311" s="6" t="str">
        <f>MID(A3311,19,1)</f>
        <v>N</v>
      </c>
      <c r="G3311" s="6">
        <v>-22.551954399049489</v>
      </c>
      <c r="H3311" s="6">
        <v>-47.371834011710519</v>
      </c>
      <c r="I3311" s="9">
        <v>288.69</v>
      </c>
      <c r="K3311" s="6">
        <v>3.61</v>
      </c>
      <c r="L3311" s="6">
        <v>50</v>
      </c>
      <c r="N3311" s="1">
        <f t="shared" si="401"/>
        <v>0</v>
      </c>
      <c r="O3311" s="6" t="s">
        <v>20</v>
      </c>
      <c r="Q3311" s="6" t="s">
        <v>21</v>
      </c>
      <c r="R3311" s="6" t="s">
        <v>21</v>
      </c>
      <c r="S3311" s="6" t="s">
        <v>21</v>
      </c>
      <c r="T3311" s="6" t="s">
        <v>21</v>
      </c>
      <c r="U3311" s="6">
        <f t="shared" si="402"/>
        <v>144.345</v>
      </c>
      <c r="V3311" s="6">
        <f t="shared" si="406"/>
        <v>144.345</v>
      </c>
    </row>
    <row r="3312" spans="1:22" hidden="1" x14ac:dyDescent="0.35">
      <c r="A3312" s="6" t="s">
        <v>3629</v>
      </c>
      <c r="B3312" s="6" t="s">
        <v>3612</v>
      </c>
      <c r="C3312" s="6" t="s">
        <v>3613</v>
      </c>
      <c r="D3312" s="6">
        <f t="shared" si="404"/>
        <v>0.5</v>
      </c>
      <c r="E3312" s="6" t="s">
        <v>19</v>
      </c>
      <c r="F3312" s="6" t="str">
        <f>MID(A3312,19,1)</f>
        <v>S</v>
      </c>
      <c r="G3312" s="6">
        <v>-22.551628475762211</v>
      </c>
      <c r="H3312" s="6">
        <v>-47.371552117559958</v>
      </c>
      <c r="I3312" s="9">
        <v>629.95000000000005</v>
      </c>
      <c r="K3312" s="6">
        <v>3.28</v>
      </c>
      <c r="L3312" s="6">
        <v>0</v>
      </c>
      <c r="N3312" s="1">
        <f t="shared" si="401"/>
        <v>0</v>
      </c>
      <c r="Q3312" s="6" t="s">
        <v>26</v>
      </c>
      <c r="R3312" s="6" t="s">
        <v>21</v>
      </c>
      <c r="S3312" s="6" t="s">
        <v>21</v>
      </c>
      <c r="T3312" s="6" t="s">
        <v>21</v>
      </c>
      <c r="U3312" s="6">
        <f t="shared" si="402"/>
        <v>0</v>
      </c>
    </row>
    <row r="3313" spans="1:22" x14ac:dyDescent="0.35">
      <c r="A3313" s="6" t="s">
        <v>3630</v>
      </c>
      <c r="B3313" s="6" t="s">
        <v>3612</v>
      </c>
      <c r="C3313" s="6" t="s">
        <v>3613</v>
      </c>
      <c r="D3313" s="6">
        <f t="shared" si="404"/>
        <v>0.5</v>
      </c>
      <c r="E3313" s="6" t="s">
        <v>19</v>
      </c>
      <c r="F3313" s="6" t="str">
        <f>MID(A3313,19,1)</f>
        <v>N</v>
      </c>
      <c r="G3313" s="6">
        <v>-22.55248631993426</v>
      </c>
      <c r="H3313" s="6">
        <v>-47.371397266208383</v>
      </c>
      <c r="I3313" s="9">
        <v>359.37</v>
      </c>
      <c r="K3313" s="6">
        <v>2.5</v>
      </c>
      <c r="L3313" s="6">
        <v>50</v>
      </c>
      <c r="N3313" s="1">
        <f t="shared" si="401"/>
        <v>0</v>
      </c>
      <c r="O3313" s="6" t="s">
        <v>20</v>
      </c>
      <c r="Q3313" s="6" t="s">
        <v>21</v>
      </c>
      <c r="R3313" s="6" t="s">
        <v>21</v>
      </c>
      <c r="S3313" s="6" t="s">
        <v>21</v>
      </c>
      <c r="T3313" s="6" t="s">
        <v>21</v>
      </c>
      <c r="U3313" s="6">
        <f t="shared" si="402"/>
        <v>179.685</v>
      </c>
      <c r="V3313" s="6">
        <f t="shared" ref="V3313:V3376" si="407">(I3313*(L3313/100))</f>
        <v>179.685</v>
      </c>
    </row>
    <row r="3314" spans="1:22" hidden="1" x14ac:dyDescent="0.35">
      <c r="A3314" s="6" t="s">
        <v>3631</v>
      </c>
      <c r="B3314" s="6" t="s">
        <v>3612</v>
      </c>
      <c r="C3314" s="6" t="s">
        <v>3613</v>
      </c>
      <c r="D3314" s="6">
        <f t="shared" si="404"/>
        <v>0.5</v>
      </c>
      <c r="E3314" s="6" t="s">
        <v>23</v>
      </c>
      <c r="F3314" s="6" t="str">
        <f>MID(A3314,19,1)</f>
        <v>C</v>
      </c>
      <c r="G3314" s="6">
        <v>-22.55024936848196</v>
      </c>
      <c r="H3314" s="6">
        <v>-47.37270717128316</v>
      </c>
      <c r="I3314" s="9">
        <v>1233.8</v>
      </c>
      <c r="J3314" s="9">
        <f t="shared" ref="J3314:J3315" si="408">I3314/500</f>
        <v>2.4676</v>
      </c>
      <c r="K3314" s="6">
        <v>2.19</v>
      </c>
      <c r="L3314" s="6">
        <v>50</v>
      </c>
      <c r="N3314" s="1">
        <f t="shared" si="401"/>
        <v>0</v>
      </c>
      <c r="O3314" s="6" t="s">
        <v>20</v>
      </c>
      <c r="Q3314" s="6" t="s">
        <v>21</v>
      </c>
      <c r="R3314" s="6" t="s">
        <v>21</v>
      </c>
      <c r="S3314" s="6" t="s">
        <v>21</v>
      </c>
      <c r="T3314" s="6" t="s">
        <v>21</v>
      </c>
      <c r="U3314" s="6">
        <f t="shared" si="402"/>
        <v>616.9</v>
      </c>
      <c r="V3314" s="6">
        <f t="shared" si="407"/>
        <v>616.9</v>
      </c>
    </row>
    <row r="3315" spans="1:22" hidden="1" x14ac:dyDescent="0.35">
      <c r="A3315" s="6" t="s">
        <v>3632</v>
      </c>
      <c r="B3315" s="6" t="s">
        <v>3612</v>
      </c>
      <c r="C3315" s="6" t="s">
        <v>3613</v>
      </c>
      <c r="D3315" s="6">
        <f t="shared" si="404"/>
        <v>0.5</v>
      </c>
      <c r="E3315" s="6" t="s">
        <v>23</v>
      </c>
      <c r="F3315" s="6" t="str">
        <f>MID(A3315,19,1)</f>
        <v>C</v>
      </c>
      <c r="G3315" s="6">
        <v>-22.661231048384021</v>
      </c>
      <c r="H3315" s="6">
        <v>-47.449292903892967</v>
      </c>
      <c r="I3315" s="9">
        <v>6104.47</v>
      </c>
      <c r="J3315" s="9">
        <f t="shared" si="408"/>
        <v>12.20894</v>
      </c>
      <c r="K3315" s="6">
        <v>4.6100000000000003</v>
      </c>
      <c r="L3315" s="6">
        <v>80</v>
      </c>
      <c r="N3315" s="1">
        <f t="shared" si="401"/>
        <v>0</v>
      </c>
      <c r="O3315" s="6" t="s">
        <v>20</v>
      </c>
      <c r="Q3315" s="6" t="s">
        <v>21</v>
      </c>
      <c r="R3315" s="6" t="s">
        <v>21</v>
      </c>
      <c r="S3315" s="6" t="s">
        <v>21</v>
      </c>
      <c r="T3315" s="6" t="s">
        <v>21</v>
      </c>
      <c r="U3315" s="6">
        <f t="shared" si="402"/>
        <v>4883.576</v>
      </c>
      <c r="V3315" s="6">
        <f t="shared" si="407"/>
        <v>4883.576</v>
      </c>
    </row>
    <row r="3316" spans="1:22" hidden="1" x14ac:dyDescent="0.35">
      <c r="A3316" s="6" t="s">
        <v>3633</v>
      </c>
      <c r="B3316" s="6" t="s">
        <v>3612</v>
      </c>
      <c r="C3316" s="6" t="s">
        <v>3613</v>
      </c>
      <c r="D3316" s="6">
        <f t="shared" si="404"/>
        <v>0.5</v>
      </c>
      <c r="E3316" s="6" t="s">
        <v>19</v>
      </c>
      <c r="F3316" s="6" t="str">
        <f>MID(A3316,19,1)</f>
        <v>S</v>
      </c>
      <c r="G3316" s="6">
        <v>-22.549523759430791</v>
      </c>
      <c r="H3316" s="6">
        <v>-47.372965503030017</v>
      </c>
      <c r="I3316" s="9">
        <v>255.16</v>
      </c>
      <c r="K3316" s="6">
        <v>3.69</v>
      </c>
      <c r="L3316" s="6">
        <v>50</v>
      </c>
      <c r="N3316" s="1">
        <f t="shared" si="401"/>
        <v>0</v>
      </c>
      <c r="O3316" s="6" t="s">
        <v>20</v>
      </c>
      <c r="Q3316" s="6" t="s">
        <v>21</v>
      </c>
      <c r="R3316" s="6" t="s">
        <v>21</v>
      </c>
      <c r="S3316" s="6" t="s">
        <v>21</v>
      </c>
      <c r="T3316" s="6" t="s">
        <v>21</v>
      </c>
      <c r="U3316" s="6">
        <f t="shared" si="402"/>
        <v>127.58</v>
      </c>
      <c r="V3316" s="6">
        <f t="shared" si="407"/>
        <v>127.58</v>
      </c>
    </row>
    <row r="3317" spans="1:22" hidden="1" x14ac:dyDescent="0.35">
      <c r="A3317" s="6" t="s">
        <v>3634</v>
      </c>
      <c r="B3317" s="6" t="s">
        <v>3612</v>
      </c>
      <c r="C3317" s="6" t="s">
        <v>3613</v>
      </c>
      <c r="D3317" s="6">
        <f t="shared" si="404"/>
        <v>0.5</v>
      </c>
      <c r="E3317" s="6" t="s">
        <v>19</v>
      </c>
      <c r="F3317" s="6" t="str">
        <f>MID(A3317,19,1)</f>
        <v>S</v>
      </c>
      <c r="G3317" s="6">
        <v>-22.55311723443338</v>
      </c>
      <c r="H3317" s="6">
        <v>-47.370346363855333</v>
      </c>
      <c r="I3317" s="9">
        <v>166.14</v>
      </c>
      <c r="K3317" s="6">
        <v>4.33</v>
      </c>
      <c r="L3317" s="6">
        <v>50</v>
      </c>
      <c r="N3317" s="1">
        <f t="shared" si="401"/>
        <v>0</v>
      </c>
      <c r="O3317" s="6" t="s">
        <v>20</v>
      </c>
      <c r="Q3317" s="6" t="s">
        <v>21</v>
      </c>
      <c r="R3317" s="6" t="s">
        <v>21</v>
      </c>
      <c r="S3317" s="6" t="s">
        <v>21</v>
      </c>
      <c r="T3317" s="6" t="s">
        <v>21</v>
      </c>
      <c r="U3317" s="6">
        <f t="shared" si="402"/>
        <v>83.07</v>
      </c>
      <c r="V3317" s="6">
        <f t="shared" si="407"/>
        <v>83.07</v>
      </c>
    </row>
    <row r="3318" spans="1:22" x14ac:dyDescent="0.35">
      <c r="A3318" s="6" t="s">
        <v>3635</v>
      </c>
      <c r="B3318" s="6" t="s">
        <v>3612</v>
      </c>
      <c r="C3318" s="6" t="s">
        <v>3613</v>
      </c>
      <c r="D3318" s="6">
        <f t="shared" si="404"/>
        <v>0.5</v>
      </c>
      <c r="E3318" s="6" t="s">
        <v>19</v>
      </c>
      <c r="F3318" s="6" t="str">
        <f>MID(A3318,19,1)</f>
        <v>N</v>
      </c>
      <c r="G3318" s="6">
        <v>-22.66461035017835</v>
      </c>
      <c r="H3318" s="6">
        <v>-47.448669419203497</v>
      </c>
      <c r="I3318" s="9">
        <v>954.28</v>
      </c>
      <c r="K3318" s="6">
        <v>6.54</v>
      </c>
      <c r="L3318" s="6">
        <v>70</v>
      </c>
      <c r="N3318" s="1">
        <f t="shared" si="401"/>
        <v>0</v>
      </c>
      <c r="O3318" s="6" t="s">
        <v>20</v>
      </c>
      <c r="Q3318" s="6" t="s">
        <v>21</v>
      </c>
      <c r="R3318" s="6" t="s">
        <v>21</v>
      </c>
      <c r="S3318" s="6" t="s">
        <v>21</v>
      </c>
      <c r="T3318" s="6" t="s">
        <v>21</v>
      </c>
      <c r="U3318" s="6">
        <f t="shared" si="402"/>
        <v>667.99599999999998</v>
      </c>
      <c r="V3318" s="6">
        <f t="shared" si="407"/>
        <v>667.99599999999998</v>
      </c>
    </row>
    <row r="3319" spans="1:22" hidden="1" x14ac:dyDescent="0.35">
      <c r="A3319" s="6" t="s">
        <v>3636</v>
      </c>
      <c r="B3319" s="6" t="s">
        <v>3612</v>
      </c>
      <c r="C3319" s="6" t="s">
        <v>3613</v>
      </c>
      <c r="D3319" s="6">
        <f t="shared" si="404"/>
        <v>0.5</v>
      </c>
      <c r="E3319" s="6" t="s">
        <v>19</v>
      </c>
      <c r="F3319" s="6" t="str">
        <f>MID(A3319,19,1)</f>
        <v>S</v>
      </c>
      <c r="G3319" s="6">
        <v>-22.555514699533848</v>
      </c>
      <c r="H3319" s="6">
        <v>-47.368665307661189</v>
      </c>
      <c r="I3319" s="9">
        <v>133.22999999999999</v>
      </c>
      <c r="K3319" s="6">
        <v>3.61</v>
      </c>
      <c r="L3319" s="6">
        <v>50</v>
      </c>
      <c r="N3319" s="1">
        <f t="shared" si="401"/>
        <v>0</v>
      </c>
      <c r="O3319" s="6" t="s">
        <v>20</v>
      </c>
      <c r="Q3319" s="6" t="s">
        <v>21</v>
      </c>
      <c r="R3319" s="6" t="s">
        <v>21</v>
      </c>
      <c r="S3319" s="6" t="s">
        <v>21</v>
      </c>
      <c r="T3319" s="6" t="s">
        <v>21</v>
      </c>
      <c r="U3319" s="6">
        <f t="shared" si="402"/>
        <v>66.614999999999995</v>
      </c>
      <c r="V3319" s="6">
        <f t="shared" si="407"/>
        <v>66.614999999999995</v>
      </c>
    </row>
    <row r="3320" spans="1:22" x14ac:dyDescent="0.35">
      <c r="A3320" s="6" t="s">
        <v>3637</v>
      </c>
      <c r="B3320" s="6" t="s">
        <v>3612</v>
      </c>
      <c r="C3320" s="6" t="s">
        <v>3613</v>
      </c>
      <c r="D3320" s="6">
        <f t="shared" si="404"/>
        <v>0.5</v>
      </c>
      <c r="E3320" s="6" t="s">
        <v>19</v>
      </c>
      <c r="F3320" s="6" t="str">
        <f>MID(A3320,19,1)</f>
        <v>N</v>
      </c>
      <c r="G3320" s="6">
        <v>-22.55076727167198</v>
      </c>
      <c r="H3320" s="6">
        <v>-47.372574493915572</v>
      </c>
      <c r="I3320" s="9">
        <v>952.74</v>
      </c>
      <c r="K3320" s="6">
        <v>3.31</v>
      </c>
      <c r="L3320" s="6">
        <v>50</v>
      </c>
      <c r="N3320" s="1">
        <f t="shared" si="401"/>
        <v>0</v>
      </c>
      <c r="O3320" s="6" t="s">
        <v>20</v>
      </c>
      <c r="Q3320" s="6" t="s">
        <v>21</v>
      </c>
      <c r="R3320" s="6" t="s">
        <v>21</v>
      </c>
      <c r="S3320" s="6" t="s">
        <v>21</v>
      </c>
      <c r="T3320" s="6" t="s">
        <v>21</v>
      </c>
      <c r="U3320" s="6">
        <f t="shared" si="402"/>
        <v>476.37</v>
      </c>
      <c r="V3320" s="6">
        <f t="shared" si="407"/>
        <v>476.37</v>
      </c>
    </row>
    <row r="3321" spans="1:22" x14ac:dyDescent="0.35">
      <c r="A3321" s="6" t="s">
        <v>3638</v>
      </c>
      <c r="B3321" s="6" t="s">
        <v>3612</v>
      </c>
      <c r="C3321" s="6" t="s">
        <v>3613</v>
      </c>
      <c r="D3321" s="6">
        <f t="shared" si="404"/>
        <v>0.5</v>
      </c>
      <c r="E3321" s="6" t="s">
        <v>19</v>
      </c>
      <c r="F3321" s="6" t="str">
        <f>MID(A3321,19,1)</f>
        <v>N</v>
      </c>
      <c r="G3321" s="6">
        <v>-22.55488624083625</v>
      </c>
      <c r="H3321" s="6">
        <v>-47.369723722758529</v>
      </c>
      <c r="I3321" s="9">
        <v>1875.63</v>
      </c>
      <c r="K3321" s="6">
        <v>3.1</v>
      </c>
      <c r="L3321" s="6">
        <v>50</v>
      </c>
      <c r="N3321" s="1">
        <f t="shared" si="401"/>
        <v>0</v>
      </c>
      <c r="O3321" s="6" t="s">
        <v>20</v>
      </c>
      <c r="Q3321" s="6" t="s">
        <v>21</v>
      </c>
      <c r="R3321" s="6" t="s">
        <v>21</v>
      </c>
      <c r="S3321" s="6" t="s">
        <v>21</v>
      </c>
      <c r="T3321" s="6" t="s">
        <v>21</v>
      </c>
      <c r="U3321" s="6">
        <f t="shared" si="402"/>
        <v>937.81500000000005</v>
      </c>
      <c r="V3321" s="6">
        <f t="shared" si="407"/>
        <v>937.81500000000005</v>
      </c>
    </row>
    <row r="3322" spans="1:22" hidden="1" x14ac:dyDescent="0.35">
      <c r="A3322" s="6" t="s">
        <v>3639</v>
      </c>
      <c r="B3322" s="6" t="s">
        <v>3612</v>
      </c>
      <c r="C3322" s="6" t="s">
        <v>3613</v>
      </c>
      <c r="D3322" s="6">
        <f t="shared" si="404"/>
        <v>0.5</v>
      </c>
      <c r="E3322" s="6" t="s">
        <v>23</v>
      </c>
      <c r="F3322" s="6" t="str">
        <f>MID(A3322,19,1)</f>
        <v>C</v>
      </c>
      <c r="G3322" s="6">
        <v>-22.55466301615122</v>
      </c>
      <c r="H3322" s="6">
        <v>-47.369656895735353</v>
      </c>
      <c r="I3322" s="9">
        <v>1505.53</v>
      </c>
      <c r="J3322" s="9">
        <f>I3322/500</f>
        <v>3.0110600000000001</v>
      </c>
      <c r="K3322" s="6">
        <v>3.09</v>
      </c>
      <c r="L3322" s="6">
        <v>0</v>
      </c>
      <c r="N3322" s="1">
        <f t="shared" si="401"/>
        <v>0</v>
      </c>
      <c r="Q3322" s="6" t="s">
        <v>21</v>
      </c>
      <c r="R3322" s="6" t="s">
        <v>21</v>
      </c>
      <c r="S3322" s="6" t="s">
        <v>21</v>
      </c>
      <c r="T3322" s="6" t="s">
        <v>21</v>
      </c>
      <c r="U3322" s="6">
        <f t="shared" si="402"/>
        <v>0</v>
      </c>
      <c r="V3322" s="6">
        <f t="shared" si="407"/>
        <v>0</v>
      </c>
    </row>
    <row r="3323" spans="1:22" hidden="1" x14ac:dyDescent="0.35">
      <c r="A3323" s="6" t="s">
        <v>3640</v>
      </c>
      <c r="B3323" s="6" t="s">
        <v>3612</v>
      </c>
      <c r="C3323" s="6" t="s">
        <v>3613</v>
      </c>
      <c r="D3323" s="6">
        <f t="shared" si="404"/>
        <v>0.5</v>
      </c>
      <c r="E3323" s="6" t="s">
        <v>19</v>
      </c>
      <c r="F3323" s="6" t="str">
        <f>MID(A3323,19,1)</f>
        <v>S</v>
      </c>
      <c r="G3323" s="6">
        <v>-22.554294824959399</v>
      </c>
      <c r="H3323" s="6">
        <v>-47.369504622129021</v>
      </c>
      <c r="I3323" s="9">
        <v>890.03</v>
      </c>
      <c r="K3323" s="6">
        <v>2.66</v>
      </c>
      <c r="L3323" s="6">
        <v>50</v>
      </c>
      <c r="N3323" s="1">
        <f t="shared" si="401"/>
        <v>0</v>
      </c>
      <c r="O3323" s="6" t="s">
        <v>20</v>
      </c>
      <c r="Q3323" s="6" t="s">
        <v>21</v>
      </c>
      <c r="R3323" s="6" t="s">
        <v>21</v>
      </c>
      <c r="S3323" s="6" t="s">
        <v>21</v>
      </c>
      <c r="T3323" s="6" t="s">
        <v>21</v>
      </c>
      <c r="U3323" s="6">
        <f t="shared" si="402"/>
        <v>445.01499999999999</v>
      </c>
      <c r="V3323" s="6">
        <f t="shared" si="407"/>
        <v>445.01499999999999</v>
      </c>
    </row>
    <row r="3324" spans="1:22" hidden="1" x14ac:dyDescent="0.35">
      <c r="A3324" s="6" t="s">
        <v>3641</v>
      </c>
      <c r="B3324" s="6" t="s">
        <v>3612</v>
      </c>
      <c r="C3324" s="6" t="s">
        <v>3613</v>
      </c>
      <c r="D3324" s="6">
        <f t="shared" si="404"/>
        <v>0.5</v>
      </c>
      <c r="E3324" s="6" t="s">
        <v>19</v>
      </c>
      <c r="F3324" s="6" t="str">
        <f>MID(A3324,19,1)</f>
        <v>S</v>
      </c>
      <c r="G3324" s="6">
        <v>-22.66122905577414</v>
      </c>
      <c r="H3324" s="6">
        <v>-47.449477769774667</v>
      </c>
      <c r="I3324" s="9">
        <v>1843.35</v>
      </c>
      <c r="K3324" s="6">
        <v>5</v>
      </c>
      <c r="L3324" s="6">
        <v>70</v>
      </c>
      <c r="N3324" s="1">
        <f t="shared" si="401"/>
        <v>0</v>
      </c>
      <c r="O3324" s="6" t="s">
        <v>20</v>
      </c>
      <c r="Q3324" s="6" t="s">
        <v>21</v>
      </c>
      <c r="R3324" s="6" t="s">
        <v>21</v>
      </c>
      <c r="S3324" s="6" t="s">
        <v>21</v>
      </c>
      <c r="T3324" s="6" t="s">
        <v>21</v>
      </c>
      <c r="U3324" s="6">
        <f t="shared" si="402"/>
        <v>1290.3449999999998</v>
      </c>
      <c r="V3324" s="6">
        <f t="shared" si="407"/>
        <v>1290.3449999999998</v>
      </c>
    </row>
    <row r="3325" spans="1:22" x14ac:dyDescent="0.35">
      <c r="A3325" s="6" t="s">
        <v>3642</v>
      </c>
      <c r="B3325" s="6" t="s">
        <v>3612</v>
      </c>
      <c r="C3325" s="6" t="s">
        <v>3613</v>
      </c>
      <c r="D3325" s="6">
        <f t="shared" si="404"/>
        <v>0.5</v>
      </c>
      <c r="E3325" s="6" t="s">
        <v>19</v>
      </c>
      <c r="F3325" s="6" t="str">
        <f>MID(A3325,19,1)</f>
        <v>N</v>
      </c>
      <c r="G3325" s="6">
        <v>-22.66675712413215</v>
      </c>
      <c r="H3325" s="6">
        <v>-47.447984955896302</v>
      </c>
      <c r="I3325" s="9">
        <v>789.67</v>
      </c>
      <c r="K3325" s="6">
        <v>6.4</v>
      </c>
      <c r="L3325" s="6">
        <v>70</v>
      </c>
      <c r="N3325" s="1">
        <f t="shared" si="401"/>
        <v>0</v>
      </c>
      <c r="O3325" s="6" t="s">
        <v>20</v>
      </c>
      <c r="Q3325" s="6" t="s">
        <v>21</v>
      </c>
      <c r="R3325" s="6" t="s">
        <v>21</v>
      </c>
      <c r="S3325" s="6" t="s">
        <v>21</v>
      </c>
      <c r="T3325" s="6" t="s">
        <v>21</v>
      </c>
      <c r="U3325" s="6">
        <f t="shared" si="402"/>
        <v>552.76899999999989</v>
      </c>
      <c r="V3325" s="6">
        <f t="shared" si="407"/>
        <v>552.76899999999989</v>
      </c>
    </row>
    <row r="3326" spans="1:22" hidden="1" x14ac:dyDescent="0.35">
      <c r="A3326" s="6" t="s">
        <v>3643</v>
      </c>
      <c r="B3326" s="6" t="s">
        <v>3644</v>
      </c>
      <c r="C3326" s="6" t="s">
        <v>3645</v>
      </c>
      <c r="D3326" s="6">
        <f t="shared" si="404"/>
        <v>0.5</v>
      </c>
      <c r="E3326" s="6" t="s">
        <v>19</v>
      </c>
      <c r="F3326" s="6" t="str">
        <f>MID(A3326,19,1)</f>
        <v>S</v>
      </c>
      <c r="G3326" s="6">
        <v>-22.54316715664714</v>
      </c>
      <c r="H3326" s="6">
        <v>-47.37663388137647</v>
      </c>
      <c r="I3326" s="9">
        <v>2155.73</v>
      </c>
      <c r="K3326" s="6">
        <v>3.16</v>
      </c>
      <c r="L3326" s="6">
        <v>50</v>
      </c>
      <c r="N3326" s="1">
        <f t="shared" si="401"/>
        <v>0</v>
      </c>
      <c r="O3326" s="6" t="s">
        <v>20</v>
      </c>
      <c r="Q3326" s="6" t="s">
        <v>21</v>
      </c>
      <c r="R3326" s="6" t="s">
        <v>21</v>
      </c>
      <c r="S3326" s="6" t="s">
        <v>21</v>
      </c>
      <c r="T3326" s="6" t="s">
        <v>21</v>
      </c>
      <c r="U3326" s="6">
        <f t="shared" si="402"/>
        <v>1077.865</v>
      </c>
      <c r="V3326" s="6">
        <f t="shared" si="407"/>
        <v>1077.865</v>
      </c>
    </row>
    <row r="3327" spans="1:22" x14ac:dyDescent="0.35">
      <c r="A3327" s="6" t="s">
        <v>3646</v>
      </c>
      <c r="B3327" s="6" t="s">
        <v>3644</v>
      </c>
      <c r="C3327" s="6" t="s">
        <v>3645</v>
      </c>
      <c r="D3327" s="6">
        <f t="shared" si="404"/>
        <v>0.5</v>
      </c>
      <c r="E3327" s="6" t="s">
        <v>19</v>
      </c>
      <c r="F3327" s="6" t="str">
        <f>MID(A3327,19,1)</f>
        <v>N</v>
      </c>
      <c r="G3327" s="6">
        <v>-22.54720111893387</v>
      </c>
      <c r="H3327" s="6">
        <v>-47.375704033841536</v>
      </c>
      <c r="I3327" s="9">
        <v>7742.23</v>
      </c>
      <c r="K3327" s="6">
        <v>3.47</v>
      </c>
      <c r="N3327" s="1">
        <f t="shared" si="401"/>
        <v>0</v>
      </c>
      <c r="Q3327" s="6" t="s">
        <v>21</v>
      </c>
      <c r="R3327" s="6" t="s">
        <v>21</v>
      </c>
      <c r="S3327" s="6" t="s">
        <v>21</v>
      </c>
      <c r="T3327" s="6" t="s">
        <v>21</v>
      </c>
      <c r="U3327" s="6">
        <f t="shared" si="402"/>
        <v>0</v>
      </c>
      <c r="V3327" s="6">
        <f t="shared" si="407"/>
        <v>0</v>
      </c>
    </row>
    <row r="3328" spans="1:22" hidden="1" x14ac:dyDescent="0.35">
      <c r="A3328" s="6" t="s">
        <v>3647</v>
      </c>
      <c r="B3328" s="6" t="s">
        <v>3644</v>
      </c>
      <c r="C3328" s="6" t="s">
        <v>3645</v>
      </c>
      <c r="D3328" s="6">
        <f t="shared" si="404"/>
        <v>0.5</v>
      </c>
      <c r="E3328" s="6" t="s">
        <v>23</v>
      </c>
      <c r="F3328" s="6" t="str">
        <f>MID(A3328,19,1)</f>
        <v>C</v>
      </c>
      <c r="G3328" s="6">
        <v>-22.547877148841049</v>
      </c>
      <c r="H3328" s="6">
        <v>-47.374337033280803</v>
      </c>
      <c r="I3328" s="9">
        <v>5962.49</v>
      </c>
      <c r="J3328" s="9">
        <f t="shared" ref="J3328:J3329" si="409">I3328/500</f>
        <v>11.92498</v>
      </c>
      <c r="K3328" s="6">
        <v>3.4</v>
      </c>
      <c r="L3328" s="6">
        <v>50</v>
      </c>
      <c r="N3328" s="1">
        <f t="shared" si="401"/>
        <v>0</v>
      </c>
      <c r="O3328" s="6" t="s">
        <v>20</v>
      </c>
      <c r="Q3328" s="6" t="s">
        <v>21</v>
      </c>
      <c r="R3328" s="6" t="s">
        <v>21</v>
      </c>
      <c r="S3328" s="6" t="s">
        <v>21</v>
      </c>
      <c r="T3328" s="6" t="s">
        <v>21</v>
      </c>
      <c r="U3328" s="6">
        <f t="shared" si="402"/>
        <v>2981.2449999999999</v>
      </c>
      <c r="V3328" s="6">
        <f t="shared" si="407"/>
        <v>2981.2449999999999</v>
      </c>
    </row>
    <row r="3329" spans="1:22" hidden="1" x14ac:dyDescent="0.35">
      <c r="A3329" s="6" t="s">
        <v>3648</v>
      </c>
      <c r="B3329" s="6" t="s">
        <v>3644</v>
      </c>
      <c r="C3329" s="6" t="s">
        <v>3645</v>
      </c>
      <c r="D3329" s="6">
        <f t="shared" si="404"/>
        <v>0.5</v>
      </c>
      <c r="E3329" s="6" t="s">
        <v>23</v>
      </c>
      <c r="F3329" s="6" t="str">
        <f>MID(A3329,19,1)</f>
        <v>C</v>
      </c>
      <c r="G3329" s="6">
        <v>-22.54333443987467</v>
      </c>
      <c r="H3329" s="6">
        <v>-47.377468108747429</v>
      </c>
      <c r="I3329" s="9">
        <v>5850.82</v>
      </c>
      <c r="J3329" s="9">
        <f t="shared" si="409"/>
        <v>11.701639999999999</v>
      </c>
      <c r="K3329" s="6">
        <v>6.34</v>
      </c>
      <c r="L3329" s="6">
        <v>50</v>
      </c>
      <c r="N3329" s="1">
        <f t="shared" si="401"/>
        <v>0</v>
      </c>
      <c r="O3329" s="6" t="s">
        <v>20</v>
      </c>
      <c r="Q3329" s="6" t="s">
        <v>21</v>
      </c>
      <c r="R3329" s="6" t="s">
        <v>21</v>
      </c>
      <c r="S3329" s="6" t="s">
        <v>21</v>
      </c>
      <c r="T3329" s="6" t="s">
        <v>21</v>
      </c>
      <c r="U3329" s="6">
        <f t="shared" si="402"/>
        <v>2925.41</v>
      </c>
      <c r="V3329" s="6">
        <f t="shared" si="407"/>
        <v>2925.41</v>
      </c>
    </row>
    <row r="3330" spans="1:22" hidden="1" x14ac:dyDescent="0.35">
      <c r="A3330" s="6" t="s">
        <v>3649</v>
      </c>
      <c r="B3330" s="6" t="s">
        <v>3644</v>
      </c>
      <c r="C3330" s="6" t="s">
        <v>3645</v>
      </c>
      <c r="D3330" s="6">
        <f t="shared" si="404"/>
        <v>0.5</v>
      </c>
      <c r="E3330" s="6" t="s">
        <v>19</v>
      </c>
      <c r="F3330" s="6" t="str">
        <f>MID(A3330,19,1)</f>
        <v>S</v>
      </c>
      <c r="G3330" s="6">
        <v>-22.543580997368728</v>
      </c>
      <c r="H3330" s="6">
        <v>-47.373813448258531</v>
      </c>
      <c r="I3330" s="9">
        <v>420.67</v>
      </c>
      <c r="K3330" s="6">
        <v>3.12</v>
      </c>
      <c r="L3330" s="6">
        <v>50</v>
      </c>
      <c r="N3330" s="1">
        <f t="shared" ref="N3330:N3393" si="410">IF(OR(R3330="Sim",S3330="Sim",T3330="Sim"),(L3330/100)*I3330,0)</f>
        <v>0</v>
      </c>
      <c r="O3330" s="6" t="s">
        <v>20</v>
      </c>
      <c r="Q3330" s="6" t="s">
        <v>21</v>
      </c>
      <c r="R3330" s="6" t="s">
        <v>21</v>
      </c>
      <c r="S3330" s="6" t="s">
        <v>21</v>
      </c>
      <c r="T3330" s="6" t="s">
        <v>21</v>
      </c>
      <c r="U3330" s="6">
        <f t="shared" si="402"/>
        <v>210.33500000000001</v>
      </c>
      <c r="V3330" s="6">
        <f t="shared" si="407"/>
        <v>210.33500000000001</v>
      </c>
    </row>
    <row r="3331" spans="1:22" hidden="1" x14ac:dyDescent="0.35">
      <c r="A3331" s="6" t="s">
        <v>3650</v>
      </c>
      <c r="B3331" s="6" t="s">
        <v>3644</v>
      </c>
      <c r="C3331" s="6" t="s">
        <v>3645</v>
      </c>
      <c r="D3331" s="6">
        <f t="shared" si="404"/>
        <v>0.5</v>
      </c>
      <c r="E3331" s="6" t="s">
        <v>19</v>
      </c>
      <c r="F3331" s="6" t="str">
        <f>MID(A3331,19,1)</f>
        <v>S</v>
      </c>
      <c r="G3331" s="6">
        <v>-22.544654677262042</v>
      </c>
      <c r="H3331" s="6">
        <v>-47.374666511551879</v>
      </c>
      <c r="I3331" s="9">
        <v>3173.6</v>
      </c>
      <c r="K3331" s="6">
        <v>3.99</v>
      </c>
      <c r="L3331" s="6">
        <v>50</v>
      </c>
      <c r="N3331" s="1">
        <f t="shared" si="410"/>
        <v>0</v>
      </c>
      <c r="O3331" s="6" t="s">
        <v>20</v>
      </c>
      <c r="Q3331" s="6" t="s">
        <v>21</v>
      </c>
      <c r="R3331" s="6" t="s">
        <v>21</v>
      </c>
      <c r="S3331" s="6" t="s">
        <v>21</v>
      </c>
      <c r="T3331" s="6" t="s">
        <v>21</v>
      </c>
      <c r="U3331" s="6">
        <f t="shared" ref="U3331:U3394" si="411">IF(N3331=0,(I3331*(L3331/100)),0)</f>
        <v>1586.8</v>
      </c>
      <c r="V3331" s="6">
        <f t="shared" si="407"/>
        <v>1586.8</v>
      </c>
    </row>
    <row r="3332" spans="1:22" x14ac:dyDescent="0.35">
      <c r="A3332" s="6" t="s">
        <v>3651</v>
      </c>
      <c r="B3332" s="6" t="s">
        <v>3644</v>
      </c>
      <c r="C3332" s="6" t="s">
        <v>3645</v>
      </c>
      <c r="D3332" s="6">
        <f t="shared" si="404"/>
        <v>0.5</v>
      </c>
      <c r="E3332" s="6" t="s">
        <v>19</v>
      </c>
      <c r="F3332" s="6" t="str">
        <f>MID(A3332,19,1)</f>
        <v>N</v>
      </c>
      <c r="G3332" s="6">
        <v>-22.547046653108119</v>
      </c>
      <c r="H3332" s="6">
        <v>-47.377016235605041</v>
      </c>
      <c r="I3332" s="9">
        <v>1641.61</v>
      </c>
      <c r="K3332" s="6">
        <v>5.56</v>
      </c>
      <c r="L3332" s="6">
        <v>50</v>
      </c>
      <c r="N3332" s="1">
        <f t="shared" si="410"/>
        <v>0</v>
      </c>
      <c r="O3332" s="6" t="s">
        <v>20</v>
      </c>
      <c r="Q3332" s="6" t="s">
        <v>21</v>
      </c>
      <c r="R3332" s="6" t="s">
        <v>21</v>
      </c>
      <c r="S3332" s="6" t="s">
        <v>21</v>
      </c>
      <c r="T3332" s="6" t="s">
        <v>21</v>
      </c>
      <c r="U3332" s="6">
        <f t="shared" si="411"/>
        <v>820.80499999999995</v>
      </c>
      <c r="V3332" s="6">
        <f t="shared" si="407"/>
        <v>820.80499999999995</v>
      </c>
    </row>
    <row r="3333" spans="1:22" hidden="1" x14ac:dyDescent="0.35">
      <c r="A3333" s="6" t="s">
        <v>3652</v>
      </c>
      <c r="B3333" s="6" t="s">
        <v>3644</v>
      </c>
      <c r="C3333" s="6" t="s">
        <v>3645</v>
      </c>
      <c r="D3333" s="6">
        <f t="shared" si="404"/>
        <v>0.5</v>
      </c>
      <c r="E3333" s="6" t="s">
        <v>23</v>
      </c>
      <c r="F3333" s="6" t="str">
        <f>MID(A3333,19,1)</f>
        <v>C</v>
      </c>
      <c r="G3333" s="6">
        <v>-22.544971739332791</v>
      </c>
      <c r="H3333" s="6">
        <v>-47.375627090633621</v>
      </c>
      <c r="I3333" s="9">
        <v>1574.44</v>
      </c>
      <c r="J3333" s="9">
        <f t="shared" ref="J3333:J3337" si="412">I3333/500</f>
        <v>3.1488800000000001</v>
      </c>
      <c r="K3333" s="6">
        <v>2.7</v>
      </c>
      <c r="L3333" s="6">
        <v>50</v>
      </c>
      <c r="N3333" s="1">
        <f t="shared" si="410"/>
        <v>0</v>
      </c>
      <c r="O3333" s="6" t="s">
        <v>20</v>
      </c>
      <c r="Q3333" s="6" t="s">
        <v>21</v>
      </c>
      <c r="R3333" s="6" t="s">
        <v>21</v>
      </c>
      <c r="S3333" s="6" t="s">
        <v>21</v>
      </c>
      <c r="T3333" s="6" t="s">
        <v>21</v>
      </c>
      <c r="U3333" s="6">
        <f t="shared" si="411"/>
        <v>787.22</v>
      </c>
      <c r="V3333" s="6">
        <f t="shared" si="407"/>
        <v>787.22</v>
      </c>
    </row>
    <row r="3334" spans="1:22" hidden="1" x14ac:dyDescent="0.35">
      <c r="A3334" s="6" t="s">
        <v>3653</v>
      </c>
      <c r="B3334" s="6" t="s">
        <v>3644</v>
      </c>
      <c r="C3334" s="6" t="s">
        <v>3645</v>
      </c>
      <c r="D3334" s="6">
        <f t="shared" si="404"/>
        <v>0.5</v>
      </c>
      <c r="E3334" s="6" t="s">
        <v>23</v>
      </c>
      <c r="F3334" s="6" t="str">
        <f>MID(A3334,19,1)</f>
        <v>C</v>
      </c>
      <c r="G3334" s="6">
        <v>-22.65214928398883</v>
      </c>
      <c r="H3334" s="6">
        <v>-47.449520749142337</v>
      </c>
      <c r="I3334" s="9">
        <v>5454.59</v>
      </c>
      <c r="J3334" s="9">
        <f t="shared" si="412"/>
        <v>10.909180000000001</v>
      </c>
      <c r="K3334" s="6">
        <v>6.5</v>
      </c>
      <c r="L3334" s="6">
        <v>80</v>
      </c>
      <c r="N3334" s="1">
        <f t="shared" si="410"/>
        <v>0</v>
      </c>
      <c r="O3334" s="6" t="s">
        <v>20</v>
      </c>
      <c r="Q3334" s="6" t="s">
        <v>21</v>
      </c>
      <c r="R3334" s="6" t="s">
        <v>21</v>
      </c>
      <c r="S3334" s="6" t="s">
        <v>21</v>
      </c>
      <c r="T3334" s="6" t="s">
        <v>21</v>
      </c>
      <c r="U3334" s="6">
        <f t="shared" si="411"/>
        <v>4363.6720000000005</v>
      </c>
      <c r="V3334" s="6">
        <f t="shared" si="407"/>
        <v>4363.6720000000005</v>
      </c>
    </row>
    <row r="3335" spans="1:22" hidden="1" x14ac:dyDescent="0.35">
      <c r="A3335" s="6" t="s">
        <v>3654</v>
      </c>
      <c r="B3335" s="6" t="s">
        <v>3644</v>
      </c>
      <c r="C3335" s="6" t="s">
        <v>3645</v>
      </c>
      <c r="D3335" s="6">
        <f t="shared" si="404"/>
        <v>0.5</v>
      </c>
      <c r="E3335" s="6" t="s">
        <v>23</v>
      </c>
      <c r="F3335" s="6" t="str">
        <f>MID(A3335,19,1)</f>
        <v>C</v>
      </c>
      <c r="G3335" s="6">
        <v>-22.54665080930042</v>
      </c>
      <c r="H3335" s="6">
        <v>-47.376039806136163</v>
      </c>
      <c r="I3335" s="9">
        <v>10908.93</v>
      </c>
      <c r="J3335" s="9">
        <f t="shared" si="412"/>
        <v>21.81786</v>
      </c>
      <c r="K3335" s="6">
        <v>4.12</v>
      </c>
      <c r="L3335" s="6">
        <v>50</v>
      </c>
      <c r="N3335" s="1">
        <f t="shared" si="410"/>
        <v>0</v>
      </c>
      <c r="O3335" s="6" t="s">
        <v>20</v>
      </c>
      <c r="Q3335" s="6" t="s">
        <v>21</v>
      </c>
      <c r="R3335" s="6" t="s">
        <v>21</v>
      </c>
      <c r="S3335" s="6" t="s">
        <v>21</v>
      </c>
      <c r="T3335" s="6" t="s">
        <v>21</v>
      </c>
      <c r="U3335" s="6">
        <f t="shared" si="411"/>
        <v>5454.4650000000001</v>
      </c>
      <c r="V3335" s="6">
        <f t="shared" si="407"/>
        <v>5454.4650000000001</v>
      </c>
    </row>
    <row r="3336" spans="1:22" hidden="1" x14ac:dyDescent="0.35">
      <c r="A3336" s="6" t="s">
        <v>3655</v>
      </c>
      <c r="B3336" s="6" t="s">
        <v>3644</v>
      </c>
      <c r="C3336" s="6" t="s">
        <v>3645</v>
      </c>
      <c r="D3336" s="6">
        <f t="shared" si="404"/>
        <v>0.5</v>
      </c>
      <c r="E3336" s="6" t="s">
        <v>23</v>
      </c>
      <c r="F3336" s="6" t="str">
        <f>MID(A3336,19,1)</f>
        <v>C</v>
      </c>
      <c r="G3336" s="6">
        <v>-22.544024194225731</v>
      </c>
      <c r="H3336" s="6">
        <v>-47.375981005342517</v>
      </c>
      <c r="I3336" s="9">
        <v>8345.98</v>
      </c>
      <c r="J3336" s="9">
        <f t="shared" si="412"/>
        <v>16.691959999999998</v>
      </c>
      <c r="K3336" s="6">
        <v>3.94</v>
      </c>
      <c r="L3336" s="6">
        <v>50</v>
      </c>
      <c r="N3336" s="1">
        <f t="shared" si="410"/>
        <v>0</v>
      </c>
      <c r="O3336" s="6" t="s">
        <v>20</v>
      </c>
      <c r="Q3336" s="6" t="s">
        <v>21</v>
      </c>
      <c r="R3336" s="6" t="s">
        <v>21</v>
      </c>
      <c r="S3336" s="6" t="s">
        <v>21</v>
      </c>
      <c r="T3336" s="6" t="s">
        <v>21</v>
      </c>
      <c r="U3336" s="6">
        <f t="shared" si="411"/>
        <v>4172.99</v>
      </c>
      <c r="V3336" s="6">
        <f t="shared" si="407"/>
        <v>4172.99</v>
      </c>
    </row>
    <row r="3337" spans="1:22" hidden="1" x14ac:dyDescent="0.35">
      <c r="A3337" s="6" t="s">
        <v>3656</v>
      </c>
      <c r="B3337" s="6" t="s">
        <v>3644</v>
      </c>
      <c r="C3337" s="6" t="s">
        <v>3645</v>
      </c>
      <c r="D3337" s="6">
        <f t="shared" si="404"/>
        <v>0.5</v>
      </c>
      <c r="E3337" s="6" t="s">
        <v>23</v>
      </c>
      <c r="F3337" s="6" t="str">
        <f>MID(A3337,19,1)</f>
        <v>C</v>
      </c>
      <c r="G3337" s="6">
        <v>-22.544491376210921</v>
      </c>
      <c r="H3337" s="6">
        <v>-47.375790714624813</v>
      </c>
      <c r="I3337" s="9">
        <v>9729.1299999999992</v>
      </c>
      <c r="J3337" s="9">
        <f t="shared" si="412"/>
        <v>19.458259999999999</v>
      </c>
      <c r="K3337" s="6">
        <v>3.2</v>
      </c>
      <c r="L3337" s="6">
        <v>50</v>
      </c>
      <c r="N3337" s="1">
        <f t="shared" si="410"/>
        <v>0</v>
      </c>
      <c r="O3337" s="6" t="s">
        <v>20</v>
      </c>
      <c r="Q3337" s="6" t="s">
        <v>21</v>
      </c>
      <c r="R3337" s="6" t="s">
        <v>21</v>
      </c>
      <c r="S3337" s="6" t="s">
        <v>21</v>
      </c>
      <c r="T3337" s="6" t="s">
        <v>21</v>
      </c>
      <c r="U3337" s="6">
        <f t="shared" si="411"/>
        <v>4864.5649999999996</v>
      </c>
      <c r="V3337" s="6">
        <f t="shared" si="407"/>
        <v>4864.5649999999996</v>
      </c>
    </row>
    <row r="3338" spans="1:22" hidden="1" x14ac:dyDescent="0.35">
      <c r="A3338" s="6" t="s">
        <v>3657</v>
      </c>
      <c r="B3338" s="6" t="s">
        <v>3644</v>
      </c>
      <c r="C3338" s="6" t="s">
        <v>3645</v>
      </c>
      <c r="D3338" s="6">
        <f t="shared" si="404"/>
        <v>0.5</v>
      </c>
      <c r="E3338" s="6" t="s">
        <v>19</v>
      </c>
      <c r="F3338" s="6" t="str">
        <f>MID(A3338,19,1)</f>
        <v>S</v>
      </c>
      <c r="G3338" s="6">
        <v>-22.656606087893149</v>
      </c>
      <c r="H3338" s="6">
        <v>-47.449608076094783</v>
      </c>
      <c r="I3338" s="9">
        <v>1943.88</v>
      </c>
      <c r="K3338" s="6">
        <v>4.66</v>
      </c>
      <c r="L3338" s="6">
        <v>70</v>
      </c>
      <c r="N3338" s="1">
        <f t="shared" si="410"/>
        <v>0</v>
      </c>
      <c r="O3338" s="6" t="s">
        <v>20</v>
      </c>
      <c r="Q3338" s="6" t="s">
        <v>21</v>
      </c>
      <c r="R3338" s="6" t="s">
        <v>21</v>
      </c>
      <c r="S3338" s="6" t="s">
        <v>21</v>
      </c>
      <c r="T3338" s="6" t="s">
        <v>21</v>
      </c>
      <c r="U3338" s="6">
        <f t="shared" si="411"/>
        <v>1360.7159999999999</v>
      </c>
      <c r="V3338" s="6">
        <f t="shared" si="407"/>
        <v>1360.7159999999999</v>
      </c>
    </row>
    <row r="3339" spans="1:22" hidden="1" x14ac:dyDescent="0.35">
      <c r="A3339" s="6" t="s">
        <v>3658</v>
      </c>
      <c r="B3339" s="6" t="s">
        <v>3644</v>
      </c>
      <c r="C3339" s="6" t="s">
        <v>3645</v>
      </c>
      <c r="D3339" s="6">
        <f t="shared" si="404"/>
        <v>0.5</v>
      </c>
      <c r="E3339" s="6" t="s">
        <v>19</v>
      </c>
      <c r="F3339" s="6" t="str">
        <f>MID(A3339,19,1)</f>
        <v>S</v>
      </c>
      <c r="G3339" s="6">
        <v>-22.546140873982178</v>
      </c>
      <c r="H3339" s="6">
        <v>-47.374663894933192</v>
      </c>
      <c r="I3339" s="9">
        <v>8165.21</v>
      </c>
      <c r="K3339" s="6">
        <v>3.7</v>
      </c>
      <c r="N3339" s="1">
        <f t="shared" si="410"/>
        <v>0</v>
      </c>
      <c r="Q3339" s="6" t="s">
        <v>21</v>
      </c>
      <c r="R3339" s="6" t="s">
        <v>21</v>
      </c>
      <c r="S3339" s="6" t="s">
        <v>21</v>
      </c>
      <c r="T3339" s="6" t="s">
        <v>21</v>
      </c>
      <c r="U3339" s="6">
        <f t="shared" si="411"/>
        <v>0</v>
      </c>
      <c r="V3339" s="6">
        <f t="shared" si="407"/>
        <v>0</v>
      </c>
    </row>
    <row r="3340" spans="1:22" hidden="1" x14ac:dyDescent="0.35">
      <c r="A3340" s="6" t="s">
        <v>3659</v>
      </c>
      <c r="B3340" s="6" t="s">
        <v>3644</v>
      </c>
      <c r="C3340" s="6" t="s">
        <v>3645</v>
      </c>
      <c r="D3340" s="6">
        <f t="shared" si="404"/>
        <v>0.5</v>
      </c>
      <c r="E3340" s="6" t="s">
        <v>19</v>
      </c>
      <c r="F3340" s="6" t="str">
        <f>MID(A3340,19,1)</f>
        <v>S</v>
      </c>
      <c r="G3340" s="6">
        <v>-22.545658890037569</v>
      </c>
      <c r="H3340" s="6">
        <v>-47.375056268741659</v>
      </c>
      <c r="I3340" s="9">
        <v>9961.1299999999992</v>
      </c>
      <c r="K3340" s="6">
        <v>2.58</v>
      </c>
      <c r="L3340" s="6">
        <v>50</v>
      </c>
      <c r="N3340" s="1">
        <f t="shared" si="410"/>
        <v>0</v>
      </c>
      <c r="O3340" s="6" t="s">
        <v>20</v>
      </c>
      <c r="Q3340" s="6" t="s">
        <v>21</v>
      </c>
      <c r="R3340" s="6" t="s">
        <v>21</v>
      </c>
      <c r="S3340" s="6" t="s">
        <v>21</v>
      </c>
      <c r="T3340" s="6" t="s">
        <v>21</v>
      </c>
      <c r="U3340" s="6">
        <f t="shared" si="411"/>
        <v>4980.5649999999996</v>
      </c>
      <c r="V3340" s="6">
        <f t="shared" si="407"/>
        <v>4980.5649999999996</v>
      </c>
    </row>
    <row r="3341" spans="1:22" x14ac:dyDescent="0.35">
      <c r="A3341" s="6" t="s">
        <v>3660</v>
      </c>
      <c r="B3341" s="6" t="s">
        <v>3644</v>
      </c>
      <c r="C3341" s="6" t="s">
        <v>3645</v>
      </c>
      <c r="D3341" s="6">
        <f t="shared" si="404"/>
        <v>0.5</v>
      </c>
      <c r="E3341" s="6" t="s">
        <v>19</v>
      </c>
      <c r="F3341" s="6" t="str">
        <f>MID(A3341,19,1)</f>
        <v>N</v>
      </c>
      <c r="G3341" s="6">
        <v>-22.65214833997895</v>
      </c>
      <c r="H3341" s="6">
        <v>-47.449335382953208</v>
      </c>
      <c r="I3341" s="9">
        <v>1655.25</v>
      </c>
      <c r="K3341" s="6">
        <v>7.27</v>
      </c>
      <c r="L3341" s="6">
        <v>70</v>
      </c>
      <c r="N3341" s="1">
        <f t="shared" si="410"/>
        <v>0</v>
      </c>
      <c r="O3341" s="6" t="s">
        <v>20</v>
      </c>
      <c r="Q3341" s="6" t="s">
        <v>21</v>
      </c>
      <c r="R3341" s="6" t="s">
        <v>21</v>
      </c>
      <c r="S3341" s="6" t="s">
        <v>21</v>
      </c>
      <c r="T3341" s="6" t="s">
        <v>21</v>
      </c>
      <c r="U3341" s="6">
        <f t="shared" si="411"/>
        <v>1158.675</v>
      </c>
      <c r="V3341" s="6">
        <f t="shared" si="407"/>
        <v>1158.675</v>
      </c>
    </row>
    <row r="3342" spans="1:22" hidden="1" x14ac:dyDescent="0.35">
      <c r="A3342" s="6" t="s">
        <v>3661</v>
      </c>
      <c r="B3342" s="6" t="s">
        <v>3644</v>
      </c>
      <c r="C3342" s="6" t="s">
        <v>3645</v>
      </c>
      <c r="D3342" s="6">
        <f t="shared" ref="D3342:D3405" si="413">C3342-B3342</f>
        <v>0.5</v>
      </c>
      <c r="E3342" s="6" t="s">
        <v>19</v>
      </c>
      <c r="F3342" s="6" t="str">
        <f>MID(A3342,19,1)</f>
        <v>S</v>
      </c>
      <c r="G3342" s="6">
        <v>-22.652159007537652</v>
      </c>
      <c r="H3342" s="6">
        <v>-47.44970013364722</v>
      </c>
      <c r="I3342" s="9">
        <v>1697.35</v>
      </c>
      <c r="K3342" s="6">
        <v>7.82</v>
      </c>
      <c r="L3342" s="6">
        <v>70</v>
      </c>
      <c r="N3342" s="1">
        <f t="shared" si="410"/>
        <v>0</v>
      </c>
      <c r="O3342" s="6" t="s">
        <v>20</v>
      </c>
      <c r="Q3342" s="6" t="s">
        <v>21</v>
      </c>
      <c r="R3342" s="6" t="s">
        <v>21</v>
      </c>
      <c r="S3342" s="6" t="s">
        <v>21</v>
      </c>
      <c r="T3342" s="6" t="s">
        <v>21</v>
      </c>
      <c r="U3342" s="6">
        <f t="shared" si="411"/>
        <v>1188.1449999999998</v>
      </c>
      <c r="V3342" s="6">
        <f t="shared" si="407"/>
        <v>1188.1449999999998</v>
      </c>
    </row>
    <row r="3343" spans="1:22" hidden="1" x14ac:dyDescent="0.35">
      <c r="A3343" s="6" t="s">
        <v>3662</v>
      </c>
      <c r="B3343" s="6" t="s">
        <v>3644</v>
      </c>
      <c r="C3343" s="6" t="s">
        <v>3645</v>
      </c>
      <c r="D3343" s="6">
        <f t="shared" si="413"/>
        <v>0.5</v>
      </c>
      <c r="E3343" s="6" t="s">
        <v>23</v>
      </c>
      <c r="F3343" s="6" t="str">
        <f>MID(A3343,19,1)</f>
        <v>C</v>
      </c>
      <c r="G3343" s="6">
        <v>-22.656605234435911</v>
      </c>
      <c r="H3343" s="6">
        <v>-47.449427176127521</v>
      </c>
      <c r="I3343" s="9">
        <v>6305.41</v>
      </c>
      <c r="J3343" s="9">
        <f>I3343/500</f>
        <v>12.61082</v>
      </c>
      <c r="K3343" s="6">
        <v>5.26</v>
      </c>
      <c r="L3343" s="6">
        <v>80</v>
      </c>
      <c r="N3343" s="1">
        <f t="shared" si="410"/>
        <v>0</v>
      </c>
      <c r="O3343" s="6" t="s">
        <v>20</v>
      </c>
      <c r="Q3343" s="6" t="s">
        <v>21</v>
      </c>
      <c r="R3343" s="6" t="s">
        <v>21</v>
      </c>
      <c r="S3343" s="6" t="s">
        <v>21</v>
      </c>
      <c r="T3343" s="6" t="s">
        <v>21</v>
      </c>
      <c r="U3343" s="6">
        <f t="shared" si="411"/>
        <v>5044.3280000000004</v>
      </c>
      <c r="V3343" s="6">
        <f t="shared" si="407"/>
        <v>5044.3280000000004</v>
      </c>
    </row>
    <row r="3344" spans="1:22" hidden="1" x14ac:dyDescent="0.35">
      <c r="A3344" s="6" t="s">
        <v>3663</v>
      </c>
      <c r="B3344" s="6" t="s">
        <v>3644</v>
      </c>
      <c r="C3344" s="6" t="s">
        <v>3645</v>
      </c>
      <c r="D3344" s="6">
        <f t="shared" si="413"/>
        <v>0.5</v>
      </c>
      <c r="E3344" s="6" t="s">
        <v>19</v>
      </c>
      <c r="F3344" s="6" t="str">
        <f>MID(A3344,19,1)</f>
        <v>S</v>
      </c>
      <c r="G3344" s="6">
        <v>-22.545724907891191</v>
      </c>
      <c r="H3344" s="6">
        <v>-47.374664627288901</v>
      </c>
      <c r="I3344" s="9">
        <v>11338.81</v>
      </c>
      <c r="K3344" s="6">
        <v>3.73</v>
      </c>
      <c r="L3344" s="6">
        <v>50</v>
      </c>
      <c r="N3344" s="1">
        <f t="shared" si="410"/>
        <v>0</v>
      </c>
      <c r="O3344" s="6" t="s">
        <v>20</v>
      </c>
      <c r="Q3344" s="6" t="s">
        <v>21</v>
      </c>
      <c r="R3344" s="6" t="s">
        <v>21</v>
      </c>
      <c r="S3344" s="6" t="s">
        <v>21</v>
      </c>
      <c r="T3344" s="6" t="s">
        <v>21</v>
      </c>
      <c r="U3344" s="6">
        <f t="shared" si="411"/>
        <v>5669.4049999999997</v>
      </c>
      <c r="V3344" s="6">
        <f t="shared" si="407"/>
        <v>5669.4049999999997</v>
      </c>
    </row>
    <row r="3345" spans="1:22" hidden="1" x14ac:dyDescent="0.35">
      <c r="A3345" s="6" t="s">
        <v>3664</v>
      </c>
      <c r="B3345" s="6" t="s">
        <v>3644</v>
      </c>
      <c r="C3345" s="6" t="s">
        <v>3645</v>
      </c>
      <c r="D3345" s="6">
        <f t="shared" si="413"/>
        <v>0.5</v>
      </c>
      <c r="E3345" s="6" t="s">
        <v>19</v>
      </c>
      <c r="F3345" s="6" t="str">
        <f>MID(A3345,19,1)</f>
        <v>S</v>
      </c>
      <c r="G3345" s="6">
        <v>-22.544220234829972</v>
      </c>
      <c r="H3345" s="6">
        <v>-47.374778697779007</v>
      </c>
      <c r="I3345" s="9">
        <v>860.31</v>
      </c>
      <c r="K3345" s="6">
        <v>3.98</v>
      </c>
      <c r="L3345" s="6">
        <v>50</v>
      </c>
      <c r="N3345" s="1">
        <f t="shared" si="410"/>
        <v>0</v>
      </c>
      <c r="O3345" s="6" t="s">
        <v>20</v>
      </c>
      <c r="Q3345" s="6" t="s">
        <v>21</v>
      </c>
      <c r="R3345" s="6" t="s">
        <v>21</v>
      </c>
      <c r="S3345" s="6" t="s">
        <v>21</v>
      </c>
      <c r="T3345" s="6" t="s">
        <v>21</v>
      </c>
      <c r="U3345" s="6">
        <f t="shared" si="411"/>
        <v>430.15499999999997</v>
      </c>
      <c r="V3345" s="6">
        <f t="shared" si="407"/>
        <v>430.15499999999997</v>
      </c>
    </row>
    <row r="3346" spans="1:22" x14ac:dyDescent="0.35">
      <c r="A3346" s="6" t="s">
        <v>3665</v>
      </c>
      <c r="B3346" s="6" t="s">
        <v>3644</v>
      </c>
      <c r="C3346" s="6" t="s">
        <v>3645</v>
      </c>
      <c r="D3346" s="6">
        <f t="shared" si="413"/>
        <v>0.5</v>
      </c>
      <c r="E3346" s="6" t="s">
        <v>19</v>
      </c>
      <c r="F3346" s="6" t="str">
        <f>MID(A3346,19,1)</f>
        <v>N</v>
      </c>
      <c r="G3346" s="6">
        <v>-22.54482476886982</v>
      </c>
      <c r="H3346" s="6">
        <v>-47.377131826889361</v>
      </c>
      <c r="I3346" s="9">
        <v>6772</v>
      </c>
      <c r="K3346" s="6">
        <v>7.9</v>
      </c>
      <c r="L3346" s="6">
        <v>50</v>
      </c>
      <c r="N3346" s="1">
        <f t="shared" si="410"/>
        <v>0</v>
      </c>
      <c r="O3346" s="6" t="s">
        <v>20</v>
      </c>
      <c r="Q3346" s="6" t="s">
        <v>21</v>
      </c>
      <c r="R3346" s="6" t="s">
        <v>21</v>
      </c>
      <c r="S3346" s="6" t="s">
        <v>21</v>
      </c>
      <c r="T3346" s="6" t="s">
        <v>21</v>
      </c>
      <c r="U3346" s="6">
        <f t="shared" si="411"/>
        <v>3386</v>
      </c>
      <c r="V3346" s="6">
        <f t="shared" si="407"/>
        <v>3386</v>
      </c>
    </row>
    <row r="3347" spans="1:22" x14ac:dyDescent="0.35">
      <c r="A3347" s="6" t="s">
        <v>3666</v>
      </c>
      <c r="B3347" s="6" t="s">
        <v>3644</v>
      </c>
      <c r="C3347" s="6" t="s">
        <v>3645</v>
      </c>
      <c r="D3347" s="6">
        <f t="shared" si="413"/>
        <v>0.5</v>
      </c>
      <c r="E3347" s="6" t="s">
        <v>19</v>
      </c>
      <c r="F3347" s="6" t="str">
        <f>MID(A3347,19,1)</f>
        <v>N</v>
      </c>
      <c r="G3347" s="6">
        <v>-22.547171848296689</v>
      </c>
      <c r="H3347" s="6">
        <v>-47.377773109442423</v>
      </c>
      <c r="I3347" s="9">
        <v>663.71</v>
      </c>
      <c r="K3347" s="6">
        <v>6.15</v>
      </c>
      <c r="L3347" s="6">
        <v>50</v>
      </c>
      <c r="N3347" s="1">
        <f t="shared" si="410"/>
        <v>0</v>
      </c>
      <c r="O3347" s="6" t="s">
        <v>20</v>
      </c>
      <c r="Q3347" s="6" t="s">
        <v>21</v>
      </c>
      <c r="R3347" s="6" t="s">
        <v>21</v>
      </c>
      <c r="S3347" s="6" t="s">
        <v>21</v>
      </c>
      <c r="T3347" s="6" t="s">
        <v>21</v>
      </c>
      <c r="U3347" s="6">
        <f t="shared" si="411"/>
        <v>331.85500000000002</v>
      </c>
      <c r="V3347" s="6">
        <f t="shared" si="407"/>
        <v>331.85500000000002</v>
      </c>
    </row>
    <row r="3348" spans="1:22" x14ac:dyDescent="0.35">
      <c r="A3348" s="6" t="s">
        <v>3667</v>
      </c>
      <c r="B3348" s="6" t="s">
        <v>3644</v>
      </c>
      <c r="C3348" s="6" t="s">
        <v>3645</v>
      </c>
      <c r="D3348" s="6">
        <f t="shared" si="413"/>
        <v>0.5</v>
      </c>
      <c r="E3348" s="6" t="s">
        <v>19</v>
      </c>
      <c r="F3348" s="6" t="str">
        <f>MID(A3348,19,1)</f>
        <v>N</v>
      </c>
      <c r="G3348" s="6">
        <v>-22.549065895524969</v>
      </c>
      <c r="H3348" s="6">
        <v>-47.373756468166377</v>
      </c>
      <c r="I3348" s="9">
        <v>412.08</v>
      </c>
      <c r="K3348" s="6">
        <v>3.77</v>
      </c>
      <c r="L3348" s="6">
        <v>50</v>
      </c>
      <c r="N3348" s="1">
        <f t="shared" si="410"/>
        <v>0</v>
      </c>
      <c r="O3348" s="6" t="s">
        <v>20</v>
      </c>
      <c r="Q3348" s="6" t="s">
        <v>21</v>
      </c>
      <c r="R3348" s="6" t="s">
        <v>21</v>
      </c>
      <c r="S3348" s="6" t="s">
        <v>21</v>
      </c>
      <c r="T3348" s="6" t="s">
        <v>21</v>
      </c>
      <c r="U3348" s="6">
        <f t="shared" si="411"/>
        <v>206.04</v>
      </c>
      <c r="V3348" s="6">
        <f t="shared" si="407"/>
        <v>206.04</v>
      </c>
    </row>
    <row r="3349" spans="1:22" x14ac:dyDescent="0.35">
      <c r="A3349" s="6" t="s">
        <v>3668</v>
      </c>
      <c r="B3349" s="6" t="s">
        <v>3644</v>
      </c>
      <c r="C3349" s="6" t="s">
        <v>3645</v>
      </c>
      <c r="D3349" s="6">
        <f t="shared" si="413"/>
        <v>0.5</v>
      </c>
      <c r="E3349" s="6" t="s">
        <v>19</v>
      </c>
      <c r="F3349" s="6" t="str">
        <f>MID(A3349,19,1)</f>
        <v>N</v>
      </c>
      <c r="G3349" s="6">
        <v>-22.543896478517301</v>
      </c>
      <c r="H3349" s="6">
        <v>-47.377807665644923</v>
      </c>
      <c r="I3349" s="9">
        <v>2358.8200000000002</v>
      </c>
      <c r="K3349" s="6">
        <v>8.93</v>
      </c>
      <c r="L3349" s="6">
        <v>50</v>
      </c>
      <c r="N3349" s="1">
        <f t="shared" si="410"/>
        <v>0</v>
      </c>
      <c r="O3349" s="6" t="s">
        <v>20</v>
      </c>
      <c r="Q3349" s="6" t="s">
        <v>21</v>
      </c>
      <c r="R3349" s="6" t="s">
        <v>21</v>
      </c>
      <c r="S3349" s="6" t="s">
        <v>21</v>
      </c>
      <c r="T3349" s="6" t="s">
        <v>21</v>
      </c>
      <c r="U3349" s="6">
        <f t="shared" si="411"/>
        <v>1179.4100000000001</v>
      </c>
      <c r="V3349" s="6">
        <f t="shared" si="407"/>
        <v>1179.4100000000001</v>
      </c>
    </row>
    <row r="3350" spans="1:22" hidden="1" x14ac:dyDescent="0.35">
      <c r="A3350" s="6" t="s">
        <v>3669</v>
      </c>
      <c r="B3350" s="6" t="s">
        <v>3644</v>
      </c>
      <c r="C3350" s="6" t="s">
        <v>3645</v>
      </c>
      <c r="D3350" s="6">
        <f t="shared" si="413"/>
        <v>0.5</v>
      </c>
      <c r="E3350" s="6" t="s">
        <v>19</v>
      </c>
      <c r="F3350" s="6" t="str">
        <f>MID(A3350,19,1)</f>
        <v>S</v>
      </c>
      <c r="G3350" s="6">
        <v>-22.546847233533619</v>
      </c>
      <c r="H3350" s="6">
        <v>-47.374133468021419</v>
      </c>
      <c r="I3350" s="9">
        <v>2172.33</v>
      </c>
      <c r="K3350" s="6">
        <v>3.68</v>
      </c>
      <c r="L3350" s="6">
        <v>50</v>
      </c>
      <c r="N3350" s="1">
        <f t="shared" si="410"/>
        <v>0</v>
      </c>
      <c r="O3350" s="6" t="s">
        <v>20</v>
      </c>
      <c r="Q3350" s="6" t="s">
        <v>21</v>
      </c>
      <c r="R3350" s="6" t="s">
        <v>21</v>
      </c>
      <c r="S3350" s="6" t="s">
        <v>21</v>
      </c>
      <c r="T3350" s="6" t="s">
        <v>21</v>
      </c>
      <c r="U3350" s="6">
        <f t="shared" si="411"/>
        <v>1086.165</v>
      </c>
      <c r="V3350" s="6">
        <f t="shared" si="407"/>
        <v>1086.165</v>
      </c>
    </row>
    <row r="3351" spans="1:22" x14ac:dyDescent="0.35">
      <c r="A3351" s="6" t="s">
        <v>3670</v>
      </c>
      <c r="B3351" s="6" t="s">
        <v>3644</v>
      </c>
      <c r="C3351" s="6" t="s">
        <v>3645</v>
      </c>
      <c r="D3351" s="6">
        <f t="shared" si="413"/>
        <v>0.5</v>
      </c>
      <c r="E3351" s="6" t="s">
        <v>19</v>
      </c>
      <c r="F3351" s="6" t="str">
        <f>MID(A3351,19,1)</f>
        <v>N</v>
      </c>
      <c r="G3351" s="6">
        <v>-22.54585001291461</v>
      </c>
      <c r="H3351" s="6">
        <v>-47.376583806374008</v>
      </c>
      <c r="I3351" s="9">
        <v>3359.38</v>
      </c>
      <c r="K3351" s="6">
        <v>4.8099999999999996</v>
      </c>
      <c r="L3351" s="6">
        <v>50</v>
      </c>
      <c r="N3351" s="1">
        <f t="shared" si="410"/>
        <v>0</v>
      </c>
      <c r="O3351" s="6" t="s">
        <v>20</v>
      </c>
      <c r="Q3351" s="6" t="s">
        <v>21</v>
      </c>
      <c r="R3351" s="6" t="s">
        <v>21</v>
      </c>
      <c r="S3351" s="6" t="s">
        <v>21</v>
      </c>
      <c r="T3351" s="6" t="s">
        <v>21</v>
      </c>
      <c r="U3351" s="6">
        <f t="shared" si="411"/>
        <v>1679.69</v>
      </c>
      <c r="V3351" s="6">
        <f t="shared" si="407"/>
        <v>1679.69</v>
      </c>
    </row>
    <row r="3352" spans="1:22" x14ac:dyDescent="0.35">
      <c r="A3352" s="6" t="s">
        <v>3671</v>
      </c>
      <c r="B3352" s="6" t="s">
        <v>3644</v>
      </c>
      <c r="C3352" s="6" t="s">
        <v>3645</v>
      </c>
      <c r="D3352" s="6">
        <f t="shared" si="413"/>
        <v>0.5</v>
      </c>
      <c r="E3352" s="6" t="s">
        <v>19</v>
      </c>
      <c r="F3352" s="6" t="str">
        <f>MID(A3352,19,1)</f>
        <v>N</v>
      </c>
      <c r="G3352" s="6">
        <v>-22.546549206790839</v>
      </c>
      <c r="H3352" s="6">
        <v>-47.377205803551391</v>
      </c>
      <c r="I3352" s="9">
        <v>3779.18</v>
      </c>
      <c r="K3352" s="6">
        <v>8.67</v>
      </c>
      <c r="L3352" s="6">
        <v>50</v>
      </c>
      <c r="N3352" s="1">
        <f t="shared" si="410"/>
        <v>0</v>
      </c>
      <c r="O3352" s="6" t="s">
        <v>20</v>
      </c>
      <c r="Q3352" s="6" t="s">
        <v>21</v>
      </c>
      <c r="R3352" s="6" t="s">
        <v>21</v>
      </c>
      <c r="S3352" s="6" t="s">
        <v>21</v>
      </c>
      <c r="T3352" s="6" t="s">
        <v>21</v>
      </c>
      <c r="U3352" s="6">
        <f t="shared" si="411"/>
        <v>1889.59</v>
      </c>
      <c r="V3352" s="6">
        <f t="shared" si="407"/>
        <v>1889.59</v>
      </c>
    </row>
    <row r="3353" spans="1:22" x14ac:dyDescent="0.35">
      <c r="A3353" s="6" t="s">
        <v>3672</v>
      </c>
      <c r="B3353" s="6" t="s">
        <v>3644</v>
      </c>
      <c r="C3353" s="6" t="s">
        <v>3645</v>
      </c>
      <c r="D3353" s="6">
        <f t="shared" si="413"/>
        <v>0.5</v>
      </c>
      <c r="E3353" s="6" t="s">
        <v>19</v>
      </c>
      <c r="F3353" s="6" t="str">
        <f>MID(A3353,19,1)</f>
        <v>N</v>
      </c>
      <c r="G3353" s="6">
        <v>-22.54717409669253</v>
      </c>
      <c r="H3353" s="6">
        <v>-47.375933590331321</v>
      </c>
      <c r="I3353" s="9">
        <v>9383.84</v>
      </c>
      <c r="K3353" s="6">
        <v>4</v>
      </c>
      <c r="L3353" s="6">
        <v>50</v>
      </c>
      <c r="N3353" s="1">
        <f t="shared" si="410"/>
        <v>0</v>
      </c>
      <c r="O3353" s="6" t="s">
        <v>20</v>
      </c>
      <c r="Q3353" s="6" t="s">
        <v>21</v>
      </c>
      <c r="R3353" s="6" t="s">
        <v>21</v>
      </c>
      <c r="S3353" s="6" t="s">
        <v>21</v>
      </c>
      <c r="T3353" s="6" t="s">
        <v>21</v>
      </c>
      <c r="U3353" s="6">
        <f t="shared" si="411"/>
        <v>4691.92</v>
      </c>
      <c r="V3353" s="6">
        <f t="shared" si="407"/>
        <v>4691.92</v>
      </c>
    </row>
    <row r="3354" spans="1:22" x14ac:dyDescent="0.35">
      <c r="A3354" s="6" t="s">
        <v>3673</v>
      </c>
      <c r="B3354" s="6" t="s">
        <v>3644</v>
      </c>
      <c r="C3354" s="6" t="s">
        <v>3645</v>
      </c>
      <c r="D3354" s="6">
        <f t="shared" si="413"/>
        <v>0.5</v>
      </c>
      <c r="E3354" s="6" t="s">
        <v>19</v>
      </c>
      <c r="F3354" s="6" t="str">
        <f>MID(A3354,19,1)</f>
        <v>N</v>
      </c>
      <c r="G3354" s="6">
        <v>-22.54766389025361</v>
      </c>
      <c r="H3354" s="6">
        <v>-47.3758020632282</v>
      </c>
      <c r="I3354" s="9">
        <v>1775.47</v>
      </c>
      <c r="K3354" s="6">
        <v>3.85</v>
      </c>
      <c r="L3354" s="6">
        <v>50</v>
      </c>
      <c r="N3354" s="1">
        <f t="shared" si="410"/>
        <v>0</v>
      </c>
      <c r="O3354" s="6" t="s">
        <v>20</v>
      </c>
      <c r="Q3354" s="6" t="s">
        <v>21</v>
      </c>
      <c r="R3354" s="6" t="s">
        <v>21</v>
      </c>
      <c r="S3354" s="6" t="s">
        <v>21</v>
      </c>
      <c r="T3354" s="6" t="s">
        <v>21</v>
      </c>
      <c r="U3354" s="6">
        <f t="shared" si="411"/>
        <v>887.73500000000001</v>
      </c>
      <c r="V3354" s="6">
        <f t="shared" si="407"/>
        <v>887.73500000000001</v>
      </c>
    </row>
    <row r="3355" spans="1:22" hidden="1" x14ac:dyDescent="0.35">
      <c r="A3355" s="6" t="s">
        <v>3674</v>
      </c>
      <c r="B3355" s="6" t="s">
        <v>3644</v>
      </c>
      <c r="C3355" s="6" t="s">
        <v>3645</v>
      </c>
      <c r="D3355" s="6">
        <f t="shared" si="413"/>
        <v>0.5</v>
      </c>
      <c r="E3355" s="6" t="s">
        <v>23</v>
      </c>
      <c r="F3355" s="6" t="str">
        <f>MID(A3355,19,1)</f>
        <v>C</v>
      </c>
      <c r="G3355" s="6">
        <v>-22.656588675636861</v>
      </c>
      <c r="H3355" s="6">
        <v>-47.44923854776215</v>
      </c>
      <c r="I3355" s="9">
        <v>1980.36</v>
      </c>
      <c r="J3355" s="9">
        <f>I3355/500</f>
        <v>3.9607199999999998</v>
      </c>
      <c r="K3355" s="6">
        <v>5.18</v>
      </c>
      <c r="L3355" s="6">
        <v>70</v>
      </c>
      <c r="N3355" s="1">
        <f t="shared" si="410"/>
        <v>0</v>
      </c>
      <c r="O3355" s="6" t="s">
        <v>20</v>
      </c>
      <c r="Q3355" s="6" t="s">
        <v>21</v>
      </c>
      <c r="R3355" s="6" t="s">
        <v>21</v>
      </c>
      <c r="S3355" s="6" t="s">
        <v>21</v>
      </c>
      <c r="T3355" s="6" t="s">
        <v>21</v>
      </c>
      <c r="U3355" s="6">
        <f t="shared" si="411"/>
        <v>1386.252</v>
      </c>
      <c r="V3355" s="6">
        <f t="shared" si="407"/>
        <v>1386.252</v>
      </c>
    </row>
    <row r="3356" spans="1:22" x14ac:dyDescent="0.35">
      <c r="A3356" s="6" t="s">
        <v>3675</v>
      </c>
      <c r="B3356" s="6" t="s">
        <v>3644</v>
      </c>
      <c r="C3356" s="6" t="s">
        <v>3645</v>
      </c>
      <c r="D3356" s="6">
        <f t="shared" si="413"/>
        <v>0.5</v>
      </c>
      <c r="E3356" s="6" t="s">
        <v>19</v>
      </c>
      <c r="F3356" s="6" t="str">
        <f>MID(A3356,19,1)</f>
        <v>N</v>
      </c>
      <c r="G3356" s="6">
        <v>-22.545470292172428</v>
      </c>
      <c r="H3356" s="6">
        <v>-47.376847232561708</v>
      </c>
      <c r="I3356" s="9">
        <v>7759.02</v>
      </c>
      <c r="K3356" s="6">
        <v>6.29</v>
      </c>
      <c r="L3356" s="6">
        <v>50</v>
      </c>
      <c r="N3356" s="1">
        <f t="shared" si="410"/>
        <v>0</v>
      </c>
      <c r="O3356" s="6" t="s">
        <v>20</v>
      </c>
      <c r="Q3356" s="6" t="s">
        <v>21</v>
      </c>
      <c r="R3356" s="6" t="s">
        <v>21</v>
      </c>
      <c r="S3356" s="6" t="s">
        <v>21</v>
      </c>
      <c r="T3356" s="6" t="s">
        <v>21</v>
      </c>
      <c r="U3356" s="6">
        <f t="shared" si="411"/>
        <v>3879.51</v>
      </c>
      <c r="V3356" s="6">
        <f t="shared" si="407"/>
        <v>3879.51</v>
      </c>
    </row>
    <row r="3357" spans="1:22" x14ac:dyDescent="0.35">
      <c r="A3357" s="6" t="s">
        <v>3676</v>
      </c>
      <c r="B3357" s="6" t="s">
        <v>3644</v>
      </c>
      <c r="C3357" s="6" t="s">
        <v>3645</v>
      </c>
      <c r="D3357" s="6">
        <f t="shared" si="413"/>
        <v>0.5</v>
      </c>
      <c r="E3357" s="6" t="s">
        <v>19</v>
      </c>
      <c r="F3357" s="6" t="str">
        <f>MID(A3357,19,1)</f>
        <v>N</v>
      </c>
      <c r="G3357" s="6">
        <v>-22.54537616702304</v>
      </c>
      <c r="H3357" s="6">
        <v>-47.376061938507732</v>
      </c>
      <c r="I3357" s="9">
        <v>241.68</v>
      </c>
      <c r="K3357" s="6">
        <v>3.29</v>
      </c>
      <c r="L3357" s="6">
        <v>50</v>
      </c>
      <c r="N3357" s="1">
        <f t="shared" si="410"/>
        <v>0</v>
      </c>
      <c r="O3357" s="6" t="s">
        <v>20</v>
      </c>
      <c r="Q3357" s="6" t="s">
        <v>21</v>
      </c>
      <c r="R3357" s="6" t="s">
        <v>21</v>
      </c>
      <c r="S3357" s="6" t="s">
        <v>21</v>
      </c>
      <c r="T3357" s="6" t="s">
        <v>21</v>
      </c>
      <c r="U3357" s="6">
        <f t="shared" si="411"/>
        <v>120.84</v>
      </c>
      <c r="V3357" s="6">
        <f t="shared" si="407"/>
        <v>120.84</v>
      </c>
    </row>
    <row r="3358" spans="1:22" hidden="1" x14ac:dyDescent="0.35">
      <c r="A3358" s="6" t="s">
        <v>3677</v>
      </c>
      <c r="B3358" s="6" t="s">
        <v>3678</v>
      </c>
      <c r="C3358" s="6" t="s">
        <v>3679</v>
      </c>
      <c r="D3358" s="6">
        <f t="shared" si="413"/>
        <v>0.5</v>
      </c>
      <c r="E3358" s="6" t="s">
        <v>23</v>
      </c>
      <c r="F3358" s="6" t="str">
        <f>MID(A3358,19,1)</f>
        <v>C</v>
      </c>
      <c r="G3358" s="6">
        <v>-22.53964773106479</v>
      </c>
      <c r="H3358" s="6">
        <v>-47.380012796950929</v>
      </c>
      <c r="I3358" s="9">
        <v>5209.72</v>
      </c>
      <c r="J3358" s="9">
        <f>I3358/500</f>
        <v>10.41944</v>
      </c>
      <c r="K3358" s="6">
        <v>4.3</v>
      </c>
      <c r="L3358" s="6">
        <v>50</v>
      </c>
      <c r="N3358" s="1">
        <f t="shared" si="410"/>
        <v>0</v>
      </c>
      <c r="O3358" s="6" t="s">
        <v>20</v>
      </c>
      <c r="Q3358" s="6" t="s">
        <v>21</v>
      </c>
      <c r="R3358" s="6" t="s">
        <v>21</v>
      </c>
      <c r="S3358" s="6" t="s">
        <v>21</v>
      </c>
      <c r="T3358" s="6" t="s">
        <v>21</v>
      </c>
      <c r="U3358" s="6">
        <f t="shared" si="411"/>
        <v>2604.86</v>
      </c>
      <c r="V3358" s="6">
        <f t="shared" si="407"/>
        <v>2604.86</v>
      </c>
    </row>
    <row r="3359" spans="1:22" hidden="1" x14ac:dyDescent="0.35">
      <c r="A3359" s="6" t="s">
        <v>3680</v>
      </c>
      <c r="B3359" s="6" t="s">
        <v>3678</v>
      </c>
      <c r="C3359" s="6" t="s">
        <v>3679</v>
      </c>
      <c r="D3359" s="6">
        <f t="shared" si="413"/>
        <v>0.5</v>
      </c>
      <c r="E3359" s="6" t="s">
        <v>19</v>
      </c>
      <c r="F3359" s="6" t="str">
        <f>MID(A3359,19,1)</f>
        <v>S</v>
      </c>
      <c r="G3359" s="6">
        <v>-22.647650443985231</v>
      </c>
      <c r="H3359" s="6">
        <v>-47.449990082450377</v>
      </c>
      <c r="I3359" s="9">
        <v>2006.38</v>
      </c>
      <c r="K3359" s="6">
        <v>6.71</v>
      </c>
      <c r="L3359" s="6">
        <v>70</v>
      </c>
      <c r="N3359" s="1">
        <f t="shared" si="410"/>
        <v>0</v>
      </c>
      <c r="O3359" s="6" t="s">
        <v>20</v>
      </c>
      <c r="Q3359" s="6" t="s">
        <v>21</v>
      </c>
      <c r="R3359" s="6" t="s">
        <v>21</v>
      </c>
      <c r="S3359" s="6" t="s">
        <v>21</v>
      </c>
      <c r="T3359" s="6" t="s">
        <v>21</v>
      </c>
      <c r="U3359" s="6">
        <f t="shared" si="411"/>
        <v>1404.4659999999999</v>
      </c>
      <c r="V3359" s="6">
        <f t="shared" si="407"/>
        <v>1404.4659999999999</v>
      </c>
    </row>
    <row r="3360" spans="1:22" hidden="1" x14ac:dyDescent="0.35">
      <c r="A3360" s="6" t="s">
        <v>3681</v>
      </c>
      <c r="B3360" s="6" t="s">
        <v>3678</v>
      </c>
      <c r="C3360" s="6" t="s">
        <v>3679</v>
      </c>
      <c r="D3360" s="6">
        <f t="shared" si="413"/>
        <v>0.5</v>
      </c>
      <c r="E3360" s="6" t="s">
        <v>19</v>
      </c>
      <c r="F3360" s="6" t="str">
        <f>MID(A3360,19,1)</f>
        <v>S</v>
      </c>
      <c r="G3360" s="6">
        <v>-22.535831870622221</v>
      </c>
      <c r="H3360" s="6">
        <v>-47.382424941419409</v>
      </c>
      <c r="I3360" s="9">
        <v>2027.99</v>
      </c>
      <c r="K3360" s="6">
        <v>3.88</v>
      </c>
      <c r="L3360" s="6">
        <v>50</v>
      </c>
      <c r="N3360" s="1">
        <f t="shared" si="410"/>
        <v>0</v>
      </c>
      <c r="O3360" s="6" t="s">
        <v>20</v>
      </c>
      <c r="Q3360" s="6" t="s">
        <v>21</v>
      </c>
      <c r="R3360" s="6" t="s">
        <v>21</v>
      </c>
      <c r="S3360" s="6" t="s">
        <v>21</v>
      </c>
      <c r="T3360" s="6" t="s">
        <v>21</v>
      </c>
      <c r="U3360" s="6">
        <f t="shared" si="411"/>
        <v>1013.995</v>
      </c>
      <c r="V3360" s="6">
        <f t="shared" si="407"/>
        <v>1013.995</v>
      </c>
    </row>
    <row r="3361" spans="1:22" hidden="1" x14ac:dyDescent="0.35">
      <c r="A3361" s="6" t="s">
        <v>3682</v>
      </c>
      <c r="B3361" s="6" t="s">
        <v>3678</v>
      </c>
      <c r="C3361" s="6" t="s">
        <v>3679</v>
      </c>
      <c r="D3361" s="6">
        <f t="shared" si="413"/>
        <v>0.5</v>
      </c>
      <c r="E3361" s="6" t="s">
        <v>19</v>
      </c>
      <c r="F3361" s="6" t="str">
        <f>MID(A3361,19,1)</f>
        <v>S</v>
      </c>
      <c r="G3361" s="6">
        <v>-22.643389921676359</v>
      </c>
      <c r="H3361" s="6">
        <v>-47.451150341564237</v>
      </c>
      <c r="I3361" s="9">
        <v>1605.3</v>
      </c>
      <c r="K3361" s="6">
        <v>2.36</v>
      </c>
      <c r="L3361" s="6">
        <v>70</v>
      </c>
      <c r="N3361" s="1">
        <f t="shared" si="410"/>
        <v>0</v>
      </c>
      <c r="O3361" s="6" t="s">
        <v>20</v>
      </c>
      <c r="Q3361" s="6" t="s">
        <v>21</v>
      </c>
      <c r="R3361" s="6" t="s">
        <v>21</v>
      </c>
      <c r="S3361" s="6" t="s">
        <v>21</v>
      </c>
      <c r="T3361" s="6" t="s">
        <v>21</v>
      </c>
      <c r="U3361" s="6">
        <f t="shared" si="411"/>
        <v>1123.7099999999998</v>
      </c>
      <c r="V3361" s="6">
        <f t="shared" si="407"/>
        <v>1123.7099999999998</v>
      </c>
    </row>
    <row r="3362" spans="1:22" hidden="1" x14ac:dyDescent="0.35">
      <c r="A3362" s="6" t="s">
        <v>3683</v>
      </c>
      <c r="B3362" s="6" t="s">
        <v>3678</v>
      </c>
      <c r="C3362" s="6" t="s">
        <v>3679</v>
      </c>
      <c r="D3362" s="6">
        <f t="shared" si="413"/>
        <v>0.5</v>
      </c>
      <c r="E3362" s="6" t="s">
        <v>23</v>
      </c>
      <c r="F3362" s="6" t="str">
        <f>MID(A3362,19,1)</f>
        <v>C</v>
      </c>
      <c r="G3362" s="6">
        <v>-22.647659621469909</v>
      </c>
      <c r="H3362" s="6">
        <v>-47.449801111786968</v>
      </c>
      <c r="I3362" s="9">
        <v>6504.73</v>
      </c>
      <c r="J3362" s="9">
        <f>I3362/500</f>
        <v>13.009459999999999</v>
      </c>
      <c r="K3362" s="6">
        <v>6.8</v>
      </c>
      <c r="L3362" s="6">
        <v>80</v>
      </c>
      <c r="N3362" s="1">
        <f t="shared" si="410"/>
        <v>0</v>
      </c>
      <c r="O3362" s="6" t="s">
        <v>20</v>
      </c>
      <c r="Q3362" s="6" t="s">
        <v>21</v>
      </c>
      <c r="R3362" s="6" t="s">
        <v>21</v>
      </c>
      <c r="S3362" s="6" t="s">
        <v>21</v>
      </c>
      <c r="T3362" s="6" t="s">
        <v>21</v>
      </c>
      <c r="U3362" s="6">
        <f t="shared" si="411"/>
        <v>5203.7839999999997</v>
      </c>
      <c r="V3362" s="6">
        <f t="shared" si="407"/>
        <v>5203.7839999999997</v>
      </c>
    </row>
    <row r="3363" spans="1:22" x14ac:dyDescent="0.35">
      <c r="A3363" s="6" t="s">
        <v>3684</v>
      </c>
      <c r="B3363" s="6" t="s">
        <v>3678</v>
      </c>
      <c r="C3363" s="6" t="s">
        <v>3679</v>
      </c>
      <c r="D3363" s="6">
        <f t="shared" si="413"/>
        <v>0.5</v>
      </c>
      <c r="E3363" s="6" t="s">
        <v>19</v>
      </c>
      <c r="F3363" s="6" t="str">
        <f>MID(A3363,19,1)</f>
        <v>N</v>
      </c>
      <c r="G3363" s="6">
        <v>-22.539799904389891</v>
      </c>
      <c r="H3363" s="6">
        <v>-47.38013118270343</v>
      </c>
      <c r="I3363" s="9">
        <v>1820.92</v>
      </c>
      <c r="K3363" s="6">
        <v>5.39</v>
      </c>
      <c r="L3363" s="6">
        <v>50</v>
      </c>
      <c r="N3363" s="1">
        <f t="shared" si="410"/>
        <v>0</v>
      </c>
      <c r="O3363" s="6" t="s">
        <v>20</v>
      </c>
      <c r="Q3363" s="6" t="s">
        <v>21</v>
      </c>
      <c r="R3363" s="6" t="s">
        <v>21</v>
      </c>
      <c r="S3363" s="6" t="s">
        <v>21</v>
      </c>
      <c r="T3363" s="6" t="s">
        <v>21</v>
      </c>
      <c r="U3363" s="6">
        <f t="shared" si="411"/>
        <v>910.46</v>
      </c>
      <c r="V3363" s="6">
        <f t="shared" si="407"/>
        <v>910.46</v>
      </c>
    </row>
    <row r="3364" spans="1:22" x14ac:dyDescent="0.35">
      <c r="A3364" s="6" t="s">
        <v>3685</v>
      </c>
      <c r="B3364" s="6" t="s">
        <v>3678</v>
      </c>
      <c r="C3364" s="6" t="s">
        <v>3679</v>
      </c>
      <c r="D3364" s="6">
        <f t="shared" si="413"/>
        <v>0.5</v>
      </c>
      <c r="E3364" s="6" t="s">
        <v>19</v>
      </c>
      <c r="F3364" s="6" t="str">
        <f>MID(A3364,19,1)</f>
        <v>N</v>
      </c>
      <c r="G3364" s="6">
        <v>-22.536454845086521</v>
      </c>
      <c r="H3364" s="6">
        <v>-47.382461536721443</v>
      </c>
      <c r="I3364" s="9">
        <v>1710.96</v>
      </c>
      <c r="K3364" s="6">
        <v>2.12</v>
      </c>
      <c r="L3364" s="6">
        <v>50</v>
      </c>
      <c r="N3364" s="1">
        <f t="shared" si="410"/>
        <v>0</v>
      </c>
      <c r="O3364" s="6" t="s">
        <v>20</v>
      </c>
      <c r="Q3364" s="6" t="s">
        <v>21</v>
      </c>
      <c r="R3364" s="6" t="s">
        <v>21</v>
      </c>
      <c r="S3364" s="6" t="s">
        <v>21</v>
      </c>
      <c r="T3364" s="6" t="s">
        <v>21</v>
      </c>
      <c r="U3364" s="6">
        <f t="shared" si="411"/>
        <v>855.48</v>
      </c>
      <c r="V3364" s="6">
        <f t="shared" si="407"/>
        <v>855.48</v>
      </c>
    </row>
    <row r="3365" spans="1:22" hidden="1" x14ac:dyDescent="0.35">
      <c r="A3365" s="6" t="s">
        <v>3686</v>
      </c>
      <c r="B3365" s="6" t="s">
        <v>3678</v>
      </c>
      <c r="C3365" s="6" t="s">
        <v>3679</v>
      </c>
      <c r="D3365" s="6">
        <f t="shared" si="413"/>
        <v>0.5</v>
      </c>
      <c r="E3365" s="6" t="s">
        <v>23</v>
      </c>
      <c r="F3365" s="6" t="str">
        <f>MID(A3365,19,1)</f>
        <v>C</v>
      </c>
      <c r="G3365" s="6">
        <v>-22.643329760204232</v>
      </c>
      <c r="H3365" s="6">
        <v>-47.450976638319133</v>
      </c>
      <c r="I3365" s="9">
        <v>5204.6000000000004</v>
      </c>
      <c r="J3365" s="9">
        <f t="shared" ref="J3365:J3366" si="414">I3365/500</f>
        <v>10.4092</v>
      </c>
      <c r="K3365" s="6">
        <v>2.44</v>
      </c>
      <c r="L3365" s="6">
        <v>80</v>
      </c>
      <c r="N3365" s="1">
        <f t="shared" si="410"/>
        <v>0</v>
      </c>
      <c r="O3365" s="6" t="s">
        <v>20</v>
      </c>
      <c r="Q3365" s="6" t="s">
        <v>21</v>
      </c>
      <c r="R3365" s="6" t="s">
        <v>21</v>
      </c>
      <c r="S3365" s="6" t="s">
        <v>21</v>
      </c>
      <c r="T3365" s="6" t="s">
        <v>21</v>
      </c>
      <c r="U3365" s="6">
        <f t="shared" si="411"/>
        <v>4163.68</v>
      </c>
      <c r="V3365" s="6">
        <f t="shared" si="407"/>
        <v>4163.68</v>
      </c>
    </row>
    <row r="3366" spans="1:22" hidden="1" x14ac:dyDescent="0.35">
      <c r="A3366" s="6" t="s">
        <v>3687</v>
      </c>
      <c r="B3366" s="6" t="s">
        <v>3678</v>
      </c>
      <c r="C3366" s="6" t="s">
        <v>3679</v>
      </c>
      <c r="D3366" s="6">
        <f t="shared" si="413"/>
        <v>0.5</v>
      </c>
      <c r="E3366" s="6" t="s">
        <v>23</v>
      </c>
      <c r="F3366" s="6" t="str">
        <f>MID(A3366,19,1)</f>
        <v>C</v>
      </c>
      <c r="G3366" s="6">
        <v>-22.535928341243999</v>
      </c>
      <c r="H3366" s="6">
        <v>-47.382579532256358</v>
      </c>
      <c r="I3366" s="9">
        <v>6043.29</v>
      </c>
      <c r="J3366" s="9">
        <f t="shared" si="414"/>
        <v>12.08658</v>
      </c>
      <c r="K3366" s="6">
        <v>3.26</v>
      </c>
      <c r="L3366" s="6">
        <v>50</v>
      </c>
      <c r="N3366" s="1">
        <f t="shared" si="410"/>
        <v>0</v>
      </c>
      <c r="O3366" s="6" t="s">
        <v>20</v>
      </c>
      <c r="Q3366" s="6" t="s">
        <v>21</v>
      </c>
      <c r="R3366" s="6" t="s">
        <v>21</v>
      </c>
      <c r="S3366" s="6" t="s">
        <v>21</v>
      </c>
      <c r="T3366" s="6" t="s">
        <v>21</v>
      </c>
      <c r="U3366" s="6">
        <f t="shared" si="411"/>
        <v>3021.645</v>
      </c>
      <c r="V3366" s="6">
        <f t="shared" si="407"/>
        <v>3021.645</v>
      </c>
    </row>
    <row r="3367" spans="1:22" hidden="1" x14ac:dyDescent="0.35">
      <c r="A3367" s="6" t="s">
        <v>3688</v>
      </c>
      <c r="B3367" s="6" t="s">
        <v>3678</v>
      </c>
      <c r="C3367" s="6" t="s">
        <v>3679</v>
      </c>
      <c r="D3367" s="6">
        <f t="shared" si="413"/>
        <v>0.5</v>
      </c>
      <c r="E3367" s="6" t="s">
        <v>19</v>
      </c>
      <c r="F3367" s="6" t="str">
        <f>MID(A3367,19,1)</f>
        <v>S</v>
      </c>
      <c r="G3367" s="6">
        <v>-22.538647746747539</v>
      </c>
      <c r="H3367" s="6">
        <v>-47.380472409360429</v>
      </c>
      <c r="I3367" s="9">
        <v>178.01</v>
      </c>
      <c r="K3367" s="6">
        <v>1.0900000000000001</v>
      </c>
      <c r="L3367" s="6">
        <v>50</v>
      </c>
      <c r="N3367" s="1">
        <f t="shared" si="410"/>
        <v>0</v>
      </c>
      <c r="O3367" s="6" t="s">
        <v>20</v>
      </c>
      <c r="Q3367" s="6" t="s">
        <v>21</v>
      </c>
      <c r="R3367" s="6" t="s">
        <v>21</v>
      </c>
      <c r="S3367" s="6" t="s">
        <v>21</v>
      </c>
      <c r="T3367" s="6" t="s">
        <v>21</v>
      </c>
      <c r="U3367" s="6">
        <f t="shared" si="411"/>
        <v>89.004999999999995</v>
      </c>
      <c r="V3367" s="6">
        <f t="shared" si="407"/>
        <v>89.004999999999995</v>
      </c>
    </row>
    <row r="3368" spans="1:22" x14ac:dyDescent="0.35">
      <c r="A3368" s="6" t="s">
        <v>3689</v>
      </c>
      <c r="B3368" s="6" t="s">
        <v>3678</v>
      </c>
      <c r="C3368" s="6" t="s">
        <v>3679</v>
      </c>
      <c r="D3368" s="6">
        <f t="shared" si="413"/>
        <v>0.5</v>
      </c>
      <c r="E3368" s="6" t="s">
        <v>19</v>
      </c>
      <c r="F3368" s="6" t="str">
        <f>MID(A3368,19,1)</f>
        <v>N</v>
      </c>
      <c r="G3368" s="6">
        <v>-22.64764332367319</v>
      </c>
      <c r="H3368" s="6">
        <v>-47.44961500847149</v>
      </c>
      <c r="I3368" s="9">
        <v>2044.91</v>
      </c>
      <c r="K3368" s="6">
        <v>6.94</v>
      </c>
      <c r="L3368" s="6">
        <v>70</v>
      </c>
      <c r="N3368" s="1">
        <f t="shared" si="410"/>
        <v>0</v>
      </c>
      <c r="O3368" s="6" t="s">
        <v>20</v>
      </c>
      <c r="Q3368" s="6" t="s">
        <v>21</v>
      </c>
      <c r="R3368" s="6" t="s">
        <v>21</v>
      </c>
      <c r="S3368" s="6" t="s">
        <v>21</v>
      </c>
      <c r="T3368" s="6" t="s">
        <v>21</v>
      </c>
      <c r="U3368" s="6">
        <f t="shared" si="411"/>
        <v>1431.4369999999999</v>
      </c>
      <c r="V3368" s="6">
        <f t="shared" si="407"/>
        <v>1431.4369999999999</v>
      </c>
    </row>
    <row r="3369" spans="1:22" hidden="1" x14ac:dyDescent="0.35">
      <c r="A3369" s="6" t="s">
        <v>3690</v>
      </c>
      <c r="B3369" s="6" t="s">
        <v>3678</v>
      </c>
      <c r="C3369" s="6" t="s">
        <v>3679</v>
      </c>
      <c r="D3369" s="6">
        <f t="shared" si="413"/>
        <v>0.5</v>
      </c>
      <c r="E3369" s="6" t="s">
        <v>19</v>
      </c>
      <c r="F3369" s="6" t="str">
        <f>MID(A3369,19,1)</f>
        <v>S</v>
      </c>
      <c r="G3369" s="6">
        <v>-22.541383390330889</v>
      </c>
      <c r="H3369" s="6">
        <v>-47.37853874095395</v>
      </c>
      <c r="I3369" s="9">
        <v>218.52</v>
      </c>
      <c r="K3369" s="6">
        <v>1.47</v>
      </c>
      <c r="L3369" s="6">
        <v>50</v>
      </c>
      <c r="N3369" s="1">
        <f t="shared" si="410"/>
        <v>0</v>
      </c>
      <c r="O3369" s="6" t="s">
        <v>20</v>
      </c>
      <c r="Q3369" s="6" t="s">
        <v>21</v>
      </c>
      <c r="R3369" s="6" t="s">
        <v>21</v>
      </c>
      <c r="S3369" s="6" t="s">
        <v>21</v>
      </c>
      <c r="T3369" s="6" t="s">
        <v>21</v>
      </c>
      <c r="U3369" s="6">
        <f t="shared" si="411"/>
        <v>109.26</v>
      </c>
      <c r="V3369" s="6">
        <f t="shared" si="407"/>
        <v>109.26</v>
      </c>
    </row>
    <row r="3370" spans="1:22" hidden="1" x14ac:dyDescent="0.35">
      <c r="A3370" s="6" t="s">
        <v>3691</v>
      </c>
      <c r="B3370" s="6" t="s">
        <v>3678</v>
      </c>
      <c r="C3370" s="6" t="s">
        <v>3679</v>
      </c>
      <c r="D3370" s="6">
        <f t="shared" si="413"/>
        <v>0.5</v>
      </c>
      <c r="E3370" s="6" t="s">
        <v>19</v>
      </c>
      <c r="F3370" s="6" t="str">
        <f>MID(A3370,19,1)</f>
        <v>S</v>
      </c>
      <c r="G3370" s="6">
        <v>-22.538178793686711</v>
      </c>
      <c r="H3370" s="6">
        <v>-47.38078088583427</v>
      </c>
      <c r="I3370" s="9">
        <v>457.12</v>
      </c>
      <c r="K3370" s="6">
        <v>1.94</v>
      </c>
      <c r="L3370" s="6">
        <v>50</v>
      </c>
      <c r="N3370" s="1">
        <f t="shared" si="410"/>
        <v>0</v>
      </c>
      <c r="O3370" s="6" t="s">
        <v>20</v>
      </c>
      <c r="Q3370" s="6" t="s">
        <v>21</v>
      </c>
      <c r="R3370" s="6" t="s">
        <v>21</v>
      </c>
      <c r="S3370" s="6" t="s">
        <v>21</v>
      </c>
      <c r="T3370" s="6" t="s">
        <v>21</v>
      </c>
      <c r="U3370" s="6">
        <f t="shared" si="411"/>
        <v>228.56</v>
      </c>
      <c r="V3370" s="6">
        <f t="shared" si="407"/>
        <v>228.56</v>
      </c>
    </row>
    <row r="3371" spans="1:22" hidden="1" x14ac:dyDescent="0.35">
      <c r="A3371" s="6" t="s">
        <v>3692</v>
      </c>
      <c r="B3371" s="6" t="s">
        <v>3678</v>
      </c>
      <c r="C3371" s="6" t="s">
        <v>3679</v>
      </c>
      <c r="D3371" s="6">
        <f t="shared" si="413"/>
        <v>0.5</v>
      </c>
      <c r="E3371" s="6" t="s">
        <v>19</v>
      </c>
      <c r="F3371" s="6" t="str">
        <f>MID(A3371,19,1)</f>
        <v>S</v>
      </c>
      <c r="G3371" s="6">
        <v>-22.53994456647148</v>
      </c>
      <c r="H3371" s="6">
        <v>-47.379555587387003</v>
      </c>
      <c r="I3371" s="9">
        <v>1320.31</v>
      </c>
      <c r="K3371" s="6">
        <v>3.85</v>
      </c>
      <c r="L3371" s="6">
        <v>50</v>
      </c>
      <c r="N3371" s="1">
        <f t="shared" si="410"/>
        <v>0</v>
      </c>
      <c r="O3371" s="6" t="s">
        <v>20</v>
      </c>
      <c r="Q3371" s="6" t="s">
        <v>21</v>
      </c>
      <c r="R3371" s="6" t="s">
        <v>21</v>
      </c>
      <c r="S3371" s="6" t="s">
        <v>21</v>
      </c>
      <c r="T3371" s="6" t="s">
        <v>21</v>
      </c>
      <c r="U3371" s="6">
        <f t="shared" si="411"/>
        <v>660.15499999999997</v>
      </c>
      <c r="V3371" s="6">
        <f t="shared" si="407"/>
        <v>660.15499999999997</v>
      </c>
    </row>
    <row r="3372" spans="1:22" x14ac:dyDescent="0.35">
      <c r="A3372" s="6" t="s">
        <v>3693</v>
      </c>
      <c r="B3372" s="6" t="s">
        <v>3678</v>
      </c>
      <c r="C3372" s="6" t="s">
        <v>3679</v>
      </c>
      <c r="D3372" s="6">
        <f t="shared" si="413"/>
        <v>0.5</v>
      </c>
      <c r="E3372" s="6" t="s">
        <v>19</v>
      </c>
      <c r="F3372" s="6" t="str">
        <f>MID(A3372,19,1)</f>
        <v>N</v>
      </c>
      <c r="G3372" s="6">
        <v>-22.534433209425409</v>
      </c>
      <c r="H3372" s="6">
        <v>-47.383899189468643</v>
      </c>
      <c r="I3372" s="9">
        <v>1583.81</v>
      </c>
      <c r="K3372" s="6">
        <v>4.51</v>
      </c>
      <c r="L3372" s="6">
        <v>50</v>
      </c>
      <c r="N3372" s="1">
        <f t="shared" si="410"/>
        <v>0</v>
      </c>
      <c r="O3372" s="6" t="s">
        <v>20</v>
      </c>
      <c r="Q3372" s="6" t="s">
        <v>21</v>
      </c>
      <c r="R3372" s="6" t="s">
        <v>21</v>
      </c>
      <c r="S3372" s="6" t="s">
        <v>21</v>
      </c>
      <c r="T3372" s="6" t="s">
        <v>21</v>
      </c>
      <c r="U3372" s="6">
        <f t="shared" si="411"/>
        <v>791.90499999999997</v>
      </c>
      <c r="V3372" s="6">
        <f t="shared" si="407"/>
        <v>791.90499999999997</v>
      </c>
    </row>
    <row r="3373" spans="1:22" x14ac:dyDescent="0.35">
      <c r="A3373" s="6" t="s">
        <v>3694</v>
      </c>
      <c r="B3373" s="6" t="s">
        <v>3678</v>
      </c>
      <c r="C3373" s="6" t="s">
        <v>3679</v>
      </c>
      <c r="D3373" s="6">
        <f t="shared" si="413"/>
        <v>0.5</v>
      </c>
      <c r="E3373" s="6" t="s">
        <v>19</v>
      </c>
      <c r="F3373" s="6" t="str">
        <f>MID(A3373,19,1)</f>
        <v>N</v>
      </c>
      <c r="G3373" s="6">
        <v>-22.64328076818725</v>
      </c>
      <c r="H3373" s="6">
        <v>-47.450801384441007</v>
      </c>
      <c r="I3373" s="9">
        <v>1653.14</v>
      </c>
      <c r="K3373" s="6">
        <v>2.77</v>
      </c>
      <c r="L3373" s="6">
        <v>70</v>
      </c>
      <c r="N3373" s="1">
        <f t="shared" si="410"/>
        <v>0</v>
      </c>
      <c r="O3373" s="6" t="s">
        <v>20</v>
      </c>
      <c r="Q3373" s="6" t="s">
        <v>21</v>
      </c>
      <c r="R3373" s="6" t="s">
        <v>21</v>
      </c>
      <c r="S3373" s="6" t="s">
        <v>21</v>
      </c>
      <c r="T3373" s="6" t="s">
        <v>21</v>
      </c>
      <c r="U3373" s="6">
        <f t="shared" si="411"/>
        <v>1157.1980000000001</v>
      </c>
      <c r="V3373" s="6">
        <f t="shared" si="407"/>
        <v>1157.1980000000001</v>
      </c>
    </row>
    <row r="3374" spans="1:22" hidden="1" x14ac:dyDescent="0.35">
      <c r="A3374" s="6" t="s">
        <v>3695</v>
      </c>
      <c r="B3374" s="6" t="s">
        <v>3696</v>
      </c>
      <c r="C3374" s="6" t="s">
        <v>3697</v>
      </c>
      <c r="D3374" s="6">
        <f t="shared" si="413"/>
        <v>0.5</v>
      </c>
      <c r="E3374" s="6" t="s">
        <v>19</v>
      </c>
      <c r="F3374" s="6" t="str">
        <f>MID(A3374,19,1)</f>
        <v>S</v>
      </c>
      <c r="G3374" s="6">
        <v>-22.532690112622529</v>
      </c>
      <c r="H3374" s="6">
        <v>-47.384551720684136</v>
      </c>
      <c r="I3374" s="9">
        <v>391.65</v>
      </c>
      <c r="K3374" s="6">
        <v>3.43</v>
      </c>
      <c r="L3374" s="6">
        <v>50</v>
      </c>
      <c r="N3374" s="1">
        <f t="shared" si="410"/>
        <v>0</v>
      </c>
      <c r="O3374" s="6" t="s">
        <v>20</v>
      </c>
      <c r="Q3374" s="6" t="s">
        <v>21</v>
      </c>
      <c r="R3374" s="6" t="s">
        <v>21</v>
      </c>
      <c r="S3374" s="6" t="s">
        <v>21</v>
      </c>
      <c r="T3374" s="6" t="s">
        <v>21</v>
      </c>
      <c r="U3374" s="6">
        <f t="shared" si="411"/>
        <v>195.82499999999999</v>
      </c>
      <c r="V3374" s="6">
        <f t="shared" si="407"/>
        <v>195.82499999999999</v>
      </c>
    </row>
    <row r="3375" spans="1:22" hidden="1" x14ac:dyDescent="0.35">
      <c r="A3375" s="6" t="s">
        <v>3698</v>
      </c>
      <c r="B3375" s="6" t="s">
        <v>3696</v>
      </c>
      <c r="C3375" s="6" t="s">
        <v>3697</v>
      </c>
      <c r="D3375" s="6">
        <f t="shared" si="413"/>
        <v>0.5</v>
      </c>
      <c r="E3375" s="6" t="s">
        <v>19</v>
      </c>
      <c r="F3375" s="6" t="str">
        <f>MID(A3375,19,1)</f>
        <v>S</v>
      </c>
      <c r="G3375" s="6">
        <v>-22.637223832753609</v>
      </c>
      <c r="H3375" s="6">
        <v>-47.453722191717162</v>
      </c>
      <c r="I3375" s="9">
        <v>45.22</v>
      </c>
      <c r="K3375" s="6">
        <v>2.2799999999999998</v>
      </c>
      <c r="L3375" s="6">
        <v>70</v>
      </c>
      <c r="N3375" s="1">
        <f t="shared" si="410"/>
        <v>0</v>
      </c>
      <c r="O3375" s="6" t="s">
        <v>20</v>
      </c>
      <c r="Q3375" s="6" t="s">
        <v>21</v>
      </c>
      <c r="R3375" s="6" t="s">
        <v>21</v>
      </c>
      <c r="S3375" s="6" t="s">
        <v>21</v>
      </c>
      <c r="T3375" s="6" t="s">
        <v>21</v>
      </c>
      <c r="U3375" s="6">
        <f t="shared" si="411"/>
        <v>31.653999999999996</v>
      </c>
      <c r="V3375" s="6">
        <f t="shared" si="407"/>
        <v>31.653999999999996</v>
      </c>
    </row>
    <row r="3376" spans="1:22" hidden="1" x14ac:dyDescent="0.35">
      <c r="A3376" s="6" t="s">
        <v>3699</v>
      </c>
      <c r="B3376" s="6" t="s">
        <v>3696</v>
      </c>
      <c r="C3376" s="6" t="s">
        <v>3697</v>
      </c>
      <c r="D3376" s="6">
        <f t="shared" si="413"/>
        <v>0.5</v>
      </c>
      <c r="E3376" s="6" t="s">
        <v>23</v>
      </c>
      <c r="F3376" s="6" t="str">
        <f>MID(A3376,19,1)</f>
        <v>C</v>
      </c>
      <c r="G3376" s="6">
        <v>-22.638461127774729</v>
      </c>
      <c r="H3376" s="6">
        <v>-47.45300341163518</v>
      </c>
      <c r="I3376" s="9">
        <v>3268.86</v>
      </c>
      <c r="J3376" s="9">
        <f>I3376/500</f>
        <v>6.5377200000000002</v>
      </c>
      <c r="K3376" s="6">
        <v>3.45</v>
      </c>
      <c r="L3376" s="6">
        <v>80</v>
      </c>
      <c r="N3376" s="1">
        <f t="shared" si="410"/>
        <v>0</v>
      </c>
      <c r="O3376" s="6" t="s">
        <v>20</v>
      </c>
      <c r="Q3376" s="6" t="s">
        <v>21</v>
      </c>
      <c r="R3376" s="6" t="s">
        <v>21</v>
      </c>
      <c r="S3376" s="6" t="s">
        <v>21</v>
      </c>
      <c r="T3376" s="6" t="s">
        <v>21</v>
      </c>
      <c r="U3376" s="6">
        <f t="shared" si="411"/>
        <v>2615.0880000000002</v>
      </c>
      <c r="V3376" s="6">
        <f t="shared" si="407"/>
        <v>2615.0880000000002</v>
      </c>
    </row>
    <row r="3377" spans="1:22" hidden="1" x14ac:dyDescent="0.35">
      <c r="A3377" s="6" t="s">
        <v>3700</v>
      </c>
      <c r="B3377" s="6" t="s">
        <v>3696</v>
      </c>
      <c r="C3377" s="6" t="s">
        <v>3697</v>
      </c>
      <c r="D3377" s="6">
        <f t="shared" si="413"/>
        <v>0.5</v>
      </c>
      <c r="E3377" s="6" t="s">
        <v>19</v>
      </c>
      <c r="F3377" s="6" t="str">
        <f>MID(A3377,19,1)</f>
        <v>S</v>
      </c>
      <c r="G3377" s="6">
        <v>-22.526015047985489</v>
      </c>
      <c r="H3377" s="6">
        <v>-47.389204751396527</v>
      </c>
      <c r="I3377" s="9">
        <v>15.13</v>
      </c>
      <c r="K3377" s="6">
        <v>2.3199999999999998</v>
      </c>
      <c r="L3377" s="6">
        <v>50</v>
      </c>
      <c r="N3377" s="1">
        <f t="shared" si="410"/>
        <v>0</v>
      </c>
      <c r="O3377" s="6" t="s">
        <v>20</v>
      </c>
      <c r="Q3377" s="6" t="s">
        <v>21</v>
      </c>
      <c r="R3377" s="6" t="s">
        <v>21</v>
      </c>
      <c r="S3377" s="6" t="s">
        <v>21</v>
      </c>
      <c r="T3377" s="6" t="s">
        <v>21</v>
      </c>
      <c r="U3377" s="6">
        <f t="shared" si="411"/>
        <v>7.5650000000000004</v>
      </c>
      <c r="V3377" s="6">
        <f t="shared" ref="V3377:V3439" si="415">(I3377*(L3377/100))</f>
        <v>7.5650000000000004</v>
      </c>
    </row>
    <row r="3378" spans="1:22" hidden="1" x14ac:dyDescent="0.35">
      <c r="A3378" s="6" t="s">
        <v>3701</v>
      </c>
      <c r="B3378" s="6" t="s">
        <v>3696</v>
      </c>
      <c r="C3378" s="6" t="s">
        <v>3697</v>
      </c>
      <c r="D3378" s="6">
        <f t="shared" si="413"/>
        <v>0.5</v>
      </c>
      <c r="E3378" s="6" t="s">
        <v>19</v>
      </c>
      <c r="F3378" s="6" t="str">
        <f>MID(A3378,19,1)</f>
        <v>S</v>
      </c>
      <c r="G3378" s="6">
        <v>-22.533477164244641</v>
      </c>
      <c r="H3378" s="6">
        <v>-47.384023910317197</v>
      </c>
      <c r="I3378" s="9">
        <v>443.88</v>
      </c>
      <c r="K3378" s="6">
        <v>1.81</v>
      </c>
      <c r="L3378" s="6">
        <v>50</v>
      </c>
      <c r="N3378" s="1">
        <f t="shared" si="410"/>
        <v>0</v>
      </c>
      <c r="O3378" s="6" t="s">
        <v>20</v>
      </c>
      <c r="Q3378" s="6" t="s">
        <v>21</v>
      </c>
      <c r="R3378" s="6" t="s">
        <v>21</v>
      </c>
      <c r="S3378" s="6" t="s">
        <v>21</v>
      </c>
      <c r="T3378" s="6" t="s">
        <v>21</v>
      </c>
      <c r="U3378" s="6">
        <f t="shared" si="411"/>
        <v>221.94</v>
      </c>
      <c r="V3378" s="6">
        <f t="shared" si="415"/>
        <v>221.94</v>
      </c>
    </row>
    <row r="3379" spans="1:22" x14ac:dyDescent="0.35">
      <c r="A3379" s="6" t="s">
        <v>3702</v>
      </c>
      <c r="B3379" s="6" t="s">
        <v>3696</v>
      </c>
      <c r="C3379" s="6" t="s">
        <v>3697</v>
      </c>
      <c r="D3379" s="6">
        <f t="shared" si="413"/>
        <v>0.5</v>
      </c>
      <c r="E3379" s="6" t="s">
        <v>19</v>
      </c>
      <c r="F3379" s="6" t="str">
        <f>MID(A3379,19,1)</f>
        <v>N</v>
      </c>
      <c r="G3379" s="6">
        <v>-22.640717835457661</v>
      </c>
      <c r="H3379" s="6">
        <v>-47.451852234172108</v>
      </c>
      <c r="I3379" s="9">
        <v>590.53</v>
      </c>
      <c r="K3379" s="6">
        <v>3.61</v>
      </c>
      <c r="L3379" s="6">
        <v>70</v>
      </c>
      <c r="N3379" s="1">
        <f t="shared" si="410"/>
        <v>0</v>
      </c>
      <c r="O3379" s="6" t="s">
        <v>20</v>
      </c>
      <c r="Q3379" s="6" t="s">
        <v>21</v>
      </c>
      <c r="R3379" s="6" t="s">
        <v>21</v>
      </c>
      <c r="S3379" s="6" t="s">
        <v>21</v>
      </c>
      <c r="T3379" s="6" t="s">
        <v>21</v>
      </c>
      <c r="U3379" s="6">
        <f t="shared" si="411"/>
        <v>413.37099999999998</v>
      </c>
      <c r="V3379" s="6">
        <f t="shared" si="415"/>
        <v>413.37099999999998</v>
      </c>
    </row>
    <row r="3380" spans="1:22" x14ac:dyDescent="0.35">
      <c r="A3380" s="6" t="s">
        <v>3703</v>
      </c>
      <c r="B3380" s="6" t="s">
        <v>3696</v>
      </c>
      <c r="C3380" s="6" t="s">
        <v>3697</v>
      </c>
      <c r="D3380" s="6">
        <f t="shared" si="413"/>
        <v>0.5</v>
      </c>
      <c r="E3380" s="6" t="s">
        <v>19</v>
      </c>
      <c r="F3380" s="6" t="str">
        <f>MID(A3380,19,1)</f>
        <v>N</v>
      </c>
      <c r="G3380" s="6">
        <v>-22.53308610268596</v>
      </c>
      <c r="H3380" s="6">
        <v>-47.384861779195653</v>
      </c>
      <c r="I3380" s="9">
        <v>3728.45</v>
      </c>
      <c r="K3380" s="6">
        <v>2.77</v>
      </c>
      <c r="L3380" s="6">
        <v>50</v>
      </c>
      <c r="N3380" s="1">
        <f t="shared" si="410"/>
        <v>0</v>
      </c>
      <c r="O3380" s="6" t="s">
        <v>20</v>
      </c>
      <c r="Q3380" s="6" t="s">
        <v>21</v>
      </c>
      <c r="R3380" s="6" t="s">
        <v>21</v>
      </c>
      <c r="S3380" s="6" t="s">
        <v>21</v>
      </c>
      <c r="T3380" s="6" t="s">
        <v>21</v>
      </c>
      <c r="U3380" s="6">
        <f t="shared" si="411"/>
        <v>1864.2249999999999</v>
      </c>
      <c r="V3380" s="6">
        <f t="shared" si="415"/>
        <v>1864.2249999999999</v>
      </c>
    </row>
    <row r="3381" spans="1:22" x14ac:dyDescent="0.35">
      <c r="A3381" s="6" t="s">
        <v>3704</v>
      </c>
      <c r="B3381" s="6" t="s">
        <v>3696</v>
      </c>
      <c r="C3381" s="6" t="s">
        <v>3697</v>
      </c>
      <c r="D3381" s="6">
        <f t="shared" si="413"/>
        <v>0.5</v>
      </c>
      <c r="E3381" s="6" t="s">
        <v>19</v>
      </c>
      <c r="F3381" s="6" t="str">
        <f>MID(A3381,19,1)</f>
        <v>N</v>
      </c>
      <c r="G3381" s="6">
        <v>-22.63852379283755</v>
      </c>
      <c r="H3381" s="6">
        <v>-47.45263147575681</v>
      </c>
      <c r="I3381" s="9">
        <v>1317.06</v>
      </c>
      <c r="K3381" s="6">
        <v>3.51</v>
      </c>
      <c r="L3381" s="6">
        <v>70</v>
      </c>
      <c r="N3381" s="1">
        <f t="shared" si="410"/>
        <v>0</v>
      </c>
      <c r="O3381" s="6" t="s">
        <v>20</v>
      </c>
      <c r="Q3381" s="6" t="s">
        <v>21</v>
      </c>
      <c r="R3381" s="6" t="s">
        <v>21</v>
      </c>
      <c r="S3381" s="6" t="s">
        <v>21</v>
      </c>
      <c r="T3381" s="6" t="s">
        <v>21</v>
      </c>
      <c r="U3381" s="6">
        <f t="shared" si="411"/>
        <v>921.94199999999989</v>
      </c>
      <c r="V3381" s="6">
        <f t="shared" si="415"/>
        <v>921.94199999999989</v>
      </c>
    </row>
    <row r="3382" spans="1:22" hidden="1" x14ac:dyDescent="0.35">
      <c r="A3382" s="6" t="s">
        <v>3705</v>
      </c>
      <c r="B3382" s="6" t="s">
        <v>3696</v>
      </c>
      <c r="C3382" s="6" t="s">
        <v>3697</v>
      </c>
      <c r="D3382" s="6">
        <f t="shared" si="413"/>
        <v>0.5</v>
      </c>
      <c r="E3382" s="6" t="s">
        <v>23</v>
      </c>
      <c r="F3382" s="6" t="str">
        <f>MID(A3382,19,1)</f>
        <v>C</v>
      </c>
      <c r="G3382" s="6">
        <v>-22.527836380273129</v>
      </c>
      <c r="H3382" s="6">
        <v>-47.388504303265272</v>
      </c>
      <c r="I3382" s="9">
        <v>10384.74</v>
      </c>
      <c r="J3382" s="9">
        <f>I3382/500</f>
        <v>20.769479999999998</v>
      </c>
      <c r="K3382" s="6">
        <v>2.46</v>
      </c>
      <c r="L3382" s="6">
        <v>50</v>
      </c>
      <c r="N3382" s="1">
        <f t="shared" si="410"/>
        <v>0</v>
      </c>
      <c r="O3382" s="6" t="s">
        <v>20</v>
      </c>
      <c r="Q3382" s="6" t="s">
        <v>21</v>
      </c>
      <c r="R3382" s="6" t="s">
        <v>21</v>
      </c>
      <c r="S3382" s="6" t="s">
        <v>21</v>
      </c>
      <c r="T3382" s="6" t="s">
        <v>21</v>
      </c>
      <c r="U3382" s="6">
        <f t="shared" si="411"/>
        <v>5192.37</v>
      </c>
      <c r="V3382" s="6">
        <f t="shared" si="415"/>
        <v>5192.37</v>
      </c>
    </row>
    <row r="3383" spans="1:22" x14ac:dyDescent="0.35">
      <c r="A3383" s="6" t="s">
        <v>3706</v>
      </c>
      <c r="B3383" s="6" t="s">
        <v>3696</v>
      </c>
      <c r="C3383" s="6" t="s">
        <v>3697</v>
      </c>
      <c r="D3383" s="6">
        <f t="shared" si="413"/>
        <v>0.5</v>
      </c>
      <c r="E3383" s="6" t="s">
        <v>19</v>
      </c>
      <c r="F3383" s="6" t="str">
        <f>MID(A3383,19,1)</f>
        <v>N</v>
      </c>
      <c r="G3383" s="6">
        <v>-22.63914502261829</v>
      </c>
      <c r="H3383" s="6">
        <v>-47.452422651123918</v>
      </c>
      <c r="I3383" s="9">
        <v>2955.24</v>
      </c>
      <c r="K3383" s="6">
        <v>4.72</v>
      </c>
      <c r="L3383" s="6">
        <v>70</v>
      </c>
      <c r="N3383" s="1">
        <f t="shared" si="410"/>
        <v>0</v>
      </c>
      <c r="O3383" s="6" t="s">
        <v>20</v>
      </c>
      <c r="Q3383" s="6" t="s">
        <v>21</v>
      </c>
      <c r="R3383" s="6" t="s">
        <v>21</v>
      </c>
      <c r="S3383" s="6" t="s">
        <v>21</v>
      </c>
      <c r="T3383" s="6" t="s">
        <v>21</v>
      </c>
      <c r="U3383" s="6">
        <f t="shared" si="411"/>
        <v>2068.6679999999997</v>
      </c>
      <c r="V3383" s="6">
        <f t="shared" si="415"/>
        <v>2068.6679999999997</v>
      </c>
    </row>
    <row r="3384" spans="1:22" hidden="1" x14ac:dyDescent="0.35">
      <c r="A3384" s="6" t="s">
        <v>3707</v>
      </c>
      <c r="B3384" s="6" t="s">
        <v>3696</v>
      </c>
      <c r="C3384" s="6" t="s">
        <v>3697</v>
      </c>
      <c r="D3384" s="6">
        <f t="shared" si="413"/>
        <v>0.5</v>
      </c>
      <c r="E3384" s="6" t="s">
        <v>19</v>
      </c>
      <c r="F3384" s="6" t="str">
        <f>MID(A3384,19,1)</f>
        <v>S</v>
      </c>
      <c r="G3384" s="6">
        <v>-22.637381999406951</v>
      </c>
      <c r="H3384" s="6">
        <v>-47.453712186085554</v>
      </c>
      <c r="I3384" s="9">
        <v>359.58</v>
      </c>
      <c r="K3384" s="6">
        <v>2.42</v>
      </c>
      <c r="L3384" s="6">
        <v>70</v>
      </c>
      <c r="N3384" s="1">
        <f t="shared" si="410"/>
        <v>0</v>
      </c>
      <c r="O3384" s="6" t="s">
        <v>20</v>
      </c>
      <c r="Q3384" s="6" t="s">
        <v>21</v>
      </c>
      <c r="R3384" s="6" t="s">
        <v>21</v>
      </c>
      <c r="S3384" s="6" t="s">
        <v>21</v>
      </c>
      <c r="T3384" s="6" t="s">
        <v>21</v>
      </c>
      <c r="U3384" s="6">
        <f t="shared" si="411"/>
        <v>251.70599999999996</v>
      </c>
      <c r="V3384" s="6">
        <f t="shared" si="415"/>
        <v>251.70599999999996</v>
      </c>
    </row>
    <row r="3385" spans="1:22" hidden="1" x14ac:dyDescent="0.35">
      <c r="A3385" s="6" t="s">
        <v>3708</v>
      </c>
      <c r="B3385" s="6" t="s">
        <v>3696</v>
      </c>
      <c r="C3385" s="6" t="s">
        <v>3697</v>
      </c>
      <c r="D3385" s="6">
        <f t="shared" si="413"/>
        <v>0.5</v>
      </c>
      <c r="E3385" s="6" t="s">
        <v>19</v>
      </c>
      <c r="F3385" s="6" t="str">
        <f>MID(A3385,19,1)</f>
        <v>S</v>
      </c>
      <c r="G3385" s="6">
        <v>-22.638769382782229</v>
      </c>
      <c r="H3385" s="6">
        <v>-47.453401227129653</v>
      </c>
      <c r="I3385" s="9">
        <v>1308.77</v>
      </c>
      <c r="K3385" s="6">
        <v>4.55</v>
      </c>
      <c r="L3385" s="6">
        <v>70</v>
      </c>
      <c r="N3385" s="1">
        <f t="shared" si="410"/>
        <v>0</v>
      </c>
      <c r="O3385" s="6" t="s">
        <v>20</v>
      </c>
      <c r="Q3385" s="6" t="s">
        <v>21</v>
      </c>
      <c r="R3385" s="6" t="s">
        <v>21</v>
      </c>
      <c r="S3385" s="6" t="s">
        <v>21</v>
      </c>
      <c r="T3385" s="6" t="s">
        <v>21</v>
      </c>
      <c r="U3385" s="6">
        <f t="shared" si="411"/>
        <v>916.1389999999999</v>
      </c>
      <c r="V3385" s="6">
        <f t="shared" si="415"/>
        <v>916.1389999999999</v>
      </c>
    </row>
    <row r="3386" spans="1:22" hidden="1" x14ac:dyDescent="0.35">
      <c r="A3386" s="6" t="s">
        <v>3709</v>
      </c>
      <c r="B3386" s="6" t="s">
        <v>3696</v>
      </c>
      <c r="C3386" s="6" t="s">
        <v>3697</v>
      </c>
      <c r="D3386" s="6">
        <f t="shared" si="413"/>
        <v>0.5</v>
      </c>
      <c r="E3386" s="6" t="s">
        <v>23</v>
      </c>
      <c r="F3386" s="6" t="str">
        <f>MID(A3386,19,1)</f>
        <v>C</v>
      </c>
      <c r="G3386" s="6">
        <v>-22.638772821240611</v>
      </c>
      <c r="H3386" s="6">
        <v>-47.453181654318591</v>
      </c>
      <c r="I3386" s="9">
        <v>6089.42</v>
      </c>
      <c r="J3386" s="9">
        <f>I3386/500</f>
        <v>12.178840000000001</v>
      </c>
      <c r="K3386" s="6">
        <v>4.05</v>
      </c>
      <c r="L3386" s="6">
        <v>70</v>
      </c>
      <c r="N3386" s="1">
        <f t="shared" si="410"/>
        <v>0</v>
      </c>
      <c r="O3386" s="6" t="s">
        <v>20</v>
      </c>
      <c r="Q3386" s="6" t="s">
        <v>21</v>
      </c>
      <c r="R3386" s="6" t="s">
        <v>21</v>
      </c>
      <c r="S3386" s="6" t="s">
        <v>21</v>
      </c>
      <c r="T3386" s="6" t="s">
        <v>21</v>
      </c>
      <c r="U3386" s="6">
        <f t="shared" si="411"/>
        <v>4262.5940000000001</v>
      </c>
      <c r="V3386" s="6">
        <f t="shared" si="415"/>
        <v>4262.5940000000001</v>
      </c>
    </row>
    <row r="3387" spans="1:22" hidden="1" x14ac:dyDescent="0.35">
      <c r="A3387" s="6" t="s">
        <v>3710</v>
      </c>
      <c r="B3387" s="6" t="s">
        <v>3696</v>
      </c>
      <c r="C3387" s="6" t="s">
        <v>3697</v>
      </c>
      <c r="D3387" s="6">
        <f t="shared" si="413"/>
        <v>0.5</v>
      </c>
      <c r="E3387" s="6" t="s">
        <v>19</v>
      </c>
      <c r="F3387" s="6" t="str">
        <f>MID(A3387,19,1)</f>
        <v>S</v>
      </c>
      <c r="G3387" s="6">
        <v>-22.532256299702901</v>
      </c>
      <c r="H3387" s="6">
        <v>-47.384901527605777</v>
      </c>
      <c r="I3387" s="9">
        <v>59.34</v>
      </c>
      <c r="K3387" s="6">
        <v>2.7</v>
      </c>
      <c r="L3387" s="6">
        <v>50</v>
      </c>
      <c r="N3387" s="1">
        <f t="shared" si="410"/>
        <v>0</v>
      </c>
      <c r="O3387" s="6" t="s">
        <v>20</v>
      </c>
      <c r="Q3387" s="6" t="s">
        <v>21</v>
      </c>
      <c r="R3387" s="6" t="s">
        <v>21</v>
      </c>
      <c r="S3387" s="6" t="s">
        <v>21</v>
      </c>
      <c r="T3387" s="6" t="s">
        <v>21</v>
      </c>
      <c r="U3387" s="6">
        <f t="shared" si="411"/>
        <v>29.67</v>
      </c>
      <c r="V3387" s="6">
        <f t="shared" si="415"/>
        <v>29.67</v>
      </c>
    </row>
    <row r="3388" spans="1:22" hidden="1" x14ac:dyDescent="0.35">
      <c r="A3388" s="6" t="s">
        <v>3711</v>
      </c>
      <c r="B3388" s="6" t="s">
        <v>3696</v>
      </c>
      <c r="C3388" s="6" t="s">
        <v>3697</v>
      </c>
      <c r="D3388" s="6">
        <f t="shared" si="413"/>
        <v>0.5</v>
      </c>
      <c r="E3388" s="6" t="s">
        <v>19</v>
      </c>
      <c r="F3388" s="6" t="str">
        <f>MID(A3388,19,1)</f>
        <v>S</v>
      </c>
      <c r="G3388" s="6">
        <v>-22.529316734381759</v>
      </c>
      <c r="H3388" s="6">
        <v>-47.386858323580441</v>
      </c>
      <c r="I3388" s="9">
        <v>2269.5</v>
      </c>
      <c r="K3388" s="6">
        <v>2.84</v>
      </c>
      <c r="L3388" s="6">
        <v>50</v>
      </c>
      <c r="N3388" s="1">
        <f t="shared" si="410"/>
        <v>0</v>
      </c>
      <c r="O3388" s="6" t="s">
        <v>20</v>
      </c>
      <c r="Q3388" s="6" t="s">
        <v>21</v>
      </c>
      <c r="R3388" s="6" t="s">
        <v>21</v>
      </c>
      <c r="S3388" s="6" t="s">
        <v>21</v>
      </c>
      <c r="T3388" s="6" t="s">
        <v>21</v>
      </c>
      <c r="U3388" s="6">
        <f t="shared" si="411"/>
        <v>1134.75</v>
      </c>
      <c r="V3388" s="6">
        <f t="shared" si="415"/>
        <v>1134.75</v>
      </c>
    </row>
    <row r="3389" spans="1:22" hidden="1" x14ac:dyDescent="0.35">
      <c r="A3389" s="6" t="s">
        <v>3712</v>
      </c>
      <c r="B3389" s="6" t="s">
        <v>3696</v>
      </c>
      <c r="C3389" s="6" t="s">
        <v>3697</v>
      </c>
      <c r="D3389" s="6">
        <f t="shared" si="413"/>
        <v>0.5</v>
      </c>
      <c r="E3389" s="6" t="s">
        <v>23</v>
      </c>
      <c r="F3389" s="6" t="str">
        <f>MID(A3389,19,1)</f>
        <v>C</v>
      </c>
      <c r="G3389" s="6">
        <v>-22.635157495822941</v>
      </c>
      <c r="H3389" s="6">
        <v>-47.454385372510373</v>
      </c>
      <c r="I3389" s="9">
        <v>5592.4</v>
      </c>
      <c r="J3389" s="9">
        <f>I3389/500</f>
        <v>11.184799999999999</v>
      </c>
      <c r="K3389" s="6">
        <v>4.47</v>
      </c>
      <c r="L3389" s="6">
        <v>80</v>
      </c>
      <c r="N3389" s="1">
        <f t="shared" si="410"/>
        <v>0</v>
      </c>
      <c r="O3389" s="6" t="s">
        <v>20</v>
      </c>
      <c r="Q3389" s="6" t="s">
        <v>21</v>
      </c>
      <c r="R3389" s="6" t="s">
        <v>21</v>
      </c>
      <c r="S3389" s="6" t="s">
        <v>21</v>
      </c>
      <c r="T3389" s="6" t="s">
        <v>21</v>
      </c>
      <c r="U3389" s="6">
        <f t="shared" si="411"/>
        <v>4473.92</v>
      </c>
      <c r="V3389" s="6">
        <f t="shared" si="415"/>
        <v>4473.92</v>
      </c>
    </row>
    <row r="3390" spans="1:22" hidden="1" x14ac:dyDescent="0.35">
      <c r="A3390" s="6" t="s">
        <v>3713</v>
      </c>
      <c r="B3390" s="6" t="s">
        <v>3696</v>
      </c>
      <c r="C3390" s="6" t="s">
        <v>3697</v>
      </c>
      <c r="D3390" s="6">
        <f t="shared" si="413"/>
        <v>0.5</v>
      </c>
      <c r="E3390" s="6" t="s">
        <v>19</v>
      </c>
      <c r="F3390" s="6" t="str">
        <f>MID(A3390,19,1)</f>
        <v>S</v>
      </c>
      <c r="G3390" s="6">
        <v>-22.528333233575161</v>
      </c>
      <c r="H3390" s="6">
        <v>-47.38751634900207</v>
      </c>
      <c r="I3390" s="9">
        <v>326.89</v>
      </c>
      <c r="K3390" s="6">
        <v>1.73</v>
      </c>
      <c r="L3390" s="6">
        <v>50</v>
      </c>
      <c r="N3390" s="1">
        <f t="shared" si="410"/>
        <v>0</v>
      </c>
      <c r="O3390" s="6" t="s">
        <v>20</v>
      </c>
      <c r="Q3390" s="6" t="s">
        <v>21</v>
      </c>
      <c r="R3390" s="6" t="s">
        <v>21</v>
      </c>
      <c r="S3390" s="6" t="s">
        <v>21</v>
      </c>
      <c r="T3390" s="6" t="s">
        <v>21</v>
      </c>
      <c r="U3390" s="6">
        <f t="shared" si="411"/>
        <v>163.44499999999999</v>
      </c>
      <c r="V3390" s="6">
        <f t="shared" si="415"/>
        <v>163.44499999999999</v>
      </c>
    </row>
    <row r="3391" spans="1:22" hidden="1" x14ac:dyDescent="0.35">
      <c r="A3391" s="6" t="s">
        <v>3714</v>
      </c>
      <c r="B3391" s="6" t="s">
        <v>3696</v>
      </c>
      <c r="C3391" s="6" t="s">
        <v>3697</v>
      </c>
      <c r="D3391" s="6">
        <f t="shared" si="413"/>
        <v>0.5</v>
      </c>
      <c r="E3391" s="6" t="s">
        <v>19</v>
      </c>
      <c r="F3391" s="6" t="str">
        <f>MID(A3391,19,1)</f>
        <v>S</v>
      </c>
      <c r="G3391" s="6">
        <v>-22.640860145921121</v>
      </c>
      <c r="H3391" s="6">
        <v>-47.452197338002676</v>
      </c>
      <c r="I3391" s="9">
        <v>611.99</v>
      </c>
      <c r="K3391" s="6">
        <v>6.07</v>
      </c>
      <c r="L3391" s="6">
        <v>70</v>
      </c>
      <c r="N3391" s="1">
        <f t="shared" si="410"/>
        <v>0</v>
      </c>
      <c r="O3391" s="6" t="s">
        <v>20</v>
      </c>
      <c r="Q3391" s="6" t="s">
        <v>21</v>
      </c>
      <c r="R3391" s="6" t="s">
        <v>21</v>
      </c>
      <c r="S3391" s="6" t="s">
        <v>21</v>
      </c>
      <c r="T3391" s="6" t="s">
        <v>21</v>
      </c>
      <c r="U3391" s="6">
        <f t="shared" si="411"/>
        <v>428.39299999999997</v>
      </c>
      <c r="V3391" s="6">
        <f t="shared" si="415"/>
        <v>428.39299999999997</v>
      </c>
    </row>
    <row r="3392" spans="1:22" hidden="1" x14ac:dyDescent="0.35">
      <c r="A3392" s="6" t="s">
        <v>3715</v>
      </c>
      <c r="B3392" s="6" t="s">
        <v>3696</v>
      </c>
      <c r="C3392" s="6" t="s">
        <v>3697</v>
      </c>
      <c r="D3392" s="6">
        <f t="shared" si="413"/>
        <v>0.5</v>
      </c>
      <c r="E3392" s="6" t="s">
        <v>19</v>
      </c>
      <c r="F3392" s="6" t="str">
        <f>MID(A3392,19,1)</f>
        <v>S</v>
      </c>
      <c r="G3392" s="6">
        <v>-22.526991561825</v>
      </c>
      <c r="H3392" s="6">
        <v>-47.388486150596869</v>
      </c>
      <c r="I3392" s="9">
        <v>1077.5999999999999</v>
      </c>
      <c r="K3392" s="6">
        <v>3.05</v>
      </c>
      <c r="L3392" s="6">
        <v>50</v>
      </c>
      <c r="N3392" s="1">
        <f t="shared" si="410"/>
        <v>0</v>
      </c>
      <c r="O3392" s="6" t="s">
        <v>20</v>
      </c>
      <c r="Q3392" s="6" t="s">
        <v>21</v>
      </c>
      <c r="R3392" s="6" t="s">
        <v>21</v>
      </c>
      <c r="S3392" s="6" t="s">
        <v>21</v>
      </c>
      <c r="T3392" s="6" t="s">
        <v>21</v>
      </c>
      <c r="U3392" s="6">
        <f t="shared" si="411"/>
        <v>538.79999999999995</v>
      </c>
      <c r="V3392" s="6">
        <f t="shared" si="415"/>
        <v>538.79999999999995</v>
      </c>
    </row>
    <row r="3393" spans="1:22" hidden="1" x14ac:dyDescent="0.35">
      <c r="A3393" s="6" t="s">
        <v>3716</v>
      </c>
      <c r="B3393" s="6" t="s">
        <v>3696</v>
      </c>
      <c r="C3393" s="6" t="s">
        <v>3697</v>
      </c>
      <c r="D3393" s="6">
        <f t="shared" si="413"/>
        <v>0.5</v>
      </c>
      <c r="E3393" s="6" t="s">
        <v>19</v>
      </c>
      <c r="F3393" s="6" t="str">
        <f>MID(A3393,19,1)</f>
        <v>S</v>
      </c>
      <c r="G3393" s="6">
        <v>-22.53119512183213</v>
      </c>
      <c r="H3393" s="6">
        <v>-47.385562679017767</v>
      </c>
      <c r="I3393" s="9">
        <v>901.36</v>
      </c>
      <c r="K3393" s="6">
        <v>2.48</v>
      </c>
      <c r="L3393" s="6">
        <v>50</v>
      </c>
      <c r="N3393" s="1">
        <f t="shared" si="410"/>
        <v>0</v>
      </c>
      <c r="O3393" s="6" t="s">
        <v>20</v>
      </c>
      <c r="Q3393" s="6" t="s">
        <v>21</v>
      </c>
      <c r="R3393" s="6" t="s">
        <v>21</v>
      </c>
      <c r="S3393" s="6" t="s">
        <v>21</v>
      </c>
      <c r="T3393" s="6" t="s">
        <v>21</v>
      </c>
      <c r="U3393" s="6">
        <f t="shared" si="411"/>
        <v>450.68</v>
      </c>
      <c r="V3393" s="6">
        <f t="shared" si="415"/>
        <v>450.68</v>
      </c>
    </row>
    <row r="3394" spans="1:22" hidden="1" x14ac:dyDescent="0.35">
      <c r="A3394" s="6" t="s">
        <v>3717</v>
      </c>
      <c r="B3394" s="6" t="s">
        <v>3696</v>
      </c>
      <c r="C3394" s="6" t="s">
        <v>3697</v>
      </c>
      <c r="D3394" s="6">
        <f t="shared" si="413"/>
        <v>0.5</v>
      </c>
      <c r="E3394" s="6" t="s">
        <v>23</v>
      </c>
      <c r="F3394" s="6" t="str">
        <f>MID(A3394,19,1)</f>
        <v>C</v>
      </c>
      <c r="G3394" s="6">
        <v>-22.640803599782149</v>
      </c>
      <c r="H3394" s="6">
        <v>-47.45202089844706</v>
      </c>
      <c r="I3394" s="9">
        <v>1872.89</v>
      </c>
      <c r="J3394" s="9">
        <f>I3394/500</f>
        <v>3.7457800000000003</v>
      </c>
      <c r="K3394" s="6">
        <v>4.7699999999999996</v>
      </c>
      <c r="L3394" s="6">
        <v>80</v>
      </c>
      <c r="N3394" s="1">
        <f t="shared" ref="N3394:N3457" si="416">IF(OR(R3394="Sim",S3394="Sim",T3394="Sim"),(L3394/100)*I3394,0)</f>
        <v>0</v>
      </c>
      <c r="O3394" s="6" t="s">
        <v>20</v>
      </c>
      <c r="Q3394" s="6" t="s">
        <v>21</v>
      </c>
      <c r="R3394" s="6" t="s">
        <v>21</v>
      </c>
      <c r="S3394" s="6" t="s">
        <v>21</v>
      </c>
      <c r="T3394" s="6" t="s">
        <v>21</v>
      </c>
      <c r="U3394" s="6">
        <f t="shared" si="411"/>
        <v>1498.3120000000001</v>
      </c>
      <c r="V3394" s="6">
        <f t="shared" si="415"/>
        <v>1498.3120000000001</v>
      </c>
    </row>
    <row r="3395" spans="1:22" x14ac:dyDescent="0.35">
      <c r="A3395" s="6" t="s">
        <v>3718</v>
      </c>
      <c r="B3395" s="6" t="s">
        <v>3696</v>
      </c>
      <c r="C3395" s="6" t="s">
        <v>3697</v>
      </c>
      <c r="D3395" s="6">
        <f t="shared" si="413"/>
        <v>0.5</v>
      </c>
      <c r="E3395" s="6" t="s">
        <v>19</v>
      </c>
      <c r="F3395" s="6" t="str">
        <f>MID(A3395,19,1)</f>
        <v>N</v>
      </c>
      <c r="G3395" s="6">
        <v>-22.530880258778421</v>
      </c>
      <c r="H3395" s="6">
        <v>-47.386378048003976</v>
      </c>
      <c r="I3395" s="9">
        <v>3329.92</v>
      </c>
      <c r="K3395" s="6">
        <v>2.87</v>
      </c>
      <c r="L3395" s="6">
        <v>50</v>
      </c>
      <c r="N3395" s="1">
        <f t="shared" si="416"/>
        <v>0</v>
      </c>
      <c r="O3395" s="6" t="s">
        <v>20</v>
      </c>
      <c r="Q3395" s="6" t="s">
        <v>21</v>
      </c>
      <c r="R3395" s="6" t="s">
        <v>21</v>
      </c>
      <c r="S3395" s="6" t="s">
        <v>21</v>
      </c>
      <c r="T3395" s="6" t="s">
        <v>21</v>
      </c>
      <c r="U3395" s="6">
        <f t="shared" ref="U3395:U3458" si="417">IF(N3395=0,(I3395*(L3395/100)),0)</f>
        <v>1664.96</v>
      </c>
      <c r="V3395" s="6">
        <f t="shared" si="415"/>
        <v>1664.96</v>
      </c>
    </row>
    <row r="3396" spans="1:22" hidden="1" x14ac:dyDescent="0.35">
      <c r="A3396" s="6" t="s">
        <v>3719</v>
      </c>
      <c r="B3396" s="6" t="s">
        <v>3696</v>
      </c>
      <c r="C3396" s="6" t="s">
        <v>3697</v>
      </c>
      <c r="D3396" s="6">
        <f t="shared" si="413"/>
        <v>0.5</v>
      </c>
      <c r="E3396" s="6" t="s">
        <v>19</v>
      </c>
      <c r="F3396" s="6" t="str">
        <f>MID(A3396,19,1)</f>
        <v>S</v>
      </c>
      <c r="G3396" s="6">
        <v>-22.533075780317979</v>
      </c>
      <c r="H3396" s="6">
        <v>-47.384330115612222</v>
      </c>
      <c r="I3396" s="9">
        <v>23.46</v>
      </c>
      <c r="K3396" s="6">
        <v>3.21</v>
      </c>
      <c r="L3396" s="6">
        <v>50</v>
      </c>
      <c r="N3396" s="1">
        <f t="shared" si="416"/>
        <v>0</v>
      </c>
      <c r="O3396" s="6" t="s">
        <v>20</v>
      </c>
      <c r="Q3396" s="6" t="s">
        <v>21</v>
      </c>
      <c r="R3396" s="6" t="s">
        <v>21</v>
      </c>
      <c r="S3396" s="6" t="s">
        <v>21</v>
      </c>
      <c r="T3396" s="6" t="s">
        <v>21</v>
      </c>
      <c r="U3396" s="6">
        <f t="shared" si="417"/>
        <v>11.73</v>
      </c>
      <c r="V3396" s="6">
        <f t="shared" si="415"/>
        <v>11.73</v>
      </c>
    </row>
    <row r="3397" spans="1:22" hidden="1" x14ac:dyDescent="0.35">
      <c r="A3397" s="6" t="s">
        <v>3720</v>
      </c>
      <c r="B3397" s="6" t="s">
        <v>3696</v>
      </c>
      <c r="C3397" s="6" t="s">
        <v>3697</v>
      </c>
      <c r="D3397" s="6">
        <f t="shared" si="413"/>
        <v>0.5</v>
      </c>
      <c r="E3397" s="6" t="s">
        <v>19</v>
      </c>
      <c r="F3397" s="6" t="str">
        <f>MID(A3397,19,1)</f>
        <v>S</v>
      </c>
      <c r="G3397" s="6">
        <v>-22.53010283273942</v>
      </c>
      <c r="H3397" s="6">
        <v>-47.386325150217871</v>
      </c>
      <c r="I3397" s="9">
        <v>677.03</v>
      </c>
      <c r="K3397" s="6">
        <v>3</v>
      </c>
      <c r="L3397" s="6">
        <v>50</v>
      </c>
      <c r="N3397" s="1">
        <f t="shared" si="416"/>
        <v>0</v>
      </c>
      <c r="O3397" s="6" t="s">
        <v>20</v>
      </c>
      <c r="Q3397" s="6" t="s">
        <v>21</v>
      </c>
      <c r="R3397" s="6" t="s">
        <v>21</v>
      </c>
      <c r="S3397" s="6" t="s">
        <v>21</v>
      </c>
      <c r="T3397" s="6" t="s">
        <v>21</v>
      </c>
      <c r="U3397" s="6">
        <f t="shared" si="417"/>
        <v>338.51499999999999</v>
      </c>
      <c r="V3397" s="6">
        <f t="shared" si="415"/>
        <v>338.51499999999999</v>
      </c>
    </row>
    <row r="3398" spans="1:22" hidden="1" x14ac:dyDescent="0.35">
      <c r="A3398" s="6" t="s">
        <v>3721</v>
      </c>
      <c r="B3398" s="6" t="s">
        <v>3696</v>
      </c>
      <c r="C3398" s="6" t="s">
        <v>3697</v>
      </c>
      <c r="D3398" s="6">
        <f t="shared" si="413"/>
        <v>0.5</v>
      </c>
      <c r="E3398" s="6" t="s">
        <v>23</v>
      </c>
      <c r="F3398" s="6" t="str">
        <f>MID(A3398,19,1)</f>
        <v>C</v>
      </c>
      <c r="G3398" s="6">
        <v>-22.53199204288951</v>
      </c>
      <c r="H3398" s="6">
        <v>-47.38529505647881</v>
      </c>
      <c r="I3398" s="9">
        <v>6054</v>
      </c>
      <c r="J3398" s="9">
        <f t="shared" ref="J3398:J3399" si="418">I3398/500</f>
        <v>12.108000000000001</v>
      </c>
      <c r="K3398" s="6">
        <v>2.5299999999999998</v>
      </c>
      <c r="L3398" s="6">
        <v>50</v>
      </c>
      <c r="N3398" s="1">
        <f t="shared" si="416"/>
        <v>0</v>
      </c>
      <c r="O3398" s="6" t="s">
        <v>20</v>
      </c>
      <c r="Q3398" s="6" t="s">
        <v>21</v>
      </c>
      <c r="R3398" s="6" t="s">
        <v>21</v>
      </c>
      <c r="S3398" s="6" t="s">
        <v>21</v>
      </c>
      <c r="T3398" s="6" t="s">
        <v>21</v>
      </c>
      <c r="U3398" s="6">
        <f t="shared" si="417"/>
        <v>3027</v>
      </c>
      <c r="V3398" s="6">
        <f t="shared" si="415"/>
        <v>3027</v>
      </c>
    </row>
    <row r="3399" spans="1:22" hidden="1" x14ac:dyDescent="0.35">
      <c r="A3399" s="6" t="s">
        <v>3722</v>
      </c>
      <c r="B3399" s="6" t="s">
        <v>3696</v>
      </c>
      <c r="C3399" s="6" t="s">
        <v>3697</v>
      </c>
      <c r="D3399" s="6">
        <f t="shared" si="413"/>
        <v>0.5</v>
      </c>
      <c r="E3399" s="6" t="s">
        <v>23</v>
      </c>
      <c r="F3399" s="6" t="str">
        <f>MID(A3399,19,1)</f>
        <v>C</v>
      </c>
      <c r="G3399" s="6">
        <v>-22.528018552999921</v>
      </c>
      <c r="H3399" s="6">
        <v>-47.388035236045091</v>
      </c>
      <c r="I3399" s="9">
        <v>5974.81</v>
      </c>
      <c r="J3399" s="9">
        <f t="shared" si="418"/>
        <v>11.949620000000001</v>
      </c>
      <c r="K3399" s="6">
        <v>2.67</v>
      </c>
      <c r="L3399" s="6">
        <v>50</v>
      </c>
      <c r="N3399" s="1">
        <f t="shared" si="416"/>
        <v>0</v>
      </c>
      <c r="O3399" s="6" t="s">
        <v>20</v>
      </c>
      <c r="Q3399" s="6" t="s">
        <v>21</v>
      </c>
      <c r="R3399" s="6" t="s">
        <v>21</v>
      </c>
      <c r="S3399" s="6" t="s">
        <v>21</v>
      </c>
      <c r="T3399" s="6" t="s">
        <v>21</v>
      </c>
      <c r="U3399" s="6">
        <f t="shared" si="417"/>
        <v>2987.4050000000002</v>
      </c>
      <c r="V3399" s="6">
        <f t="shared" si="415"/>
        <v>2987.4050000000002</v>
      </c>
    </row>
    <row r="3400" spans="1:22" hidden="1" x14ac:dyDescent="0.35">
      <c r="A3400" s="6" t="s">
        <v>3723</v>
      </c>
      <c r="B3400" s="6" t="s">
        <v>3696</v>
      </c>
      <c r="C3400" s="6" t="s">
        <v>3697</v>
      </c>
      <c r="D3400" s="6">
        <f t="shared" si="413"/>
        <v>0.5</v>
      </c>
      <c r="E3400" s="6" t="s">
        <v>19</v>
      </c>
      <c r="F3400" s="6" t="str">
        <f>MID(A3400,19,1)</f>
        <v>S</v>
      </c>
      <c r="G3400" s="6">
        <v>-22.635251424150709</v>
      </c>
      <c r="H3400" s="6">
        <v>-47.454549205562721</v>
      </c>
      <c r="I3400" s="9">
        <v>1785.53</v>
      </c>
      <c r="K3400" s="6">
        <v>3.98</v>
      </c>
      <c r="L3400" s="6">
        <v>70</v>
      </c>
      <c r="N3400" s="1">
        <f t="shared" si="416"/>
        <v>0</v>
      </c>
      <c r="O3400" s="6" t="s">
        <v>20</v>
      </c>
      <c r="Q3400" s="6" t="s">
        <v>21</v>
      </c>
      <c r="R3400" s="6" t="s">
        <v>21</v>
      </c>
      <c r="S3400" s="6" t="s">
        <v>21</v>
      </c>
      <c r="T3400" s="6" t="s">
        <v>21</v>
      </c>
      <c r="U3400" s="6">
        <f t="shared" si="417"/>
        <v>1249.8709999999999</v>
      </c>
      <c r="V3400" s="6">
        <f t="shared" si="415"/>
        <v>1249.8709999999999</v>
      </c>
    </row>
    <row r="3401" spans="1:22" x14ac:dyDescent="0.35">
      <c r="A3401" s="6" t="s">
        <v>3724</v>
      </c>
      <c r="B3401" s="6" t="s">
        <v>3696</v>
      </c>
      <c r="C3401" s="6" t="s">
        <v>3697</v>
      </c>
      <c r="D3401" s="6">
        <f t="shared" si="413"/>
        <v>0.5</v>
      </c>
      <c r="E3401" s="6" t="s">
        <v>19</v>
      </c>
      <c r="F3401" s="6" t="str">
        <f>MID(A3401,19,1)</f>
        <v>N</v>
      </c>
      <c r="G3401" s="6">
        <v>-22.635136767423411</v>
      </c>
      <c r="H3401" s="6">
        <v>-47.454198716016222</v>
      </c>
      <c r="I3401" s="9">
        <v>1752.59</v>
      </c>
      <c r="K3401" s="6">
        <v>4.6500000000000004</v>
      </c>
      <c r="L3401" s="6">
        <v>70</v>
      </c>
      <c r="N3401" s="1">
        <f t="shared" si="416"/>
        <v>0</v>
      </c>
      <c r="O3401" s="6" t="s">
        <v>20</v>
      </c>
      <c r="Q3401" s="6" t="s">
        <v>21</v>
      </c>
      <c r="R3401" s="6" t="s">
        <v>21</v>
      </c>
      <c r="S3401" s="6" t="s">
        <v>21</v>
      </c>
      <c r="T3401" s="6" t="s">
        <v>21</v>
      </c>
      <c r="U3401" s="6">
        <f t="shared" si="417"/>
        <v>1226.8129999999999</v>
      </c>
      <c r="V3401" s="6">
        <f t="shared" si="415"/>
        <v>1226.8129999999999</v>
      </c>
    </row>
    <row r="3402" spans="1:22" x14ac:dyDescent="0.35">
      <c r="A3402" s="6" t="s">
        <v>3725</v>
      </c>
      <c r="B3402" s="6" t="s">
        <v>3726</v>
      </c>
      <c r="C3402" s="6" t="s">
        <v>3727</v>
      </c>
      <c r="D3402" s="6">
        <f t="shared" si="413"/>
        <v>0.5</v>
      </c>
      <c r="E3402" s="6" t="s">
        <v>19</v>
      </c>
      <c r="F3402" s="6" t="str">
        <f>MID(A3402,19,1)</f>
        <v>N</v>
      </c>
      <c r="G3402" s="6">
        <v>-22.525615048454629</v>
      </c>
      <c r="H3402" s="6">
        <v>-47.390192955765848</v>
      </c>
      <c r="I3402" s="9">
        <v>3545.18</v>
      </c>
      <c r="K3402" s="6">
        <v>1.34</v>
      </c>
      <c r="L3402" s="6">
        <v>50</v>
      </c>
      <c r="N3402" s="1">
        <f t="shared" si="416"/>
        <v>0</v>
      </c>
      <c r="O3402" s="6" t="s">
        <v>20</v>
      </c>
      <c r="Q3402" s="6" t="s">
        <v>21</v>
      </c>
      <c r="R3402" s="6" t="s">
        <v>21</v>
      </c>
      <c r="S3402" s="6" t="s">
        <v>21</v>
      </c>
      <c r="T3402" s="6" t="s">
        <v>21</v>
      </c>
      <c r="U3402" s="6">
        <f t="shared" si="417"/>
        <v>1772.59</v>
      </c>
      <c r="V3402" s="6">
        <f t="shared" si="415"/>
        <v>1772.59</v>
      </c>
    </row>
    <row r="3403" spans="1:22" x14ac:dyDescent="0.35">
      <c r="A3403" s="6" t="s">
        <v>3728</v>
      </c>
      <c r="B3403" s="6" t="s">
        <v>3726</v>
      </c>
      <c r="C3403" s="6" t="s">
        <v>3727</v>
      </c>
      <c r="D3403" s="6">
        <f t="shared" si="413"/>
        <v>0.5</v>
      </c>
      <c r="E3403" s="6" t="s">
        <v>19</v>
      </c>
      <c r="F3403" s="6" t="str">
        <f>MID(A3403,19,1)</f>
        <v>N</v>
      </c>
      <c r="G3403" s="6">
        <v>-22.526095583624009</v>
      </c>
      <c r="H3403" s="6">
        <v>-47.390214711669707</v>
      </c>
      <c r="I3403" s="9">
        <v>260.39</v>
      </c>
      <c r="K3403" s="6">
        <v>1.53</v>
      </c>
      <c r="L3403" s="6">
        <v>50</v>
      </c>
      <c r="N3403" s="1">
        <f t="shared" si="416"/>
        <v>0</v>
      </c>
      <c r="O3403" s="6" t="s">
        <v>20</v>
      </c>
      <c r="Q3403" s="6" t="s">
        <v>21</v>
      </c>
      <c r="R3403" s="6" t="s">
        <v>21</v>
      </c>
      <c r="S3403" s="6" t="s">
        <v>21</v>
      </c>
      <c r="T3403" s="6" t="s">
        <v>21</v>
      </c>
      <c r="U3403" s="6">
        <f t="shared" si="417"/>
        <v>130.19499999999999</v>
      </c>
      <c r="V3403" s="6">
        <f t="shared" si="415"/>
        <v>130.19499999999999</v>
      </c>
    </row>
    <row r="3404" spans="1:22" x14ac:dyDescent="0.35">
      <c r="A3404" s="6" t="s">
        <v>3729</v>
      </c>
      <c r="B3404" s="6" t="s">
        <v>3726</v>
      </c>
      <c r="C3404" s="6" t="s">
        <v>3727</v>
      </c>
      <c r="D3404" s="6">
        <f t="shared" si="413"/>
        <v>0.5</v>
      </c>
      <c r="E3404" s="6" t="s">
        <v>19</v>
      </c>
      <c r="F3404" s="6" t="str">
        <f>MID(A3404,19,1)</f>
        <v>N</v>
      </c>
      <c r="G3404" s="6">
        <v>-22.520359232949669</v>
      </c>
      <c r="H3404" s="6">
        <v>-47.393148614520847</v>
      </c>
      <c r="I3404" s="9">
        <v>1902.42</v>
      </c>
      <c r="K3404" s="6">
        <v>2.84</v>
      </c>
      <c r="L3404" s="6">
        <v>50</v>
      </c>
      <c r="N3404" s="1">
        <f t="shared" si="416"/>
        <v>0</v>
      </c>
      <c r="O3404" s="6" t="s">
        <v>20</v>
      </c>
      <c r="Q3404" s="6" t="s">
        <v>21</v>
      </c>
      <c r="R3404" s="6" t="s">
        <v>21</v>
      </c>
      <c r="S3404" s="6" t="s">
        <v>21</v>
      </c>
      <c r="T3404" s="6" t="s">
        <v>21</v>
      </c>
      <c r="U3404" s="6">
        <f t="shared" si="417"/>
        <v>951.21</v>
      </c>
      <c r="V3404" s="6">
        <f t="shared" si="415"/>
        <v>951.21</v>
      </c>
    </row>
    <row r="3405" spans="1:22" x14ac:dyDescent="0.35">
      <c r="A3405" s="6" t="s">
        <v>3730</v>
      </c>
      <c r="B3405" s="6" t="s">
        <v>3726</v>
      </c>
      <c r="C3405" s="6" t="s">
        <v>3727</v>
      </c>
      <c r="D3405" s="6">
        <f t="shared" si="413"/>
        <v>0.5</v>
      </c>
      <c r="E3405" s="6" t="s">
        <v>19</v>
      </c>
      <c r="F3405" s="6" t="str">
        <f>MID(A3405,19,1)</f>
        <v>N</v>
      </c>
      <c r="G3405" s="6">
        <v>-22.627567579291298</v>
      </c>
      <c r="H3405" s="6">
        <v>-47.457362606086328</v>
      </c>
      <c r="I3405" s="9">
        <v>1803.7</v>
      </c>
      <c r="K3405" s="6">
        <v>5.35</v>
      </c>
      <c r="L3405" s="6">
        <v>70</v>
      </c>
      <c r="N3405" s="1">
        <f t="shared" si="416"/>
        <v>0</v>
      </c>
      <c r="O3405" s="6" t="s">
        <v>20</v>
      </c>
      <c r="Q3405" s="6" t="s">
        <v>21</v>
      </c>
      <c r="R3405" s="6" t="s">
        <v>21</v>
      </c>
      <c r="S3405" s="6" t="s">
        <v>21</v>
      </c>
      <c r="T3405" s="6" t="s">
        <v>21</v>
      </c>
      <c r="U3405" s="6">
        <f t="shared" si="417"/>
        <v>1262.5899999999999</v>
      </c>
      <c r="V3405" s="6">
        <f t="shared" si="415"/>
        <v>1262.5899999999999</v>
      </c>
    </row>
    <row r="3406" spans="1:22" hidden="1" x14ac:dyDescent="0.35">
      <c r="A3406" s="6" t="s">
        <v>3731</v>
      </c>
      <c r="B3406" s="6" t="s">
        <v>3726</v>
      </c>
      <c r="C3406" s="6" t="s">
        <v>3727</v>
      </c>
      <c r="D3406" s="6">
        <f t="shared" ref="D3406:D3469" si="419">C3406-B3406</f>
        <v>0.5</v>
      </c>
      <c r="E3406" s="6" t="s">
        <v>23</v>
      </c>
      <c r="F3406" s="6" t="str">
        <f>MID(A3406,19,1)</f>
        <v>C</v>
      </c>
      <c r="G3406" s="6">
        <v>-22.520287166921118</v>
      </c>
      <c r="H3406" s="6">
        <v>-47.392978106926307</v>
      </c>
      <c r="I3406" s="9">
        <v>5516.43</v>
      </c>
      <c r="J3406" s="9">
        <f t="shared" ref="J3406:J3408" si="420">I3406/500</f>
        <v>11.032860000000001</v>
      </c>
      <c r="K3406" s="6">
        <v>2.94</v>
      </c>
      <c r="L3406" s="6">
        <v>50</v>
      </c>
      <c r="N3406" s="1">
        <f t="shared" si="416"/>
        <v>0</v>
      </c>
      <c r="O3406" s="6" t="s">
        <v>20</v>
      </c>
      <c r="Q3406" s="6" t="s">
        <v>21</v>
      </c>
      <c r="R3406" s="6" t="s">
        <v>21</v>
      </c>
      <c r="S3406" s="6" t="s">
        <v>21</v>
      </c>
      <c r="T3406" s="6" t="s">
        <v>21</v>
      </c>
      <c r="U3406" s="6">
        <f t="shared" si="417"/>
        <v>2758.2150000000001</v>
      </c>
      <c r="V3406" s="6">
        <f t="shared" si="415"/>
        <v>2758.2150000000001</v>
      </c>
    </row>
    <row r="3407" spans="1:22" hidden="1" x14ac:dyDescent="0.35">
      <c r="A3407" s="6" t="s">
        <v>3732</v>
      </c>
      <c r="B3407" s="6" t="s">
        <v>3726</v>
      </c>
      <c r="C3407" s="6" t="s">
        <v>3727</v>
      </c>
      <c r="D3407" s="6">
        <f t="shared" si="419"/>
        <v>0.5</v>
      </c>
      <c r="E3407" s="6" t="s">
        <v>23</v>
      </c>
      <c r="F3407" s="6" t="str">
        <f>MID(A3407,19,1)</f>
        <v>C</v>
      </c>
      <c r="G3407" s="6">
        <v>-22.526115325459148</v>
      </c>
      <c r="H3407" s="6">
        <v>-47.389823782842853</v>
      </c>
      <c r="I3407" s="9">
        <v>1611.26</v>
      </c>
      <c r="J3407" s="9">
        <f t="shared" si="420"/>
        <v>3.2225199999999998</v>
      </c>
      <c r="K3407" s="6">
        <v>1.57</v>
      </c>
      <c r="L3407" s="6">
        <v>50</v>
      </c>
      <c r="N3407" s="1">
        <f t="shared" si="416"/>
        <v>0</v>
      </c>
      <c r="O3407" s="6" t="s">
        <v>20</v>
      </c>
      <c r="Q3407" s="6" t="s">
        <v>21</v>
      </c>
      <c r="R3407" s="6" t="s">
        <v>21</v>
      </c>
      <c r="S3407" s="6" t="s">
        <v>21</v>
      </c>
      <c r="T3407" s="6" t="s">
        <v>21</v>
      </c>
      <c r="U3407" s="6">
        <f t="shared" si="417"/>
        <v>805.63</v>
      </c>
      <c r="V3407" s="6">
        <f t="shared" si="415"/>
        <v>805.63</v>
      </c>
    </row>
    <row r="3408" spans="1:22" hidden="1" x14ac:dyDescent="0.35">
      <c r="A3408" s="6" t="s">
        <v>3733</v>
      </c>
      <c r="B3408" s="6" t="s">
        <v>3726</v>
      </c>
      <c r="C3408" s="6" t="s">
        <v>3727</v>
      </c>
      <c r="D3408" s="6">
        <f t="shared" si="419"/>
        <v>0.5</v>
      </c>
      <c r="E3408" s="6" t="s">
        <v>23</v>
      </c>
      <c r="F3408" s="6" t="str">
        <f>MID(A3408,19,1)</f>
        <v>C</v>
      </c>
      <c r="G3408" s="6">
        <v>-22.627635275110968</v>
      </c>
      <c r="H3408" s="6">
        <v>-47.457532509229686</v>
      </c>
      <c r="I3408" s="9">
        <v>5964.63</v>
      </c>
      <c r="J3408" s="9">
        <f t="shared" si="420"/>
        <v>11.929260000000001</v>
      </c>
      <c r="K3408" s="6">
        <v>4.95</v>
      </c>
      <c r="L3408" s="6">
        <v>80</v>
      </c>
      <c r="N3408" s="1">
        <f t="shared" si="416"/>
        <v>0</v>
      </c>
      <c r="O3408" s="6" t="s">
        <v>20</v>
      </c>
      <c r="Q3408" s="6" t="s">
        <v>21</v>
      </c>
      <c r="R3408" s="6" t="s">
        <v>21</v>
      </c>
      <c r="S3408" s="6" t="s">
        <v>21</v>
      </c>
      <c r="T3408" s="6" t="s">
        <v>21</v>
      </c>
      <c r="U3408" s="6">
        <f t="shared" si="417"/>
        <v>4771.7040000000006</v>
      </c>
      <c r="V3408" s="6">
        <f t="shared" si="415"/>
        <v>4771.7040000000006</v>
      </c>
    </row>
    <row r="3409" spans="1:22" x14ac:dyDescent="0.35">
      <c r="A3409" s="6" t="s">
        <v>3734</v>
      </c>
      <c r="B3409" s="6" t="s">
        <v>3726</v>
      </c>
      <c r="C3409" s="6" t="s">
        <v>3727</v>
      </c>
      <c r="D3409" s="6">
        <f t="shared" si="419"/>
        <v>0.5</v>
      </c>
      <c r="E3409" s="6" t="s">
        <v>19</v>
      </c>
      <c r="F3409" s="6" t="str">
        <f>MID(A3409,19,1)</f>
        <v>N</v>
      </c>
      <c r="G3409" s="6">
        <v>-22.524144550433839</v>
      </c>
      <c r="H3409" s="6">
        <v>-47.391091778031502</v>
      </c>
      <c r="I3409" s="9">
        <v>1889.56</v>
      </c>
      <c r="K3409" s="6">
        <v>1.92</v>
      </c>
      <c r="L3409" s="6">
        <v>50</v>
      </c>
      <c r="N3409" s="1">
        <f t="shared" si="416"/>
        <v>0</v>
      </c>
      <c r="O3409" s="6" t="s">
        <v>20</v>
      </c>
      <c r="Q3409" s="6" t="s">
        <v>21</v>
      </c>
      <c r="R3409" s="6" t="s">
        <v>21</v>
      </c>
      <c r="S3409" s="6" t="s">
        <v>21</v>
      </c>
      <c r="T3409" s="6" t="s">
        <v>21</v>
      </c>
      <c r="U3409" s="6">
        <f t="shared" si="417"/>
        <v>944.78</v>
      </c>
      <c r="V3409" s="6">
        <f t="shared" si="415"/>
        <v>944.78</v>
      </c>
    </row>
    <row r="3410" spans="1:22" hidden="1" x14ac:dyDescent="0.35">
      <c r="A3410" s="6" t="s">
        <v>3735</v>
      </c>
      <c r="B3410" s="6" t="s">
        <v>3726</v>
      </c>
      <c r="C3410" s="6" t="s">
        <v>3727</v>
      </c>
      <c r="D3410" s="6">
        <f t="shared" si="419"/>
        <v>0.5</v>
      </c>
      <c r="E3410" s="6" t="s">
        <v>23</v>
      </c>
      <c r="F3410" s="6" t="str">
        <f>MID(A3410,19,1)</f>
        <v>C</v>
      </c>
      <c r="G3410" s="6">
        <v>-22.631445543161679</v>
      </c>
      <c r="H3410" s="6">
        <v>-47.45593609589173</v>
      </c>
      <c r="I3410" s="9">
        <v>5019.6000000000004</v>
      </c>
      <c r="J3410" s="9">
        <f t="shared" ref="J3410:J3411" si="421">I3410/500</f>
        <v>10.039200000000001</v>
      </c>
      <c r="K3410" s="6">
        <v>5.3</v>
      </c>
      <c r="L3410" s="6">
        <v>80</v>
      </c>
      <c r="N3410" s="1">
        <f t="shared" si="416"/>
        <v>0</v>
      </c>
      <c r="O3410" s="6" t="s">
        <v>20</v>
      </c>
      <c r="Q3410" s="6" t="s">
        <v>21</v>
      </c>
      <c r="R3410" s="6" t="s">
        <v>21</v>
      </c>
      <c r="S3410" s="6" t="s">
        <v>21</v>
      </c>
      <c r="T3410" s="6" t="s">
        <v>21</v>
      </c>
      <c r="U3410" s="6">
        <f t="shared" si="417"/>
        <v>4015.6800000000003</v>
      </c>
      <c r="V3410" s="6">
        <f t="shared" si="415"/>
        <v>4015.6800000000003</v>
      </c>
    </row>
    <row r="3411" spans="1:22" hidden="1" x14ac:dyDescent="0.35">
      <c r="A3411" s="6" t="s">
        <v>3736</v>
      </c>
      <c r="B3411" s="6" t="s">
        <v>3726</v>
      </c>
      <c r="C3411" s="6" t="s">
        <v>3727</v>
      </c>
      <c r="D3411" s="6">
        <f t="shared" si="419"/>
        <v>0.5</v>
      </c>
      <c r="E3411" s="6" t="s">
        <v>23</v>
      </c>
      <c r="F3411" s="6" t="str">
        <f>MID(A3411,19,1)</f>
        <v>C</v>
      </c>
      <c r="G3411" s="6">
        <v>-22.523971518824581</v>
      </c>
      <c r="H3411" s="6">
        <v>-47.390824840277517</v>
      </c>
      <c r="I3411" s="9">
        <v>5293.73</v>
      </c>
      <c r="J3411" s="9">
        <f t="shared" si="421"/>
        <v>10.587459999999998</v>
      </c>
      <c r="K3411" s="6">
        <v>2.08</v>
      </c>
      <c r="L3411" s="6">
        <v>50</v>
      </c>
      <c r="N3411" s="1">
        <f t="shared" si="416"/>
        <v>0</v>
      </c>
      <c r="O3411" s="6" t="s">
        <v>20</v>
      </c>
      <c r="Q3411" s="6" t="s">
        <v>21</v>
      </c>
      <c r="R3411" s="6" t="s">
        <v>21</v>
      </c>
      <c r="S3411" s="6" t="s">
        <v>21</v>
      </c>
      <c r="T3411" s="6" t="s">
        <v>21</v>
      </c>
      <c r="U3411" s="6">
        <f t="shared" si="417"/>
        <v>2646.8649999999998</v>
      </c>
      <c r="V3411" s="6">
        <f t="shared" si="415"/>
        <v>2646.8649999999998</v>
      </c>
    </row>
    <row r="3412" spans="1:22" hidden="1" x14ac:dyDescent="0.35">
      <c r="A3412" s="6" t="s">
        <v>3737</v>
      </c>
      <c r="B3412" s="6" t="s">
        <v>3726</v>
      </c>
      <c r="C3412" s="6" t="s">
        <v>3727</v>
      </c>
      <c r="D3412" s="6">
        <f t="shared" si="419"/>
        <v>0.5</v>
      </c>
      <c r="E3412" s="6" t="s">
        <v>19</v>
      </c>
      <c r="F3412" s="6" t="str">
        <f>MID(A3412,19,1)</f>
        <v>S</v>
      </c>
      <c r="G3412" s="6">
        <v>-22.520229209990539</v>
      </c>
      <c r="H3412" s="6">
        <v>-47.392762449949657</v>
      </c>
      <c r="I3412" s="9">
        <v>1902.13</v>
      </c>
      <c r="K3412" s="6">
        <v>2.94</v>
      </c>
      <c r="L3412" s="6">
        <v>50</v>
      </c>
      <c r="N3412" s="1">
        <f t="shared" si="416"/>
        <v>0</v>
      </c>
      <c r="O3412" s="6" t="s">
        <v>20</v>
      </c>
      <c r="Q3412" s="6" t="s">
        <v>21</v>
      </c>
      <c r="R3412" s="6" t="s">
        <v>21</v>
      </c>
      <c r="S3412" s="6" t="s">
        <v>21</v>
      </c>
      <c r="T3412" s="6" t="s">
        <v>21</v>
      </c>
      <c r="U3412" s="6">
        <f t="shared" si="417"/>
        <v>951.06500000000005</v>
      </c>
      <c r="V3412" s="6">
        <f t="shared" si="415"/>
        <v>951.06500000000005</v>
      </c>
    </row>
    <row r="3413" spans="1:22" hidden="1" x14ac:dyDescent="0.35">
      <c r="A3413" s="6" t="s">
        <v>3738</v>
      </c>
      <c r="B3413" s="6" t="s">
        <v>3726</v>
      </c>
      <c r="C3413" s="6" t="s">
        <v>3727</v>
      </c>
      <c r="D3413" s="6">
        <f t="shared" si="419"/>
        <v>0.5</v>
      </c>
      <c r="E3413" s="6" t="s">
        <v>19</v>
      </c>
      <c r="F3413" s="6" t="str">
        <f>MID(A3413,19,1)</f>
        <v>S</v>
      </c>
      <c r="G3413" s="6">
        <v>-22.52593468177642</v>
      </c>
      <c r="H3413" s="6">
        <v>-47.389478961443501</v>
      </c>
      <c r="I3413" s="9">
        <v>440.48</v>
      </c>
      <c r="K3413" s="6">
        <v>1.78</v>
      </c>
      <c r="L3413" s="6">
        <v>50</v>
      </c>
      <c r="N3413" s="1">
        <f t="shared" si="416"/>
        <v>0</v>
      </c>
      <c r="O3413" s="6" t="s">
        <v>20</v>
      </c>
      <c r="Q3413" s="6" t="s">
        <v>21</v>
      </c>
      <c r="R3413" s="6" t="s">
        <v>21</v>
      </c>
      <c r="S3413" s="6" t="s">
        <v>21</v>
      </c>
      <c r="T3413" s="6" t="s">
        <v>21</v>
      </c>
      <c r="U3413" s="6">
        <f t="shared" si="417"/>
        <v>220.24</v>
      </c>
      <c r="V3413" s="6">
        <f t="shared" si="415"/>
        <v>220.24</v>
      </c>
    </row>
    <row r="3414" spans="1:22" hidden="1" x14ac:dyDescent="0.35">
      <c r="A3414" s="6" t="s">
        <v>3739</v>
      </c>
      <c r="B3414" s="6" t="s">
        <v>3726</v>
      </c>
      <c r="C3414" s="6" t="s">
        <v>3727</v>
      </c>
      <c r="D3414" s="6">
        <f t="shared" si="419"/>
        <v>0.5</v>
      </c>
      <c r="E3414" s="6" t="s">
        <v>19</v>
      </c>
      <c r="F3414" s="6" t="str">
        <f>MID(A3414,19,1)</f>
        <v>S</v>
      </c>
      <c r="G3414" s="6">
        <v>-22.524138756968309</v>
      </c>
      <c r="H3414" s="6">
        <v>-47.390280613196687</v>
      </c>
      <c r="I3414" s="9">
        <v>2236.46</v>
      </c>
      <c r="K3414" s="6">
        <v>2.4700000000000002</v>
      </c>
      <c r="L3414" s="6">
        <v>50</v>
      </c>
      <c r="N3414" s="1">
        <f t="shared" si="416"/>
        <v>0</v>
      </c>
      <c r="O3414" s="6" t="s">
        <v>20</v>
      </c>
      <c r="Q3414" s="6" t="s">
        <v>21</v>
      </c>
      <c r="R3414" s="6" t="s">
        <v>21</v>
      </c>
      <c r="S3414" s="6" t="s">
        <v>21</v>
      </c>
      <c r="T3414" s="6" t="s">
        <v>21</v>
      </c>
      <c r="U3414" s="6">
        <f t="shared" si="417"/>
        <v>1118.23</v>
      </c>
      <c r="V3414" s="6">
        <f t="shared" si="415"/>
        <v>1118.23</v>
      </c>
    </row>
    <row r="3415" spans="1:22" x14ac:dyDescent="0.35">
      <c r="A3415" s="6" t="s">
        <v>3740</v>
      </c>
      <c r="B3415" s="6" t="s">
        <v>3726</v>
      </c>
      <c r="C3415" s="6" t="s">
        <v>3727</v>
      </c>
      <c r="D3415" s="6">
        <f t="shared" si="419"/>
        <v>0.5</v>
      </c>
      <c r="E3415" s="6" t="s">
        <v>19</v>
      </c>
      <c r="F3415" s="6" t="str">
        <f>MID(A3415,19,1)</f>
        <v>N</v>
      </c>
      <c r="G3415" s="6">
        <v>-22.6313831429392</v>
      </c>
      <c r="H3415" s="6">
        <v>-47.455773917375502</v>
      </c>
      <c r="I3415" s="9">
        <v>1543.11</v>
      </c>
      <c r="K3415" s="6">
        <v>5.16</v>
      </c>
      <c r="L3415" s="6">
        <v>70</v>
      </c>
      <c r="N3415" s="1">
        <f t="shared" si="416"/>
        <v>0</v>
      </c>
      <c r="O3415" s="6" t="s">
        <v>20</v>
      </c>
      <c r="Q3415" s="6" t="s">
        <v>21</v>
      </c>
      <c r="R3415" s="6" t="s">
        <v>21</v>
      </c>
      <c r="S3415" s="6" t="s">
        <v>21</v>
      </c>
      <c r="T3415" s="6" t="s">
        <v>21</v>
      </c>
      <c r="U3415" s="6">
        <f t="shared" si="417"/>
        <v>1080.1769999999999</v>
      </c>
      <c r="V3415" s="6">
        <f t="shared" si="415"/>
        <v>1080.1769999999999</v>
      </c>
    </row>
    <row r="3416" spans="1:22" hidden="1" x14ac:dyDescent="0.35">
      <c r="A3416" s="6" t="s">
        <v>3741</v>
      </c>
      <c r="B3416" s="6" t="s">
        <v>3726</v>
      </c>
      <c r="C3416" s="6" t="s">
        <v>3727</v>
      </c>
      <c r="D3416" s="6">
        <f t="shared" si="419"/>
        <v>0.5</v>
      </c>
      <c r="E3416" s="6" t="s">
        <v>19</v>
      </c>
      <c r="F3416" s="6" t="str">
        <f>MID(A3416,19,1)</f>
        <v>S</v>
      </c>
      <c r="G3416" s="6">
        <v>-22.525936248657452</v>
      </c>
      <c r="H3416" s="6">
        <v>-47.389227463653221</v>
      </c>
      <c r="I3416" s="9">
        <v>111.32</v>
      </c>
      <c r="K3416" s="6">
        <v>2.54</v>
      </c>
      <c r="L3416" s="6">
        <v>50</v>
      </c>
      <c r="N3416" s="1">
        <f t="shared" si="416"/>
        <v>0</v>
      </c>
      <c r="O3416" s="6" t="s">
        <v>20</v>
      </c>
      <c r="Q3416" s="6" t="s">
        <v>21</v>
      </c>
      <c r="R3416" s="6" t="s">
        <v>21</v>
      </c>
      <c r="S3416" s="6" t="s">
        <v>21</v>
      </c>
      <c r="T3416" s="6" t="s">
        <v>21</v>
      </c>
      <c r="U3416" s="6">
        <f t="shared" si="417"/>
        <v>55.66</v>
      </c>
      <c r="V3416" s="6">
        <f t="shared" si="415"/>
        <v>55.66</v>
      </c>
    </row>
    <row r="3417" spans="1:22" hidden="1" x14ac:dyDescent="0.35">
      <c r="A3417" s="6" t="s">
        <v>3742</v>
      </c>
      <c r="B3417" s="6" t="s">
        <v>3726</v>
      </c>
      <c r="C3417" s="6" t="s">
        <v>3727</v>
      </c>
      <c r="D3417" s="6">
        <f t="shared" si="419"/>
        <v>0.5</v>
      </c>
      <c r="E3417" s="6" t="s">
        <v>19</v>
      </c>
      <c r="F3417" s="6" t="str">
        <f>MID(A3417,19,1)</f>
        <v>S</v>
      </c>
      <c r="G3417" s="6">
        <v>-22.525204209976732</v>
      </c>
      <c r="H3417" s="6">
        <v>-47.389493034056301</v>
      </c>
      <c r="I3417" s="9">
        <v>3588.27</v>
      </c>
      <c r="K3417" s="6">
        <v>2.3199999999999998</v>
      </c>
      <c r="L3417" s="6">
        <v>50</v>
      </c>
      <c r="N3417" s="1">
        <f t="shared" si="416"/>
        <v>0</v>
      </c>
      <c r="O3417" s="6" t="s">
        <v>20</v>
      </c>
      <c r="Q3417" s="6" t="s">
        <v>21</v>
      </c>
      <c r="R3417" s="6" t="s">
        <v>21</v>
      </c>
      <c r="S3417" s="6" t="s">
        <v>21</v>
      </c>
      <c r="T3417" s="6" t="s">
        <v>21</v>
      </c>
      <c r="U3417" s="6">
        <f t="shared" si="417"/>
        <v>1794.135</v>
      </c>
      <c r="V3417" s="6">
        <f t="shared" si="415"/>
        <v>1794.135</v>
      </c>
    </row>
    <row r="3418" spans="1:22" hidden="1" x14ac:dyDescent="0.35">
      <c r="A3418" s="6" t="s">
        <v>3743</v>
      </c>
      <c r="B3418" s="6" t="s">
        <v>3726</v>
      </c>
      <c r="C3418" s="6" t="s">
        <v>3727</v>
      </c>
      <c r="D3418" s="6">
        <f t="shared" si="419"/>
        <v>0.5</v>
      </c>
      <c r="E3418" s="6" t="s">
        <v>19</v>
      </c>
      <c r="F3418" s="6" t="str">
        <f>MID(A3418,19,1)</f>
        <v>S</v>
      </c>
      <c r="G3418" s="6">
        <v>-22.52481151408287</v>
      </c>
      <c r="H3418" s="6">
        <v>-47.38992748798087</v>
      </c>
      <c r="I3418" s="9">
        <v>821.16</v>
      </c>
      <c r="K3418" s="6">
        <v>1.98</v>
      </c>
      <c r="L3418" s="6">
        <v>50</v>
      </c>
      <c r="N3418" s="1">
        <f t="shared" si="416"/>
        <v>0</v>
      </c>
      <c r="O3418" s="6" t="s">
        <v>20</v>
      </c>
      <c r="Q3418" s="6" t="s">
        <v>21</v>
      </c>
      <c r="R3418" s="6" t="s">
        <v>21</v>
      </c>
      <c r="S3418" s="6" t="s">
        <v>21</v>
      </c>
      <c r="T3418" s="6" t="s">
        <v>21</v>
      </c>
      <c r="U3418" s="6">
        <f t="shared" si="417"/>
        <v>410.58</v>
      </c>
      <c r="V3418" s="6">
        <f t="shared" si="415"/>
        <v>410.58</v>
      </c>
    </row>
    <row r="3419" spans="1:22" x14ac:dyDescent="0.35">
      <c r="A3419" s="6" t="s">
        <v>3744</v>
      </c>
      <c r="B3419" s="6" t="s">
        <v>3726</v>
      </c>
      <c r="C3419" s="6" t="s">
        <v>3727</v>
      </c>
      <c r="D3419" s="6">
        <f t="shared" si="419"/>
        <v>0.5</v>
      </c>
      <c r="E3419" s="6" t="s">
        <v>19</v>
      </c>
      <c r="F3419" s="6" t="str">
        <f>MID(A3419,19,1)</f>
        <v>N</v>
      </c>
      <c r="G3419" s="6">
        <v>-22.518334314980169</v>
      </c>
      <c r="H3419" s="6">
        <v>-47.39396775798609</v>
      </c>
      <c r="I3419" s="9">
        <v>17.54</v>
      </c>
      <c r="K3419" s="6">
        <v>2.5</v>
      </c>
      <c r="L3419" s="6">
        <v>0</v>
      </c>
      <c r="N3419" s="1">
        <f t="shared" si="416"/>
        <v>0</v>
      </c>
      <c r="Q3419" s="6" t="s">
        <v>21</v>
      </c>
      <c r="R3419" s="6" t="s">
        <v>21</v>
      </c>
      <c r="S3419" s="6" t="s">
        <v>21</v>
      </c>
      <c r="T3419" s="6" t="s">
        <v>21</v>
      </c>
      <c r="U3419" s="6">
        <f t="shared" si="417"/>
        <v>0</v>
      </c>
      <c r="V3419" s="6">
        <f t="shared" si="415"/>
        <v>0</v>
      </c>
    </row>
    <row r="3420" spans="1:22" hidden="1" x14ac:dyDescent="0.35">
      <c r="A3420" s="6" t="s">
        <v>3745</v>
      </c>
      <c r="B3420" s="6" t="s">
        <v>3726</v>
      </c>
      <c r="C3420" s="6" t="s">
        <v>3727</v>
      </c>
      <c r="D3420" s="6">
        <f t="shared" si="419"/>
        <v>0.5</v>
      </c>
      <c r="E3420" s="6" t="s">
        <v>19</v>
      </c>
      <c r="F3420" s="6" t="str">
        <f>MID(A3420,19,1)</f>
        <v>S</v>
      </c>
      <c r="G3420" s="6">
        <v>-22.63149567547589</v>
      </c>
      <c r="H3420" s="6">
        <v>-47.456108728053181</v>
      </c>
      <c r="I3420" s="9">
        <v>1508.32</v>
      </c>
      <c r="K3420" s="6">
        <v>4.76</v>
      </c>
      <c r="L3420" s="6">
        <v>70</v>
      </c>
      <c r="N3420" s="1">
        <f t="shared" si="416"/>
        <v>0</v>
      </c>
      <c r="O3420" s="6" t="s">
        <v>20</v>
      </c>
      <c r="Q3420" s="6" t="s">
        <v>21</v>
      </c>
      <c r="R3420" s="6" t="s">
        <v>21</v>
      </c>
      <c r="S3420" s="6" t="s">
        <v>21</v>
      </c>
      <c r="T3420" s="6" t="s">
        <v>21</v>
      </c>
      <c r="U3420" s="6">
        <f t="shared" si="417"/>
        <v>1055.8239999999998</v>
      </c>
      <c r="V3420" s="6">
        <f t="shared" si="415"/>
        <v>1055.8239999999998</v>
      </c>
    </row>
    <row r="3421" spans="1:22" hidden="1" x14ac:dyDescent="0.35">
      <c r="A3421" s="6" t="s">
        <v>3746</v>
      </c>
      <c r="B3421" s="6" t="s">
        <v>3726</v>
      </c>
      <c r="C3421" s="6" t="s">
        <v>3727</v>
      </c>
      <c r="D3421" s="6">
        <f t="shared" si="419"/>
        <v>0.5</v>
      </c>
      <c r="E3421" s="6" t="s">
        <v>19</v>
      </c>
      <c r="F3421" s="6" t="str">
        <f>MID(A3421,19,1)</f>
        <v>S</v>
      </c>
      <c r="G3421" s="6">
        <v>-22.627707024805272</v>
      </c>
      <c r="H3421" s="6">
        <v>-47.457700988833253</v>
      </c>
      <c r="I3421" s="9">
        <v>1818.89</v>
      </c>
      <c r="K3421" s="6">
        <v>4.83</v>
      </c>
      <c r="L3421" s="6">
        <v>70</v>
      </c>
      <c r="N3421" s="1">
        <f t="shared" si="416"/>
        <v>0</v>
      </c>
      <c r="O3421" s="6" t="s">
        <v>20</v>
      </c>
      <c r="Q3421" s="6" t="s">
        <v>21</v>
      </c>
      <c r="R3421" s="6" t="s">
        <v>21</v>
      </c>
      <c r="S3421" s="6" t="s">
        <v>21</v>
      </c>
      <c r="T3421" s="6" t="s">
        <v>21</v>
      </c>
      <c r="U3421" s="6">
        <f t="shared" si="417"/>
        <v>1273.223</v>
      </c>
      <c r="V3421" s="6">
        <f t="shared" si="415"/>
        <v>1273.223</v>
      </c>
    </row>
    <row r="3422" spans="1:22" x14ac:dyDescent="0.35">
      <c r="A3422" s="6" t="s">
        <v>3747</v>
      </c>
      <c r="B3422" s="6" t="s">
        <v>3726</v>
      </c>
      <c r="C3422" s="6" t="s">
        <v>3727</v>
      </c>
      <c r="D3422" s="6">
        <f t="shared" si="419"/>
        <v>0.5</v>
      </c>
      <c r="E3422" s="6" t="s">
        <v>19</v>
      </c>
      <c r="F3422" s="6" t="str">
        <f>MID(A3422,19,1)</f>
        <v>N</v>
      </c>
      <c r="G3422" s="6">
        <v>-22.525075273404759</v>
      </c>
      <c r="H3422" s="6">
        <v>-47.39038154729576</v>
      </c>
      <c r="I3422" s="9">
        <v>885.58</v>
      </c>
      <c r="K3422" s="6">
        <v>1.1599999999999999</v>
      </c>
      <c r="L3422" s="6">
        <v>50</v>
      </c>
      <c r="N3422" s="1">
        <f t="shared" si="416"/>
        <v>0</v>
      </c>
      <c r="O3422" s="6" t="s">
        <v>20</v>
      </c>
      <c r="Q3422" s="6" t="s">
        <v>21</v>
      </c>
      <c r="R3422" s="6" t="s">
        <v>21</v>
      </c>
      <c r="S3422" s="6" t="s">
        <v>21</v>
      </c>
      <c r="T3422" s="6" t="s">
        <v>21</v>
      </c>
      <c r="U3422" s="6">
        <f t="shared" si="417"/>
        <v>442.79</v>
      </c>
      <c r="V3422" s="6">
        <f t="shared" si="415"/>
        <v>442.79</v>
      </c>
    </row>
    <row r="3423" spans="1:22" x14ac:dyDescent="0.35">
      <c r="A3423" s="6" t="s">
        <v>3748</v>
      </c>
      <c r="B3423" s="6" t="s">
        <v>3749</v>
      </c>
      <c r="C3423" s="6" t="s">
        <v>3750</v>
      </c>
      <c r="D3423" s="6">
        <f t="shared" si="419"/>
        <v>0.5</v>
      </c>
      <c r="E3423" s="6" t="s">
        <v>19</v>
      </c>
      <c r="F3423" s="6" t="str">
        <f>MID(A3423,19,1)</f>
        <v>N</v>
      </c>
      <c r="G3423" s="6">
        <v>-22.515323888793031</v>
      </c>
      <c r="H3423" s="6">
        <v>-47.395067598359709</v>
      </c>
      <c r="I3423" s="9">
        <v>1478.85</v>
      </c>
      <c r="K3423" s="6">
        <v>1.85</v>
      </c>
      <c r="L3423" s="6">
        <v>50</v>
      </c>
      <c r="N3423" s="1">
        <f t="shared" si="416"/>
        <v>0</v>
      </c>
      <c r="O3423" s="6" t="s">
        <v>20</v>
      </c>
      <c r="Q3423" s="6" t="s">
        <v>21</v>
      </c>
      <c r="R3423" s="6" t="s">
        <v>21</v>
      </c>
      <c r="S3423" s="6" t="s">
        <v>21</v>
      </c>
      <c r="T3423" s="6" t="s">
        <v>21</v>
      </c>
      <c r="U3423" s="6">
        <f t="shared" si="417"/>
        <v>739.42499999999995</v>
      </c>
      <c r="V3423" s="6">
        <f t="shared" si="415"/>
        <v>739.42499999999995</v>
      </c>
    </row>
    <row r="3424" spans="1:22" hidden="1" x14ac:dyDescent="0.35">
      <c r="A3424" s="6" t="s">
        <v>3751</v>
      </c>
      <c r="B3424" s="6" t="s">
        <v>3749</v>
      </c>
      <c r="C3424" s="6" t="s">
        <v>3750</v>
      </c>
      <c r="D3424" s="6">
        <f t="shared" si="419"/>
        <v>0.5</v>
      </c>
      <c r="E3424" s="6" t="s">
        <v>23</v>
      </c>
      <c r="F3424" s="6" t="str">
        <f>MID(A3424,19,1)</f>
        <v>C</v>
      </c>
      <c r="G3424" s="6">
        <v>-22.515964462692502</v>
      </c>
      <c r="H3424" s="6">
        <v>-47.394611397895197</v>
      </c>
      <c r="I3424" s="9">
        <v>6277.67</v>
      </c>
      <c r="J3424" s="9">
        <f t="shared" ref="J3424:J3426" si="422">I3424/500</f>
        <v>12.555339999999999</v>
      </c>
      <c r="K3424" s="6">
        <v>1.76</v>
      </c>
      <c r="L3424" s="6">
        <v>50</v>
      </c>
      <c r="N3424" s="1">
        <f t="shared" si="416"/>
        <v>0</v>
      </c>
      <c r="O3424" s="6" t="s">
        <v>20</v>
      </c>
      <c r="Q3424" s="6" t="s">
        <v>21</v>
      </c>
      <c r="R3424" s="6" t="s">
        <v>21</v>
      </c>
      <c r="S3424" s="6" t="s">
        <v>21</v>
      </c>
      <c r="T3424" s="6" t="s">
        <v>21</v>
      </c>
      <c r="U3424" s="6">
        <f t="shared" si="417"/>
        <v>3138.835</v>
      </c>
      <c r="V3424" s="6">
        <f t="shared" si="415"/>
        <v>3138.835</v>
      </c>
    </row>
    <row r="3425" spans="1:22" hidden="1" x14ac:dyDescent="0.35">
      <c r="A3425" s="6" t="s">
        <v>3752</v>
      </c>
      <c r="B3425" s="6" t="s">
        <v>3749</v>
      </c>
      <c r="C3425" s="6" t="s">
        <v>3750</v>
      </c>
      <c r="D3425" s="6">
        <f t="shared" si="419"/>
        <v>0.5</v>
      </c>
      <c r="E3425" s="6" t="s">
        <v>23</v>
      </c>
      <c r="F3425" s="6" t="str">
        <f>MID(A3425,19,1)</f>
        <v>C</v>
      </c>
      <c r="G3425" s="6">
        <v>-22.513061054427862</v>
      </c>
      <c r="H3425" s="6">
        <v>-47.39580504104255</v>
      </c>
      <c r="I3425" s="9">
        <v>1855.54</v>
      </c>
      <c r="J3425" s="9">
        <f t="shared" si="422"/>
        <v>3.7110799999999999</v>
      </c>
      <c r="K3425" s="6">
        <v>2.58</v>
      </c>
      <c r="L3425" s="6">
        <v>50</v>
      </c>
      <c r="N3425" s="1">
        <f t="shared" si="416"/>
        <v>0</v>
      </c>
      <c r="O3425" s="6" t="s">
        <v>20</v>
      </c>
      <c r="Q3425" s="6" t="s">
        <v>21</v>
      </c>
      <c r="R3425" s="6" t="s">
        <v>21</v>
      </c>
      <c r="S3425" s="6" t="s">
        <v>21</v>
      </c>
      <c r="T3425" s="6" t="s">
        <v>21</v>
      </c>
      <c r="U3425" s="6">
        <f t="shared" si="417"/>
        <v>927.77</v>
      </c>
      <c r="V3425" s="6">
        <f t="shared" si="415"/>
        <v>927.77</v>
      </c>
    </row>
    <row r="3426" spans="1:22" hidden="1" x14ac:dyDescent="0.35">
      <c r="A3426" s="6" t="s">
        <v>3753</v>
      </c>
      <c r="B3426" s="6" t="s">
        <v>3749</v>
      </c>
      <c r="C3426" s="6" t="s">
        <v>3750</v>
      </c>
      <c r="D3426" s="6">
        <f t="shared" si="419"/>
        <v>0.5</v>
      </c>
      <c r="E3426" s="6" t="s">
        <v>23</v>
      </c>
      <c r="F3426" s="6" t="str">
        <f>MID(A3426,19,1)</f>
        <v>C</v>
      </c>
      <c r="G3426" s="6">
        <v>-22.62355936669136</v>
      </c>
      <c r="H3426" s="6">
        <v>-47.459234925544109</v>
      </c>
      <c r="I3426" s="9">
        <v>5819.84</v>
      </c>
      <c r="J3426" s="9">
        <f t="shared" si="422"/>
        <v>11.63968</v>
      </c>
      <c r="K3426" s="6">
        <v>4.6399999999999997</v>
      </c>
      <c r="L3426" s="6">
        <v>80</v>
      </c>
      <c r="N3426" s="1">
        <f t="shared" si="416"/>
        <v>0</v>
      </c>
      <c r="O3426" s="6" t="s">
        <v>20</v>
      </c>
      <c r="Q3426" s="6" t="s">
        <v>21</v>
      </c>
      <c r="R3426" s="6" t="s">
        <v>21</v>
      </c>
      <c r="S3426" s="6" t="s">
        <v>21</v>
      </c>
      <c r="T3426" s="6" t="s">
        <v>21</v>
      </c>
      <c r="U3426" s="6">
        <f t="shared" si="417"/>
        <v>4655.8720000000003</v>
      </c>
      <c r="V3426" s="6">
        <f t="shared" si="415"/>
        <v>4655.8720000000003</v>
      </c>
    </row>
    <row r="3427" spans="1:22" x14ac:dyDescent="0.35">
      <c r="A3427" s="6" t="s">
        <v>3754</v>
      </c>
      <c r="B3427" s="6" t="s">
        <v>3749</v>
      </c>
      <c r="C3427" s="6" t="s">
        <v>3750</v>
      </c>
      <c r="D3427" s="6">
        <f t="shared" si="419"/>
        <v>0.5</v>
      </c>
      <c r="E3427" s="6" t="s">
        <v>19</v>
      </c>
      <c r="F3427" s="6" t="str">
        <f>MID(A3427,19,1)</f>
        <v>N</v>
      </c>
      <c r="G3427" s="6">
        <v>-22.51201301686044</v>
      </c>
      <c r="H3427" s="6">
        <v>-47.396857307071507</v>
      </c>
      <c r="I3427" s="9">
        <v>1817.09</v>
      </c>
      <c r="K3427" s="6">
        <v>2.1</v>
      </c>
      <c r="L3427" s="6">
        <v>50</v>
      </c>
      <c r="N3427" s="1">
        <f t="shared" si="416"/>
        <v>0</v>
      </c>
      <c r="O3427" s="6" t="s">
        <v>20</v>
      </c>
      <c r="Q3427" s="6" t="s">
        <v>21</v>
      </c>
      <c r="R3427" s="6" t="s">
        <v>21</v>
      </c>
      <c r="S3427" s="6" t="s">
        <v>21</v>
      </c>
      <c r="T3427" s="6" t="s">
        <v>21</v>
      </c>
      <c r="U3427" s="6">
        <f t="shared" si="417"/>
        <v>908.54499999999996</v>
      </c>
      <c r="V3427" s="6">
        <f t="shared" si="415"/>
        <v>908.54499999999996</v>
      </c>
    </row>
    <row r="3428" spans="1:22" x14ac:dyDescent="0.35">
      <c r="A3428" s="6" t="s">
        <v>3755</v>
      </c>
      <c r="B3428" s="6" t="s">
        <v>3749</v>
      </c>
      <c r="C3428" s="6" t="s">
        <v>3750</v>
      </c>
      <c r="D3428" s="6">
        <f t="shared" si="419"/>
        <v>0.5</v>
      </c>
      <c r="E3428" s="6" t="s">
        <v>19</v>
      </c>
      <c r="F3428" s="6" t="str">
        <f>MID(A3428,19,1)</f>
        <v>N</v>
      </c>
      <c r="G3428" s="6">
        <v>-22.619185737303891</v>
      </c>
      <c r="H3428" s="6">
        <v>-47.460454374366257</v>
      </c>
      <c r="I3428" s="9">
        <v>1974.01</v>
      </c>
      <c r="K3428" s="6">
        <v>3.9</v>
      </c>
      <c r="L3428" s="6">
        <v>70</v>
      </c>
      <c r="N3428" s="1">
        <f t="shared" si="416"/>
        <v>0</v>
      </c>
      <c r="O3428" s="6" t="s">
        <v>20</v>
      </c>
      <c r="Q3428" s="6" t="s">
        <v>21</v>
      </c>
      <c r="R3428" s="6" t="s">
        <v>21</v>
      </c>
      <c r="S3428" s="6" t="s">
        <v>21</v>
      </c>
      <c r="T3428" s="6" t="s">
        <v>21</v>
      </c>
      <c r="U3428" s="6">
        <f t="shared" si="417"/>
        <v>1381.807</v>
      </c>
      <c r="V3428" s="6">
        <f t="shared" si="415"/>
        <v>1381.807</v>
      </c>
    </row>
    <row r="3429" spans="1:22" x14ac:dyDescent="0.35">
      <c r="A3429" s="6" t="s">
        <v>3756</v>
      </c>
      <c r="B3429" s="6" t="s">
        <v>3749</v>
      </c>
      <c r="C3429" s="6" t="s">
        <v>3750</v>
      </c>
      <c r="D3429" s="6">
        <f t="shared" si="419"/>
        <v>0.5</v>
      </c>
      <c r="E3429" s="6" t="s">
        <v>19</v>
      </c>
      <c r="F3429" s="6" t="str">
        <f>MID(A3429,19,1)</f>
        <v>N</v>
      </c>
      <c r="G3429" s="6">
        <v>-22.510102316144369</v>
      </c>
      <c r="H3429" s="6">
        <v>-47.398069021282389</v>
      </c>
      <c r="I3429" s="9">
        <v>67.16</v>
      </c>
      <c r="K3429" s="6">
        <v>2.2400000000000002</v>
      </c>
      <c r="L3429" s="6">
        <v>0</v>
      </c>
      <c r="N3429" s="1">
        <f t="shared" si="416"/>
        <v>0</v>
      </c>
      <c r="Q3429" s="6" t="s">
        <v>21</v>
      </c>
      <c r="R3429" s="6" t="s">
        <v>21</v>
      </c>
      <c r="S3429" s="6" t="s">
        <v>21</v>
      </c>
      <c r="T3429" s="6" t="s">
        <v>21</v>
      </c>
      <c r="U3429" s="6">
        <f t="shared" si="417"/>
        <v>0</v>
      </c>
      <c r="V3429" s="6">
        <f t="shared" si="415"/>
        <v>0</v>
      </c>
    </row>
    <row r="3430" spans="1:22" hidden="1" x14ac:dyDescent="0.35">
      <c r="A3430" s="6" t="s">
        <v>3757</v>
      </c>
      <c r="B3430" s="6" t="s">
        <v>3749</v>
      </c>
      <c r="C3430" s="6" t="s">
        <v>3750</v>
      </c>
      <c r="D3430" s="6">
        <f t="shared" si="419"/>
        <v>0.5</v>
      </c>
      <c r="E3430" s="6" t="s">
        <v>19</v>
      </c>
      <c r="F3430" s="6" t="str">
        <f>MID(A3430,19,1)</f>
        <v>S</v>
      </c>
      <c r="G3430" s="6">
        <v>-22.619224647131571</v>
      </c>
      <c r="H3430" s="6">
        <v>-47.460816777070939</v>
      </c>
      <c r="I3430" s="9">
        <v>1974.42</v>
      </c>
      <c r="K3430" s="6">
        <v>3.82</v>
      </c>
      <c r="L3430" s="6">
        <v>70</v>
      </c>
      <c r="N3430" s="1">
        <f t="shared" si="416"/>
        <v>0</v>
      </c>
      <c r="O3430" s="6" t="s">
        <v>20</v>
      </c>
      <c r="Q3430" s="6" t="s">
        <v>21</v>
      </c>
      <c r="R3430" s="6" t="s">
        <v>21</v>
      </c>
      <c r="S3430" s="6" t="s">
        <v>21</v>
      </c>
      <c r="T3430" s="6" t="s">
        <v>21</v>
      </c>
      <c r="U3430" s="6">
        <f t="shared" si="417"/>
        <v>1382.0940000000001</v>
      </c>
      <c r="V3430" s="6">
        <f t="shared" si="415"/>
        <v>1382.0940000000001</v>
      </c>
    </row>
    <row r="3431" spans="1:22" hidden="1" x14ac:dyDescent="0.35">
      <c r="A3431" s="6" t="s">
        <v>3758</v>
      </c>
      <c r="B3431" s="6" t="s">
        <v>3749</v>
      </c>
      <c r="C3431" s="6" t="s">
        <v>3750</v>
      </c>
      <c r="D3431" s="6">
        <f t="shared" si="419"/>
        <v>0.5</v>
      </c>
      <c r="E3431" s="6" t="s">
        <v>19</v>
      </c>
      <c r="F3431" s="6" t="str">
        <f>MID(A3431,19,1)</f>
        <v>S</v>
      </c>
      <c r="G3431" s="6">
        <v>-22.623609170011779</v>
      </c>
      <c r="H3431" s="6">
        <v>-47.459416995131043</v>
      </c>
      <c r="I3431" s="9">
        <v>1778.39</v>
      </c>
      <c r="K3431" s="6">
        <v>4.74</v>
      </c>
      <c r="L3431" s="6">
        <v>70</v>
      </c>
      <c r="N3431" s="1">
        <f t="shared" si="416"/>
        <v>0</v>
      </c>
      <c r="O3431" s="6" t="s">
        <v>20</v>
      </c>
      <c r="Q3431" s="6" t="s">
        <v>21</v>
      </c>
      <c r="R3431" s="6" t="s">
        <v>21</v>
      </c>
      <c r="S3431" s="6" t="s">
        <v>21</v>
      </c>
      <c r="T3431" s="6" t="s">
        <v>21</v>
      </c>
      <c r="U3431" s="6">
        <f t="shared" si="417"/>
        <v>1244.873</v>
      </c>
      <c r="V3431" s="6">
        <f t="shared" si="415"/>
        <v>1244.873</v>
      </c>
    </row>
    <row r="3432" spans="1:22" x14ac:dyDescent="0.35">
      <c r="A3432" s="6" t="s">
        <v>3759</v>
      </c>
      <c r="B3432" s="6" t="s">
        <v>3749</v>
      </c>
      <c r="C3432" s="6" t="s">
        <v>3750</v>
      </c>
      <c r="D3432" s="6">
        <f t="shared" si="419"/>
        <v>0.5</v>
      </c>
      <c r="E3432" s="6" t="s">
        <v>19</v>
      </c>
      <c r="F3432" s="6" t="str">
        <f>MID(A3432,19,1)</f>
        <v>N</v>
      </c>
      <c r="G3432" s="6">
        <v>-22.623523413209639</v>
      </c>
      <c r="H3432" s="6">
        <v>-47.459048273867502</v>
      </c>
      <c r="I3432" s="9">
        <v>1744.25</v>
      </c>
      <c r="K3432" s="6">
        <v>4.29</v>
      </c>
      <c r="L3432" s="6">
        <v>70</v>
      </c>
      <c r="N3432" s="1">
        <f t="shared" si="416"/>
        <v>0</v>
      </c>
      <c r="O3432" s="6" t="s">
        <v>20</v>
      </c>
      <c r="Q3432" s="6" t="s">
        <v>21</v>
      </c>
      <c r="R3432" s="6" t="s">
        <v>21</v>
      </c>
      <c r="S3432" s="6" t="s">
        <v>21</v>
      </c>
      <c r="T3432" s="6" t="s">
        <v>21</v>
      </c>
      <c r="U3432" s="6">
        <f t="shared" si="417"/>
        <v>1220.9749999999999</v>
      </c>
      <c r="V3432" s="6">
        <f t="shared" si="415"/>
        <v>1220.9749999999999</v>
      </c>
    </row>
    <row r="3433" spans="1:22" hidden="1" x14ac:dyDescent="0.35">
      <c r="A3433" s="6" t="s">
        <v>3760</v>
      </c>
      <c r="B3433" s="6" t="s">
        <v>3749</v>
      </c>
      <c r="C3433" s="6" t="s">
        <v>3750</v>
      </c>
      <c r="D3433" s="6">
        <f t="shared" si="419"/>
        <v>0.5</v>
      </c>
      <c r="E3433" s="6" t="s">
        <v>23</v>
      </c>
      <c r="F3433" s="6" t="str">
        <f>MID(A3433,19,1)</f>
        <v>C</v>
      </c>
      <c r="G3433" s="6">
        <v>-22.619215982678611</v>
      </c>
      <c r="H3433" s="6">
        <v>-47.460632317061872</v>
      </c>
      <c r="I3433" s="9">
        <v>6410.53</v>
      </c>
      <c r="J3433" s="9">
        <f>I3433/500</f>
        <v>12.821059999999999</v>
      </c>
      <c r="K3433" s="6">
        <v>3.97</v>
      </c>
      <c r="L3433" s="6">
        <v>80</v>
      </c>
      <c r="N3433" s="1">
        <f t="shared" si="416"/>
        <v>0</v>
      </c>
      <c r="O3433" s="6" t="s">
        <v>20</v>
      </c>
      <c r="Q3433" s="6" t="s">
        <v>21</v>
      </c>
      <c r="R3433" s="6" t="s">
        <v>21</v>
      </c>
      <c r="S3433" s="6" t="s">
        <v>21</v>
      </c>
      <c r="T3433" s="6" t="s">
        <v>21</v>
      </c>
      <c r="U3433" s="6">
        <f t="shared" si="417"/>
        <v>5128.424</v>
      </c>
      <c r="V3433" s="6">
        <f t="shared" si="415"/>
        <v>5128.424</v>
      </c>
    </row>
    <row r="3434" spans="1:22" hidden="1" x14ac:dyDescent="0.35">
      <c r="A3434" s="6" t="s">
        <v>3761</v>
      </c>
      <c r="B3434" s="6" t="s">
        <v>3749</v>
      </c>
      <c r="C3434" s="6" t="s">
        <v>3750</v>
      </c>
      <c r="D3434" s="6">
        <f t="shared" si="419"/>
        <v>0.5</v>
      </c>
      <c r="E3434" s="6" t="s">
        <v>19</v>
      </c>
      <c r="F3434" s="6" t="str">
        <f>MID(A3434,19,1)</f>
        <v>S</v>
      </c>
      <c r="G3434" s="6">
        <v>-22.51591533781821</v>
      </c>
      <c r="H3434" s="6">
        <v>-47.394389675841779</v>
      </c>
      <c r="I3434" s="9">
        <v>2161.5500000000002</v>
      </c>
      <c r="K3434" s="6">
        <v>1.57</v>
      </c>
      <c r="L3434" s="6">
        <v>50</v>
      </c>
      <c r="N3434" s="1">
        <f t="shared" si="416"/>
        <v>0</v>
      </c>
      <c r="O3434" s="6" t="s">
        <v>20</v>
      </c>
      <c r="Q3434" s="6" t="s">
        <v>21</v>
      </c>
      <c r="R3434" s="6" t="s">
        <v>21</v>
      </c>
      <c r="S3434" s="6" t="s">
        <v>21</v>
      </c>
      <c r="T3434" s="6" t="s">
        <v>21</v>
      </c>
      <c r="U3434" s="6">
        <f t="shared" si="417"/>
        <v>1080.7750000000001</v>
      </c>
      <c r="V3434" s="6">
        <f t="shared" si="415"/>
        <v>1080.7750000000001</v>
      </c>
    </row>
    <row r="3435" spans="1:22" hidden="1" x14ac:dyDescent="0.35">
      <c r="A3435" s="6" t="s">
        <v>3762</v>
      </c>
      <c r="B3435" s="6" t="s">
        <v>3749</v>
      </c>
      <c r="C3435" s="6" t="s">
        <v>3750</v>
      </c>
      <c r="D3435" s="6">
        <f t="shared" si="419"/>
        <v>0.5</v>
      </c>
      <c r="E3435" s="6" t="s">
        <v>19</v>
      </c>
      <c r="F3435" s="6" t="str">
        <f>MID(A3435,19,1)</f>
        <v>S</v>
      </c>
      <c r="G3435" s="6">
        <v>-22.51209015592471</v>
      </c>
      <c r="H3435" s="6">
        <v>-47.39589565001917</v>
      </c>
      <c r="I3435" s="9">
        <v>1454.34</v>
      </c>
      <c r="K3435" s="6">
        <v>2.5</v>
      </c>
      <c r="L3435" s="6">
        <v>50</v>
      </c>
      <c r="N3435" s="1">
        <f t="shared" si="416"/>
        <v>0</v>
      </c>
      <c r="O3435" s="6" t="s">
        <v>20</v>
      </c>
      <c r="Q3435" s="6" t="s">
        <v>21</v>
      </c>
      <c r="R3435" s="6" t="s">
        <v>21</v>
      </c>
      <c r="S3435" s="6" t="s">
        <v>21</v>
      </c>
      <c r="T3435" s="6" t="s">
        <v>21</v>
      </c>
      <c r="U3435" s="6">
        <f t="shared" si="417"/>
        <v>727.17</v>
      </c>
      <c r="V3435" s="6">
        <f t="shared" si="415"/>
        <v>727.17</v>
      </c>
    </row>
    <row r="3436" spans="1:22" x14ac:dyDescent="0.35">
      <c r="A3436" s="6" t="s">
        <v>3763</v>
      </c>
      <c r="B3436" s="6" t="s">
        <v>3764</v>
      </c>
      <c r="C3436" s="6" t="s">
        <v>3765</v>
      </c>
      <c r="D3436" s="6">
        <f t="shared" si="419"/>
        <v>0.5</v>
      </c>
      <c r="E3436" s="6" t="s">
        <v>19</v>
      </c>
      <c r="F3436" s="6" t="str">
        <f>MID(A3436,19,1)</f>
        <v>N</v>
      </c>
      <c r="G3436" s="6">
        <v>-22.503021429395549</v>
      </c>
      <c r="H3436" s="6">
        <v>-47.400536698654442</v>
      </c>
      <c r="I3436" s="9">
        <v>7286.96</v>
      </c>
      <c r="K3436" s="6">
        <v>1.51</v>
      </c>
      <c r="L3436" s="6">
        <v>50</v>
      </c>
      <c r="N3436" s="1">
        <f t="shared" si="416"/>
        <v>0</v>
      </c>
      <c r="O3436" s="6" t="s">
        <v>20</v>
      </c>
      <c r="Q3436" s="6" t="s">
        <v>21</v>
      </c>
      <c r="R3436" s="6" t="s">
        <v>21</v>
      </c>
      <c r="S3436" s="6" t="s">
        <v>21</v>
      </c>
      <c r="T3436" s="6" t="s">
        <v>21</v>
      </c>
      <c r="U3436" s="6">
        <f t="shared" si="417"/>
        <v>3643.48</v>
      </c>
      <c r="V3436" s="6">
        <f t="shared" si="415"/>
        <v>3643.48</v>
      </c>
    </row>
    <row r="3437" spans="1:22" hidden="1" x14ac:dyDescent="0.35">
      <c r="A3437" s="6" t="s">
        <v>3766</v>
      </c>
      <c r="B3437" s="6" t="s">
        <v>3764</v>
      </c>
      <c r="C3437" s="6" t="s">
        <v>3765</v>
      </c>
      <c r="D3437" s="6">
        <f t="shared" si="419"/>
        <v>0.5</v>
      </c>
      <c r="E3437" s="6" t="s">
        <v>19</v>
      </c>
      <c r="F3437" s="6" t="str">
        <f>MID(A3437,19,1)</f>
        <v>S</v>
      </c>
      <c r="G3437" s="6">
        <v>-22.501554457799681</v>
      </c>
      <c r="H3437" s="6">
        <v>-47.398353237798197</v>
      </c>
      <c r="I3437" s="9">
        <v>36933.42</v>
      </c>
      <c r="K3437" s="6">
        <v>3.78</v>
      </c>
      <c r="L3437" s="6">
        <v>50</v>
      </c>
      <c r="N3437" s="1">
        <f t="shared" si="416"/>
        <v>0</v>
      </c>
      <c r="O3437" s="6" t="s">
        <v>20</v>
      </c>
      <c r="Q3437" s="6" t="s">
        <v>21</v>
      </c>
      <c r="R3437" s="6" t="s">
        <v>21</v>
      </c>
      <c r="S3437" s="6" t="s">
        <v>21</v>
      </c>
      <c r="T3437" s="6" t="s">
        <v>21</v>
      </c>
      <c r="U3437" s="6">
        <f t="shared" si="417"/>
        <v>18466.71</v>
      </c>
      <c r="V3437" s="6">
        <f t="shared" si="415"/>
        <v>18466.71</v>
      </c>
    </row>
    <row r="3438" spans="1:22" hidden="1" x14ac:dyDescent="0.35">
      <c r="A3438" s="6" t="s">
        <v>3767</v>
      </c>
      <c r="B3438" s="6" t="s">
        <v>3764</v>
      </c>
      <c r="C3438" s="6" t="s">
        <v>3765</v>
      </c>
      <c r="D3438" s="6">
        <f t="shared" si="419"/>
        <v>0.5</v>
      </c>
      <c r="E3438" s="6" t="s">
        <v>23</v>
      </c>
      <c r="F3438" s="6" t="str">
        <f>MID(A3438,19,1)</f>
        <v>C</v>
      </c>
      <c r="G3438" s="6">
        <v>-22.609854143702549</v>
      </c>
      <c r="H3438" s="6">
        <v>-47.460222254757177</v>
      </c>
      <c r="I3438" s="9">
        <v>6501.76</v>
      </c>
      <c r="J3438" s="9">
        <f>I3438/500</f>
        <v>13.00352</v>
      </c>
      <c r="K3438" s="6">
        <v>2.17</v>
      </c>
      <c r="L3438" s="6">
        <v>80</v>
      </c>
      <c r="N3438" s="1">
        <f t="shared" si="416"/>
        <v>0</v>
      </c>
      <c r="O3438" s="6" t="s">
        <v>20</v>
      </c>
      <c r="Q3438" s="6" t="s">
        <v>21</v>
      </c>
      <c r="R3438" s="6" t="s">
        <v>21</v>
      </c>
      <c r="S3438" s="6" t="s">
        <v>21</v>
      </c>
      <c r="T3438" s="6" t="s">
        <v>21</v>
      </c>
      <c r="U3438" s="6">
        <f t="shared" si="417"/>
        <v>5201.4080000000004</v>
      </c>
      <c r="V3438" s="6">
        <f t="shared" si="415"/>
        <v>5201.4080000000004</v>
      </c>
    </row>
    <row r="3439" spans="1:22" x14ac:dyDescent="0.35">
      <c r="A3439" s="6" t="s">
        <v>3768</v>
      </c>
      <c r="B3439" s="6" t="s">
        <v>3764</v>
      </c>
      <c r="C3439" s="6" t="s">
        <v>3765</v>
      </c>
      <c r="D3439" s="6">
        <f t="shared" si="419"/>
        <v>0.5</v>
      </c>
      <c r="E3439" s="6" t="s">
        <v>19</v>
      </c>
      <c r="F3439" s="6" t="str">
        <f>MID(A3439,19,1)</f>
        <v>N</v>
      </c>
      <c r="G3439" s="6">
        <v>-22.500780258737869</v>
      </c>
      <c r="H3439" s="6">
        <v>-47.399750074142943</v>
      </c>
      <c r="I3439" s="9">
        <v>444.54</v>
      </c>
      <c r="K3439" s="6">
        <v>2.09</v>
      </c>
      <c r="L3439" s="6">
        <v>50</v>
      </c>
      <c r="N3439" s="1">
        <f t="shared" si="416"/>
        <v>0</v>
      </c>
      <c r="O3439" s="6" t="s">
        <v>20</v>
      </c>
      <c r="Q3439" s="6" t="s">
        <v>21</v>
      </c>
      <c r="R3439" s="6" t="s">
        <v>21</v>
      </c>
      <c r="S3439" s="6" t="s">
        <v>21</v>
      </c>
      <c r="T3439" s="6" t="s">
        <v>21</v>
      </c>
      <c r="U3439" s="6">
        <f t="shared" si="417"/>
        <v>222.27</v>
      </c>
      <c r="V3439" s="6">
        <f t="shared" si="415"/>
        <v>222.27</v>
      </c>
    </row>
    <row r="3440" spans="1:22" x14ac:dyDescent="0.35">
      <c r="A3440" s="8" t="s">
        <v>3769</v>
      </c>
      <c r="B3440" s="8" t="s">
        <v>3764</v>
      </c>
      <c r="C3440" s="8" t="s">
        <v>3765</v>
      </c>
      <c r="D3440" s="6">
        <f t="shared" si="419"/>
        <v>0.5</v>
      </c>
      <c r="E3440" s="8" t="s">
        <v>19</v>
      </c>
      <c r="F3440" s="6" t="str">
        <f>MID(A3440,19,1)</f>
        <v>N</v>
      </c>
      <c r="G3440" s="8">
        <v>-22.50775771550045</v>
      </c>
      <c r="H3440" s="8">
        <v>-47.3986022718355</v>
      </c>
      <c r="I3440" s="7">
        <v>2072.87</v>
      </c>
      <c r="J3440" s="7"/>
      <c r="K3440" s="8">
        <v>2.29</v>
      </c>
      <c r="L3440" s="8">
        <v>65</v>
      </c>
      <c r="M3440" s="8"/>
      <c r="N3440" s="11">
        <f t="shared" si="416"/>
        <v>1347.3654999999999</v>
      </c>
      <c r="O3440" s="8" t="s">
        <v>25</v>
      </c>
      <c r="P3440" s="8"/>
      <c r="Q3440" s="8" t="s">
        <v>21</v>
      </c>
      <c r="R3440" s="8" t="s">
        <v>26</v>
      </c>
      <c r="S3440" s="8" t="s">
        <v>21</v>
      </c>
      <c r="T3440" s="8" t="s">
        <v>26</v>
      </c>
      <c r="U3440" s="6">
        <f t="shared" si="417"/>
        <v>0</v>
      </c>
    </row>
    <row r="3441" spans="1:22" hidden="1" x14ac:dyDescent="0.35">
      <c r="A3441" s="6" t="s">
        <v>3770</v>
      </c>
      <c r="B3441" s="6" t="s">
        <v>3764</v>
      </c>
      <c r="C3441" s="6" t="s">
        <v>3765</v>
      </c>
      <c r="D3441" s="6">
        <f t="shared" si="419"/>
        <v>0.5</v>
      </c>
      <c r="E3441" s="6" t="s">
        <v>23</v>
      </c>
      <c r="F3441" s="6" t="str">
        <f>MID(A3441,19,1)</f>
        <v>C</v>
      </c>
      <c r="G3441" s="6">
        <v>-22.503492760366999</v>
      </c>
      <c r="H3441" s="6">
        <v>-47.398800840678589</v>
      </c>
      <c r="I3441" s="9">
        <v>14657.09</v>
      </c>
      <c r="J3441" s="9">
        <f t="shared" ref="J3441:J3443" si="423">I3441/500</f>
        <v>29.31418</v>
      </c>
      <c r="K3441" s="6">
        <v>3.16</v>
      </c>
      <c r="L3441" s="6">
        <v>50</v>
      </c>
      <c r="N3441" s="1">
        <f t="shared" si="416"/>
        <v>0</v>
      </c>
      <c r="O3441" s="6" t="s">
        <v>20</v>
      </c>
      <c r="Q3441" s="6" t="s">
        <v>21</v>
      </c>
      <c r="R3441" s="6" t="s">
        <v>21</v>
      </c>
      <c r="S3441" s="6" t="s">
        <v>21</v>
      </c>
      <c r="T3441" s="6" t="s">
        <v>21</v>
      </c>
      <c r="U3441" s="6">
        <f t="shared" si="417"/>
        <v>7328.5450000000001</v>
      </c>
      <c r="V3441" s="6">
        <f t="shared" ref="V3441:V3504" si="424">(I3441*(L3441/100))</f>
        <v>7328.5450000000001</v>
      </c>
    </row>
    <row r="3442" spans="1:22" hidden="1" x14ac:dyDescent="0.35">
      <c r="A3442" s="6" t="s">
        <v>3771</v>
      </c>
      <c r="B3442" s="6" t="s">
        <v>3764</v>
      </c>
      <c r="C3442" s="6" t="s">
        <v>3765</v>
      </c>
      <c r="D3442" s="6">
        <f t="shared" si="419"/>
        <v>0.5</v>
      </c>
      <c r="E3442" s="6" t="s">
        <v>23</v>
      </c>
      <c r="F3442" s="6" t="str">
        <f>MID(A3442,19,1)</f>
        <v>C</v>
      </c>
      <c r="G3442" s="6">
        <v>-22.61455730491722</v>
      </c>
      <c r="H3442" s="6">
        <v>-47.461030952278392</v>
      </c>
      <c r="I3442" s="9">
        <v>6105.85</v>
      </c>
      <c r="J3442" s="9">
        <f t="shared" si="423"/>
        <v>12.2117</v>
      </c>
      <c r="K3442" s="6">
        <v>1.76</v>
      </c>
      <c r="L3442" s="6">
        <v>80</v>
      </c>
      <c r="N3442" s="1">
        <f t="shared" si="416"/>
        <v>0</v>
      </c>
      <c r="O3442" s="6" t="s">
        <v>20</v>
      </c>
      <c r="Q3442" s="6" t="s">
        <v>21</v>
      </c>
      <c r="R3442" s="6" t="s">
        <v>21</v>
      </c>
      <c r="S3442" s="6" t="s">
        <v>21</v>
      </c>
      <c r="T3442" s="6" t="s">
        <v>21</v>
      </c>
      <c r="U3442" s="6">
        <f t="shared" si="417"/>
        <v>4884.68</v>
      </c>
      <c r="V3442" s="6">
        <f t="shared" si="424"/>
        <v>4884.68</v>
      </c>
    </row>
    <row r="3443" spans="1:22" hidden="1" x14ac:dyDescent="0.35">
      <c r="A3443" s="6" t="s">
        <v>3772</v>
      </c>
      <c r="B3443" s="6" t="s">
        <v>3764</v>
      </c>
      <c r="C3443" s="6" t="s">
        <v>3765</v>
      </c>
      <c r="D3443" s="6">
        <f t="shared" si="419"/>
        <v>0.5</v>
      </c>
      <c r="E3443" s="6" t="s">
        <v>23</v>
      </c>
      <c r="F3443" s="6" t="str">
        <f>MID(A3443,19,1)</f>
        <v>C</v>
      </c>
      <c r="G3443" s="6">
        <v>-22.502887629672969</v>
      </c>
      <c r="H3443" s="6">
        <v>-47.400155847964179</v>
      </c>
      <c r="I3443" s="9">
        <v>10747.82</v>
      </c>
      <c r="J3443" s="9">
        <f t="shared" si="423"/>
        <v>21.495639999999998</v>
      </c>
      <c r="K3443" s="6">
        <v>2.15</v>
      </c>
      <c r="L3443" s="6">
        <v>50</v>
      </c>
      <c r="N3443" s="1">
        <f t="shared" si="416"/>
        <v>0</v>
      </c>
      <c r="O3443" s="6" t="s">
        <v>20</v>
      </c>
      <c r="Q3443" s="6" t="s">
        <v>21</v>
      </c>
      <c r="R3443" s="6" t="s">
        <v>21</v>
      </c>
      <c r="S3443" s="6" t="s">
        <v>21</v>
      </c>
      <c r="T3443" s="6" t="s">
        <v>21</v>
      </c>
      <c r="U3443" s="6">
        <f t="shared" si="417"/>
        <v>5373.91</v>
      </c>
      <c r="V3443" s="6">
        <f t="shared" si="424"/>
        <v>5373.91</v>
      </c>
    </row>
    <row r="3444" spans="1:22" x14ac:dyDescent="0.35">
      <c r="A3444" s="6" t="s">
        <v>3773</v>
      </c>
      <c r="B3444" s="6" t="s">
        <v>3764</v>
      </c>
      <c r="C3444" s="6" t="s">
        <v>3765</v>
      </c>
      <c r="D3444" s="6">
        <f t="shared" si="419"/>
        <v>0.5</v>
      </c>
      <c r="E3444" s="6" t="s">
        <v>19</v>
      </c>
      <c r="F3444" s="6" t="str">
        <f>MID(A3444,19,1)</f>
        <v>N</v>
      </c>
      <c r="G3444" s="6">
        <v>-22.614560102619269</v>
      </c>
      <c r="H3444" s="6">
        <v>-47.460848554447217</v>
      </c>
      <c r="I3444" s="9">
        <v>1842.49</v>
      </c>
      <c r="K3444" s="6">
        <v>2.35</v>
      </c>
      <c r="L3444" s="6">
        <v>70</v>
      </c>
      <c r="N3444" s="1">
        <f t="shared" si="416"/>
        <v>0</v>
      </c>
      <c r="O3444" s="6" t="s">
        <v>20</v>
      </c>
      <c r="Q3444" s="6" t="s">
        <v>21</v>
      </c>
      <c r="R3444" s="6" t="s">
        <v>21</v>
      </c>
      <c r="S3444" s="6" t="s">
        <v>21</v>
      </c>
      <c r="T3444" s="6" t="s">
        <v>21</v>
      </c>
      <c r="U3444" s="6">
        <f t="shared" si="417"/>
        <v>1289.7429999999999</v>
      </c>
      <c r="V3444" s="6">
        <f t="shared" si="424"/>
        <v>1289.7429999999999</v>
      </c>
    </row>
    <row r="3445" spans="1:22" hidden="1" x14ac:dyDescent="0.35">
      <c r="A3445" s="6" t="s">
        <v>3774</v>
      </c>
      <c r="B3445" s="6" t="s">
        <v>3764</v>
      </c>
      <c r="C3445" s="6" t="s">
        <v>3765</v>
      </c>
      <c r="D3445" s="6">
        <f t="shared" si="419"/>
        <v>0.5</v>
      </c>
      <c r="E3445" s="6" t="s">
        <v>19</v>
      </c>
      <c r="F3445" s="6" t="str">
        <f>MID(A3445,19,1)</f>
        <v>S</v>
      </c>
      <c r="G3445" s="6">
        <v>-22.50738334080981</v>
      </c>
      <c r="H3445" s="6">
        <v>-47.39789216238983</v>
      </c>
      <c r="I3445" s="9">
        <v>1813</v>
      </c>
      <c r="K3445" s="6">
        <v>1.85</v>
      </c>
      <c r="L3445" s="6">
        <v>50</v>
      </c>
      <c r="N3445" s="1">
        <f t="shared" si="416"/>
        <v>0</v>
      </c>
      <c r="O3445" s="6" t="s">
        <v>20</v>
      </c>
      <c r="Q3445" s="6" t="s">
        <v>21</v>
      </c>
      <c r="R3445" s="6" t="s">
        <v>21</v>
      </c>
      <c r="S3445" s="6" t="s">
        <v>21</v>
      </c>
      <c r="T3445" s="6" t="s">
        <v>21</v>
      </c>
      <c r="U3445" s="6">
        <f t="shared" si="417"/>
        <v>906.5</v>
      </c>
      <c r="V3445" s="6">
        <f t="shared" si="424"/>
        <v>906.5</v>
      </c>
    </row>
    <row r="3446" spans="1:22" hidden="1" x14ac:dyDescent="0.35">
      <c r="A3446" s="6" t="s">
        <v>3775</v>
      </c>
      <c r="B3446" s="6" t="s">
        <v>3764</v>
      </c>
      <c r="C3446" s="6" t="s">
        <v>3765</v>
      </c>
      <c r="D3446" s="6">
        <f t="shared" si="419"/>
        <v>0.5</v>
      </c>
      <c r="E3446" s="6" t="s">
        <v>23</v>
      </c>
      <c r="F3446" s="6" t="str">
        <f>MID(A3446,19,1)</f>
        <v>C</v>
      </c>
      <c r="G3446" s="6">
        <v>-22.501460150800231</v>
      </c>
      <c r="H3446" s="6">
        <v>-47.399486157917217</v>
      </c>
      <c r="I3446" s="9">
        <v>1903.37</v>
      </c>
      <c r="J3446" s="9">
        <f>I3446/500</f>
        <v>3.8067399999999996</v>
      </c>
      <c r="K3446" s="6">
        <v>2.93</v>
      </c>
      <c r="L3446" s="6">
        <v>50</v>
      </c>
      <c r="N3446" s="1">
        <f t="shared" si="416"/>
        <v>0</v>
      </c>
      <c r="O3446" s="6" t="s">
        <v>20</v>
      </c>
      <c r="Q3446" s="6" t="s">
        <v>21</v>
      </c>
      <c r="R3446" s="6" t="s">
        <v>21</v>
      </c>
      <c r="S3446" s="6" t="s">
        <v>21</v>
      </c>
      <c r="T3446" s="6" t="s">
        <v>21</v>
      </c>
      <c r="U3446" s="6">
        <f t="shared" si="417"/>
        <v>951.68499999999995</v>
      </c>
      <c r="V3446" s="6">
        <f t="shared" si="424"/>
        <v>951.68499999999995</v>
      </c>
    </row>
    <row r="3447" spans="1:22" hidden="1" x14ac:dyDescent="0.35">
      <c r="A3447" s="6" t="s">
        <v>3776</v>
      </c>
      <c r="B3447" s="6" t="s">
        <v>3764</v>
      </c>
      <c r="C3447" s="6" t="s">
        <v>3765</v>
      </c>
      <c r="D3447" s="6">
        <f t="shared" si="419"/>
        <v>0.5</v>
      </c>
      <c r="E3447" s="6" t="s">
        <v>19</v>
      </c>
      <c r="F3447" s="6" t="str">
        <f>MID(A3447,19,1)</f>
        <v>S</v>
      </c>
      <c r="G3447" s="6">
        <v>-22.502815755113769</v>
      </c>
      <c r="H3447" s="6">
        <v>-47.398439257523982</v>
      </c>
      <c r="I3447" s="9">
        <v>4890.1899999999996</v>
      </c>
      <c r="K3447" s="6">
        <v>3.32</v>
      </c>
      <c r="L3447" s="6">
        <v>50</v>
      </c>
      <c r="N3447" s="1">
        <f t="shared" si="416"/>
        <v>0</v>
      </c>
      <c r="O3447" s="6" t="s">
        <v>20</v>
      </c>
      <c r="Q3447" s="6" t="s">
        <v>21</v>
      </c>
      <c r="R3447" s="6" t="s">
        <v>21</v>
      </c>
      <c r="S3447" s="6" t="s">
        <v>21</v>
      </c>
      <c r="T3447" s="6" t="s">
        <v>21</v>
      </c>
      <c r="U3447" s="6">
        <f t="shared" si="417"/>
        <v>2445.0949999999998</v>
      </c>
      <c r="V3447" s="6">
        <f t="shared" si="424"/>
        <v>2445.0949999999998</v>
      </c>
    </row>
    <row r="3448" spans="1:22" hidden="1" x14ac:dyDescent="0.35">
      <c r="A3448" s="6" t="s">
        <v>3777</v>
      </c>
      <c r="B3448" s="6" t="s">
        <v>3764</v>
      </c>
      <c r="C3448" s="6" t="s">
        <v>3765</v>
      </c>
      <c r="D3448" s="6">
        <f t="shared" si="419"/>
        <v>0.5</v>
      </c>
      <c r="E3448" s="6" t="s">
        <v>23</v>
      </c>
      <c r="F3448" s="6" t="str">
        <f>MID(A3448,19,1)</f>
        <v>C</v>
      </c>
      <c r="G3448" s="6">
        <v>-22.501807778611688</v>
      </c>
      <c r="H3448" s="6">
        <v>-47.401637561470302</v>
      </c>
      <c r="I3448" s="9">
        <v>7261.06</v>
      </c>
      <c r="J3448" s="9">
        <f t="shared" ref="J3448:J3449" si="425">I3448/500</f>
        <v>14.522120000000001</v>
      </c>
      <c r="K3448" s="6">
        <v>1.9</v>
      </c>
      <c r="L3448" s="6">
        <v>50</v>
      </c>
      <c r="N3448" s="1">
        <f t="shared" si="416"/>
        <v>0</v>
      </c>
      <c r="O3448" s="6" t="s">
        <v>20</v>
      </c>
      <c r="Q3448" s="6" t="s">
        <v>21</v>
      </c>
      <c r="R3448" s="6" t="s">
        <v>21</v>
      </c>
      <c r="S3448" s="6" t="s">
        <v>21</v>
      </c>
      <c r="T3448" s="6" t="s">
        <v>21</v>
      </c>
      <c r="U3448" s="6">
        <f t="shared" si="417"/>
        <v>3630.53</v>
      </c>
      <c r="V3448" s="6">
        <f t="shared" si="424"/>
        <v>3630.53</v>
      </c>
    </row>
    <row r="3449" spans="1:22" hidden="1" x14ac:dyDescent="0.35">
      <c r="A3449" s="6" t="s">
        <v>3778</v>
      </c>
      <c r="B3449" s="6" t="s">
        <v>3764</v>
      </c>
      <c r="C3449" s="6" t="s">
        <v>3765</v>
      </c>
      <c r="D3449" s="6">
        <f t="shared" si="419"/>
        <v>0.5</v>
      </c>
      <c r="E3449" s="6" t="s">
        <v>23</v>
      </c>
      <c r="F3449" s="6" t="str">
        <f>MID(A3449,19,1)</f>
        <v>C</v>
      </c>
      <c r="G3449" s="6">
        <v>-22.501431131910941</v>
      </c>
      <c r="H3449" s="6">
        <v>-47.400246846894277</v>
      </c>
      <c r="I3449" s="9">
        <v>15508.39</v>
      </c>
      <c r="J3449" s="9">
        <f t="shared" si="425"/>
        <v>31.016779999999997</v>
      </c>
      <c r="K3449" s="6">
        <v>2.39</v>
      </c>
      <c r="L3449" s="6">
        <v>50</v>
      </c>
      <c r="N3449" s="1">
        <f t="shared" si="416"/>
        <v>0</v>
      </c>
      <c r="O3449" s="6" t="s">
        <v>20</v>
      </c>
      <c r="Q3449" s="6" t="s">
        <v>21</v>
      </c>
      <c r="R3449" s="6" t="s">
        <v>21</v>
      </c>
      <c r="S3449" s="6" t="s">
        <v>21</v>
      </c>
      <c r="T3449" s="6" t="s">
        <v>21</v>
      </c>
      <c r="U3449" s="6">
        <f t="shared" si="417"/>
        <v>7754.1949999999997</v>
      </c>
      <c r="V3449" s="6">
        <f t="shared" si="424"/>
        <v>7754.1949999999997</v>
      </c>
    </row>
    <row r="3450" spans="1:22" x14ac:dyDescent="0.35">
      <c r="A3450" s="6" t="s">
        <v>3779</v>
      </c>
      <c r="B3450" s="6" t="s">
        <v>3764</v>
      </c>
      <c r="C3450" s="6" t="s">
        <v>3765</v>
      </c>
      <c r="D3450" s="6">
        <f t="shared" si="419"/>
        <v>0.5</v>
      </c>
      <c r="E3450" s="6" t="s">
        <v>19</v>
      </c>
      <c r="F3450" s="6" t="str">
        <f>MID(A3450,19,1)</f>
        <v>N</v>
      </c>
      <c r="G3450" s="6">
        <v>-22.503143719873531</v>
      </c>
      <c r="H3450" s="6">
        <v>-47.401034260566661</v>
      </c>
      <c r="I3450" s="9">
        <v>2649.51</v>
      </c>
      <c r="K3450" s="6">
        <v>1.68</v>
      </c>
      <c r="L3450" s="6">
        <v>50</v>
      </c>
      <c r="N3450" s="1">
        <f t="shared" si="416"/>
        <v>0</v>
      </c>
      <c r="O3450" s="6" t="s">
        <v>20</v>
      </c>
      <c r="Q3450" s="6" t="s">
        <v>21</v>
      </c>
      <c r="R3450" s="6" t="s">
        <v>21</v>
      </c>
      <c r="S3450" s="6" t="s">
        <v>21</v>
      </c>
      <c r="T3450" s="6" t="s">
        <v>21</v>
      </c>
      <c r="U3450" s="6">
        <f t="shared" si="417"/>
        <v>1324.7550000000001</v>
      </c>
      <c r="V3450" s="6">
        <f t="shared" si="424"/>
        <v>1324.7550000000001</v>
      </c>
    </row>
    <row r="3451" spans="1:22" hidden="1" x14ac:dyDescent="0.35">
      <c r="A3451" s="6" t="s">
        <v>3780</v>
      </c>
      <c r="B3451" s="6" t="s">
        <v>3764</v>
      </c>
      <c r="C3451" s="6" t="s">
        <v>3765</v>
      </c>
      <c r="D3451" s="6">
        <f t="shared" si="419"/>
        <v>0.5</v>
      </c>
      <c r="E3451" s="6" t="s">
        <v>23</v>
      </c>
      <c r="F3451" s="6" t="str">
        <f>MID(A3451,19,1)</f>
        <v>C</v>
      </c>
      <c r="G3451" s="6">
        <v>-22.50647187988675</v>
      </c>
      <c r="H3451" s="6">
        <v>-47.398659494299338</v>
      </c>
      <c r="I3451" s="9">
        <v>2270.0300000000002</v>
      </c>
      <c r="J3451" s="9">
        <f>I3451/500</f>
        <v>4.5400600000000004</v>
      </c>
      <c r="K3451" s="6">
        <v>2.1</v>
      </c>
      <c r="L3451" s="6">
        <v>50</v>
      </c>
      <c r="N3451" s="1">
        <f t="shared" si="416"/>
        <v>0</v>
      </c>
      <c r="O3451" s="6" t="s">
        <v>20</v>
      </c>
      <c r="Q3451" s="6" t="s">
        <v>21</v>
      </c>
      <c r="R3451" s="6" t="s">
        <v>21</v>
      </c>
      <c r="S3451" s="6" t="s">
        <v>21</v>
      </c>
      <c r="T3451" s="6" t="s">
        <v>21</v>
      </c>
      <c r="U3451" s="6">
        <f t="shared" si="417"/>
        <v>1135.0150000000001</v>
      </c>
      <c r="V3451" s="6">
        <f t="shared" si="424"/>
        <v>1135.0150000000001</v>
      </c>
    </row>
    <row r="3452" spans="1:22" hidden="1" x14ac:dyDescent="0.35">
      <c r="A3452" s="6" t="s">
        <v>3781</v>
      </c>
      <c r="B3452" s="6" t="s">
        <v>3764</v>
      </c>
      <c r="C3452" s="6" t="s">
        <v>3765</v>
      </c>
      <c r="D3452" s="6">
        <f t="shared" si="419"/>
        <v>0.5</v>
      </c>
      <c r="E3452" s="6" t="s">
        <v>19</v>
      </c>
      <c r="F3452" s="6" t="str">
        <f>MID(A3452,19,1)</f>
        <v>S</v>
      </c>
      <c r="G3452" s="6">
        <v>-22.50243694030798</v>
      </c>
      <c r="H3452" s="6">
        <v>-47.399500066669582</v>
      </c>
      <c r="I3452" s="9">
        <v>177.34</v>
      </c>
      <c r="K3452" s="6">
        <v>3.39</v>
      </c>
      <c r="L3452" s="6">
        <v>50</v>
      </c>
      <c r="N3452" s="1">
        <f t="shared" si="416"/>
        <v>0</v>
      </c>
      <c r="O3452" s="6" t="s">
        <v>20</v>
      </c>
      <c r="Q3452" s="6" t="s">
        <v>21</v>
      </c>
      <c r="R3452" s="6" t="s">
        <v>21</v>
      </c>
      <c r="S3452" s="6" t="s">
        <v>21</v>
      </c>
      <c r="T3452" s="6" t="s">
        <v>21</v>
      </c>
      <c r="U3452" s="6">
        <f t="shared" si="417"/>
        <v>88.67</v>
      </c>
      <c r="V3452" s="6">
        <f t="shared" si="424"/>
        <v>88.67</v>
      </c>
    </row>
    <row r="3453" spans="1:22" x14ac:dyDescent="0.35">
      <c r="A3453" s="6" t="s">
        <v>3782</v>
      </c>
      <c r="B3453" s="6" t="s">
        <v>3764</v>
      </c>
      <c r="C3453" s="6" t="s">
        <v>3765</v>
      </c>
      <c r="D3453" s="6">
        <f t="shared" si="419"/>
        <v>0.5</v>
      </c>
      <c r="E3453" s="6" t="s">
        <v>19</v>
      </c>
      <c r="F3453" s="6" t="str">
        <f>MID(A3453,19,1)</f>
        <v>N</v>
      </c>
      <c r="G3453" s="6">
        <v>-22.501359732673961</v>
      </c>
      <c r="H3453" s="6">
        <v>-47.401400473873771</v>
      </c>
      <c r="I3453" s="9">
        <v>7150.54</v>
      </c>
      <c r="K3453" s="6">
        <v>2.0699999999999998</v>
      </c>
      <c r="L3453" s="6">
        <v>50</v>
      </c>
      <c r="N3453" s="1">
        <f t="shared" si="416"/>
        <v>0</v>
      </c>
      <c r="O3453" s="6" t="s">
        <v>20</v>
      </c>
      <c r="Q3453" s="6" t="s">
        <v>21</v>
      </c>
      <c r="R3453" s="6" t="s">
        <v>21</v>
      </c>
      <c r="S3453" s="6" t="s">
        <v>21</v>
      </c>
      <c r="T3453" s="6" t="s">
        <v>21</v>
      </c>
      <c r="U3453" s="6">
        <f t="shared" si="417"/>
        <v>3575.27</v>
      </c>
      <c r="V3453" s="6">
        <f t="shared" si="424"/>
        <v>3575.27</v>
      </c>
    </row>
    <row r="3454" spans="1:22" hidden="1" x14ac:dyDescent="0.35">
      <c r="A3454" s="6" t="s">
        <v>3783</v>
      </c>
      <c r="B3454" s="6" t="s">
        <v>3764</v>
      </c>
      <c r="C3454" s="6" t="s">
        <v>3765</v>
      </c>
      <c r="D3454" s="6">
        <f t="shared" si="419"/>
        <v>0.5</v>
      </c>
      <c r="E3454" s="6" t="s">
        <v>19</v>
      </c>
      <c r="F3454" s="6" t="str">
        <f>MID(A3454,19,1)</f>
        <v>S</v>
      </c>
      <c r="G3454" s="6">
        <v>-22.609809457351801</v>
      </c>
      <c r="H3454" s="6">
        <v>-47.460394617322493</v>
      </c>
      <c r="I3454" s="9">
        <v>2066.14</v>
      </c>
      <c r="K3454" s="6">
        <v>2.33</v>
      </c>
      <c r="L3454" s="6">
        <v>70</v>
      </c>
      <c r="N3454" s="1">
        <f t="shared" si="416"/>
        <v>0</v>
      </c>
      <c r="O3454" s="6" t="s">
        <v>20</v>
      </c>
      <c r="Q3454" s="6" t="s">
        <v>21</v>
      </c>
      <c r="R3454" s="6" t="s">
        <v>21</v>
      </c>
      <c r="S3454" s="6" t="s">
        <v>21</v>
      </c>
      <c r="T3454" s="6" t="s">
        <v>21</v>
      </c>
      <c r="U3454" s="6">
        <f t="shared" si="417"/>
        <v>1446.2979999999998</v>
      </c>
      <c r="V3454" s="6">
        <f t="shared" si="424"/>
        <v>1446.2979999999998</v>
      </c>
    </row>
    <row r="3455" spans="1:22" x14ac:dyDescent="0.35">
      <c r="A3455" s="6" t="s">
        <v>3784</v>
      </c>
      <c r="B3455" s="6" t="s">
        <v>3764</v>
      </c>
      <c r="C3455" s="6" t="s">
        <v>3765</v>
      </c>
      <c r="D3455" s="6">
        <f t="shared" si="419"/>
        <v>0.5</v>
      </c>
      <c r="E3455" s="6" t="s">
        <v>19</v>
      </c>
      <c r="F3455" s="6" t="str">
        <f>MID(A3455,19,1)</f>
        <v>N</v>
      </c>
      <c r="G3455" s="6">
        <v>-22.60989491810869</v>
      </c>
      <c r="H3455" s="6">
        <v>-47.460043854389873</v>
      </c>
      <c r="I3455" s="9">
        <v>2043.75</v>
      </c>
      <c r="K3455" s="6">
        <v>2.0299999999999998</v>
      </c>
      <c r="L3455" s="6">
        <v>70</v>
      </c>
      <c r="N3455" s="1">
        <f t="shared" si="416"/>
        <v>0</v>
      </c>
      <c r="O3455" s="6" t="s">
        <v>20</v>
      </c>
      <c r="Q3455" s="6" t="s">
        <v>21</v>
      </c>
      <c r="R3455" s="6" t="s">
        <v>21</v>
      </c>
      <c r="S3455" s="6" t="s">
        <v>21</v>
      </c>
      <c r="T3455" s="6" t="s">
        <v>21</v>
      </c>
      <c r="U3455" s="6">
        <f t="shared" si="417"/>
        <v>1430.625</v>
      </c>
      <c r="V3455" s="6">
        <f t="shared" si="424"/>
        <v>1430.625</v>
      </c>
    </row>
    <row r="3456" spans="1:22" hidden="1" x14ac:dyDescent="0.35">
      <c r="A3456" s="6" t="s">
        <v>3785</v>
      </c>
      <c r="B3456" s="6" t="s">
        <v>3764</v>
      </c>
      <c r="C3456" s="6" t="s">
        <v>3765</v>
      </c>
      <c r="D3456" s="6">
        <f t="shared" si="419"/>
        <v>0.5</v>
      </c>
      <c r="E3456" s="6" t="s">
        <v>23</v>
      </c>
      <c r="F3456" s="6" t="str">
        <f>MID(A3456,19,1)</f>
        <v>C</v>
      </c>
      <c r="G3456" s="6">
        <v>-22.504088082014071</v>
      </c>
      <c r="H3456" s="6">
        <v>-47.399363474413192</v>
      </c>
      <c r="I3456" s="9">
        <v>3648.39</v>
      </c>
      <c r="J3456" s="9">
        <f>I3456/500</f>
        <v>7.29678</v>
      </c>
      <c r="K3456" s="6">
        <v>1.89</v>
      </c>
      <c r="L3456" s="6">
        <v>50</v>
      </c>
      <c r="N3456" s="1">
        <f t="shared" si="416"/>
        <v>0</v>
      </c>
      <c r="O3456" s="6" t="s">
        <v>20</v>
      </c>
      <c r="Q3456" s="6" t="s">
        <v>21</v>
      </c>
      <c r="R3456" s="6" t="s">
        <v>21</v>
      </c>
      <c r="S3456" s="6" t="s">
        <v>21</v>
      </c>
      <c r="T3456" s="6" t="s">
        <v>21</v>
      </c>
      <c r="U3456" s="6">
        <f t="shared" si="417"/>
        <v>1824.1949999999999</v>
      </c>
      <c r="V3456" s="6">
        <f t="shared" si="424"/>
        <v>1824.1949999999999</v>
      </c>
    </row>
    <row r="3457" spans="1:22" hidden="1" x14ac:dyDescent="0.35">
      <c r="A3457" s="6" t="s">
        <v>3786</v>
      </c>
      <c r="B3457" s="6" t="s">
        <v>3764</v>
      </c>
      <c r="C3457" s="6" t="s">
        <v>3765</v>
      </c>
      <c r="D3457" s="6">
        <f t="shared" si="419"/>
        <v>0.5</v>
      </c>
      <c r="E3457" s="6" t="s">
        <v>19</v>
      </c>
      <c r="F3457" s="6" t="str">
        <f>MID(A3457,19,1)</f>
        <v>S</v>
      </c>
      <c r="G3457" s="6">
        <v>-22.614549585159502</v>
      </c>
      <c r="H3457" s="6">
        <v>-47.461213681936492</v>
      </c>
      <c r="I3457" s="9">
        <v>1882.71</v>
      </c>
      <c r="K3457" s="6">
        <v>1.99</v>
      </c>
      <c r="L3457" s="6">
        <v>70</v>
      </c>
      <c r="N3457" s="1">
        <f t="shared" si="416"/>
        <v>0</v>
      </c>
      <c r="O3457" s="6" t="s">
        <v>20</v>
      </c>
      <c r="Q3457" s="6" t="s">
        <v>21</v>
      </c>
      <c r="R3457" s="6" t="s">
        <v>21</v>
      </c>
      <c r="S3457" s="6" t="s">
        <v>21</v>
      </c>
      <c r="T3457" s="6" t="s">
        <v>21</v>
      </c>
      <c r="U3457" s="6">
        <f t="shared" si="417"/>
        <v>1317.8969999999999</v>
      </c>
      <c r="V3457" s="6">
        <f t="shared" si="424"/>
        <v>1317.8969999999999</v>
      </c>
    </row>
    <row r="3458" spans="1:22" hidden="1" x14ac:dyDescent="0.35">
      <c r="A3458" s="6" t="s">
        <v>3787</v>
      </c>
      <c r="B3458" s="6" t="s">
        <v>3764</v>
      </c>
      <c r="C3458" s="6" t="s">
        <v>3765</v>
      </c>
      <c r="D3458" s="6">
        <f t="shared" si="419"/>
        <v>0.5</v>
      </c>
      <c r="E3458" s="6" t="s">
        <v>19</v>
      </c>
      <c r="F3458" s="6" t="str">
        <f>MID(A3458,19,1)</f>
        <v>S</v>
      </c>
      <c r="G3458" s="6">
        <v>-22.505129401723739</v>
      </c>
      <c r="H3458" s="6">
        <v>-47.398956026693298</v>
      </c>
      <c r="I3458" s="9">
        <v>373.37</v>
      </c>
      <c r="K3458" s="6">
        <v>1.07</v>
      </c>
      <c r="L3458" s="6">
        <v>50</v>
      </c>
      <c r="N3458" s="1">
        <f t="shared" ref="N3458:N3521" si="426">IF(OR(R3458="Sim",S3458="Sim",T3458="Sim"),(L3458/100)*I3458,0)</f>
        <v>0</v>
      </c>
      <c r="O3458" s="6" t="s">
        <v>20</v>
      </c>
      <c r="Q3458" s="6" t="s">
        <v>21</v>
      </c>
      <c r="R3458" s="6" t="s">
        <v>21</v>
      </c>
      <c r="S3458" s="6" t="s">
        <v>21</v>
      </c>
      <c r="T3458" s="6" t="s">
        <v>21</v>
      </c>
      <c r="U3458" s="6">
        <f t="shared" si="417"/>
        <v>186.685</v>
      </c>
      <c r="V3458" s="6">
        <f t="shared" si="424"/>
        <v>186.685</v>
      </c>
    </row>
    <row r="3459" spans="1:22" hidden="1" x14ac:dyDescent="0.35">
      <c r="A3459" s="6" t="s">
        <v>3788</v>
      </c>
      <c r="B3459" s="6" t="s">
        <v>3789</v>
      </c>
      <c r="C3459" s="6" t="s">
        <v>3790</v>
      </c>
      <c r="D3459" s="6">
        <f t="shared" si="419"/>
        <v>0.5</v>
      </c>
      <c r="E3459" s="6" t="s">
        <v>19</v>
      </c>
      <c r="F3459" s="6" t="str">
        <f>MID(A3459,19,1)</f>
        <v>S</v>
      </c>
      <c r="G3459" s="6">
        <v>-22.601330489322901</v>
      </c>
      <c r="H3459" s="6">
        <v>-47.45672168315437</v>
      </c>
      <c r="I3459" s="9">
        <v>1906.26</v>
      </c>
      <c r="K3459" s="6">
        <v>2.14</v>
      </c>
      <c r="L3459" s="6">
        <v>70</v>
      </c>
      <c r="N3459" s="1">
        <f t="shared" si="426"/>
        <v>0</v>
      </c>
      <c r="O3459" s="6" t="s">
        <v>20</v>
      </c>
      <c r="Q3459" s="6" t="s">
        <v>21</v>
      </c>
      <c r="R3459" s="6" t="s">
        <v>21</v>
      </c>
      <c r="S3459" s="6" t="s">
        <v>21</v>
      </c>
      <c r="T3459" s="6" t="s">
        <v>21</v>
      </c>
      <c r="U3459" s="6">
        <f t="shared" ref="U3459:U3522" si="427">IF(N3459=0,(I3459*(L3459/100)),0)</f>
        <v>1334.3819999999998</v>
      </c>
      <c r="V3459" s="6">
        <f t="shared" si="424"/>
        <v>1334.3819999999998</v>
      </c>
    </row>
    <row r="3460" spans="1:22" hidden="1" x14ac:dyDescent="0.35">
      <c r="A3460" s="6" t="s">
        <v>3791</v>
      </c>
      <c r="B3460" s="6" t="s">
        <v>3789</v>
      </c>
      <c r="C3460" s="6" t="s">
        <v>3790</v>
      </c>
      <c r="D3460" s="6">
        <f t="shared" si="419"/>
        <v>0.5</v>
      </c>
      <c r="E3460" s="6" t="s">
        <v>23</v>
      </c>
      <c r="F3460" s="6" t="str">
        <f>MID(A3460,19,1)</f>
        <v>C</v>
      </c>
      <c r="G3460" s="6">
        <v>-22.60555083100618</v>
      </c>
      <c r="H3460" s="6">
        <v>-47.458290631662308</v>
      </c>
      <c r="I3460" s="9">
        <v>1759.95</v>
      </c>
      <c r="J3460" s="9">
        <f>I3460/500</f>
        <v>3.5199000000000003</v>
      </c>
      <c r="K3460" s="6">
        <v>1.86</v>
      </c>
      <c r="L3460" s="6">
        <v>70</v>
      </c>
      <c r="N3460" s="1">
        <f t="shared" si="426"/>
        <v>0</v>
      </c>
      <c r="O3460" s="6" t="s">
        <v>20</v>
      </c>
      <c r="Q3460" s="6" t="s">
        <v>21</v>
      </c>
      <c r="R3460" s="6" t="s">
        <v>21</v>
      </c>
      <c r="S3460" s="6" t="s">
        <v>21</v>
      </c>
      <c r="T3460" s="6" t="s">
        <v>21</v>
      </c>
      <c r="U3460" s="6">
        <f t="shared" si="427"/>
        <v>1231.9649999999999</v>
      </c>
      <c r="V3460" s="6">
        <f t="shared" si="424"/>
        <v>1231.9649999999999</v>
      </c>
    </row>
    <row r="3461" spans="1:22" x14ac:dyDescent="0.35">
      <c r="A3461" s="6" t="s">
        <v>3792</v>
      </c>
      <c r="B3461" s="6" t="s">
        <v>3789</v>
      </c>
      <c r="C3461" s="6" t="s">
        <v>3790</v>
      </c>
      <c r="D3461" s="6">
        <f t="shared" si="419"/>
        <v>0.5</v>
      </c>
      <c r="E3461" s="6" t="s">
        <v>19</v>
      </c>
      <c r="F3461" s="6" t="str">
        <f>MID(A3461,19,1)</f>
        <v>N</v>
      </c>
      <c r="G3461" s="6">
        <v>-22.492760992635962</v>
      </c>
      <c r="H3461" s="6">
        <v>-47.399548901088778</v>
      </c>
      <c r="I3461" s="9">
        <v>1447.82</v>
      </c>
      <c r="K3461" s="6">
        <v>3.38</v>
      </c>
      <c r="L3461" s="6">
        <v>50</v>
      </c>
      <c r="N3461" s="1">
        <f t="shared" si="426"/>
        <v>0</v>
      </c>
      <c r="O3461" s="6" t="s">
        <v>20</v>
      </c>
      <c r="Q3461" s="6" t="s">
        <v>21</v>
      </c>
      <c r="R3461" s="6" t="s">
        <v>21</v>
      </c>
      <c r="S3461" s="6" t="s">
        <v>21</v>
      </c>
      <c r="T3461" s="6" t="s">
        <v>21</v>
      </c>
      <c r="U3461" s="6">
        <f t="shared" si="427"/>
        <v>723.91</v>
      </c>
      <c r="V3461" s="6">
        <f t="shared" si="424"/>
        <v>723.91</v>
      </c>
    </row>
    <row r="3462" spans="1:22" x14ac:dyDescent="0.35">
      <c r="A3462" s="6" t="s">
        <v>3793</v>
      </c>
      <c r="B3462" s="6" t="s">
        <v>3789</v>
      </c>
      <c r="C3462" s="6" t="s">
        <v>3790</v>
      </c>
      <c r="D3462" s="6">
        <f t="shared" si="419"/>
        <v>0.5</v>
      </c>
      <c r="E3462" s="6" t="s">
        <v>19</v>
      </c>
      <c r="F3462" s="6" t="str">
        <f>MID(A3462,19,1)</f>
        <v>N</v>
      </c>
      <c r="G3462" s="6">
        <v>-22.601444893423221</v>
      </c>
      <c r="H3462" s="6">
        <v>-47.456374680011983</v>
      </c>
      <c r="I3462" s="9">
        <v>1901.26</v>
      </c>
      <c r="K3462" s="6">
        <v>3.22</v>
      </c>
      <c r="L3462" s="6">
        <v>70</v>
      </c>
      <c r="N3462" s="1">
        <f t="shared" si="426"/>
        <v>0</v>
      </c>
      <c r="O3462" s="6" t="s">
        <v>20</v>
      </c>
      <c r="Q3462" s="6" t="s">
        <v>21</v>
      </c>
      <c r="R3462" s="6" t="s">
        <v>21</v>
      </c>
      <c r="S3462" s="6" t="s">
        <v>21</v>
      </c>
      <c r="T3462" s="6" t="s">
        <v>21</v>
      </c>
      <c r="U3462" s="6">
        <f t="shared" si="427"/>
        <v>1330.8819999999998</v>
      </c>
      <c r="V3462" s="6">
        <f t="shared" si="424"/>
        <v>1330.8819999999998</v>
      </c>
    </row>
    <row r="3463" spans="1:22" x14ac:dyDescent="0.35">
      <c r="A3463" s="6" t="s">
        <v>3794</v>
      </c>
      <c r="B3463" s="6" t="s">
        <v>3789</v>
      </c>
      <c r="C3463" s="6" t="s">
        <v>3790</v>
      </c>
      <c r="D3463" s="6">
        <f t="shared" si="419"/>
        <v>0.5</v>
      </c>
      <c r="E3463" s="6" t="s">
        <v>19</v>
      </c>
      <c r="F3463" s="6" t="str">
        <f>MID(A3463,19,1)</f>
        <v>N</v>
      </c>
      <c r="G3463" s="6">
        <v>-22.49515644223872</v>
      </c>
      <c r="H3463" s="6">
        <v>-47.399591613158073</v>
      </c>
      <c r="I3463" s="9">
        <v>712</v>
      </c>
      <c r="K3463" s="6">
        <v>2.33</v>
      </c>
      <c r="L3463" s="6">
        <v>50</v>
      </c>
      <c r="N3463" s="1">
        <f t="shared" si="426"/>
        <v>0</v>
      </c>
      <c r="O3463" s="6" t="s">
        <v>20</v>
      </c>
      <c r="Q3463" s="6" t="s">
        <v>21</v>
      </c>
      <c r="R3463" s="6" t="s">
        <v>21</v>
      </c>
      <c r="S3463" s="6" t="s">
        <v>21</v>
      </c>
      <c r="T3463" s="6" t="s">
        <v>21</v>
      </c>
      <c r="U3463" s="6">
        <f t="shared" si="427"/>
        <v>356</v>
      </c>
      <c r="V3463" s="6">
        <f t="shared" si="424"/>
        <v>356</v>
      </c>
    </row>
    <row r="3464" spans="1:22" x14ac:dyDescent="0.35">
      <c r="A3464" s="6" t="s">
        <v>3795</v>
      </c>
      <c r="B3464" s="6" t="s">
        <v>3789</v>
      </c>
      <c r="C3464" s="6" t="s">
        <v>3790</v>
      </c>
      <c r="D3464" s="6">
        <f t="shared" si="419"/>
        <v>0.5</v>
      </c>
      <c r="E3464" s="6" t="s">
        <v>19</v>
      </c>
      <c r="F3464" s="6" t="str">
        <f>MID(A3464,19,1)</f>
        <v>N</v>
      </c>
      <c r="G3464" s="6">
        <v>-22.50109418506738</v>
      </c>
      <c r="H3464" s="6">
        <v>-47.402024320096181</v>
      </c>
      <c r="I3464" s="9">
        <v>1195.8599999999999</v>
      </c>
      <c r="K3464" s="6">
        <v>2.15</v>
      </c>
      <c r="L3464" s="6">
        <v>50</v>
      </c>
      <c r="N3464" s="1">
        <f t="shared" si="426"/>
        <v>0</v>
      </c>
      <c r="O3464" s="6" t="s">
        <v>20</v>
      </c>
      <c r="Q3464" s="6" t="s">
        <v>21</v>
      </c>
      <c r="R3464" s="6" t="s">
        <v>21</v>
      </c>
      <c r="S3464" s="6" t="s">
        <v>21</v>
      </c>
      <c r="T3464" s="6" t="s">
        <v>21</v>
      </c>
      <c r="U3464" s="6">
        <f t="shared" si="427"/>
        <v>597.92999999999995</v>
      </c>
      <c r="V3464" s="6">
        <f t="shared" si="424"/>
        <v>597.92999999999995</v>
      </c>
    </row>
    <row r="3465" spans="1:22" hidden="1" x14ac:dyDescent="0.35">
      <c r="A3465" s="6" t="s">
        <v>3796</v>
      </c>
      <c r="B3465" s="6" t="s">
        <v>3789</v>
      </c>
      <c r="C3465" s="6" t="s">
        <v>3790</v>
      </c>
      <c r="D3465" s="6">
        <f t="shared" si="419"/>
        <v>0.5</v>
      </c>
      <c r="E3465" s="6" t="s">
        <v>19</v>
      </c>
      <c r="F3465" s="6" t="str">
        <f>MID(A3465,19,1)</f>
        <v>S</v>
      </c>
      <c r="G3465" s="6">
        <v>-22.498933913012561</v>
      </c>
      <c r="H3465" s="6">
        <v>-47.398916516472518</v>
      </c>
      <c r="I3465" s="9">
        <v>2994.59</v>
      </c>
      <c r="K3465" s="6">
        <v>2.88</v>
      </c>
      <c r="L3465" s="6">
        <v>50</v>
      </c>
      <c r="N3465" s="1">
        <f t="shared" si="426"/>
        <v>0</v>
      </c>
      <c r="O3465" s="6" t="s">
        <v>20</v>
      </c>
      <c r="Q3465" s="6" t="s">
        <v>21</v>
      </c>
      <c r="R3465" s="6" t="s">
        <v>21</v>
      </c>
      <c r="S3465" s="6" t="s">
        <v>21</v>
      </c>
      <c r="T3465" s="6" t="s">
        <v>21</v>
      </c>
      <c r="U3465" s="6">
        <f t="shared" si="427"/>
        <v>1497.2950000000001</v>
      </c>
      <c r="V3465" s="6">
        <f t="shared" si="424"/>
        <v>1497.2950000000001</v>
      </c>
    </row>
    <row r="3466" spans="1:22" hidden="1" x14ac:dyDescent="0.35">
      <c r="A3466" s="6" t="s">
        <v>3797</v>
      </c>
      <c r="B3466" s="6" t="s">
        <v>3789</v>
      </c>
      <c r="C3466" s="6" t="s">
        <v>3790</v>
      </c>
      <c r="D3466" s="6">
        <f t="shared" si="419"/>
        <v>0.5</v>
      </c>
      <c r="E3466" s="6" t="s">
        <v>23</v>
      </c>
      <c r="F3466" s="6" t="str">
        <f>MID(A3466,19,1)</f>
        <v>C</v>
      </c>
      <c r="G3466" s="6">
        <v>-22.498179277529619</v>
      </c>
      <c r="H3466" s="6">
        <v>-47.399416155083458</v>
      </c>
      <c r="I3466" s="9">
        <v>8235.6</v>
      </c>
      <c r="J3466" s="9">
        <f t="shared" ref="J3466:J3467" si="428">I3466/500</f>
        <v>16.4712</v>
      </c>
      <c r="K3466" s="6">
        <v>2.3199999999999998</v>
      </c>
      <c r="L3466" s="6">
        <v>50</v>
      </c>
      <c r="N3466" s="1">
        <f t="shared" si="426"/>
        <v>0</v>
      </c>
      <c r="O3466" s="6" t="s">
        <v>20</v>
      </c>
      <c r="Q3466" s="6" t="s">
        <v>21</v>
      </c>
      <c r="R3466" s="6" t="s">
        <v>21</v>
      </c>
      <c r="S3466" s="6" t="s">
        <v>21</v>
      </c>
      <c r="T3466" s="6" t="s">
        <v>21</v>
      </c>
      <c r="U3466" s="6">
        <f t="shared" si="427"/>
        <v>4117.8</v>
      </c>
      <c r="V3466" s="6">
        <f t="shared" si="424"/>
        <v>4117.8</v>
      </c>
    </row>
    <row r="3467" spans="1:22" hidden="1" x14ac:dyDescent="0.35">
      <c r="A3467" s="6" t="s">
        <v>3798</v>
      </c>
      <c r="B3467" s="6" t="s">
        <v>3789</v>
      </c>
      <c r="C3467" s="6" t="s">
        <v>3790</v>
      </c>
      <c r="D3467" s="6">
        <f t="shared" si="419"/>
        <v>0.5</v>
      </c>
      <c r="E3467" s="6" t="s">
        <v>23</v>
      </c>
      <c r="F3467" s="6" t="str">
        <f>MID(A3467,19,1)</f>
        <v>C</v>
      </c>
      <c r="G3467" s="6">
        <v>-22.49356878713624</v>
      </c>
      <c r="H3467" s="6">
        <v>-47.399340024529387</v>
      </c>
      <c r="I3467" s="9">
        <v>9186.67</v>
      </c>
      <c r="J3467" s="9">
        <f t="shared" si="428"/>
        <v>18.373339999999999</v>
      </c>
      <c r="K3467" s="6">
        <v>3.2</v>
      </c>
      <c r="L3467" s="6">
        <v>50</v>
      </c>
      <c r="N3467" s="1">
        <f t="shared" si="426"/>
        <v>0</v>
      </c>
      <c r="O3467" s="6" t="s">
        <v>20</v>
      </c>
      <c r="Q3467" s="6" t="s">
        <v>21</v>
      </c>
      <c r="R3467" s="6" t="s">
        <v>21</v>
      </c>
      <c r="S3467" s="6" t="s">
        <v>21</v>
      </c>
      <c r="T3467" s="6" t="s">
        <v>21</v>
      </c>
      <c r="U3467" s="6">
        <f t="shared" si="427"/>
        <v>4593.335</v>
      </c>
      <c r="V3467" s="6">
        <f t="shared" si="424"/>
        <v>4593.335</v>
      </c>
    </row>
    <row r="3468" spans="1:22" x14ac:dyDescent="0.35">
      <c r="A3468" s="6" t="s">
        <v>3799</v>
      </c>
      <c r="B3468" s="6" t="s">
        <v>3789</v>
      </c>
      <c r="C3468" s="6" t="s">
        <v>3790</v>
      </c>
      <c r="D3468" s="6">
        <f t="shared" si="419"/>
        <v>0.5</v>
      </c>
      <c r="E3468" s="6" t="s">
        <v>19</v>
      </c>
      <c r="F3468" s="6" t="str">
        <f>MID(A3468,19,1)</f>
        <v>N</v>
      </c>
      <c r="G3468" s="6">
        <v>-22.494162649892289</v>
      </c>
      <c r="H3468" s="6">
        <v>-47.399662295081868</v>
      </c>
      <c r="I3468" s="9">
        <v>169.15</v>
      </c>
      <c r="K3468" s="6">
        <v>4.33</v>
      </c>
      <c r="L3468" s="6">
        <v>50</v>
      </c>
      <c r="N3468" s="1">
        <f t="shared" si="426"/>
        <v>0</v>
      </c>
      <c r="O3468" s="6" t="s">
        <v>20</v>
      </c>
      <c r="Q3468" s="6" t="s">
        <v>21</v>
      </c>
      <c r="R3468" s="6" t="s">
        <v>21</v>
      </c>
      <c r="S3468" s="6" t="s">
        <v>21</v>
      </c>
      <c r="T3468" s="6" t="s">
        <v>21</v>
      </c>
      <c r="U3468" s="6">
        <f t="shared" si="427"/>
        <v>84.575000000000003</v>
      </c>
      <c r="V3468" s="6">
        <f t="shared" si="424"/>
        <v>84.575000000000003</v>
      </c>
    </row>
    <row r="3469" spans="1:22" hidden="1" x14ac:dyDescent="0.35">
      <c r="A3469" s="6" t="s">
        <v>3800</v>
      </c>
      <c r="B3469" s="6" t="s">
        <v>3789</v>
      </c>
      <c r="C3469" s="6" t="s">
        <v>3790</v>
      </c>
      <c r="D3469" s="6">
        <f t="shared" si="419"/>
        <v>0.5</v>
      </c>
      <c r="E3469" s="6" t="s">
        <v>23</v>
      </c>
      <c r="F3469" s="6" t="str">
        <f>MID(A3469,19,1)</f>
        <v>C</v>
      </c>
      <c r="G3469" s="6">
        <v>-22.500299395786019</v>
      </c>
      <c r="H3469" s="6">
        <v>-47.399908599852438</v>
      </c>
      <c r="I3469" s="9">
        <v>5492.28</v>
      </c>
      <c r="J3469" s="9">
        <f>I3469/500</f>
        <v>10.98456</v>
      </c>
      <c r="K3469" s="6">
        <v>1.97</v>
      </c>
      <c r="L3469" s="6">
        <v>50</v>
      </c>
      <c r="N3469" s="1">
        <f t="shared" si="426"/>
        <v>0</v>
      </c>
      <c r="O3469" s="6" t="s">
        <v>20</v>
      </c>
      <c r="Q3469" s="6" t="s">
        <v>21</v>
      </c>
      <c r="R3469" s="6" t="s">
        <v>21</v>
      </c>
      <c r="S3469" s="6" t="s">
        <v>21</v>
      </c>
      <c r="T3469" s="6" t="s">
        <v>21</v>
      </c>
      <c r="U3469" s="6">
        <f t="shared" si="427"/>
        <v>2746.14</v>
      </c>
      <c r="V3469" s="6">
        <f t="shared" si="424"/>
        <v>2746.14</v>
      </c>
    </row>
    <row r="3470" spans="1:22" hidden="1" x14ac:dyDescent="0.35">
      <c r="A3470" s="6" t="s">
        <v>3801</v>
      </c>
      <c r="B3470" s="6" t="s">
        <v>3789</v>
      </c>
      <c r="C3470" s="6" t="s">
        <v>3790</v>
      </c>
      <c r="D3470" s="6">
        <f t="shared" ref="D3470:D3533" si="429">C3470-B3470</f>
        <v>0.5</v>
      </c>
      <c r="E3470" s="6" t="s">
        <v>19</v>
      </c>
      <c r="F3470" s="6" t="str">
        <f>MID(A3470,19,1)</f>
        <v>S</v>
      </c>
      <c r="G3470" s="6">
        <v>-22.605486281016379</v>
      </c>
      <c r="H3470" s="6">
        <v>-47.458459788925303</v>
      </c>
      <c r="I3470" s="9">
        <v>5558.76</v>
      </c>
      <c r="K3470" s="6">
        <v>1.63</v>
      </c>
      <c r="L3470" s="6">
        <v>80</v>
      </c>
      <c r="N3470" s="1">
        <f t="shared" si="426"/>
        <v>0</v>
      </c>
      <c r="O3470" s="6" t="s">
        <v>20</v>
      </c>
      <c r="Q3470" s="6" t="s">
        <v>21</v>
      </c>
      <c r="R3470" s="6" t="s">
        <v>21</v>
      </c>
      <c r="S3470" s="6" t="s">
        <v>21</v>
      </c>
      <c r="T3470" s="6" t="s">
        <v>21</v>
      </c>
      <c r="U3470" s="6">
        <f t="shared" si="427"/>
        <v>4447.0080000000007</v>
      </c>
      <c r="V3470" s="6">
        <f t="shared" si="424"/>
        <v>4447.0080000000007</v>
      </c>
    </row>
    <row r="3471" spans="1:22" x14ac:dyDescent="0.35">
      <c r="A3471" s="6" t="s">
        <v>3802</v>
      </c>
      <c r="B3471" s="6" t="s">
        <v>3789</v>
      </c>
      <c r="C3471" s="6" t="s">
        <v>3790</v>
      </c>
      <c r="D3471" s="6">
        <f t="shared" si="429"/>
        <v>0.5</v>
      </c>
      <c r="E3471" s="6" t="s">
        <v>19</v>
      </c>
      <c r="F3471" s="6" t="str">
        <f>MID(A3471,19,1)</f>
        <v>N</v>
      </c>
      <c r="G3471" s="6">
        <v>-22.49844136184544</v>
      </c>
      <c r="H3471" s="6">
        <v>-47.399788448621287</v>
      </c>
      <c r="I3471" s="9">
        <v>2233.0300000000002</v>
      </c>
      <c r="K3471" s="6">
        <v>2.57</v>
      </c>
      <c r="L3471" s="6">
        <v>50</v>
      </c>
      <c r="N3471" s="1">
        <f t="shared" si="426"/>
        <v>0</v>
      </c>
      <c r="O3471" s="6" t="s">
        <v>20</v>
      </c>
      <c r="Q3471" s="6" t="s">
        <v>21</v>
      </c>
      <c r="R3471" s="6" t="s">
        <v>21</v>
      </c>
      <c r="S3471" s="6" t="s">
        <v>21</v>
      </c>
      <c r="T3471" s="6" t="s">
        <v>21</v>
      </c>
      <c r="U3471" s="6">
        <f t="shared" si="427"/>
        <v>1116.5150000000001</v>
      </c>
      <c r="V3471" s="6">
        <f t="shared" si="424"/>
        <v>1116.5150000000001</v>
      </c>
    </row>
    <row r="3472" spans="1:22" hidden="1" x14ac:dyDescent="0.35">
      <c r="A3472" s="6" t="s">
        <v>3803</v>
      </c>
      <c r="B3472" s="6" t="s">
        <v>3789</v>
      </c>
      <c r="C3472" s="6" t="s">
        <v>3790</v>
      </c>
      <c r="D3472" s="6">
        <f t="shared" si="429"/>
        <v>0.5</v>
      </c>
      <c r="E3472" s="6" t="s">
        <v>19</v>
      </c>
      <c r="F3472" s="6" t="str">
        <f>MID(A3472,19,1)</f>
        <v>S</v>
      </c>
      <c r="G3472" s="6">
        <v>-22.493555619882489</v>
      </c>
      <c r="H3472" s="6">
        <v>-47.399121512980898</v>
      </c>
      <c r="I3472" s="9">
        <v>2152.58</v>
      </c>
      <c r="K3472" s="6">
        <v>3.67</v>
      </c>
      <c r="L3472" s="6">
        <v>50</v>
      </c>
      <c r="N3472" s="1">
        <f t="shared" si="426"/>
        <v>0</v>
      </c>
      <c r="O3472" s="6" t="s">
        <v>20</v>
      </c>
      <c r="Q3472" s="6" t="s">
        <v>21</v>
      </c>
      <c r="R3472" s="6" t="s">
        <v>21</v>
      </c>
      <c r="S3472" s="6" t="s">
        <v>21</v>
      </c>
      <c r="T3472" s="6" t="s">
        <v>21</v>
      </c>
      <c r="U3472" s="6">
        <f t="shared" si="427"/>
        <v>1076.29</v>
      </c>
      <c r="V3472" s="6">
        <f t="shared" si="424"/>
        <v>1076.29</v>
      </c>
    </row>
    <row r="3473" spans="1:22" hidden="1" x14ac:dyDescent="0.35">
      <c r="A3473" s="6" t="s">
        <v>3804</v>
      </c>
      <c r="B3473" s="6" t="s">
        <v>3789</v>
      </c>
      <c r="C3473" s="6" t="s">
        <v>3790</v>
      </c>
      <c r="D3473" s="6">
        <f t="shared" si="429"/>
        <v>0.5</v>
      </c>
      <c r="E3473" s="6" t="s">
        <v>19</v>
      </c>
      <c r="F3473" s="6" t="str">
        <f>MID(A3473,19,1)</f>
        <v>S</v>
      </c>
      <c r="G3473" s="6">
        <v>-22.500516618384431</v>
      </c>
      <c r="H3473" s="6">
        <v>-47.39838418646297</v>
      </c>
      <c r="I3473" s="9">
        <v>6998.88</v>
      </c>
      <c r="K3473" s="6">
        <v>2.4</v>
      </c>
      <c r="L3473" s="6">
        <v>50</v>
      </c>
      <c r="N3473" s="1">
        <f t="shared" si="426"/>
        <v>0</v>
      </c>
      <c r="O3473" s="6" t="s">
        <v>20</v>
      </c>
      <c r="Q3473" s="6" t="s">
        <v>21</v>
      </c>
      <c r="R3473" s="6" t="s">
        <v>21</v>
      </c>
      <c r="S3473" s="6" t="s">
        <v>21</v>
      </c>
      <c r="T3473" s="6" t="s">
        <v>21</v>
      </c>
      <c r="U3473" s="6">
        <f t="shared" si="427"/>
        <v>3499.44</v>
      </c>
      <c r="V3473" s="6">
        <f t="shared" si="424"/>
        <v>3499.44</v>
      </c>
    </row>
    <row r="3474" spans="1:22" hidden="1" x14ac:dyDescent="0.35">
      <c r="A3474" s="6" t="s">
        <v>3805</v>
      </c>
      <c r="B3474" s="6" t="s">
        <v>3789</v>
      </c>
      <c r="C3474" s="6" t="s">
        <v>3790</v>
      </c>
      <c r="D3474" s="6">
        <f t="shared" si="429"/>
        <v>0.5</v>
      </c>
      <c r="E3474" s="6" t="s">
        <v>19</v>
      </c>
      <c r="F3474" s="6" t="str">
        <f>MID(A3474,19,1)</f>
        <v>S</v>
      </c>
      <c r="G3474" s="6">
        <v>-22.605439878973911</v>
      </c>
      <c r="H3474" s="6">
        <v>-47.458638370868037</v>
      </c>
      <c r="I3474" s="9">
        <v>1758.04</v>
      </c>
      <c r="K3474" s="6">
        <v>2.1</v>
      </c>
      <c r="L3474" s="6">
        <v>70</v>
      </c>
      <c r="N3474" s="1">
        <f t="shared" si="426"/>
        <v>0</v>
      </c>
      <c r="O3474" s="6" t="s">
        <v>20</v>
      </c>
      <c r="Q3474" s="6" t="s">
        <v>21</v>
      </c>
      <c r="R3474" s="6" t="s">
        <v>21</v>
      </c>
      <c r="S3474" s="6" t="s">
        <v>21</v>
      </c>
      <c r="T3474" s="6" t="s">
        <v>21</v>
      </c>
      <c r="U3474" s="6">
        <f t="shared" si="427"/>
        <v>1230.6279999999999</v>
      </c>
      <c r="V3474" s="6">
        <f t="shared" si="424"/>
        <v>1230.6279999999999</v>
      </c>
    </row>
    <row r="3475" spans="1:22" hidden="1" x14ac:dyDescent="0.35">
      <c r="A3475" s="6" t="s">
        <v>3806</v>
      </c>
      <c r="B3475" s="6" t="s">
        <v>3789</v>
      </c>
      <c r="C3475" s="6" t="s">
        <v>3790</v>
      </c>
      <c r="D3475" s="6">
        <f t="shared" si="429"/>
        <v>0.5</v>
      </c>
      <c r="E3475" s="6" t="s">
        <v>19</v>
      </c>
      <c r="F3475" s="6" t="str">
        <f>MID(A3475,19,1)</f>
        <v>S</v>
      </c>
      <c r="G3475" s="6">
        <v>-22.601380221664961</v>
      </c>
      <c r="H3475" s="6">
        <v>-47.456545560432147</v>
      </c>
      <c r="I3475" s="9">
        <v>5863.12</v>
      </c>
      <c r="K3475" s="6">
        <v>2.65</v>
      </c>
      <c r="L3475" s="6">
        <v>80</v>
      </c>
      <c r="N3475" s="1">
        <f t="shared" si="426"/>
        <v>0</v>
      </c>
      <c r="O3475" s="6" t="s">
        <v>20</v>
      </c>
      <c r="Q3475" s="6" t="s">
        <v>21</v>
      </c>
      <c r="R3475" s="6" t="s">
        <v>21</v>
      </c>
      <c r="S3475" s="6" t="s">
        <v>21</v>
      </c>
      <c r="T3475" s="6" t="s">
        <v>21</v>
      </c>
      <c r="U3475" s="6">
        <f t="shared" si="427"/>
        <v>4690.4960000000001</v>
      </c>
      <c r="V3475" s="6">
        <f t="shared" si="424"/>
        <v>4690.4960000000001</v>
      </c>
    </row>
    <row r="3476" spans="1:22" x14ac:dyDescent="0.35">
      <c r="A3476" s="6" t="s">
        <v>3807</v>
      </c>
      <c r="B3476" s="6" t="s">
        <v>3808</v>
      </c>
      <c r="C3476" s="6" t="s">
        <v>3809</v>
      </c>
      <c r="D3476" s="6">
        <f t="shared" si="429"/>
        <v>0.5</v>
      </c>
      <c r="E3476" s="6" t="s">
        <v>19</v>
      </c>
      <c r="F3476" s="6" t="str">
        <f>MID(A3476,19,1)</f>
        <v>N</v>
      </c>
      <c r="G3476" s="6">
        <v>-22.59275140495286</v>
      </c>
      <c r="H3476" s="6">
        <v>-47.454627363758142</v>
      </c>
      <c r="I3476" s="9">
        <v>1966.91</v>
      </c>
      <c r="K3476" s="6">
        <v>2.81</v>
      </c>
      <c r="L3476" s="6">
        <v>70</v>
      </c>
      <c r="N3476" s="1">
        <f t="shared" si="426"/>
        <v>0</v>
      </c>
      <c r="O3476" s="6" t="s">
        <v>20</v>
      </c>
      <c r="Q3476" s="6" t="s">
        <v>21</v>
      </c>
      <c r="R3476" s="6" t="s">
        <v>21</v>
      </c>
      <c r="S3476" s="6" t="s">
        <v>21</v>
      </c>
      <c r="T3476" s="6" t="s">
        <v>21</v>
      </c>
      <c r="U3476" s="6">
        <f t="shared" si="427"/>
        <v>1376.837</v>
      </c>
      <c r="V3476" s="6">
        <f t="shared" si="424"/>
        <v>1376.837</v>
      </c>
    </row>
    <row r="3477" spans="1:22" x14ac:dyDescent="0.35">
      <c r="A3477" s="6" t="s">
        <v>3810</v>
      </c>
      <c r="B3477" s="6" t="s">
        <v>3808</v>
      </c>
      <c r="C3477" s="6" t="s">
        <v>3809</v>
      </c>
      <c r="D3477" s="6">
        <f t="shared" si="429"/>
        <v>0.5</v>
      </c>
      <c r="E3477" s="6" t="s">
        <v>19</v>
      </c>
      <c r="F3477" s="6" t="str">
        <f>MID(A3477,19,1)</f>
        <v>N</v>
      </c>
      <c r="G3477" s="6">
        <v>-22.48908381676415</v>
      </c>
      <c r="H3477" s="6">
        <v>-47.399502815388942</v>
      </c>
      <c r="I3477" s="9">
        <v>1884.86</v>
      </c>
      <c r="K3477" s="6">
        <v>2.0099999999999998</v>
      </c>
      <c r="L3477" s="6">
        <v>50</v>
      </c>
      <c r="N3477" s="1">
        <f t="shared" si="426"/>
        <v>0</v>
      </c>
      <c r="O3477" s="6" t="s">
        <v>20</v>
      </c>
      <c r="Q3477" s="6" t="s">
        <v>21</v>
      </c>
      <c r="R3477" s="6" t="s">
        <v>21</v>
      </c>
      <c r="S3477" s="6" t="s">
        <v>21</v>
      </c>
      <c r="T3477" s="6" t="s">
        <v>21</v>
      </c>
      <c r="U3477" s="6">
        <f t="shared" si="427"/>
        <v>942.43</v>
      </c>
      <c r="V3477" s="6">
        <f t="shared" si="424"/>
        <v>942.43</v>
      </c>
    </row>
    <row r="3478" spans="1:22" x14ac:dyDescent="0.35">
      <c r="A3478" s="6" t="s">
        <v>3811</v>
      </c>
      <c r="B3478" s="6" t="s">
        <v>3808</v>
      </c>
      <c r="C3478" s="6" t="s">
        <v>3809</v>
      </c>
      <c r="D3478" s="6">
        <f t="shared" si="429"/>
        <v>0.5</v>
      </c>
      <c r="E3478" s="6" t="s">
        <v>19</v>
      </c>
      <c r="F3478" s="6" t="str">
        <f>MID(A3478,19,1)</f>
        <v>N</v>
      </c>
      <c r="G3478" s="6">
        <v>-22.487200293092069</v>
      </c>
      <c r="H3478" s="6">
        <v>-47.399571294599781</v>
      </c>
      <c r="I3478" s="9">
        <v>1.36</v>
      </c>
      <c r="K3478" s="6">
        <v>0.33</v>
      </c>
      <c r="L3478" s="6">
        <v>0</v>
      </c>
      <c r="N3478" s="1">
        <f t="shared" si="426"/>
        <v>0</v>
      </c>
      <c r="Q3478" s="6" t="s">
        <v>21</v>
      </c>
      <c r="R3478" s="6" t="s">
        <v>21</v>
      </c>
      <c r="S3478" s="6" t="s">
        <v>21</v>
      </c>
      <c r="T3478" s="6" t="s">
        <v>21</v>
      </c>
      <c r="U3478" s="6">
        <f t="shared" si="427"/>
        <v>0</v>
      </c>
      <c r="V3478" s="6">
        <f t="shared" si="424"/>
        <v>0</v>
      </c>
    </row>
    <row r="3479" spans="1:22" hidden="1" x14ac:dyDescent="0.35">
      <c r="A3479" s="6" t="s">
        <v>3812</v>
      </c>
      <c r="B3479" s="6" t="s">
        <v>3808</v>
      </c>
      <c r="C3479" s="6" t="s">
        <v>3809</v>
      </c>
      <c r="D3479" s="6">
        <f t="shared" si="429"/>
        <v>0.5</v>
      </c>
      <c r="E3479" s="6" t="s">
        <v>23</v>
      </c>
      <c r="F3479" s="6" t="str">
        <f>MID(A3479,19,1)</f>
        <v>C</v>
      </c>
      <c r="G3479" s="6">
        <v>-22.591937942958491</v>
      </c>
      <c r="H3479" s="6">
        <v>-47.454922381711107</v>
      </c>
      <c r="I3479" s="9">
        <v>2558.6999999999998</v>
      </c>
      <c r="J3479" s="9">
        <f t="shared" ref="J3479:J3481" si="430">I3479/500</f>
        <v>5.1173999999999999</v>
      </c>
      <c r="K3479" s="6">
        <v>2.92</v>
      </c>
      <c r="L3479" s="6">
        <v>70</v>
      </c>
      <c r="N3479" s="1">
        <f t="shared" si="426"/>
        <v>0</v>
      </c>
      <c r="O3479" s="6" t="s">
        <v>20</v>
      </c>
      <c r="Q3479" s="6" t="s">
        <v>21</v>
      </c>
      <c r="R3479" s="6" t="s">
        <v>21</v>
      </c>
      <c r="S3479" s="6" t="s">
        <v>21</v>
      </c>
      <c r="T3479" s="6" t="s">
        <v>21</v>
      </c>
      <c r="U3479" s="6">
        <f t="shared" si="427"/>
        <v>1791.0899999999997</v>
      </c>
      <c r="V3479" s="6">
        <f t="shared" si="424"/>
        <v>1791.0899999999997</v>
      </c>
    </row>
    <row r="3480" spans="1:22" hidden="1" x14ac:dyDescent="0.35">
      <c r="A3480" s="6" t="s">
        <v>3813</v>
      </c>
      <c r="B3480" s="6" t="s">
        <v>3808</v>
      </c>
      <c r="C3480" s="6" t="s">
        <v>3809</v>
      </c>
      <c r="D3480" s="6">
        <f t="shared" si="429"/>
        <v>0.5</v>
      </c>
      <c r="E3480" s="6" t="s">
        <v>23</v>
      </c>
      <c r="F3480" s="6" t="str">
        <f>MID(A3480,19,1)</f>
        <v>C</v>
      </c>
      <c r="G3480" s="6">
        <v>-22.483874473001851</v>
      </c>
      <c r="H3480" s="6">
        <v>-47.399642179787939</v>
      </c>
      <c r="I3480" s="9">
        <v>1520.32</v>
      </c>
      <c r="J3480" s="9">
        <f t="shared" si="430"/>
        <v>3.0406399999999998</v>
      </c>
      <c r="K3480" s="6">
        <v>3.53</v>
      </c>
      <c r="L3480" s="6">
        <v>50</v>
      </c>
      <c r="N3480" s="1">
        <f t="shared" si="426"/>
        <v>0</v>
      </c>
      <c r="O3480" s="6" t="s">
        <v>20</v>
      </c>
      <c r="Q3480" s="6" t="s">
        <v>21</v>
      </c>
      <c r="R3480" s="6" t="s">
        <v>21</v>
      </c>
      <c r="S3480" s="6" t="s">
        <v>21</v>
      </c>
      <c r="T3480" s="6" t="s">
        <v>21</v>
      </c>
      <c r="U3480" s="6">
        <f t="shared" si="427"/>
        <v>760.16</v>
      </c>
      <c r="V3480" s="6">
        <f t="shared" si="424"/>
        <v>760.16</v>
      </c>
    </row>
    <row r="3481" spans="1:22" hidden="1" x14ac:dyDescent="0.35">
      <c r="A3481" s="6" t="s">
        <v>3814</v>
      </c>
      <c r="B3481" s="6" t="s">
        <v>3808</v>
      </c>
      <c r="C3481" s="6" t="s">
        <v>3809</v>
      </c>
      <c r="D3481" s="6">
        <f t="shared" si="429"/>
        <v>0.5</v>
      </c>
      <c r="E3481" s="6" t="s">
        <v>23</v>
      </c>
      <c r="F3481" s="6" t="str">
        <f>MID(A3481,19,1)</f>
        <v>C</v>
      </c>
      <c r="G3481" s="6">
        <v>-22.489142429492631</v>
      </c>
      <c r="H3481" s="6">
        <v>-47.399278506904032</v>
      </c>
      <c r="I3481" s="9">
        <v>7638.09</v>
      </c>
      <c r="J3481" s="9">
        <f t="shared" si="430"/>
        <v>15.27618</v>
      </c>
      <c r="K3481" s="6">
        <v>2.14</v>
      </c>
      <c r="L3481" s="6">
        <v>50</v>
      </c>
      <c r="N3481" s="1">
        <f t="shared" si="426"/>
        <v>0</v>
      </c>
      <c r="O3481" s="6" t="s">
        <v>20</v>
      </c>
      <c r="Q3481" s="6" t="s">
        <v>21</v>
      </c>
      <c r="R3481" s="6" t="s">
        <v>21</v>
      </c>
      <c r="S3481" s="6" t="s">
        <v>21</v>
      </c>
      <c r="T3481" s="6" t="s">
        <v>21</v>
      </c>
      <c r="U3481" s="6">
        <f t="shared" si="427"/>
        <v>3819.0450000000001</v>
      </c>
      <c r="V3481" s="6">
        <f t="shared" si="424"/>
        <v>3819.0450000000001</v>
      </c>
    </row>
    <row r="3482" spans="1:22" hidden="1" x14ac:dyDescent="0.35">
      <c r="A3482" s="6" t="s">
        <v>3815</v>
      </c>
      <c r="B3482" s="6" t="s">
        <v>3808</v>
      </c>
      <c r="C3482" s="6" t="s">
        <v>3809</v>
      </c>
      <c r="D3482" s="6">
        <f t="shared" si="429"/>
        <v>0.5</v>
      </c>
      <c r="E3482" s="6" t="s">
        <v>19</v>
      </c>
      <c r="F3482" s="6" t="str">
        <f>MID(A3482,19,1)</f>
        <v>S</v>
      </c>
      <c r="G3482" s="6">
        <v>-22.48855101113795</v>
      </c>
      <c r="H3482" s="6">
        <v>-47.399021600192278</v>
      </c>
      <c r="I3482" s="9">
        <v>1261.7</v>
      </c>
      <c r="K3482" s="6">
        <v>1.89</v>
      </c>
      <c r="L3482" s="6">
        <v>50</v>
      </c>
      <c r="N3482" s="1">
        <f t="shared" si="426"/>
        <v>0</v>
      </c>
      <c r="O3482" s="6" t="s">
        <v>20</v>
      </c>
      <c r="Q3482" s="6" t="s">
        <v>21</v>
      </c>
      <c r="R3482" s="6" t="s">
        <v>21</v>
      </c>
      <c r="S3482" s="6" t="s">
        <v>21</v>
      </c>
      <c r="T3482" s="6" t="s">
        <v>21</v>
      </c>
      <c r="U3482" s="6">
        <f t="shared" si="427"/>
        <v>630.85</v>
      </c>
      <c r="V3482" s="6">
        <f t="shared" si="424"/>
        <v>630.85</v>
      </c>
    </row>
    <row r="3483" spans="1:22" hidden="1" x14ac:dyDescent="0.35">
      <c r="A3483" s="6" t="s">
        <v>3816</v>
      </c>
      <c r="B3483" s="6" t="s">
        <v>3808</v>
      </c>
      <c r="C3483" s="6" t="s">
        <v>3809</v>
      </c>
      <c r="D3483" s="6">
        <f t="shared" si="429"/>
        <v>0.5</v>
      </c>
      <c r="E3483" s="6" t="s">
        <v>19</v>
      </c>
      <c r="F3483" s="6" t="str">
        <f>MID(A3483,19,1)</f>
        <v>S</v>
      </c>
      <c r="G3483" s="6">
        <v>-22.484654048295852</v>
      </c>
      <c r="H3483" s="6">
        <v>-47.39900579597829</v>
      </c>
      <c r="I3483" s="9">
        <v>2192.83</v>
      </c>
      <c r="K3483" s="6">
        <v>2.36</v>
      </c>
      <c r="L3483" s="6">
        <v>50</v>
      </c>
      <c r="N3483" s="1">
        <f t="shared" si="426"/>
        <v>0</v>
      </c>
      <c r="O3483" s="6" t="s">
        <v>20</v>
      </c>
      <c r="Q3483" s="6" t="s">
        <v>21</v>
      </c>
      <c r="R3483" s="6" t="s">
        <v>21</v>
      </c>
      <c r="S3483" s="6" t="s">
        <v>21</v>
      </c>
      <c r="T3483" s="6" t="s">
        <v>21</v>
      </c>
      <c r="U3483" s="6">
        <f t="shared" si="427"/>
        <v>1096.415</v>
      </c>
      <c r="V3483" s="6">
        <f t="shared" si="424"/>
        <v>1096.415</v>
      </c>
    </row>
    <row r="3484" spans="1:22" hidden="1" x14ac:dyDescent="0.35">
      <c r="A3484" s="6" t="s">
        <v>3817</v>
      </c>
      <c r="B3484" s="6" t="s">
        <v>3808</v>
      </c>
      <c r="C3484" s="6" t="s">
        <v>3809</v>
      </c>
      <c r="D3484" s="6">
        <f t="shared" si="429"/>
        <v>0.5</v>
      </c>
      <c r="E3484" s="6" t="s">
        <v>19</v>
      </c>
      <c r="F3484" s="6" t="str">
        <f>MID(A3484,19,1)</f>
        <v>S</v>
      </c>
      <c r="G3484" s="6">
        <v>-22.490143306488459</v>
      </c>
      <c r="H3484" s="6">
        <v>-47.399006676233171</v>
      </c>
      <c r="I3484" s="9">
        <v>661.7</v>
      </c>
      <c r="K3484" s="6">
        <v>1.78</v>
      </c>
      <c r="L3484" s="6">
        <v>50</v>
      </c>
      <c r="N3484" s="1">
        <f t="shared" si="426"/>
        <v>0</v>
      </c>
      <c r="O3484" s="6" t="s">
        <v>20</v>
      </c>
      <c r="Q3484" s="6" t="s">
        <v>21</v>
      </c>
      <c r="R3484" s="6" t="s">
        <v>21</v>
      </c>
      <c r="S3484" s="6" t="s">
        <v>21</v>
      </c>
      <c r="T3484" s="6" t="s">
        <v>21</v>
      </c>
      <c r="U3484" s="6">
        <f t="shared" si="427"/>
        <v>330.85</v>
      </c>
      <c r="V3484" s="6">
        <f t="shared" si="424"/>
        <v>330.85</v>
      </c>
    </row>
    <row r="3485" spans="1:22" hidden="1" x14ac:dyDescent="0.35">
      <c r="A3485" s="6" t="s">
        <v>3818</v>
      </c>
      <c r="B3485" s="6" t="s">
        <v>3808</v>
      </c>
      <c r="C3485" s="6" t="s">
        <v>3809</v>
      </c>
      <c r="D3485" s="6">
        <f t="shared" si="429"/>
        <v>0.5</v>
      </c>
      <c r="E3485" s="6" t="s">
        <v>19</v>
      </c>
      <c r="F3485" s="6" t="str">
        <f>MID(A3485,19,1)</f>
        <v>S</v>
      </c>
      <c r="G3485" s="6">
        <v>-22.597203991232529</v>
      </c>
      <c r="H3485" s="6">
        <v>-47.454938565010671</v>
      </c>
      <c r="I3485" s="9">
        <v>5475.33</v>
      </c>
      <c r="K3485" s="6">
        <v>2.98</v>
      </c>
      <c r="L3485" s="6">
        <v>80</v>
      </c>
      <c r="N3485" s="1">
        <f t="shared" si="426"/>
        <v>0</v>
      </c>
      <c r="O3485" s="6" t="s">
        <v>20</v>
      </c>
      <c r="Q3485" s="6" t="s">
        <v>21</v>
      </c>
      <c r="R3485" s="6" t="s">
        <v>21</v>
      </c>
      <c r="S3485" s="6" t="s">
        <v>21</v>
      </c>
      <c r="T3485" s="6" t="s">
        <v>21</v>
      </c>
      <c r="U3485" s="6">
        <f t="shared" si="427"/>
        <v>4380.2640000000001</v>
      </c>
      <c r="V3485" s="6">
        <f t="shared" si="424"/>
        <v>4380.2640000000001</v>
      </c>
    </row>
    <row r="3486" spans="1:22" hidden="1" x14ac:dyDescent="0.35">
      <c r="A3486" s="6" t="s">
        <v>3819</v>
      </c>
      <c r="B3486" s="6" t="s">
        <v>3808</v>
      </c>
      <c r="C3486" s="6" t="s">
        <v>3809</v>
      </c>
      <c r="D3486" s="6">
        <f t="shared" si="429"/>
        <v>0.5</v>
      </c>
      <c r="E3486" s="6" t="s">
        <v>19</v>
      </c>
      <c r="F3486" s="6" t="str">
        <f>MID(A3486,19,1)</f>
        <v>S</v>
      </c>
      <c r="G3486" s="6">
        <v>-22.597182254194429</v>
      </c>
      <c r="H3486" s="6">
        <v>-47.455155524276442</v>
      </c>
      <c r="I3486" s="9">
        <v>1710.31</v>
      </c>
      <c r="K3486" s="6">
        <v>2.62</v>
      </c>
      <c r="L3486" s="6">
        <v>70</v>
      </c>
      <c r="N3486" s="1">
        <f t="shared" si="426"/>
        <v>0</v>
      </c>
      <c r="O3486" s="6" t="s">
        <v>20</v>
      </c>
      <c r="Q3486" s="6" t="s">
        <v>21</v>
      </c>
      <c r="R3486" s="6" t="s">
        <v>21</v>
      </c>
      <c r="S3486" s="6" t="s">
        <v>21</v>
      </c>
      <c r="T3486" s="6" t="s">
        <v>21</v>
      </c>
      <c r="U3486" s="6">
        <f t="shared" si="427"/>
        <v>1197.2169999999999</v>
      </c>
      <c r="V3486" s="6">
        <f t="shared" si="424"/>
        <v>1197.2169999999999</v>
      </c>
    </row>
    <row r="3487" spans="1:22" x14ac:dyDescent="0.35">
      <c r="A3487" s="6" t="s">
        <v>3820</v>
      </c>
      <c r="B3487" s="6" t="s">
        <v>3808</v>
      </c>
      <c r="C3487" s="6" t="s">
        <v>3809</v>
      </c>
      <c r="D3487" s="6">
        <f t="shared" si="429"/>
        <v>0.5</v>
      </c>
      <c r="E3487" s="6" t="s">
        <v>19</v>
      </c>
      <c r="F3487" s="6" t="str">
        <f>MID(A3487,19,1)</f>
        <v>N</v>
      </c>
      <c r="G3487" s="6">
        <v>-22.48715472092811</v>
      </c>
      <c r="H3487" s="6">
        <v>-47.399471110048303</v>
      </c>
      <c r="I3487" s="9">
        <v>7.51</v>
      </c>
      <c r="K3487" s="6">
        <v>0.33</v>
      </c>
      <c r="L3487" s="6">
        <v>0</v>
      </c>
      <c r="N3487" s="1">
        <f t="shared" si="426"/>
        <v>0</v>
      </c>
      <c r="Q3487" s="6" t="s">
        <v>21</v>
      </c>
      <c r="R3487" s="6" t="s">
        <v>21</v>
      </c>
      <c r="S3487" s="6" t="s">
        <v>21</v>
      </c>
      <c r="T3487" s="6" t="s">
        <v>21</v>
      </c>
      <c r="U3487" s="6">
        <f t="shared" si="427"/>
        <v>0</v>
      </c>
      <c r="V3487" s="6">
        <f t="shared" si="424"/>
        <v>0</v>
      </c>
    </row>
    <row r="3488" spans="1:22" x14ac:dyDescent="0.35">
      <c r="A3488" s="6" t="s">
        <v>3821</v>
      </c>
      <c r="B3488" s="6" t="s">
        <v>3808</v>
      </c>
      <c r="C3488" s="6" t="s">
        <v>3809</v>
      </c>
      <c r="D3488" s="6">
        <f t="shared" si="429"/>
        <v>0.5</v>
      </c>
      <c r="E3488" s="6" t="s">
        <v>19</v>
      </c>
      <c r="F3488" s="6" t="str">
        <f>MID(A3488,19,1)</f>
        <v>N</v>
      </c>
      <c r="G3488" s="6">
        <v>-22.59724684805364</v>
      </c>
      <c r="H3488" s="6">
        <v>-47.454750345475013</v>
      </c>
      <c r="I3488" s="9">
        <v>1763.85</v>
      </c>
      <c r="K3488" s="6">
        <v>2.82</v>
      </c>
      <c r="L3488" s="6">
        <v>70</v>
      </c>
      <c r="N3488" s="1">
        <f t="shared" si="426"/>
        <v>0</v>
      </c>
      <c r="O3488" s="6" t="s">
        <v>20</v>
      </c>
      <c r="Q3488" s="6" t="s">
        <v>21</v>
      </c>
      <c r="R3488" s="6" t="s">
        <v>21</v>
      </c>
      <c r="S3488" s="6" t="s">
        <v>21</v>
      </c>
      <c r="T3488" s="6" t="s">
        <v>21</v>
      </c>
      <c r="U3488" s="6">
        <f t="shared" si="427"/>
        <v>1234.6949999999999</v>
      </c>
      <c r="V3488" s="6">
        <f t="shared" si="424"/>
        <v>1234.6949999999999</v>
      </c>
    </row>
    <row r="3489" spans="1:22" x14ac:dyDescent="0.35">
      <c r="A3489" s="6" t="s">
        <v>3822</v>
      </c>
      <c r="B3489" s="6" t="s">
        <v>3808</v>
      </c>
      <c r="C3489" s="6" t="s">
        <v>3809</v>
      </c>
      <c r="D3489" s="6">
        <f t="shared" si="429"/>
        <v>0.5</v>
      </c>
      <c r="E3489" s="6" t="s">
        <v>19</v>
      </c>
      <c r="F3489" s="6" t="str">
        <f>MID(A3489,19,1)</f>
        <v>N</v>
      </c>
      <c r="G3489" s="6">
        <v>-22.486220030028321</v>
      </c>
      <c r="H3489" s="6">
        <v>-47.399506286579857</v>
      </c>
      <c r="I3489" s="9">
        <v>1594.09</v>
      </c>
      <c r="K3489" s="6">
        <v>1.52</v>
      </c>
      <c r="L3489" s="6">
        <v>50</v>
      </c>
      <c r="N3489" s="1">
        <f t="shared" si="426"/>
        <v>0</v>
      </c>
      <c r="O3489" s="6" t="s">
        <v>20</v>
      </c>
      <c r="Q3489" s="6" t="s">
        <v>21</v>
      </c>
      <c r="R3489" s="6" t="s">
        <v>21</v>
      </c>
      <c r="S3489" s="6" t="s">
        <v>21</v>
      </c>
      <c r="T3489" s="6" t="s">
        <v>21</v>
      </c>
      <c r="U3489" s="6">
        <f t="shared" si="427"/>
        <v>797.04499999999996</v>
      </c>
      <c r="V3489" s="6">
        <f t="shared" si="424"/>
        <v>797.04499999999996</v>
      </c>
    </row>
    <row r="3490" spans="1:22" hidden="1" x14ac:dyDescent="0.35">
      <c r="A3490" s="6" t="s">
        <v>3823</v>
      </c>
      <c r="B3490" s="6" t="s">
        <v>3808</v>
      </c>
      <c r="C3490" s="6" t="s">
        <v>3809</v>
      </c>
      <c r="D3490" s="6">
        <f t="shared" si="429"/>
        <v>0.5</v>
      </c>
      <c r="E3490" s="6" t="s">
        <v>19</v>
      </c>
      <c r="F3490" s="6" t="str">
        <f>MID(A3490,19,1)</f>
        <v>S</v>
      </c>
      <c r="G3490" s="6">
        <v>-22.59284906561388</v>
      </c>
      <c r="H3490" s="6">
        <v>-47.454938300277682</v>
      </c>
      <c r="I3490" s="9">
        <v>5973.67</v>
      </c>
      <c r="K3490" s="6">
        <v>3.42</v>
      </c>
      <c r="L3490" s="6">
        <v>80</v>
      </c>
      <c r="N3490" s="1">
        <f t="shared" si="426"/>
        <v>0</v>
      </c>
      <c r="O3490" s="6" t="s">
        <v>20</v>
      </c>
      <c r="Q3490" s="6" t="s">
        <v>21</v>
      </c>
      <c r="R3490" s="6" t="s">
        <v>21</v>
      </c>
      <c r="S3490" s="6" t="s">
        <v>21</v>
      </c>
      <c r="T3490" s="6" t="s">
        <v>21</v>
      </c>
      <c r="U3490" s="6">
        <f t="shared" si="427"/>
        <v>4778.9360000000006</v>
      </c>
      <c r="V3490" s="6">
        <f t="shared" si="424"/>
        <v>4778.9360000000006</v>
      </c>
    </row>
    <row r="3491" spans="1:22" hidden="1" x14ac:dyDescent="0.35">
      <c r="A3491" s="6" t="s">
        <v>3824</v>
      </c>
      <c r="B3491" s="6" t="s">
        <v>3808</v>
      </c>
      <c r="C3491" s="6" t="s">
        <v>3809</v>
      </c>
      <c r="D3491" s="6">
        <f t="shared" si="429"/>
        <v>0.5</v>
      </c>
      <c r="E3491" s="6" t="s">
        <v>19</v>
      </c>
      <c r="F3491" s="6" t="str">
        <f>MID(A3491,19,1)</f>
        <v>S</v>
      </c>
      <c r="G3491" s="6">
        <v>-22.59208810765351</v>
      </c>
      <c r="H3491" s="6">
        <v>-47.455292203139919</v>
      </c>
      <c r="I3491" s="9">
        <v>2429.29</v>
      </c>
      <c r="K3491" s="6">
        <v>3.08</v>
      </c>
      <c r="L3491" s="6">
        <v>70</v>
      </c>
      <c r="N3491" s="1">
        <f t="shared" si="426"/>
        <v>0</v>
      </c>
      <c r="O3491" s="6" t="s">
        <v>20</v>
      </c>
      <c r="Q3491" s="6" t="s">
        <v>21</v>
      </c>
      <c r="R3491" s="6" t="s">
        <v>21</v>
      </c>
      <c r="S3491" s="6" t="s">
        <v>21</v>
      </c>
      <c r="T3491" s="6" t="s">
        <v>21</v>
      </c>
      <c r="U3491" s="6">
        <f t="shared" si="427"/>
        <v>1700.5029999999999</v>
      </c>
      <c r="V3491" s="6">
        <f t="shared" si="424"/>
        <v>1700.5029999999999</v>
      </c>
    </row>
    <row r="3492" spans="1:22" hidden="1" x14ac:dyDescent="0.35">
      <c r="A3492" s="6" t="s">
        <v>3825</v>
      </c>
      <c r="B3492" s="6" t="s">
        <v>3808</v>
      </c>
      <c r="C3492" s="6" t="s">
        <v>3809</v>
      </c>
      <c r="D3492" s="6">
        <f t="shared" si="429"/>
        <v>0.5</v>
      </c>
      <c r="E3492" s="6" t="s">
        <v>19</v>
      </c>
      <c r="F3492" s="6" t="str">
        <f>MID(A3492,19,1)</f>
        <v>S</v>
      </c>
      <c r="G3492" s="6">
        <v>-22.490718743026889</v>
      </c>
      <c r="H3492" s="6">
        <v>-47.399036505771093</v>
      </c>
      <c r="I3492" s="9">
        <v>366.23</v>
      </c>
      <c r="K3492" s="6">
        <v>3.1</v>
      </c>
      <c r="L3492" s="6">
        <v>50</v>
      </c>
      <c r="N3492" s="1">
        <f t="shared" si="426"/>
        <v>0</v>
      </c>
      <c r="O3492" s="6" t="s">
        <v>20</v>
      </c>
      <c r="Q3492" s="6" t="s">
        <v>21</v>
      </c>
      <c r="R3492" s="6" t="s">
        <v>21</v>
      </c>
      <c r="S3492" s="6" t="s">
        <v>21</v>
      </c>
      <c r="T3492" s="6" t="s">
        <v>21</v>
      </c>
      <c r="U3492" s="6">
        <f t="shared" si="427"/>
        <v>183.11500000000001</v>
      </c>
      <c r="V3492" s="6">
        <f t="shared" si="424"/>
        <v>183.11500000000001</v>
      </c>
    </row>
    <row r="3493" spans="1:22" hidden="1" x14ac:dyDescent="0.35">
      <c r="A3493" s="6" t="s">
        <v>3826</v>
      </c>
      <c r="B3493" s="6" t="s">
        <v>3808</v>
      </c>
      <c r="C3493" s="6" t="s">
        <v>3809</v>
      </c>
      <c r="D3493" s="6">
        <f t="shared" si="429"/>
        <v>0.5</v>
      </c>
      <c r="E3493" s="6" t="s">
        <v>19</v>
      </c>
      <c r="F3493" s="6" t="str">
        <f>MID(A3493,19,1)</f>
        <v>S</v>
      </c>
      <c r="G3493" s="6">
        <v>-22.5929615936262</v>
      </c>
      <c r="H3493" s="6">
        <v>-47.45524886559911</v>
      </c>
      <c r="I3493" s="9">
        <v>1796.07</v>
      </c>
      <c r="K3493" s="6">
        <v>3.51</v>
      </c>
      <c r="L3493" s="6">
        <v>70</v>
      </c>
      <c r="N3493" s="1">
        <f t="shared" si="426"/>
        <v>0</v>
      </c>
      <c r="O3493" s="6" t="s">
        <v>20</v>
      </c>
      <c r="Q3493" s="6" t="s">
        <v>21</v>
      </c>
      <c r="R3493" s="6" t="s">
        <v>21</v>
      </c>
      <c r="S3493" s="6" t="s">
        <v>21</v>
      </c>
      <c r="T3493" s="6" t="s">
        <v>21</v>
      </c>
      <c r="U3493" s="6">
        <f t="shared" si="427"/>
        <v>1257.2489999999998</v>
      </c>
      <c r="V3493" s="6">
        <f t="shared" si="424"/>
        <v>1257.2489999999998</v>
      </c>
    </row>
    <row r="3494" spans="1:22" hidden="1" x14ac:dyDescent="0.35">
      <c r="A3494" s="6" t="s">
        <v>3827</v>
      </c>
      <c r="B3494" s="6" t="s">
        <v>3808</v>
      </c>
      <c r="C3494" s="6" t="s">
        <v>3809</v>
      </c>
      <c r="D3494" s="6">
        <f t="shared" si="429"/>
        <v>0.5</v>
      </c>
      <c r="E3494" s="6" t="s">
        <v>23</v>
      </c>
      <c r="F3494" s="6" t="str">
        <f>MID(A3494,19,1)</f>
        <v>C</v>
      </c>
      <c r="G3494" s="6">
        <v>-22.483806435453989</v>
      </c>
      <c r="H3494" s="6">
        <v>-47.399348382084533</v>
      </c>
      <c r="I3494" s="9">
        <v>17957.82</v>
      </c>
      <c r="J3494" s="9">
        <f>I3494/500</f>
        <v>35.915639999999996</v>
      </c>
      <c r="K3494" s="6">
        <v>3.03</v>
      </c>
      <c r="L3494" s="6">
        <v>50</v>
      </c>
      <c r="N3494" s="1">
        <f t="shared" si="426"/>
        <v>0</v>
      </c>
      <c r="O3494" s="6" t="s">
        <v>20</v>
      </c>
      <c r="Q3494" s="6" t="s">
        <v>21</v>
      </c>
      <c r="R3494" s="6" t="s">
        <v>21</v>
      </c>
      <c r="S3494" s="6" t="s">
        <v>21</v>
      </c>
      <c r="T3494" s="6" t="s">
        <v>21</v>
      </c>
      <c r="U3494" s="6">
        <f t="shared" si="427"/>
        <v>8978.91</v>
      </c>
      <c r="V3494" s="6">
        <f t="shared" si="424"/>
        <v>8978.91</v>
      </c>
    </row>
    <row r="3495" spans="1:22" x14ac:dyDescent="0.35">
      <c r="A3495" s="6" t="s">
        <v>3828</v>
      </c>
      <c r="B3495" s="6" t="s">
        <v>3829</v>
      </c>
      <c r="C3495" s="6" t="s">
        <v>3830</v>
      </c>
      <c r="D3495" s="6">
        <f t="shared" si="429"/>
        <v>0.5</v>
      </c>
      <c r="E3495" s="6" t="s">
        <v>19</v>
      </c>
      <c r="F3495" s="6" t="str">
        <f>MID(A3495,19,1)</f>
        <v>N</v>
      </c>
      <c r="G3495" s="6">
        <v>-22.588261138754529</v>
      </c>
      <c r="H3495" s="6">
        <v>-47.456388426663281</v>
      </c>
      <c r="I3495" s="9">
        <v>4057.37</v>
      </c>
      <c r="K3495" s="6">
        <v>1.99</v>
      </c>
      <c r="L3495" s="6">
        <v>70</v>
      </c>
      <c r="N3495" s="1">
        <f t="shared" si="426"/>
        <v>0</v>
      </c>
      <c r="O3495" s="6" t="s">
        <v>20</v>
      </c>
      <c r="Q3495" s="6" t="s">
        <v>21</v>
      </c>
      <c r="R3495" s="6" t="s">
        <v>21</v>
      </c>
      <c r="S3495" s="6" t="s">
        <v>21</v>
      </c>
      <c r="T3495" s="6" t="s">
        <v>21</v>
      </c>
      <c r="U3495" s="6">
        <f t="shared" si="427"/>
        <v>2840.1589999999997</v>
      </c>
      <c r="V3495" s="6">
        <f t="shared" si="424"/>
        <v>2840.1589999999997</v>
      </c>
    </row>
    <row r="3496" spans="1:22" x14ac:dyDescent="0.35">
      <c r="A3496" s="6" t="s">
        <v>3831</v>
      </c>
      <c r="B3496" s="6" t="s">
        <v>3829</v>
      </c>
      <c r="C3496" s="6" t="s">
        <v>3830</v>
      </c>
      <c r="D3496" s="6">
        <f t="shared" si="429"/>
        <v>0.5</v>
      </c>
      <c r="E3496" s="6" t="s">
        <v>19</v>
      </c>
      <c r="F3496" s="6" t="str">
        <f>MID(A3496,19,1)</f>
        <v>N</v>
      </c>
      <c r="G3496" s="6">
        <v>-22.58591727768194</v>
      </c>
      <c r="H3496" s="6">
        <v>-47.457387159408427</v>
      </c>
      <c r="I3496" s="9">
        <v>213.09</v>
      </c>
      <c r="K3496" s="6">
        <v>1.72</v>
      </c>
      <c r="L3496" s="6">
        <v>70</v>
      </c>
      <c r="N3496" s="1">
        <f t="shared" si="426"/>
        <v>0</v>
      </c>
      <c r="O3496" s="6" t="s">
        <v>20</v>
      </c>
      <c r="Q3496" s="6" t="s">
        <v>21</v>
      </c>
      <c r="R3496" s="6" t="s">
        <v>21</v>
      </c>
      <c r="S3496" s="6" t="s">
        <v>21</v>
      </c>
      <c r="T3496" s="6" t="s">
        <v>21</v>
      </c>
      <c r="U3496" s="6">
        <f t="shared" si="427"/>
        <v>149.16299999999998</v>
      </c>
      <c r="V3496" s="6">
        <f t="shared" si="424"/>
        <v>149.16299999999998</v>
      </c>
    </row>
    <row r="3497" spans="1:22" hidden="1" x14ac:dyDescent="0.35">
      <c r="A3497" s="6" t="s">
        <v>3832</v>
      </c>
      <c r="B3497" s="6" t="s">
        <v>3829</v>
      </c>
      <c r="C3497" s="6" t="s">
        <v>3830</v>
      </c>
      <c r="D3497" s="6">
        <f t="shared" si="429"/>
        <v>0.5</v>
      </c>
      <c r="E3497" s="6" t="s">
        <v>19</v>
      </c>
      <c r="F3497" s="6" t="str">
        <f>MID(A3497,19,1)</f>
        <v>S</v>
      </c>
      <c r="G3497" s="6">
        <v>-22.589376871189099</v>
      </c>
      <c r="H3497" s="6">
        <v>-47.459008457293628</v>
      </c>
      <c r="I3497" s="9">
        <v>3775.11</v>
      </c>
      <c r="K3497" s="6">
        <v>3</v>
      </c>
      <c r="L3497" s="6">
        <v>70</v>
      </c>
      <c r="N3497" s="1">
        <f t="shared" si="426"/>
        <v>0</v>
      </c>
      <c r="O3497" s="6" t="s">
        <v>20</v>
      </c>
      <c r="Q3497" s="6" t="s">
        <v>21</v>
      </c>
      <c r="R3497" s="6" t="s">
        <v>21</v>
      </c>
      <c r="S3497" s="6" t="s">
        <v>21</v>
      </c>
      <c r="T3497" s="6" t="s">
        <v>21</v>
      </c>
      <c r="U3497" s="6">
        <f t="shared" si="427"/>
        <v>2642.5769999999998</v>
      </c>
      <c r="V3497" s="6">
        <f t="shared" si="424"/>
        <v>2642.5769999999998</v>
      </c>
    </row>
    <row r="3498" spans="1:22" hidden="1" x14ac:dyDescent="0.35">
      <c r="A3498" s="6" t="s">
        <v>3833</v>
      </c>
      <c r="B3498" s="6" t="s">
        <v>3829</v>
      </c>
      <c r="C3498" s="6" t="s">
        <v>3830</v>
      </c>
      <c r="D3498" s="6">
        <f t="shared" si="429"/>
        <v>0.5</v>
      </c>
      <c r="E3498" s="6" t="s">
        <v>23</v>
      </c>
      <c r="F3498" s="6" t="str">
        <f>MID(A3498,19,1)</f>
        <v>C</v>
      </c>
      <c r="G3498" s="6">
        <v>-22.591015582911499</v>
      </c>
      <c r="H3498" s="6">
        <v>-47.462665306482172</v>
      </c>
      <c r="I3498" s="9">
        <v>1284.49</v>
      </c>
      <c r="J3498" s="9">
        <f>I3498/500</f>
        <v>2.5689799999999998</v>
      </c>
      <c r="K3498" s="6">
        <v>2.41</v>
      </c>
      <c r="L3498" s="6">
        <v>0</v>
      </c>
      <c r="N3498" s="1">
        <f t="shared" si="426"/>
        <v>0</v>
      </c>
      <c r="Q3498" s="6" t="s">
        <v>21</v>
      </c>
      <c r="R3498" s="6" t="s">
        <v>21</v>
      </c>
      <c r="S3498" s="6" t="s">
        <v>21</v>
      </c>
      <c r="T3498" s="6" t="s">
        <v>21</v>
      </c>
      <c r="U3498" s="6">
        <f t="shared" si="427"/>
        <v>0</v>
      </c>
      <c r="V3498" s="6">
        <f t="shared" si="424"/>
        <v>0</v>
      </c>
    </row>
    <row r="3499" spans="1:22" x14ac:dyDescent="0.35">
      <c r="A3499" s="6" t="s">
        <v>3834</v>
      </c>
      <c r="B3499" s="6" t="s">
        <v>3829</v>
      </c>
      <c r="C3499" s="6" t="s">
        <v>3830</v>
      </c>
      <c r="D3499" s="6">
        <f t="shared" si="429"/>
        <v>0.5</v>
      </c>
      <c r="E3499" s="6" t="s">
        <v>19</v>
      </c>
      <c r="F3499" s="6" t="str">
        <f>MID(A3499,19,1)</f>
        <v>N</v>
      </c>
      <c r="G3499" s="6">
        <v>-22.481152129633131</v>
      </c>
      <c r="H3499" s="6">
        <v>-47.400395256115893</v>
      </c>
      <c r="I3499" s="9">
        <v>9415.26</v>
      </c>
      <c r="K3499" s="6">
        <v>4.1900000000000004</v>
      </c>
      <c r="L3499" s="6">
        <v>50</v>
      </c>
      <c r="N3499" s="1">
        <f t="shared" si="426"/>
        <v>0</v>
      </c>
      <c r="O3499" s="6" t="s">
        <v>20</v>
      </c>
      <c r="Q3499" s="6" t="s">
        <v>21</v>
      </c>
      <c r="R3499" s="6" t="s">
        <v>21</v>
      </c>
      <c r="S3499" s="6" t="s">
        <v>21</v>
      </c>
      <c r="T3499" s="6" t="s">
        <v>21</v>
      </c>
      <c r="U3499" s="6">
        <f t="shared" si="427"/>
        <v>4707.63</v>
      </c>
      <c r="V3499" s="6">
        <f t="shared" si="424"/>
        <v>4707.63</v>
      </c>
    </row>
    <row r="3500" spans="1:22" hidden="1" x14ac:dyDescent="0.35">
      <c r="A3500" s="6" t="s">
        <v>3835</v>
      </c>
      <c r="B3500" s="6" t="s">
        <v>3829</v>
      </c>
      <c r="C3500" s="6" t="s">
        <v>3830</v>
      </c>
      <c r="D3500" s="6">
        <f t="shared" si="429"/>
        <v>0.5</v>
      </c>
      <c r="E3500" s="6" t="s">
        <v>23</v>
      </c>
      <c r="F3500" s="6" t="str">
        <f>MID(A3500,19,1)</f>
        <v>C</v>
      </c>
      <c r="G3500" s="6">
        <v>-22.58837657751727</v>
      </c>
      <c r="H3500" s="6">
        <v>-47.456557696957162</v>
      </c>
      <c r="I3500" s="9">
        <v>6594.31</v>
      </c>
      <c r="J3500" s="9">
        <f>I3500/500</f>
        <v>13.18862</v>
      </c>
      <c r="K3500" s="6">
        <v>1.72</v>
      </c>
      <c r="L3500" s="6">
        <v>80</v>
      </c>
      <c r="N3500" s="1">
        <f t="shared" si="426"/>
        <v>0</v>
      </c>
      <c r="O3500" s="6" t="s">
        <v>20</v>
      </c>
      <c r="Q3500" s="6" t="s">
        <v>21</v>
      </c>
      <c r="R3500" s="6" t="s">
        <v>21</v>
      </c>
      <c r="S3500" s="6" t="s">
        <v>21</v>
      </c>
      <c r="T3500" s="6" t="s">
        <v>21</v>
      </c>
      <c r="U3500" s="6">
        <f t="shared" si="427"/>
        <v>5275.4480000000003</v>
      </c>
      <c r="V3500" s="6">
        <f t="shared" si="424"/>
        <v>5275.4480000000003</v>
      </c>
    </row>
    <row r="3501" spans="1:22" hidden="1" x14ac:dyDescent="0.35">
      <c r="A3501" s="6" t="s">
        <v>3836</v>
      </c>
      <c r="B3501" s="6" t="s">
        <v>3829</v>
      </c>
      <c r="C3501" s="6" t="s">
        <v>3830</v>
      </c>
      <c r="D3501" s="6">
        <f t="shared" si="429"/>
        <v>0.5</v>
      </c>
      <c r="E3501" s="6" t="s">
        <v>19</v>
      </c>
      <c r="F3501" s="6" t="str">
        <f>MID(A3501,19,1)</f>
        <v>S</v>
      </c>
      <c r="G3501" s="6">
        <v>-22.583689503821329</v>
      </c>
      <c r="H3501" s="6">
        <v>-47.458769032072723</v>
      </c>
      <c r="I3501" s="9">
        <v>4097.9399999999996</v>
      </c>
      <c r="K3501" s="6">
        <v>2.12</v>
      </c>
      <c r="L3501" s="6">
        <v>70</v>
      </c>
      <c r="N3501" s="1">
        <f t="shared" si="426"/>
        <v>0</v>
      </c>
      <c r="O3501" s="6" t="s">
        <v>20</v>
      </c>
      <c r="Q3501" s="6" t="s">
        <v>21</v>
      </c>
      <c r="R3501" s="6" t="s">
        <v>21</v>
      </c>
      <c r="S3501" s="6" t="s">
        <v>21</v>
      </c>
      <c r="T3501" s="6" t="s">
        <v>21</v>
      </c>
      <c r="U3501" s="6">
        <f t="shared" si="427"/>
        <v>2868.5579999999995</v>
      </c>
      <c r="V3501" s="6">
        <f t="shared" si="424"/>
        <v>2868.5579999999995</v>
      </c>
    </row>
    <row r="3502" spans="1:22" hidden="1" x14ac:dyDescent="0.35">
      <c r="A3502" s="6" t="s">
        <v>3837</v>
      </c>
      <c r="B3502" s="6" t="s">
        <v>3829</v>
      </c>
      <c r="C3502" s="6" t="s">
        <v>3830</v>
      </c>
      <c r="D3502" s="6">
        <f t="shared" si="429"/>
        <v>0.5</v>
      </c>
      <c r="E3502" s="6" t="s">
        <v>19</v>
      </c>
      <c r="F3502" s="6" t="str">
        <f>MID(A3502,19,1)</f>
        <v>S</v>
      </c>
      <c r="G3502" s="6">
        <v>-22.48101925419045</v>
      </c>
      <c r="H3502" s="6">
        <v>-47.399319640086283</v>
      </c>
      <c r="I3502" s="9">
        <v>12921.66</v>
      </c>
      <c r="K3502" s="6">
        <v>4.0599999999999996</v>
      </c>
      <c r="L3502" s="6">
        <v>50</v>
      </c>
      <c r="N3502" s="1">
        <f t="shared" si="426"/>
        <v>0</v>
      </c>
      <c r="O3502" s="6" t="s">
        <v>20</v>
      </c>
      <c r="Q3502" s="6" t="s">
        <v>21</v>
      </c>
      <c r="R3502" s="6" t="s">
        <v>21</v>
      </c>
      <c r="S3502" s="6" t="s">
        <v>21</v>
      </c>
      <c r="T3502" s="6" t="s">
        <v>21</v>
      </c>
      <c r="U3502" s="6">
        <f t="shared" si="427"/>
        <v>6460.83</v>
      </c>
      <c r="V3502" s="6">
        <f t="shared" si="424"/>
        <v>6460.83</v>
      </c>
    </row>
    <row r="3503" spans="1:22" x14ac:dyDescent="0.35">
      <c r="A3503" s="6" t="s">
        <v>3838</v>
      </c>
      <c r="B3503" s="6" t="s">
        <v>3829</v>
      </c>
      <c r="C3503" s="6" t="s">
        <v>3830</v>
      </c>
      <c r="D3503" s="6">
        <f t="shared" si="429"/>
        <v>0.5</v>
      </c>
      <c r="E3503" s="6" t="s">
        <v>19</v>
      </c>
      <c r="F3503" s="6" t="str">
        <f>MID(A3503,19,1)</f>
        <v>N</v>
      </c>
      <c r="G3503" s="6">
        <v>-22.47999069369051</v>
      </c>
      <c r="H3503" s="6">
        <v>-47.400431817594459</v>
      </c>
      <c r="I3503" s="9">
        <v>1616.57</v>
      </c>
      <c r="K3503" s="6">
        <v>5.0199999999999996</v>
      </c>
      <c r="L3503" s="6">
        <v>50</v>
      </c>
      <c r="N3503" s="1">
        <f t="shared" si="426"/>
        <v>0</v>
      </c>
      <c r="O3503" s="6" t="s">
        <v>20</v>
      </c>
      <c r="Q3503" s="6" t="s">
        <v>21</v>
      </c>
      <c r="R3503" s="6" t="s">
        <v>21</v>
      </c>
      <c r="S3503" s="6" t="s">
        <v>21</v>
      </c>
      <c r="T3503" s="6" t="s">
        <v>21</v>
      </c>
      <c r="U3503" s="6">
        <f t="shared" si="427"/>
        <v>808.28499999999997</v>
      </c>
      <c r="V3503" s="6">
        <f t="shared" si="424"/>
        <v>808.28499999999997</v>
      </c>
    </row>
    <row r="3504" spans="1:22" hidden="1" x14ac:dyDescent="0.35">
      <c r="A3504" s="6" t="s">
        <v>3839</v>
      </c>
      <c r="B3504" s="6" t="s">
        <v>3829</v>
      </c>
      <c r="C3504" s="6" t="s">
        <v>3830</v>
      </c>
      <c r="D3504" s="6">
        <f t="shared" si="429"/>
        <v>0.5</v>
      </c>
      <c r="E3504" s="6" t="s">
        <v>19</v>
      </c>
      <c r="F3504" s="6" t="str">
        <f>MID(A3504,19,1)</f>
        <v>S</v>
      </c>
      <c r="G3504" s="6">
        <v>-22.477730700869259</v>
      </c>
      <c r="H3504" s="6">
        <v>-47.399055724131131</v>
      </c>
      <c r="I3504" s="9">
        <v>322.39999999999998</v>
      </c>
      <c r="K3504" s="6">
        <v>1.79</v>
      </c>
      <c r="L3504" s="6">
        <v>50</v>
      </c>
      <c r="N3504" s="1">
        <f t="shared" si="426"/>
        <v>0</v>
      </c>
      <c r="O3504" s="6" t="s">
        <v>20</v>
      </c>
      <c r="Q3504" s="6" t="s">
        <v>21</v>
      </c>
      <c r="R3504" s="6" t="s">
        <v>21</v>
      </c>
      <c r="S3504" s="6" t="s">
        <v>21</v>
      </c>
      <c r="T3504" s="6" t="s">
        <v>21</v>
      </c>
      <c r="U3504" s="6">
        <f t="shared" si="427"/>
        <v>161.19999999999999</v>
      </c>
      <c r="V3504" s="6">
        <f t="shared" si="424"/>
        <v>161.19999999999999</v>
      </c>
    </row>
    <row r="3505" spans="1:22" x14ac:dyDescent="0.35">
      <c r="A3505" s="6" t="s">
        <v>3840</v>
      </c>
      <c r="B3505" s="6" t="s">
        <v>3829</v>
      </c>
      <c r="C3505" s="6" t="s">
        <v>3830</v>
      </c>
      <c r="D3505" s="6">
        <f t="shared" si="429"/>
        <v>0.5</v>
      </c>
      <c r="E3505" s="6" t="s">
        <v>19</v>
      </c>
      <c r="F3505" s="6" t="str">
        <f>MID(A3505,19,1)</f>
        <v>N</v>
      </c>
      <c r="G3505" s="6">
        <v>-22.47555792555406</v>
      </c>
      <c r="H3505" s="6">
        <v>-47.399546699656653</v>
      </c>
      <c r="I3505" s="9">
        <v>2085.4499999999998</v>
      </c>
      <c r="K3505" s="6">
        <v>3.44</v>
      </c>
      <c r="L3505" s="6">
        <v>50</v>
      </c>
      <c r="N3505" s="1">
        <f t="shared" si="426"/>
        <v>0</v>
      </c>
      <c r="O3505" s="6" t="s">
        <v>20</v>
      </c>
      <c r="Q3505" s="6" t="s">
        <v>21</v>
      </c>
      <c r="R3505" s="6" t="s">
        <v>21</v>
      </c>
      <c r="S3505" s="6" t="s">
        <v>21</v>
      </c>
      <c r="T3505" s="6" t="s">
        <v>21</v>
      </c>
      <c r="U3505" s="6">
        <f t="shared" si="427"/>
        <v>1042.7249999999999</v>
      </c>
      <c r="V3505" s="6">
        <f t="shared" ref="V3505:V3568" si="431">(I3505*(L3505/100))</f>
        <v>1042.7249999999999</v>
      </c>
    </row>
    <row r="3506" spans="1:22" hidden="1" x14ac:dyDescent="0.35">
      <c r="A3506" s="6" t="s">
        <v>3841</v>
      </c>
      <c r="B3506" s="6" t="s">
        <v>3829</v>
      </c>
      <c r="C3506" s="6" t="s">
        <v>3830</v>
      </c>
      <c r="D3506" s="6">
        <f t="shared" si="429"/>
        <v>0.5</v>
      </c>
      <c r="E3506" s="6" t="s">
        <v>19</v>
      </c>
      <c r="F3506" s="6" t="str">
        <f>MID(A3506,19,1)</f>
        <v>S</v>
      </c>
      <c r="G3506" s="6">
        <v>-22.587224267396309</v>
      </c>
      <c r="H3506" s="6">
        <v>-47.458002274192182</v>
      </c>
      <c r="I3506" s="9">
        <v>14556.91</v>
      </c>
      <c r="K3506" s="6">
        <v>1.67</v>
      </c>
      <c r="L3506" s="6">
        <v>70</v>
      </c>
      <c r="N3506" s="1">
        <f t="shared" si="426"/>
        <v>0</v>
      </c>
      <c r="O3506" s="6" t="s">
        <v>20</v>
      </c>
      <c r="Q3506" s="6" t="s">
        <v>21</v>
      </c>
      <c r="R3506" s="6" t="s">
        <v>21</v>
      </c>
      <c r="S3506" s="6" t="s">
        <v>21</v>
      </c>
      <c r="T3506" s="6" t="s">
        <v>21</v>
      </c>
      <c r="U3506" s="6">
        <f t="shared" si="427"/>
        <v>10189.837</v>
      </c>
      <c r="V3506" s="6">
        <f t="shared" si="431"/>
        <v>10189.837</v>
      </c>
    </row>
    <row r="3507" spans="1:22" hidden="1" x14ac:dyDescent="0.35">
      <c r="A3507" s="6" t="s">
        <v>3842</v>
      </c>
      <c r="B3507" s="6" t="s">
        <v>3829</v>
      </c>
      <c r="C3507" s="6" t="s">
        <v>3830</v>
      </c>
      <c r="D3507" s="6">
        <f t="shared" si="429"/>
        <v>0.5</v>
      </c>
      <c r="E3507" s="6" t="s">
        <v>19</v>
      </c>
      <c r="F3507" s="6" t="str">
        <f>MID(A3507,19,1)</f>
        <v>S</v>
      </c>
      <c r="G3507" s="6">
        <v>-22.586461913610471</v>
      </c>
      <c r="H3507" s="6">
        <v>-47.45887747533736</v>
      </c>
      <c r="I3507" s="9">
        <v>4448.78</v>
      </c>
      <c r="K3507" s="6">
        <v>1.33</v>
      </c>
      <c r="L3507" s="6">
        <v>70</v>
      </c>
      <c r="N3507" s="1">
        <f t="shared" si="426"/>
        <v>0</v>
      </c>
      <c r="O3507" s="6" t="s">
        <v>20</v>
      </c>
      <c r="Q3507" s="6" t="s">
        <v>21</v>
      </c>
      <c r="R3507" s="6" t="s">
        <v>21</v>
      </c>
      <c r="S3507" s="6" t="s">
        <v>21</v>
      </c>
      <c r="T3507" s="6" t="s">
        <v>21</v>
      </c>
      <c r="U3507" s="6">
        <f t="shared" si="427"/>
        <v>3114.1459999999997</v>
      </c>
      <c r="V3507" s="6">
        <f t="shared" si="431"/>
        <v>3114.1459999999997</v>
      </c>
    </row>
    <row r="3508" spans="1:22" hidden="1" x14ac:dyDescent="0.35">
      <c r="A3508" s="6" t="s">
        <v>3843</v>
      </c>
      <c r="B3508" s="6" t="s">
        <v>3829</v>
      </c>
      <c r="C3508" s="6" t="s">
        <v>3830</v>
      </c>
      <c r="D3508" s="6">
        <f t="shared" si="429"/>
        <v>0.5</v>
      </c>
      <c r="E3508" s="6" t="s">
        <v>19</v>
      </c>
      <c r="F3508" s="6" t="str">
        <f>MID(A3508,19,1)</f>
        <v>S</v>
      </c>
      <c r="G3508" s="6">
        <v>-22.585527919562221</v>
      </c>
      <c r="H3508" s="6">
        <v>-47.458878360831697</v>
      </c>
      <c r="I3508" s="9">
        <v>23809.32</v>
      </c>
      <c r="K3508" s="6">
        <v>2.31</v>
      </c>
      <c r="L3508" s="6">
        <v>70</v>
      </c>
      <c r="N3508" s="1">
        <f t="shared" si="426"/>
        <v>0</v>
      </c>
      <c r="O3508" s="6" t="s">
        <v>20</v>
      </c>
      <c r="Q3508" s="6" t="s">
        <v>21</v>
      </c>
      <c r="R3508" s="6" t="s">
        <v>21</v>
      </c>
      <c r="S3508" s="6" t="s">
        <v>21</v>
      </c>
      <c r="T3508" s="6" t="s">
        <v>21</v>
      </c>
      <c r="U3508" s="6">
        <f t="shared" si="427"/>
        <v>16666.523999999998</v>
      </c>
      <c r="V3508" s="6">
        <f t="shared" si="431"/>
        <v>16666.523999999998</v>
      </c>
    </row>
    <row r="3509" spans="1:22" hidden="1" x14ac:dyDescent="0.35">
      <c r="A3509" s="6" t="s">
        <v>3844</v>
      </c>
      <c r="B3509" s="6" t="s">
        <v>3829</v>
      </c>
      <c r="C3509" s="6" t="s">
        <v>3830</v>
      </c>
      <c r="D3509" s="6">
        <f t="shared" si="429"/>
        <v>0.5</v>
      </c>
      <c r="E3509" s="6" t="s">
        <v>19</v>
      </c>
      <c r="F3509" s="6" t="str">
        <f>MID(A3509,19,1)</f>
        <v>S</v>
      </c>
      <c r="G3509" s="6">
        <v>-22.58936624604106</v>
      </c>
      <c r="H3509" s="6">
        <v>-47.460874917071607</v>
      </c>
      <c r="I3509" s="9">
        <v>5909.38</v>
      </c>
      <c r="K3509" s="6">
        <v>2.9</v>
      </c>
      <c r="L3509" s="6">
        <v>0</v>
      </c>
      <c r="N3509" s="1">
        <f t="shared" si="426"/>
        <v>0</v>
      </c>
      <c r="Q3509" s="6" t="s">
        <v>21</v>
      </c>
      <c r="R3509" s="6" t="s">
        <v>21</v>
      </c>
      <c r="S3509" s="6" t="s">
        <v>21</v>
      </c>
      <c r="T3509" s="6" t="s">
        <v>21</v>
      </c>
      <c r="U3509" s="6">
        <f t="shared" si="427"/>
        <v>0</v>
      </c>
      <c r="V3509" s="6">
        <f t="shared" si="431"/>
        <v>0</v>
      </c>
    </row>
    <row r="3510" spans="1:22" hidden="1" x14ac:dyDescent="0.35">
      <c r="A3510" s="6" t="s">
        <v>3845</v>
      </c>
      <c r="B3510" s="6" t="s">
        <v>3829</v>
      </c>
      <c r="C3510" s="6" t="s">
        <v>3830</v>
      </c>
      <c r="D3510" s="6">
        <f t="shared" si="429"/>
        <v>0.5</v>
      </c>
      <c r="E3510" s="6" t="s">
        <v>19</v>
      </c>
      <c r="F3510" s="6" t="str">
        <f>MID(A3510,19,1)</f>
        <v>S</v>
      </c>
      <c r="G3510" s="6">
        <v>-22.583954648235391</v>
      </c>
      <c r="H3510" s="6">
        <v>-47.45957116035077</v>
      </c>
      <c r="I3510" s="9">
        <v>2058.2600000000002</v>
      </c>
      <c r="K3510" s="6">
        <v>2.08</v>
      </c>
      <c r="L3510" s="6">
        <v>70</v>
      </c>
      <c r="N3510" s="1">
        <f t="shared" si="426"/>
        <v>0</v>
      </c>
      <c r="O3510" s="6" t="s">
        <v>20</v>
      </c>
      <c r="Q3510" s="6" t="s">
        <v>21</v>
      </c>
      <c r="R3510" s="6" t="s">
        <v>21</v>
      </c>
      <c r="S3510" s="6" t="s">
        <v>21</v>
      </c>
      <c r="T3510" s="6" t="s">
        <v>21</v>
      </c>
      <c r="U3510" s="6">
        <f t="shared" si="427"/>
        <v>1440.7820000000002</v>
      </c>
      <c r="V3510" s="6">
        <f t="shared" si="431"/>
        <v>1440.7820000000002</v>
      </c>
    </row>
    <row r="3511" spans="1:22" hidden="1" x14ac:dyDescent="0.35">
      <c r="A3511" s="6" t="s">
        <v>3846</v>
      </c>
      <c r="B3511" s="6" t="s">
        <v>3829</v>
      </c>
      <c r="C3511" s="6" t="s">
        <v>3830</v>
      </c>
      <c r="D3511" s="6">
        <f t="shared" si="429"/>
        <v>0.5</v>
      </c>
      <c r="E3511" s="6" t="s">
        <v>19</v>
      </c>
      <c r="F3511" s="6" t="str">
        <f>MID(A3511,19,1)</f>
        <v>S</v>
      </c>
      <c r="G3511" s="6">
        <v>-22.58572208988156</v>
      </c>
      <c r="H3511" s="6">
        <v>-47.459312504190862</v>
      </c>
      <c r="I3511" s="9">
        <v>18950.509999999998</v>
      </c>
      <c r="K3511" s="6">
        <v>1.99</v>
      </c>
      <c r="L3511" s="6">
        <v>70</v>
      </c>
      <c r="N3511" s="1">
        <f t="shared" si="426"/>
        <v>0</v>
      </c>
      <c r="O3511" s="6" t="s">
        <v>20</v>
      </c>
      <c r="Q3511" s="6" t="s">
        <v>21</v>
      </c>
      <c r="R3511" s="6" t="s">
        <v>21</v>
      </c>
      <c r="S3511" s="6" t="s">
        <v>21</v>
      </c>
      <c r="T3511" s="6" t="s">
        <v>21</v>
      </c>
      <c r="U3511" s="6">
        <f t="shared" si="427"/>
        <v>13265.356999999998</v>
      </c>
      <c r="V3511" s="6">
        <f t="shared" si="431"/>
        <v>13265.356999999998</v>
      </c>
    </row>
    <row r="3512" spans="1:22" x14ac:dyDescent="0.35">
      <c r="A3512" s="6" t="s">
        <v>3847</v>
      </c>
      <c r="B3512" s="6" t="s">
        <v>3829</v>
      </c>
      <c r="C3512" s="6" t="s">
        <v>3830</v>
      </c>
      <c r="D3512" s="6">
        <f t="shared" si="429"/>
        <v>0.5</v>
      </c>
      <c r="E3512" s="6" t="s">
        <v>19</v>
      </c>
      <c r="F3512" s="6" t="str">
        <f>MID(A3512,19,1)</f>
        <v>N</v>
      </c>
      <c r="G3512" s="6">
        <v>-22.5872448181983</v>
      </c>
      <c r="H3512" s="6">
        <v>-47.456168915901152</v>
      </c>
      <c r="I3512" s="9">
        <v>8694.9500000000007</v>
      </c>
      <c r="K3512" s="6">
        <v>2.2999999999999998</v>
      </c>
      <c r="L3512" s="6">
        <v>70</v>
      </c>
      <c r="N3512" s="1">
        <f t="shared" si="426"/>
        <v>0</v>
      </c>
      <c r="O3512" s="6" t="s">
        <v>20</v>
      </c>
      <c r="Q3512" s="6" t="s">
        <v>21</v>
      </c>
      <c r="R3512" s="6" t="s">
        <v>21</v>
      </c>
      <c r="S3512" s="6" t="s">
        <v>21</v>
      </c>
      <c r="T3512" s="6" t="s">
        <v>21</v>
      </c>
      <c r="U3512" s="6">
        <f t="shared" si="427"/>
        <v>6086.4650000000001</v>
      </c>
      <c r="V3512" s="6">
        <f t="shared" si="431"/>
        <v>6086.4650000000001</v>
      </c>
    </row>
    <row r="3513" spans="1:22" x14ac:dyDescent="0.35">
      <c r="A3513" s="6" t="s">
        <v>3848</v>
      </c>
      <c r="B3513" s="6" t="s">
        <v>3829</v>
      </c>
      <c r="C3513" s="6" t="s">
        <v>3830</v>
      </c>
      <c r="D3513" s="6">
        <f t="shared" si="429"/>
        <v>0.5</v>
      </c>
      <c r="E3513" s="6" t="s">
        <v>19</v>
      </c>
      <c r="F3513" s="6" t="str">
        <f>MID(A3513,19,1)</f>
        <v>N</v>
      </c>
      <c r="G3513" s="6">
        <v>-22.585909801014338</v>
      </c>
      <c r="H3513" s="6">
        <v>-47.456443453778078</v>
      </c>
      <c r="I3513" s="9">
        <v>27786.52</v>
      </c>
      <c r="K3513" s="6">
        <v>2.21</v>
      </c>
      <c r="L3513" s="6">
        <v>70</v>
      </c>
      <c r="N3513" s="1">
        <f t="shared" si="426"/>
        <v>0</v>
      </c>
      <c r="O3513" s="6" t="s">
        <v>20</v>
      </c>
      <c r="Q3513" s="6" t="s">
        <v>21</v>
      </c>
      <c r="R3513" s="6" t="s">
        <v>21</v>
      </c>
      <c r="S3513" s="6" t="s">
        <v>21</v>
      </c>
      <c r="T3513" s="6" t="s">
        <v>21</v>
      </c>
      <c r="U3513" s="6">
        <f t="shared" si="427"/>
        <v>19450.563999999998</v>
      </c>
      <c r="V3513" s="6">
        <f t="shared" si="431"/>
        <v>19450.563999999998</v>
      </c>
    </row>
    <row r="3514" spans="1:22" x14ac:dyDescent="0.35">
      <c r="A3514" s="6" t="s">
        <v>3849</v>
      </c>
      <c r="B3514" s="6" t="s">
        <v>3829</v>
      </c>
      <c r="C3514" s="6" t="s">
        <v>3830</v>
      </c>
      <c r="D3514" s="6">
        <f t="shared" si="429"/>
        <v>0.5</v>
      </c>
      <c r="E3514" s="6" t="s">
        <v>19</v>
      </c>
      <c r="F3514" s="6" t="str">
        <f>MID(A3514,19,1)</f>
        <v>N</v>
      </c>
      <c r="G3514" s="6">
        <v>-22.584505093032071</v>
      </c>
      <c r="H3514" s="6">
        <v>-47.455854786180588</v>
      </c>
      <c r="I3514" s="9">
        <v>9960.41</v>
      </c>
      <c r="K3514" s="6">
        <v>2.11</v>
      </c>
      <c r="L3514" s="6">
        <v>70</v>
      </c>
      <c r="N3514" s="1">
        <f t="shared" si="426"/>
        <v>0</v>
      </c>
      <c r="O3514" s="6" t="s">
        <v>20</v>
      </c>
      <c r="Q3514" s="6" t="s">
        <v>21</v>
      </c>
      <c r="R3514" s="6" t="s">
        <v>21</v>
      </c>
      <c r="S3514" s="6" t="s">
        <v>21</v>
      </c>
      <c r="T3514" s="6" t="s">
        <v>21</v>
      </c>
      <c r="U3514" s="6">
        <f t="shared" si="427"/>
        <v>6972.2869999999994</v>
      </c>
      <c r="V3514" s="6">
        <f t="shared" si="431"/>
        <v>6972.2869999999994</v>
      </c>
    </row>
    <row r="3515" spans="1:22" x14ac:dyDescent="0.35">
      <c r="A3515" s="6" t="s">
        <v>3850</v>
      </c>
      <c r="B3515" s="6" t="s">
        <v>3829</v>
      </c>
      <c r="C3515" s="6" t="s">
        <v>3830</v>
      </c>
      <c r="D3515" s="6">
        <f t="shared" si="429"/>
        <v>0.5</v>
      </c>
      <c r="E3515" s="6" t="s">
        <v>19</v>
      </c>
      <c r="F3515" s="6" t="str">
        <f>MID(A3515,19,1)</f>
        <v>N</v>
      </c>
      <c r="G3515" s="6">
        <v>-22.582255648206811</v>
      </c>
      <c r="H3515" s="6">
        <v>-47.454169230023417</v>
      </c>
      <c r="I3515" s="9">
        <v>3166.16</v>
      </c>
      <c r="K3515" s="6">
        <v>2.4</v>
      </c>
      <c r="L3515" s="6">
        <v>70</v>
      </c>
      <c r="N3515" s="1">
        <f t="shared" si="426"/>
        <v>0</v>
      </c>
      <c r="O3515" s="6" t="s">
        <v>20</v>
      </c>
      <c r="Q3515" s="6" t="s">
        <v>21</v>
      </c>
      <c r="R3515" s="6" t="s">
        <v>21</v>
      </c>
      <c r="S3515" s="6" t="s">
        <v>21</v>
      </c>
      <c r="T3515" s="6" t="s">
        <v>21</v>
      </c>
      <c r="U3515" s="6">
        <f t="shared" si="427"/>
        <v>2216.3119999999999</v>
      </c>
      <c r="V3515" s="6">
        <f t="shared" si="431"/>
        <v>2216.3119999999999</v>
      </c>
    </row>
    <row r="3516" spans="1:22" hidden="1" x14ac:dyDescent="0.35">
      <c r="A3516" s="6" t="s">
        <v>3851</v>
      </c>
      <c r="B3516" s="6" t="s">
        <v>3829</v>
      </c>
      <c r="C3516" s="6" t="s">
        <v>3830</v>
      </c>
      <c r="D3516" s="6">
        <f t="shared" si="429"/>
        <v>0.5</v>
      </c>
      <c r="E3516" s="6" t="s">
        <v>19</v>
      </c>
      <c r="F3516" s="6" t="str">
        <f>MID(A3516,19,1)</f>
        <v>S</v>
      </c>
      <c r="G3516" s="6">
        <v>-22.47555452820362</v>
      </c>
      <c r="H3516" s="6">
        <v>-47.398877846253363</v>
      </c>
      <c r="I3516" s="9">
        <v>2270.77</v>
      </c>
      <c r="K3516" s="6">
        <v>3</v>
      </c>
      <c r="L3516" s="6">
        <v>80</v>
      </c>
      <c r="N3516" s="1">
        <f t="shared" si="426"/>
        <v>0</v>
      </c>
      <c r="O3516" s="6" t="s">
        <v>20</v>
      </c>
      <c r="Q3516" s="6" t="s">
        <v>21</v>
      </c>
      <c r="R3516" s="6" t="s">
        <v>21</v>
      </c>
      <c r="S3516" s="6" t="s">
        <v>21</v>
      </c>
      <c r="T3516" s="6" t="s">
        <v>21</v>
      </c>
      <c r="U3516" s="6">
        <f t="shared" si="427"/>
        <v>1816.616</v>
      </c>
      <c r="V3516" s="6">
        <f t="shared" si="431"/>
        <v>1816.616</v>
      </c>
    </row>
    <row r="3517" spans="1:22" hidden="1" x14ac:dyDescent="0.35">
      <c r="A3517" s="6" t="s">
        <v>3852</v>
      </c>
      <c r="B3517" s="6" t="s">
        <v>3829</v>
      </c>
      <c r="C3517" s="6" t="s">
        <v>3830</v>
      </c>
      <c r="D3517" s="6">
        <f t="shared" si="429"/>
        <v>0.5</v>
      </c>
      <c r="E3517" s="6" t="s">
        <v>23</v>
      </c>
      <c r="F3517" s="6" t="str">
        <f>MID(A3517,19,1)</f>
        <v>C</v>
      </c>
      <c r="G3517" s="6">
        <v>-22.591869149505289</v>
      </c>
      <c r="H3517" s="6">
        <v>-47.463150018383807</v>
      </c>
      <c r="I3517" s="9">
        <v>588.03</v>
      </c>
      <c r="J3517" s="9">
        <f>I3517/500</f>
        <v>1.1760599999999999</v>
      </c>
      <c r="K3517" s="6">
        <v>2.81</v>
      </c>
      <c r="L3517" s="6">
        <v>0</v>
      </c>
      <c r="N3517" s="1">
        <f t="shared" si="426"/>
        <v>0</v>
      </c>
      <c r="Q3517" s="6" t="s">
        <v>21</v>
      </c>
      <c r="R3517" s="6" t="s">
        <v>21</v>
      </c>
      <c r="S3517" s="6" t="s">
        <v>21</v>
      </c>
      <c r="T3517" s="6" t="s">
        <v>21</v>
      </c>
      <c r="U3517" s="6">
        <f t="shared" si="427"/>
        <v>0</v>
      </c>
      <c r="V3517" s="6">
        <f t="shared" si="431"/>
        <v>0</v>
      </c>
    </row>
    <row r="3518" spans="1:22" x14ac:dyDescent="0.35">
      <c r="A3518" s="6" t="s">
        <v>3853</v>
      </c>
      <c r="B3518" s="6" t="s">
        <v>3829</v>
      </c>
      <c r="C3518" s="6" t="s">
        <v>3830</v>
      </c>
      <c r="D3518" s="6">
        <f t="shared" si="429"/>
        <v>0.5</v>
      </c>
      <c r="E3518" s="6" t="s">
        <v>19</v>
      </c>
      <c r="F3518" s="6" t="str">
        <f>MID(A3518,19,1)</f>
        <v>N</v>
      </c>
      <c r="G3518" s="6">
        <v>-22.582545762054838</v>
      </c>
      <c r="H3518" s="6">
        <v>-47.454883275869427</v>
      </c>
      <c r="I3518" s="9">
        <v>4219.8999999999996</v>
      </c>
      <c r="K3518" s="6">
        <v>2.4500000000000002</v>
      </c>
      <c r="L3518" s="6">
        <v>70</v>
      </c>
      <c r="N3518" s="1">
        <f t="shared" si="426"/>
        <v>0</v>
      </c>
      <c r="O3518" s="6" t="s">
        <v>20</v>
      </c>
      <c r="Q3518" s="6" t="s">
        <v>21</v>
      </c>
      <c r="R3518" s="6" t="s">
        <v>21</v>
      </c>
      <c r="S3518" s="6" t="s">
        <v>21</v>
      </c>
      <c r="T3518" s="6" t="s">
        <v>21</v>
      </c>
      <c r="U3518" s="6">
        <f t="shared" si="427"/>
        <v>2953.9299999999994</v>
      </c>
      <c r="V3518" s="6">
        <f t="shared" si="431"/>
        <v>2953.9299999999994</v>
      </c>
    </row>
    <row r="3519" spans="1:22" hidden="1" x14ac:dyDescent="0.35">
      <c r="A3519" s="6" t="s">
        <v>3854</v>
      </c>
      <c r="B3519" s="6" t="s">
        <v>3829</v>
      </c>
      <c r="C3519" s="6" t="s">
        <v>3830</v>
      </c>
      <c r="D3519" s="6">
        <f t="shared" si="429"/>
        <v>0.5</v>
      </c>
      <c r="E3519" s="6" t="s">
        <v>23</v>
      </c>
      <c r="F3519" s="6" t="str">
        <f>MID(A3519,19,1)</f>
        <v>C</v>
      </c>
      <c r="G3519" s="6">
        <v>-22.476215932217791</v>
      </c>
      <c r="H3519" s="6">
        <v>-47.399272578903663</v>
      </c>
      <c r="I3519" s="9">
        <v>14477.38</v>
      </c>
      <c r="J3519" s="9">
        <f t="shared" ref="J3519:J3521" si="432">I3519/500</f>
        <v>28.954759999999997</v>
      </c>
      <c r="K3519" s="6">
        <v>3.16</v>
      </c>
      <c r="L3519" s="6">
        <v>50</v>
      </c>
      <c r="N3519" s="1">
        <f t="shared" si="426"/>
        <v>0</v>
      </c>
      <c r="O3519" s="6" t="s">
        <v>20</v>
      </c>
      <c r="Q3519" s="6" t="s">
        <v>21</v>
      </c>
      <c r="R3519" s="6" t="s">
        <v>21</v>
      </c>
      <c r="S3519" s="6" t="s">
        <v>21</v>
      </c>
      <c r="T3519" s="6" t="s">
        <v>21</v>
      </c>
      <c r="U3519" s="6">
        <f t="shared" si="427"/>
        <v>7238.69</v>
      </c>
      <c r="V3519" s="6">
        <f t="shared" si="431"/>
        <v>7238.69</v>
      </c>
    </row>
    <row r="3520" spans="1:22" hidden="1" x14ac:dyDescent="0.35">
      <c r="A3520" s="6" t="s">
        <v>3855</v>
      </c>
      <c r="B3520" s="6" t="s">
        <v>3829</v>
      </c>
      <c r="C3520" s="6" t="s">
        <v>3830</v>
      </c>
      <c r="D3520" s="6">
        <f t="shared" si="429"/>
        <v>0.5</v>
      </c>
      <c r="E3520" s="6" t="s">
        <v>23</v>
      </c>
      <c r="F3520" s="6" t="str">
        <f>MID(A3520,19,1)</f>
        <v>C</v>
      </c>
      <c r="G3520" s="6">
        <v>-22.479760076411349</v>
      </c>
      <c r="H3520" s="6">
        <v>-47.39967334381349</v>
      </c>
      <c r="I3520" s="9">
        <v>23055.78</v>
      </c>
      <c r="J3520" s="9">
        <f t="shared" si="432"/>
        <v>46.111559999999997</v>
      </c>
      <c r="K3520" s="6">
        <v>3.97</v>
      </c>
      <c r="L3520" s="6">
        <v>50</v>
      </c>
      <c r="N3520" s="1">
        <f t="shared" si="426"/>
        <v>0</v>
      </c>
      <c r="O3520" s="6" t="s">
        <v>20</v>
      </c>
      <c r="Q3520" s="6" t="s">
        <v>21</v>
      </c>
      <c r="R3520" s="6" t="s">
        <v>21</v>
      </c>
      <c r="S3520" s="6" t="s">
        <v>21</v>
      </c>
      <c r="T3520" s="6" t="s">
        <v>21</v>
      </c>
      <c r="U3520" s="6">
        <f t="shared" si="427"/>
        <v>11527.89</v>
      </c>
      <c r="V3520" s="6">
        <f t="shared" si="431"/>
        <v>11527.89</v>
      </c>
    </row>
    <row r="3521" spans="1:22" hidden="1" x14ac:dyDescent="0.35">
      <c r="A3521" s="6" t="s">
        <v>3856</v>
      </c>
      <c r="B3521" s="6" t="s">
        <v>3829</v>
      </c>
      <c r="C3521" s="6" t="s">
        <v>3830</v>
      </c>
      <c r="D3521" s="6">
        <f t="shared" si="429"/>
        <v>0.5</v>
      </c>
      <c r="E3521" s="6" t="s">
        <v>23</v>
      </c>
      <c r="F3521" s="6" t="str">
        <f>MID(A3521,19,1)</f>
        <v>C</v>
      </c>
      <c r="G3521" s="6">
        <v>-22.584090374196009</v>
      </c>
      <c r="H3521" s="6">
        <v>-47.457270046234107</v>
      </c>
      <c r="I3521" s="9">
        <v>23680.48</v>
      </c>
      <c r="J3521" s="9">
        <f t="shared" si="432"/>
        <v>47.360959999999999</v>
      </c>
      <c r="K3521" s="6">
        <v>2.79</v>
      </c>
      <c r="L3521" s="6">
        <v>70</v>
      </c>
      <c r="N3521" s="1">
        <f t="shared" si="426"/>
        <v>0</v>
      </c>
      <c r="O3521" s="6" t="s">
        <v>20</v>
      </c>
      <c r="Q3521" s="6" t="s">
        <v>21</v>
      </c>
      <c r="R3521" s="6" t="s">
        <v>21</v>
      </c>
      <c r="S3521" s="6" t="s">
        <v>21</v>
      </c>
      <c r="T3521" s="6" t="s">
        <v>21</v>
      </c>
      <c r="U3521" s="6">
        <f t="shared" si="427"/>
        <v>16576.335999999999</v>
      </c>
      <c r="V3521" s="6">
        <f t="shared" si="431"/>
        <v>16576.335999999999</v>
      </c>
    </row>
    <row r="3522" spans="1:22" x14ac:dyDescent="0.35">
      <c r="A3522" s="6" t="s">
        <v>3857</v>
      </c>
      <c r="B3522" s="6" t="s">
        <v>3829</v>
      </c>
      <c r="C3522" s="6" t="s">
        <v>3830</v>
      </c>
      <c r="D3522" s="6">
        <f t="shared" si="429"/>
        <v>0.5</v>
      </c>
      <c r="E3522" s="6" t="s">
        <v>19</v>
      </c>
      <c r="F3522" s="6" t="str">
        <f>MID(A3522,19,1)</f>
        <v>N</v>
      </c>
      <c r="G3522" s="6">
        <v>-22.481943394888429</v>
      </c>
      <c r="H3522" s="6">
        <v>-47.4005532002301</v>
      </c>
      <c r="I3522" s="9">
        <v>0</v>
      </c>
      <c r="K3522" s="6">
        <v>3.7</v>
      </c>
      <c r="N3522" s="1">
        <f t="shared" ref="N3522:N3585" si="433">IF(OR(R3522="Sim",S3522="Sim",T3522="Sim"),(L3522/100)*I3522,0)</f>
        <v>0</v>
      </c>
      <c r="Q3522" s="6" t="s">
        <v>21</v>
      </c>
      <c r="R3522" s="6" t="s">
        <v>21</v>
      </c>
      <c r="S3522" s="6" t="s">
        <v>21</v>
      </c>
      <c r="T3522" s="6" t="s">
        <v>21</v>
      </c>
      <c r="U3522" s="6">
        <f t="shared" si="427"/>
        <v>0</v>
      </c>
      <c r="V3522" s="6">
        <f t="shared" si="431"/>
        <v>0</v>
      </c>
    </row>
    <row r="3523" spans="1:22" x14ac:dyDescent="0.35">
      <c r="A3523" s="6" t="s">
        <v>3858</v>
      </c>
      <c r="B3523" s="6" t="s">
        <v>3829</v>
      </c>
      <c r="C3523" s="6" t="s">
        <v>3830</v>
      </c>
      <c r="D3523" s="6">
        <f t="shared" si="429"/>
        <v>0.5</v>
      </c>
      <c r="E3523" s="6" t="s">
        <v>19</v>
      </c>
      <c r="F3523" s="6" t="str">
        <f>MID(A3523,19,1)</f>
        <v>N</v>
      </c>
      <c r="G3523" s="6">
        <v>-22.586015942832109</v>
      </c>
      <c r="H3523" s="6">
        <v>-47.457562182995403</v>
      </c>
      <c r="I3523" s="9">
        <v>130.63</v>
      </c>
      <c r="K3523" s="6">
        <v>1.35</v>
      </c>
      <c r="L3523" s="6">
        <v>80</v>
      </c>
      <c r="N3523" s="1">
        <f t="shared" si="433"/>
        <v>0</v>
      </c>
      <c r="O3523" s="6" t="s">
        <v>20</v>
      </c>
      <c r="Q3523" s="6" t="s">
        <v>21</v>
      </c>
      <c r="R3523" s="6" t="s">
        <v>21</v>
      </c>
      <c r="S3523" s="6" t="s">
        <v>21</v>
      </c>
      <c r="T3523" s="6" t="s">
        <v>21</v>
      </c>
      <c r="U3523" s="6">
        <f t="shared" ref="U3523:U3586" si="434">IF(N3523=0,(I3523*(L3523/100)),0)</f>
        <v>104.504</v>
      </c>
      <c r="V3523" s="6">
        <f t="shared" si="431"/>
        <v>104.504</v>
      </c>
    </row>
    <row r="3524" spans="1:22" x14ac:dyDescent="0.35">
      <c r="A3524" s="6" t="s">
        <v>3859</v>
      </c>
      <c r="B3524" s="6" t="s">
        <v>3829</v>
      </c>
      <c r="C3524" s="6" t="s">
        <v>3830</v>
      </c>
      <c r="D3524" s="6">
        <f t="shared" si="429"/>
        <v>0.5</v>
      </c>
      <c r="E3524" s="6" t="s">
        <v>19</v>
      </c>
      <c r="F3524" s="6" t="str">
        <f>MID(A3524,19,1)</f>
        <v>N</v>
      </c>
      <c r="G3524" s="6">
        <v>-22.58173892038376</v>
      </c>
      <c r="H3524" s="6">
        <v>-47.455529553202261</v>
      </c>
      <c r="I3524" s="9">
        <v>3918.69</v>
      </c>
      <c r="K3524" s="6">
        <v>2.61</v>
      </c>
      <c r="L3524" s="6">
        <v>70</v>
      </c>
      <c r="N3524" s="1">
        <f t="shared" si="433"/>
        <v>0</v>
      </c>
      <c r="O3524" s="6" t="s">
        <v>20</v>
      </c>
      <c r="Q3524" s="6" t="s">
        <v>21</v>
      </c>
      <c r="R3524" s="6" t="s">
        <v>21</v>
      </c>
      <c r="S3524" s="6" t="s">
        <v>21</v>
      </c>
      <c r="T3524" s="6" t="s">
        <v>21</v>
      </c>
      <c r="U3524" s="6">
        <f t="shared" si="434"/>
        <v>2743.0830000000001</v>
      </c>
      <c r="V3524" s="6">
        <f t="shared" si="431"/>
        <v>2743.0830000000001</v>
      </c>
    </row>
    <row r="3525" spans="1:22" hidden="1" x14ac:dyDescent="0.35">
      <c r="A3525" s="6" t="s">
        <v>3860</v>
      </c>
      <c r="B3525" s="6" t="s">
        <v>3829</v>
      </c>
      <c r="C3525" s="6" t="s">
        <v>3830</v>
      </c>
      <c r="D3525" s="6">
        <f t="shared" si="429"/>
        <v>0.5</v>
      </c>
      <c r="E3525" s="6" t="s">
        <v>23</v>
      </c>
      <c r="F3525" s="6" t="str">
        <f>MID(A3525,19,1)</f>
        <v>C</v>
      </c>
      <c r="G3525" s="6">
        <v>-22.583246713864099</v>
      </c>
      <c r="H3525" s="6">
        <v>-47.457104272616782</v>
      </c>
      <c r="I3525" s="9">
        <v>16771.12</v>
      </c>
      <c r="J3525" s="9">
        <f t="shared" ref="J3525:J3526" si="435">I3525/500</f>
        <v>33.54224</v>
      </c>
      <c r="K3525" s="6">
        <v>2.82</v>
      </c>
      <c r="L3525" s="6">
        <v>70</v>
      </c>
      <c r="N3525" s="1">
        <f t="shared" si="433"/>
        <v>0</v>
      </c>
      <c r="O3525" s="6" t="s">
        <v>20</v>
      </c>
      <c r="Q3525" s="6" t="s">
        <v>21</v>
      </c>
      <c r="R3525" s="6" t="s">
        <v>21</v>
      </c>
      <c r="S3525" s="6" t="s">
        <v>21</v>
      </c>
      <c r="T3525" s="6" t="s">
        <v>21</v>
      </c>
      <c r="U3525" s="6">
        <f t="shared" si="434"/>
        <v>11739.783999999998</v>
      </c>
      <c r="V3525" s="6">
        <f t="shared" si="431"/>
        <v>11739.783999999998</v>
      </c>
    </row>
    <row r="3526" spans="1:22" hidden="1" x14ac:dyDescent="0.35">
      <c r="A3526" s="6" t="s">
        <v>3861</v>
      </c>
      <c r="B3526" s="6" t="s">
        <v>3829</v>
      </c>
      <c r="C3526" s="6" t="s">
        <v>3830</v>
      </c>
      <c r="D3526" s="6">
        <f t="shared" si="429"/>
        <v>0.5</v>
      </c>
      <c r="E3526" s="6" t="s">
        <v>23</v>
      </c>
      <c r="F3526" s="6" t="str">
        <f>MID(A3526,19,1)</f>
        <v>C</v>
      </c>
      <c r="G3526" s="6">
        <v>-22.583513116355331</v>
      </c>
      <c r="H3526" s="6">
        <v>-47.458408823837537</v>
      </c>
      <c r="I3526" s="9">
        <v>3670.95</v>
      </c>
      <c r="J3526" s="9">
        <f t="shared" si="435"/>
        <v>7.3418999999999999</v>
      </c>
      <c r="K3526" s="6">
        <v>2.42</v>
      </c>
      <c r="L3526" s="6">
        <v>70</v>
      </c>
      <c r="N3526" s="1">
        <f t="shared" si="433"/>
        <v>0</v>
      </c>
      <c r="O3526" s="6" t="s">
        <v>20</v>
      </c>
      <c r="Q3526" s="6" t="s">
        <v>21</v>
      </c>
      <c r="R3526" s="6" t="s">
        <v>21</v>
      </c>
      <c r="S3526" s="6" t="s">
        <v>21</v>
      </c>
      <c r="T3526" s="6" t="s">
        <v>21</v>
      </c>
      <c r="U3526" s="6">
        <f t="shared" si="434"/>
        <v>2569.6649999999995</v>
      </c>
      <c r="V3526" s="6">
        <f t="shared" si="431"/>
        <v>2569.6649999999995</v>
      </c>
    </row>
    <row r="3527" spans="1:22" hidden="1" x14ac:dyDescent="0.35">
      <c r="A3527" s="6" t="s">
        <v>3862</v>
      </c>
      <c r="B3527" s="6" t="s">
        <v>3829</v>
      </c>
      <c r="C3527" s="6" t="s">
        <v>3830</v>
      </c>
      <c r="D3527" s="6">
        <f t="shared" si="429"/>
        <v>0.5</v>
      </c>
      <c r="E3527" s="6" t="s">
        <v>19</v>
      </c>
      <c r="F3527" s="6" t="str">
        <f>MID(A3527,19,1)</f>
        <v>S</v>
      </c>
      <c r="G3527" s="6">
        <v>-22.480148314902941</v>
      </c>
      <c r="H3527" s="6">
        <v>-47.398938631013678</v>
      </c>
      <c r="I3527" s="9">
        <v>1800.61</v>
      </c>
      <c r="K3527" s="6">
        <v>3.73</v>
      </c>
      <c r="L3527" s="6">
        <v>50</v>
      </c>
      <c r="N3527" s="1">
        <f t="shared" si="433"/>
        <v>0</v>
      </c>
      <c r="O3527" s="6" t="s">
        <v>20</v>
      </c>
      <c r="Q3527" s="6" t="s">
        <v>21</v>
      </c>
      <c r="R3527" s="6" t="s">
        <v>21</v>
      </c>
      <c r="S3527" s="6" t="s">
        <v>21</v>
      </c>
      <c r="T3527" s="6" t="s">
        <v>21</v>
      </c>
      <c r="U3527" s="6">
        <f t="shared" si="434"/>
        <v>900.30499999999995</v>
      </c>
      <c r="V3527" s="6">
        <f t="shared" si="431"/>
        <v>900.30499999999995</v>
      </c>
    </row>
    <row r="3528" spans="1:22" hidden="1" x14ac:dyDescent="0.35">
      <c r="A3528" s="6" t="s">
        <v>3863</v>
      </c>
      <c r="B3528" s="6" t="s">
        <v>3829</v>
      </c>
      <c r="C3528" s="6" t="s">
        <v>3830</v>
      </c>
      <c r="D3528" s="6">
        <f t="shared" si="429"/>
        <v>0.5</v>
      </c>
      <c r="E3528" s="6" t="s">
        <v>19</v>
      </c>
      <c r="F3528" s="6" t="str">
        <f>MID(A3528,19,1)</f>
        <v>S</v>
      </c>
      <c r="G3528" s="6">
        <v>-22.588493165042589</v>
      </c>
      <c r="H3528" s="6">
        <v>-47.460505332260453</v>
      </c>
      <c r="I3528" s="9">
        <v>1854.16</v>
      </c>
      <c r="K3528" s="6">
        <v>2.92</v>
      </c>
      <c r="L3528" s="6">
        <v>70</v>
      </c>
      <c r="N3528" s="1">
        <f t="shared" si="433"/>
        <v>0</v>
      </c>
      <c r="O3528" s="6" t="s">
        <v>20</v>
      </c>
      <c r="Q3528" s="6" t="s">
        <v>21</v>
      </c>
      <c r="R3528" s="6" t="s">
        <v>21</v>
      </c>
      <c r="S3528" s="6" t="s">
        <v>21</v>
      </c>
      <c r="T3528" s="6" t="s">
        <v>21</v>
      </c>
      <c r="U3528" s="6">
        <f t="shared" si="434"/>
        <v>1297.912</v>
      </c>
      <c r="V3528" s="6">
        <f t="shared" si="431"/>
        <v>1297.912</v>
      </c>
    </row>
    <row r="3529" spans="1:22" hidden="1" x14ac:dyDescent="0.35">
      <c r="A3529" s="6" t="s">
        <v>3864</v>
      </c>
      <c r="B3529" s="6" t="s">
        <v>3829</v>
      </c>
      <c r="C3529" s="6" t="s">
        <v>3830</v>
      </c>
      <c r="D3529" s="6">
        <f t="shared" si="429"/>
        <v>0.5</v>
      </c>
      <c r="E3529" s="6" t="s">
        <v>19</v>
      </c>
      <c r="F3529" s="6" t="str">
        <f>MID(A3529,19,1)</f>
        <v>S</v>
      </c>
      <c r="G3529" s="6">
        <v>-22.58844455165324</v>
      </c>
      <c r="H3529" s="6">
        <v>-47.456746433254871</v>
      </c>
      <c r="I3529" s="9">
        <v>4475.9399999999996</v>
      </c>
      <c r="K3529" s="6">
        <v>1.61</v>
      </c>
      <c r="L3529" s="6">
        <v>70</v>
      </c>
      <c r="N3529" s="1">
        <f t="shared" si="433"/>
        <v>0</v>
      </c>
      <c r="O3529" s="6" t="s">
        <v>20</v>
      </c>
      <c r="Q3529" s="6" t="s">
        <v>21</v>
      </c>
      <c r="R3529" s="6" t="s">
        <v>21</v>
      </c>
      <c r="S3529" s="6" t="s">
        <v>21</v>
      </c>
      <c r="T3529" s="6" t="s">
        <v>21</v>
      </c>
      <c r="U3529" s="6">
        <f t="shared" si="434"/>
        <v>3133.1579999999994</v>
      </c>
      <c r="V3529" s="6">
        <f t="shared" si="431"/>
        <v>3133.1579999999994</v>
      </c>
    </row>
    <row r="3530" spans="1:22" hidden="1" x14ac:dyDescent="0.35">
      <c r="A3530" s="6" t="s">
        <v>3865</v>
      </c>
      <c r="B3530" s="6" t="s">
        <v>3829</v>
      </c>
      <c r="C3530" s="6" t="s">
        <v>3830</v>
      </c>
      <c r="D3530" s="6">
        <f t="shared" si="429"/>
        <v>0.5</v>
      </c>
      <c r="E3530" s="6" t="s">
        <v>23</v>
      </c>
      <c r="F3530" s="6" t="str">
        <f>MID(A3530,19,1)</f>
        <v>C</v>
      </c>
      <c r="G3530" s="6">
        <v>-22.583511732591361</v>
      </c>
      <c r="H3530" s="6">
        <v>-47.458623712569647</v>
      </c>
      <c r="I3530" s="9">
        <v>5934.44</v>
      </c>
      <c r="J3530" s="9">
        <f>I3530/500</f>
        <v>11.868879999999999</v>
      </c>
      <c r="K3530" s="6">
        <v>2.2400000000000002</v>
      </c>
      <c r="L3530" s="6">
        <v>80</v>
      </c>
      <c r="N3530" s="1">
        <f t="shared" si="433"/>
        <v>0</v>
      </c>
      <c r="O3530" s="6" t="s">
        <v>20</v>
      </c>
      <c r="Q3530" s="6" t="s">
        <v>21</v>
      </c>
      <c r="R3530" s="6" t="s">
        <v>21</v>
      </c>
      <c r="S3530" s="6" t="s">
        <v>21</v>
      </c>
      <c r="T3530" s="6" t="s">
        <v>21</v>
      </c>
      <c r="U3530" s="6">
        <f t="shared" si="434"/>
        <v>4747.5519999999997</v>
      </c>
      <c r="V3530" s="6">
        <f t="shared" si="431"/>
        <v>4747.5519999999997</v>
      </c>
    </row>
    <row r="3531" spans="1:22" x14ac:dyDescent="0.35">
      <c r="A3531" s="6" t="s">
        <v>3866</v>
      </c>
      <c r="B3531" s="6" t="s">
        <v>3829</v>
      </c>
      <c r="C3531" s="6" t="s">
        <v>3830</v>
      </c>
      <c r="D3531" s="6">
        <f t="shared" si="429"/>
        <v>0.5</v>
      </c>
      <c r="E3531" s="6" t="s">
        <v>19</v>
      </c>
      <c r="F3531" s="6" t="str">
        <f>MID(A3531,19,1)</f>
        <v>N</v>
      </c>
      <c r="G3531" s="6">
        <v>-22.58812442098581</v>
      </c>
      <c r="H3531" s="6">
        <v>-47.455742910318158</v>
      </c>
      <c r="I3531" s="9">
        <v>2003.64</v>
      </c>
      <c r="K3531" s="6">
        <v>2.57</v>
      </c>
      <c r="L3531" s="6">
        <v>70</v>
      </c>
      <c r="N3531" s="1">
        <f t="shared" si="433"/>
        <v>0</v>
      </c>
      <c r="O3531" s="6" t="s">
        <v>20</v>
      </c>
      <c r="Q3531" s="6" t="s">
        <v>21</v>
      </c>
      <c r="R3531" s="6" t="s">
        <v>21</v>
      </c>
      <c r="S3531" s="6" t="s">
        <v>21</v>
      </c>
      <c r="T3531" s="6" t="s">
        <v>21</v>
      </c>
      <c r="U3531" s="6">
        <f t="shared" si="434"/>
        <v>1402.548</v>
      </c>
      <c r="V3531" s="6">
        <f t="shared" si="431"/>
        <v>1402.548</v>
      </c>
    </row>
    <row r="3532" spans="1:22" hidden="1" x14ac:dyDescent="0.35">
      <c r="A3532" s="6" t="s">
        <v>3867</v>
      </c>
      <c r="B3532" s="6" t="s">
        <v>3829</v>
      </c>
      <c r="C3532" s="6" t="s">
        <v>3830</v>
      </c>
      <c r="D3532" s="6">
        <f t="shared" si="429"/>
        <v>0.5</v>
      </c>
      <c r="E3532" s="6" t="s">
        <v>19</v>
      </c>
      <c r="F3532" s="6" t="str">
        <f>MID(A3532,19,1)</f>
        <v>S</v>
      </c>
      <c r="G3532" s="6">
        <v>-22.58793221553795</v>
      </c>
      <c r="H3532" s="6">
        <v>-47.458257181724854</v>
      </c>
      <c r="I3532" s="9">
        <v>11702.81</v>
      </c>
      <c r="K3532" s="6">
        <v>1.97</v>
      </c>
      <c r="L3532" s="6">
        <v>70</v>
      </c>
      <c r="N3532" s="1">
        <f t="shared" si="433"/>
        <v>0</v>
      </c>
      <c r="O3532" s="6" t="s">
        <v>20</v>
      </c>
      <c r="Q3532" s="6" t="s">
        <v>21</v>
      </c>
      <c r="R3532" s="6" t="s">
        <v>21</v>
      </c>
      <c r="S3532" s="6" t="s">
        <v>21</v>
      </c>
      <c r="T3532" s="6" t="s">
        <v>21</v>
      </c>
      <c r="U3532" s="6">
        <f t="shared" si="434"/>
        <v>8191.9669999999987</v>
      </c>
      <c r="V3532" s="6">
        <f t="shared" si="431"/>
        <v>8191.9669999999987</v>
      </c>
    </row>
    <row r="3533" spans="1:22" hidden="1" x14ac:dyDescent="0.35">
      <c r="A3533" s="6" t="s">
        <v>3868</v>
      </c>
      <c r="B3533" s="6" t="s">
        <v>3829</v>
      </c>
      <c r="C3533" s="6" t="s">
        <v>3830</v>
      </c>
      <c r="D3533" s="6">
        <f t="shared" si="429"/>
        <v>0.5</v>
      </c>
      <c r="E3533" s="6" t="s">
        <v>23</v>
      </c>
      <c r="F3533" s="6" t="str">
        <f>MID(A3533,19,1)</f>
        <v>C</v>
      </c>
      <c r="G3533" s="6">
        <v>-22.591866045387739</v>
      </c>
      <c r="H3533" s="6">
        <v>-47.46367265293307</v>
      </c>
      <c r="I3533" s="9">
        <v>538.49</v>
      </c>
      <c r="J3533" s="9">
        <f>I3533/500</f>
        <v>1.07698</v>
      </c>
      <c r="K3533" s="6">
        <v>1.76</v>
      </c>
      <c r="L3533" s="6">
        <v>0</v>
      </c>
      <c r="N3533" s="1">
        <f t="shared" si="433"/>
        <v>0</v>
      </c>
      <c r="Q3533" s="6" t="s">
        <v>21</v>
      </c>
      <c r="R3533" s="6" t="s">
        <v>21</v>
      </c>
      <c r="S3533" s="6" t="s">
        <v>21</v>
      </c>
      <c r="T3533" s="6" t="s">
        <v>21</v>
      </c>
      <c r="U3533" s="6">
        <f t="shared" si="434"/>
        <v>0</v>
      </c>
      <c r="V3533" s="6">
        <f t="shared" si="431"/>
        <v>0</v>
      </c>
    </row>
    <row r="3534" spans="1:22" x14ac:dyDescent="0.35">
      <c r="A3534" s="6" t="s">
        <v>3869</v>
      </c>
      <c r="B3534" s="6" t="s">
        <v>3829</v>
      </c>
      <c r="C3534" s="6" t="s">
        <v>3830</v>
      </c>
      <c r="D3534" s="6">
        <f t="shared" ref="D3534:D3597" si="436">C3534-B3534</f>
        <v>0.5</v>
      </c>
      <c r="E3534" s="6" t="s">
        <v>19</v>
      </c>
      <c r="F3534" s="6" t="str">
        <f>MID(A3534,19,1)</f>
        <v>N</v>
      </c>
      <c r="G3534" s="6">
        <v>-22.48186659009383</v>
      </c>
      <c r="H3534" s="6">
        <v>-47.401068363648889</v>
      </c>
      <c r="I3534" s="9">
        <v>0</v>
      </c>
      <c r="K3534" s="6">
        <v>2.3199999999999998</v>
      </c>
      <c r="N3534" s="1">
        <f t="shared" si="433"/>
        <v>0</v>
      </c>
      <c r="Q3534" s="6" t="s">
        <v>21</v>
      </c>
      <c r="R3534" s="6" t="s">
        <v>21</v>
      </c>
      <c r="S3534" s="6" t="s">
        <v>21</v>
      </c>
      <c r="T3534" s="6" t="s">
        <v>21</v>
      </c>
      <c r="U3534" s="6">
        <f t="shared" si="434"/>
        <v>0</v>
      </c>
      <c r="V3534" s="6">
        <f t="shared" si="431"/>
        <v>0</v>
      </c>
    </row>
    <row r="3535" spans="1:22" x14ac:dyDescent="0.35">
      <c r="A3535" s="6" t="s">
        <v>3870</v>
      </c>
      <c r="B3535" s="6" t="s">
        <v>3871</v>
      </c>
      <c r="C3535" s="6" t="s">
        <v>3872</v>
      </c>
      <c r="D3535" s="6">
        <f t="shared" si="436"/>
        <v>0.5</v>
      </c>
      <c r="E3535" s="6" t="s">
        <v>19</v>
      </c>
      <c r="F3535" s="6" t="str">
        <f>MID(A3535,19,1)</f>
        <v>N</v>
      </c>
      <c r="G3535" s="6">
        <v>-22.4715970095186</v>
      </c>
      <c r="H3535" s="6">
        <v>-47.399341714668331</v>
      </c>
      <c r="I3535" s="9">
        <v>1169.77</v>
      </c>
      <c r="K3535" s="6">
        <v>2.16</v>
      </c>
      <c r="L3535" s="6">
        <v>50</v>
      </c>
      <c r="N3535" s="1">
        <f t="shared" si="433"/>
        <v>0</v>
      </c>
      <c r="O3535" s="6" t="s">
        <v>20</v>
      </c>
      <c r="Q3535" s="6" t="s">
        <v>21</v>
      </c>
      <c r="R3535" s="6" t="s">
        <v>21</v>
      </c>
      <c r="S3535" s="6" t="s">
        <v>21</v>
      </c>
      <c r="T3535" s="6" t="s">
        <v>21</v>
      </c>
      <c r="U3535" s="6">
        <f t="shared" si="434"/>
        <v>584.88499999999999</v>
      </c>
      <c r="V3535" s="6">
        <f t="shared" si="431"/>
        <v>584.88499999999999</v>
      </c>
    </row>
    <row r="3536" spans="1:22" x14ac:dyDescent="0.35">
      <c r="A3536" s="6" t="s">
        <v>3873</v>
      </c>
      <c r="B3536" s="6" t="s">
        <v>3871</v>
      </c>
      <c r="C3536" s="6" t="s">
        <v>3872</v>
      </c>
      <c r="D3536" s="6">
        <f t="shared" si="436"/>
        <v>0.5</v>
      </c>
      <c r="E3536" s="6" t="s">
        <v>19</v>
      </c>
      <c r="F3536" s="6" t="str">
        <f>MID(A3536,19,1)</f>
        <v>N</v>
      </c>
      <c r="G3536" s="6">
        <v>-22.580844440156529</v>
      </c>
      <c r="H3536" s="6">
        <v>-47.459343369830549</v>
      </c>
      <c r="I3536" s="9">
        <v>537.23</v>
      </c>
      <c r="K3536" s="6">
        <v>4</v>
      </c>
      <c r="L3536" s="6">
        <v>70</v>
      </c>
      <c r="N3536" s="1">
        <f t="shared" si="433"/>
        <v>0</v>
      </c>
      <c r="O3536" s="6" t="s">
        <v>20</v>
      </c>
      <c r="Q3536" s="6" t="s">
        <v>21</v>
      </c>
      <c r="R3536" s="6" t="s">
        <v>21</v>
      </c>
      <c r="S3536" s="6" t="s">
        <v>21</v>
      </c>
      <c r="T3536" s="6" t="s">
        <v>21</v>
      </c>
      <c r="U3536" s="6">
        <f t="shared" si="434"/>
        <v>376.06099999999998</v>
      </c>
      <c r="V3536" s="6">
        <f t="shared" si="431"/>
        <v>376.06099999999998</v>
      </c>
    </row>
    <row r="3537" spans="1:22" hidden="1" x14ac:dyDescent="0.35">
      <c r="A3537" s="6" t="s">
        <v>3874</v>
      </c>
      <c r="B3537" s="6" t="s">
        <v>3871</v>
      </c>
      <c r="C3537" s="6" t="s">
        <v>3872</v>
      </c>
      <c r="D3537" s="6">
        <f t="shared" si="436"/>
        <v>0.5</v>
      </c>
      <c r="E3537" s="6" t="s">
        <v>19</v>
      </c>
      <c r="F3537" s="6" t="str">
        <f>MID(A3537,19,1)</f>
        <v>S</v>
      </c>
      <c r="G3537" s="6">
        <v>-22.466979912968871</v>
      </c>
      <c r="H3537" s="6">
        <v>-47.398589449754539</v>
      </c>
      <c r="I3537" s="9">
        <v>2359.8200000000002</v>
      </c>
      <c r="K3537" s="6">
        <v>3.28</v>
      </c>
      <c r="L3537" s="6">
        <v>50</v>
      </c>
      <c r="N3537" s="1">
        <f t="shared" si="433"/>
        <v>0</v>
      </c>
      <c r="O3537" s="6" t="s">
        <v>20</v>
      </c>
      <c r="Q3537" s="6" t="s">
        <v>21</v>
      </c>
      <c r="R3537" s="6" t="s">
        <v>21</v>
      </c>
      <c r="S3537" s="6" t="s">
        <v>21</v>
      </c>
      <c r="T3537" s="6" t="s">
        <v>21</v>
      </c>
      <c r="U3537" s="6">
        <f t="shared" si="434"/>
        <v>1179.9100000000001</v>
      </c>
      <c r="V3537" s="6">
        <f t="shared" si="431"/>
        <v>1179.9100000000001</v>
      </c>
    </row>
    <row r="3538" spans="1:22" x14ac:dyDescent="0.35">
      <c r="A3538" s="6" t="s">
        <v>3875</v>
      </c>
      <c r="B3538" s="6" t="s">
        <v>3871</v>
      </c>
      <c r="C3538" s="6" t="s">
        <v>3872</v>
      </c>
      <c r="D3538" s="6">
        <f t="shared" si="436"/>
        <v>0.5</v>
      </c>
      <c r="E3538" s="6" t="s">
        <v>19</v>
      </c>
      <c r="F3538" s="6" t="str">
        <f>MID(A3538,19,1)</f>
        <v>N</v>
      </c>
      <c r="G3538" s="6">
        <v>-22.466000736737339</v>
      </c>
      <c r="H3538" s="6">
        <v>-47.399182046174857</v>
      </c>
      <c r="I3538" s="9">
        <v>1312.42</v>
      </c>
      <c r="K3538" s="6">
        <v>2.97</v>
      </c>
      <c r="L3538" s="6">
        <v>50</v>
      </c>
      <c r="N3538" s="1">
        <f t="shared" si="433"/>
        <v>0</v>
      </c>
      <c r="O3538" s="6" t="s">
        <v>20</v>
      </c>
      <c r="Q3538" s="6" t="s">
        <v>21</v>
      </c>
      <c r="R3538" s="6" t="s">
        <v>21</v>
      </c>
      <c r="S3538" s="6" t="s">
        <v>21</v>
      </c>
      <c r="T3538" s="6" t="s">
        <v>21</v>
      </c>
      <c r="U3538" s="6">
        <f t="shared" si="434"/>
        <v>656.21</v>
      </c>
      <c r="V3538" s="6">
        <f t="shared" si="431"/>
        <v>656.21</v>
      </c>
    </row>
    <row r="3539" spans="1:22" hidden="1" x14ac:dyDescent="0.35">
      <c r="A3539" s="6" t="s">
        <v>3876</v>
      </c>
      <c r="B3539" s="6" t="s">
        <v>3871</v>
      </c>
      <c r="C3539" s="6" t="s">
        <v>3872</v>
      </c>
      <c r="D3539" s="6">
        <f t="shared" si="436"/>
        <v>0.5</v>
      </c>
      <c r="E3539" s="6" t="s">
        <v>19</v>
      </c>
      <c r="F3539" s="6" t="str">
        <f>MID(A3539,19,1)</f>
        <v>S</v>
      </c>
      <c r="G3539" s="6">
        <v>-22.58125956105625</v>
      </c>
      <c r="H3539" s="6">
        <v>-47.459633255312262</v>
      </c>
      <c r="I3539" s="9">
        <v>194.68</v>
      </c>
      <c r="K3539" s="6">
        <v>4.08</v>
      </c>
      <c r="L3539" s="6">
        <v>0</v>
      </c>
      <c r="N3539" s="1">
        <f t="shared" si="433"/>
        <v>0</v>
      </c>
      <c r="Q3539" s="6" t="s">
        <v>21</v>
      </c>
      <c r="R3539" s="6" t="s">
        <v>21</v>
      </c>
      <c r="S3539" s="6" t="s">
        <v>21</v>
      </c>
      <c r="T3539" s="6" t="s">
        <v>21</v>
      </c>
      <c r="U3539" s="6">
        <f t="shared" si="434"/>
        <v>0</v>
      </c>
      <c r="V3539" s="6">
        <f t="shared" si="431"/>
        <v>0</v>
      </c>
    </row>
    <row r="3540" spans="1:22" hidden="1" x14ac:dyDescent="0.35">
      <c r="A3540" s="6" t="s">
        <v>3877</v>
      </c>
      <c r="B3540" s="6" t="s">
        <v>3871</v>
      </c>
      <c r="C3540" s="6" t="s">
        <v>3872</v>
      </c>
      <c r="D3540" s="6">
        <f t="shared" si="436"/>
        <v>0.5</v>
      </c>
      <c r="E3540" s="6" t="s">
        <v>23</v>
      </c>
      <c r="F3540" s="6" t="str">
        <f>MID(A3540,19,1)</f>
        <v>C</v>
      </c>
      <c r="G3540" s="6">
        <v>-22.575094194011381</v>
      </c>
      <c r="H3540" s="6">
        <v>-47.458686334277978</v>
      </c>
      <c r="I3540" s="9">
        <v>5806.97</v>
      </c>
      <c r="J3540" s="9">
        <f>I3540/500</f>
        <v>11.613940000000001</v>
      </c>
      <c r="K3540" s="6">
        <v>3.67</v>
      </c>
      <c r="L3540" s="6">
        <v>80</v>
      </c>
      <c r="N3540" s="1">
        <f t="shared" si="433"/>
        <v>0</v>
      </c>
      <c r="O3540" s="6" t="s">
        <v>20</v>
      </c>
      <c r="Q3540" s="6" t="s">
        <v>21</v>
      </c>
      <c r="R3540" s="6" t="s">
        <v>21</v>
      </c>
      <c r="S3540" s="6" t="s">
        <v>21</v>
      </c>
      <c r="T3540" s="6" t="s">
        <v>21</v>
      </c>
      <c r="U3540" s="6">
        <f t="shared" si="434"/>
        <v>4645.576</v>
      </c>
      <c r="V3540" s="6">
        <f t="shared" si="431"/>
        <v>4645.576</v>
      </c>
    </row>
    <row r="3541" spans="1:22" x14ac:dyDescent="0.35">
      <c r="A3541" s="6" t="s">
        <v>3878</v>
      </c>
      <c r="B3541" s="6" t="s">
        <v>3871</v>
      </c>
      <c r="C3541" s="6" t="s">
        <v>3872</v>
      </c>
      <c r="D3541" s="6">
        <f t="shared" si="436"/>
        <v>0.5</v>
      </c>
      <c r="E3541" s="6" t="s">
        <v>19</v>
      </c>
      <c r="F3541" s="6" t="str">
        <f>MID(A3541,19,1)</f>
        <v>N</v>
      </c>
      <c r="G3541" s="6">
        <v>-22.46830517619539</v>
      </c>
      <c r="H3541" s="6">
        <v>-47.39925424427615</v>
      </c>
      <c r="I3541" s="9">
        <v>833.66</v>
      </c>
      <c r="K3541" s="6">
        <v>2.35</v>
      </c>
      <c r="L3541" s="6">
        <v>50</v>
      </c>
      <c r="N3541" s="1">
        <f t="shared" si="433"/>
        <v>0</v>
      </c>
      <c r="O3541" s="6" t="s">
        <v>20</v>
      </c>
      <c r="Q3541" s="6" t="s">
        <v>21</v>
      </c>
      <c r="R3541" s="6" t="s">
        <v>21</v>
      </c>
      <c r="S3541" s="6" t="s">
        <v>21</v>
      </c>
      <c r="T3541" s="6" t="s">
        <v>21</v>
      </c>
      <c r="U3541" s="6">
        <f t="shared" si="434"/>
        <v>416.83</v>
      </c>
      <c r="V3541" s="6">
        <f t="shared" si="431"/>
        <v>416.83</v>
      </c>
    </row>
    <row r="3542" spans="1:22" hidden="1" x14ac:dyDescent="0.35">
      <c r="A3542" s="6" t="s">
        <v>3879</v>
      </c>
      <c r="B3542" s="6" t="s">
        <v>3871</v>
      </c>
      <c r="C3542" s="6" t="s">
        <v>3872</v>
      </c>
      <c r="D3542" s="6">
        <f t="shared" si="436"/>
        <v>0.5</v>
      </c>
      <c r="E3542" s="6" t="s">
        <v>23</v>
      </c>
      <c r="F3542" s="6" t="str">
        <f>MID(A3542,19,1)</f>
        <v>C</v>
      </c>
      <c r="G3542" s="6">
        <v>-22.471092203936749</v>
      </c>
      <c r="H3542" s="6">
        <v>-47.399054176282981</v>
      </c>
      <c r="I3542" s="9">
        <v>5926.91</v>
      </c>
      <c r="J3542" s="9">
        <f t="shared" ref="J3542:J3545" si="437">I3542/500</f>
        <v>11.853819999999999</v>
      </c>
      <c r="K3542" s="6">
        <v>1.66</v>
      </c>
      <c r="L3542" s="6">
        <v>50</v>
      </c>
      <c r="N3542" s="1">
        <f t="shared" si="433"/>
        <v>0</v>
      </c>
      <c r="O3542" s="6" t="s">
        <v>20</v>
      </c>
      <c r="Q3542" s="6" t="s">
        <v>21</v>
      </c>
      <c r="R3542" s="6" t="s">
        <v>21</v>
      </c>
      <c r="S3542" s="6" t="s">
        <v>21</v>
      </c>
      <c r="T3542" s="6" t="s">
        <v>21</v>
      </c>
      <c r="U3542" s="6">
        <f t="shared" si="434"/>
        <v>2963.4549999999999</v>
      </c>
      <c r="V3542" s="6">
        <f t="shared" si="431"/>
        <v>2963.4549999999999</v>
      </c>
    </row>
    <row r="3543" spans="1:22" hidden="1" x14ac:dyDescent="0.35">
      <c r="A3543" s="6" t="s">
        <v>3880</v>
      </c>
      <c r="B3543" s="6" t="s">
        <v>3871</v>
      </c>
      <c r="C3543" s="6" t="s">
        <v>3872</v>
      </c>
      <c r="D3543" s="6">
        <f t="shared" si="436"/>
        <v>0.5</v>
      </c>
      <c r="E3543" s="6" t="s">
        <v>23</v>
      </c>
      <c r="F3543" s="6" t="str">
        <f>MID(A3543,19,1)</f>
        <v>C</v>
      </c>
      <c r="G3543" s="6">
        <v>-22.46594457911052</v>
      </c>
      <c r="H3543" s="6">
        <v>-47.398967293159117</v>
      </c>
      <c r="I3543" s="9">
        <v>5731.3</v>
      </c>
      <c r="J3543" s="9">
        <f t="shared" si="437"/>
        <v>11.4626</v>
      </c>
      <c r="K3543" s="6">
        <v>3.31</v>
      </c>
      <c r="L3543" s="6">
        <v>50</v>
      </c>
      <c r="N3543" s="1">
        <f t="shared" si="433"/>
        <v>0</v>
      </c>
      <c r="O3543" s="6" t="s">
        <v>20</v>
      </c>
      <c r="Q3543" s="6" t="s">
        <v>21</v>
      </c>
      <c r="R3543" s="6" t="s">
        <v>21</v>
      </c>
      <c r="S3543" s="6" t="s">
        <v>21</v>
      </c>
      <c r="T3543" s="6" t="s">
        <v>21</v>
      </c>
      <c r="U3543" s="6">
        <f t="shared" si="434"/>
        <v>2865.65</v>
      </c>
      <c r="V3543" s="6">
        <f t="shared" si="431"/>
        <v>2865.65</v>
      </c>
    </row>
    <row r="3544" spans="1:22" hidden="1" x14ac:dyDescent="0.35">
      <c r="A3544" s="6" t="s">
        <v>3881</v>
      </c>
      <c r="B3544" s="6" t="s">
        <v>3871</v>
      </c>
      <c r="C3544" s="6" t="s">
        <v>3872</v>
      </c>
      <c r="D3544" s="6">
        <f t="shared" si="436"/>
        <v>0.5</v>
      </c>
      <c r="E3544" s="6" t="s">
        <v>23</v>
      </c>
      <c r="F3544" s="6" t="str">
        <f>MID(A3544,19,1)</f>
        <v>C</v>
      </c>
      <c r="G3544" s="6">
        <v>-22.4679812635604</v>
      </c>
      <c r="H3544" s="6">
        <v>-47.398560617927501</v>
      </c>
      <c r="I3544" s="9">
        <v>5339.25</v>
      </c>
      <c r="J3544" s="9">
        <f t="shared" si="437"/>
        <v>10.6785</v>
      </c>
      <c r="K3544" s="6">
        <v>2.92</v>
      </c>
      <c r="L3544" s="6">
        <v>50</v>
      </c>
      <c r="N3544" s="1">
        <f t="shared" si="433"/>
        <v>0</v>
      </c>
      <c r="O3544" s="6" t="s">
        <v>20</v>
      </c>
      <c r="Q3544" s="6" t="s">
        <v>21</v>
      </c>
      <c r="R3544" s="6" t="s">
        <v>21</v>
      </c>
      <c r="S3544" s="6" t="s">
        <v>21</v>
      </c>
      <c r="T3544" s="6" t="s">
        <v>21</v>
      </c>
      <c r="U3544" s="6">
        <f t="shared" si="434"/>
        <v>2669.625</v>
      </c>
      <c r="V3544" s="6">
        <f t="shared" si="431"/>
        <v>2669.625</v>
      </c>
    </row>
    <row r="3545" spans="1:22" hidden="1" x14ac:dyDescent="0.35">
      <c r="A3545" s="6" t="s">
        <v>3882</v>
      </c>
      <c r="B3545" s="6" t="s">
        <v>3871</v>
      </c>
      <c r="C3545" s="6" t="s">
        <v>3872</v>
      </c>
      <c r="D3545" s="6">
        <f t="shared" si="436"/>
        <v>0.5</v>
      </c>
      <c r="E3545" s="6" t="s">
        <v>23</v>
      </c>
      <c r="F3545" s="6" t="str">
        <f>MID(A3545,19,1)</f>
        <v>C</v>
      </c>
      <c r="G3545" s="6">
        <v>-22.46863231872069</v>
      </c>
      <c r="H3545" s="6">
        <v>-47.39871589015182</v>
      </c>
      <c r="I3545" s="9">
        <v>521.46</v>
      </c>
      <c r="J3545" s="9">
        <f t="shared" si="437"/>
        <v>1.0429200000000001</v>
      </c>
      <c r="K3545" s="6">
        <v>1.57</v>
      </c>
      <c r="L3545" s="6">
        <v>50</v>
      </c>
      <c r="N3545" s="1">
        <f t="shared" si="433"/>
        <v>0</v>
      </c>
      <c r="O3545" s="6" t="s">
        <v>20</v>
      </c>
      <c r="Q3545" s="6" t="s">
        <v>21</v>
      </c>
      <c r="R3545" s="6" t="s">
        <v>21</v>
      </c>
      <c r="S3545" s="6" t="s">
        <v>21</v>
      </c>
      <c r="T3545" s="6" t="s">
        <v>21</v>
      </c>
      <c r="U3545" s="6">
        <f t="shared" si="434"/>
        <v>260.73</v>
      </c>
      <c r="V3545" s="6">
        <f t="shared" si="431"/>
        <v>260.73</v>
      </c>
    </row>
    <row r="3546" spans="1:22" x14ac:dyDescent="0.35">
      <c r="A3546" s="6" t="s">
        <v>3883</v>
      </c>
      <c r="B3546" s="6" t="s">
        <v>3871</v>
      </c>
      <c r="C3546" s="6" t="s">
        <v>3872</v>
      </c>
      <c r="D3546" s="6">
        <f t="shared" si="436"/>
        <v>0.5</v>
      </c>
      <c r="E3546" s="6" t="s">
        <v>19</v>
      </c>
      <c r="F3546" s="6" t="str">
        <f>MID(A3546,19,1)</f>
        <v>N</v>
      </c>
      <c r="G3546" s="6">
        <v>-22.575155103272529</v>
      </c>
      <c r="H3546" s="6">
        <v>-47.458506172331688</v>
      </c>
      <c r="I3546" s="9">
        <v>1811.35</v>
      </c>
      <c r="K3546" s="6">
        <v>4.6399999999999997</v>
      </c>
      <c r="L3546" s="6">
        <v>70</v>
      </c>
      <c r="N3546" s="1">
        <f t="shared" si="433"/>
        <v>0</v>
      </c>
      <c r="O3546" s="6" t="s">
        <v>20</v>
      </c>
      <c r="Q3546" s="6" t="s">
        <v>21</v>
      </c>
      <c r="R3546" s="6" t="s">
        <v>21</v>
      </c>
      <c r="S3546" s="6" t="s">
        <v>21</v>
      </c>
      <c r="T3546" s="6" t="s">
        <v>21</v>
      </c>
      <c r="U3546" s="6">
        <f t="shared" si="434"/>
        <v>1267.9449999999999</v>
      </c>
      <c r="V3546" s="6">
        <f t="shared" si="431"/>
        <v>1267.9449999999999</v>
      </c>
    </row>
    <row r="3547" spans="1:22" hidden="1" x14ac:dyDescent="0.35">
      <c r="A3547" s="6" t="s">
        <v>3884</v>
      </c>
      <c r="B3547" s="6" t="s">
        <v>3871</v>
      </c>
      <c r="C3547" s="6" t="s">
        <v>3872</v>
      </c>
      <c r="D3547" s="6">
        <f t="shared" si="436"/>
        <v>0.5</v>
      </c>
      <c r="E3547" s="6" t="s">
        <v>23</v>
      </c>
      <c r="F3547" s="6" t="str">
        <f>MID(A3547,19,1)</f>
        <v>C</v>
      </c>
      <c r="G3547" s="6">
        <v>-22.468317282615072</v>
      </c>
      <c r="H3547" s="6">
        <v>-47.39900729191681</v>
      </c>
      <c r="I3547" s="9">
        <v>3014.33</v>
      </c>
      <c r="J3547" s="9">
        <f>I3547/500</f>
        <v>6.0286599999999995</v>
      </c>
      <c r="K3547" s="6">
        <v>2.15</v>
      </c>
      <c r="L3547" s="6">
        <v>50</v>
      </c>
      <c r="N3547" s="1">
        <f t="shared" si="433"/>
        <v>0</v>
      </c>
      <c r="O3547" s="6" t="s">
        <v>20</v>
      </c>
      <c r="Q3547" s="6" t="s">
        <v>21</v>
      </c>
      <c r="R3547" s="6" t="s">
        <v>21</v>
      </c>
      <c r="S3547" s="6" t="s">
        <v>21</v>
      </c>
      <c r="T3547" s="6" t="s">
        <v>21</v>
      </c>
      <c r="U3547" s="6">
        <f t="shared" si="434"/>
        <v>1507.165</v>
      </c>
      <c r="V3547" s="6">
        <f t="shared" si="431"/>
        <v>1507.165</v>
      </c>
    </row>
    <row r="3548" spans="1:22" x14ac:dyDescent="0.35">
      <c r="A3548" s="6" t="s">
        <v>3885</v>
      </c>
      <c r="B3548" s="6" t="s">
        <v>3871</v>
      </c>
      <c r="C3548" s="6" t="s">
        <v>3872</v>
      </c>
      <c r="D3548" s="6">
        <f t="shared" si="436"/>
        <v>0.5</v>
      </c>
      <c r="E3548" s="6" t="s">
        <v>19</v>
      </c>
      <c r="F3548" s="6" t="str">
        <f>MID(A3548,19,1)</f>
        <v>N</v>
      </c>
      <c r="G3548" s="6">
        <v>-22.579298028794259</v>
      </c>
      <c r="H3548" s="6">
        <v>-47.459306896777747</v>
      </c>
      <c r="I3548" s="9">
        <v>1669.12</v>
      </c>
      <c r="K3548" s="6">
        <v>2.42</v>
      </c>
      <c r="L3548" s="6">
        <v>70</v>
      </c>
      <c r="N3548" s="1">
        <f t="shared" si="433"/>
        <v>0</v>
      </c>
      <c r="O3548" s="6" t="s">
        <v>20</v>
      </c>
      <c r="Q3548" s="6" t="s">
        <v>21</v>
      </c>
      <c r="R3548" s="6" t="s">
        <v>21</v>
      </c>
      <c r="S3548" s="6" t="s">
        <v>21</v>
      </c>
      <c r="T3548" s="6" t="s">
        <v>21</v>
      </c>
      <c r="U3548" s="6">
        <f t="shared" si="434"/>
        <v>1168.3839999999998</v>
      </c>
      <c r="V3548" s="6">
        <f t="shared" si="431"/>
        <v>1168.3839999999998</v>
      </c>
    </row>
    <row r="3549" spans="1:22" hidden="1" x14ac:dyDescent="0.35">
      <c r="A3549" s="6" t="s">
        <v>3886</v>
      </c>
      <c r="B3549" s="6" t="s">
        <v>3871</v>
      </c>
      <c r="C3549" s="6" t="s">
        <v>3872</v>
      </c>
      <c r="D3549" s="6">
        <f t="shared" si="436"/>
        <v>0.5</v>
      </c>
      <c r="E3549" s="6" t="s">
        <v>23</v>
      </c>
      <c r="F3549" s="6" t="str">
        <f>MID(A3549,19,1)</f>
        <v>C</v>
      </c>
      <c r="G3549" s="6">
        <v>-22.579344528110681</v>
      </c>
      <c r="H3549" s="6">
        <v>-47.459574180000978</v>
      </c>
      <c r="I3549" s="9">
        <v>5637.53</v>
      </c>
      <c r="J3549" s="9">
        <f>I3549/500</f>
        <v>11.27506</v>
      </c>
      <c r="K3549" s="6">
        <v>3.01</v>
      </c>
      <c r="L3549" s="6">
        <v>80</v>
      </c>
      <c r="N3549" s="1">
        <f t="shared" si="433"/>
        <v>0</v>
      </c>
      <c r="O3549" s="6" t="s">
        <v>20</v>
      </c>
      <c r="Q3549" s="6" t="s">
        <v>21</v>
      </c>
      <c r="R3549" s="6" t="s">
        <v>21</v>
      </c>
      <c r="S3549" s="6" t="s">
        <v>21</v>
      </c>
      <c r="T3549" s="6" t="s">
        <v>21</v>
      </c>
      <c r="U3549" s="6">
        <f t="shared" si="434"/>
        <v>4510.0240000000003</v>
      </c>
      <c r="V3549" s="6">
        <f t="shared" si="431"/>
        <v>4510.0240000000003</v>
      </c>
    </row>
    <row r="3550" spans="1:22" hidden="1" x14ac:dyDescent="0.35">
      <c r="A3550" s="6" t="s">
        <v>3887</v>
      </c>
      <c r="B3550" s="6" t="s">
        <v>3871</v>
      </c>
      <c r="C3550" s="6" t="s">
        <v>3872</v>
      </c>
      <c r="D3550" s="6">
        <f t="shared" si="436"/>
        <v>0.5</v>
      </c>
      <c r="E3550" s="6" t="s">
        <v>19</v>
      </c>
      <c r="F3550" s="6" t="str">
        <f>MID(A3550,19,1)</f>
        <v>S</v>
      </c>
      <c r="G3550" s="6">
        <v>-22.579351153933629</v>
      </c>
      <c r="H3550" s="6">
        <v>-47.459817833264843</v>
      </c>
      <c r="I3550" s="9">
        <v>1778.48</v>
      </c>
      <c r="K3550" s="6">
        <v>3.23</v>
      </c>
      <c r="L3550" s="6">
        <v>70</v>
      </c>
      <c r="N3550" s="1">
        <f t="shared" si="433"/>
        <v>0</v>
      </c>
      <c r="O3550" s="6" t="s">
        <v>20</v>
      </c>
      <c r="Q3550" s="6" t="s">
        <v>21</v>
      </c>
      <c r="R3550" s="6" t="s">
        <v>21</v>
      </c>
      <c r="S3550" s="6" t="s">
        <v>21</v>
      </c>
      <c r="T3550" s="6" t="s">
        <v>21</v>
      </c>
      <c r="U3550" s="6">
        <f t="shared" si="434"/>
        <v>1244.9359999999999</v>
      </c>
      <c r="V3550" s="6">
        <f t="shared" si="431"/>
        <v>1244.9359999999999</v>
      </c>
    </row>
    <row r="3551" spans="1:22" hidden="1" x14ac:dyDescent="0.35">
      <c r="A3551" s="6" t="s">
        <v>3888</v>
      </c>
      <c r="B3551" s="6" t="s">
        <v>3871</v>
      </c>
      <c r="C3551" s="6" t="s">
        <v>3872</v>
      </c>
      <c r="D3551" s="6">
        <f t="shared" si="436"/>
        <v>0.5</v>
      </c>
      <c r="E3551" s="6" t="s">
        <v>19</v>
      </c>
      <c r="F3551" s="6" t="str">
        <f>MID(A3551,19,1)</f>
        <v>S</v>
      </c>
      <c r="G3551" s="6">
        <v>-22.47109093674862</v>
      </c>
      <c r="H3551" s="6">
        <v>-47.398820249694502</v>
      </c>
      <c r="I3551" s="9">
        <v>1685.19</v>
      </c>
      <c r="K3551" s="6">
        <v>1.57</v>
      </c>
      <c r="L3551" s="6">
        <v>50</v>
      </c>
      <c r="N3551" s="1">
        <f t="shared" si="433"/>
        <v>0</v>
      </c>
      <c r="O3551" s="6" t="s">
        <v>20</v>
      </c>
      <c r="Q3551" s="6" t="s">
        <v>21</v>
      </c>
      <c r="R3551" s="6" t="s">
        <v>21</v>
      </c>
      <c r="S3551" s="6" t="s">
        <v>21</v>
      </c>
      <c r="T3551" s="6" t="s">
        <v>21</v>
      </c>
      <c r="U3551" s="6">
        <f t="shared" si="434"/>
        <v>842.59500000000003</v>
      </c>
      <c r="V3551" s="6">
        <f t="shared" si="431"/>
        <v>842.59500000000003</v>
      </c>
    </row>
    <row r="3552" spans="1:22" hidden="1" x14ac:dyDescent="0.35">
      <c r="A3552" s="6" t="s">
        <v>3889</v>
      </c>
      <c r="B3552" s="6" t="s">
        <v>3871</v>
      </c>
      <c r="C3552" s="6" t="s">
        <v>3872</v>
      </c>
      <c r="D3552" s="6">
        <f t="shared" si="436"/>
        <v>0.5</v>
      </c>
      <c r="E3552" s="6" t="s">
        <v>19</v>
      </c>
      <c r="F3552" s="6" t="str">
        <f>MID(A3552,19,1)</f>
        <v>S</v>
      </c>
      <c r="G3552" s="6">
        <v>-22.5750873513588</v>
      </c>
      <c r="H3552" s="6">
        <v>-47.458873765533319</v>
      </c>
      <c r="I3552" s="9">
        <v>1812.31</v>
      </c>
      <c r="K3552" s="6">
        <v>2.94</v>
      </c>
      <c r="L3552" s="6">
        <v>70</v>
      </c>
      <c r="N3552" s="1">
        <f t="shared" si="433"/>
        <v>0</v>
      </c>
      <c r="O3552" s="6" t="s">
        <v>20</v>
      </c>
      <c r="Q3552" s="6" t="s">
        <v>21</v>
      </c>
      <c r="R3552" s="6" t="s">
        <v>21</v>
      </c>
      <c r="S3552" s="6" t="s">
        <v>21</v>
      </c>
      <c r="T3552" s="6" t="s">
        <v>21</v>
      </c>
      <c r="U3552" s="6">
        <f t="shared" si="434"/>
        <v>1268.617</v>
      </c>
      <c r="V3552" s="6">
        <f t="shared" si="431"/>
        <v>1268.617</v>
      </c>
    </row>
    <row r="3553" spans="1:22" x14ac:dyDescent="0.35">
      <c r="A3553" s="6" t="s">
        <v>3890</v>
      </c>
      <c r="B3553" s="6" t="s">
        <v>3871</v>
      </c>
      <c r="C3553" s="6" t="s">
        <v>3872</v>
      </c>
      <c r="D3553" s="6">
        <f t="shared" si="436"/>
        <v>0.5</v>
      </c>
      <c r="E3553" s="6" t="s">
        <v>19</v>
      </c>
      <c r="F3553" s="6" t="str">
        <f>MID(A3553,19,1)</f>
        <v>N</v>
      </c>
      <c r="G3553" s="6">
        <v>-22.469784724975511</v>
      </c>
      <c r="H3553" s="6">
        <v>-47.399307868786117</v>
      </c>
      <c r="I3553" s="9">
        <v>505.92</v>
      </c>
      <c r="K3553" s="6">
        <v>2.0299999999999998</v>
      </c>
      <c r="L3553" s="6">
        <v>50</v>
      </c>
      <c r="N3553" s="1">
        <f t="shared" si="433"/>
        <v>0</v>
      </c>
      <c r="O3553" s="6" t="s">
        <v>20</v>
      </c>
      <c r="Q3553" s="6" t="s">
        <v>21</v>
      </c>
      <c r="R3553" s="6" t="s">
        <v>21</v>
      </c>
      <c r="S3553" s="6" t="s">
        <v>21</v>
      </c>
      <c r="T3553" s="6" t="s">
        <v>21</v>
      </c>
      <c r="U3553" s="6">
        <f t="shared" si="434"/>
        <v>252.96</v>
      </c>
      <c r="V3553" s="6">
        <f t="shared" si="431"/>
        <v>252.96</v>
      </c>
    </row>
    <row r="3554" spans="1:22" hidden="1" x14ac:dyDescent="0.35">
      <c r="A3554" s="6" t="s">
        <v>3891</v>
      </c>
      <c r="B3554" s="6" t="s">
        <v>3892</v>
      </c>
      <c r="C3554" s="6" t="s">
        <v>3893</v>
      </c>
      <c r="D3554" s="6">
        <f t="shared" si="436"/>
        <v>0.5</v>
      </c>
      <c r="E3554" s="6" t="s">
        <v>19</v>
      </c>
      <c r="F3554" s="6" t="str">
        <f>MID(A3554,19,1)</f>
        <v>S</v>
      </c>
      <c r="G3554" s="6">
        <v>-22.571845585965971</v>
      </c>
      <c r="H3554" s="6">
        <v>-47.457809643167423</v>
      </c>
      <c r="I3554" s="9">
        <v>963.21</v>
      </c>
      <c r="K3554" s="6">
        <v>2.77</v>
      </c>
      <c r="L3554" s="6">
        <v>70</v>
      </c>
      <c r="N3554" s="1">
        <f t="shared" si="433"/>
        <v>0</v>
      </c>
      <c r="O3554" s="6" t="s">
        <v>20</v>
      </c>
      <c r="Q3554" s="6" t="s">
        <v>21</v>
      </c>
      <c r="R3554" s="6" t="s">
        <v>21</v>
      </c>
      <c r="S3554" s="6" t="s">
        <v>21</v>
      </c>
      <c r="T3554" s="6" t="s">
        <v>21</v>
      </c>
      <c r="U3554" s="6">
        <f t="shared" si="434"/>
        <v>674.24699999999996</v>
      </c>
      <c r="V3554" s="6">
        <f t="shared" si="431"/>
        <v>674.24699999999996</v>
      </c>
    </row>
    <row r="3555" spans="1:22" x14ac:dyDescent="0.35">
      <c r="A3555" s="6" t="s">
        <v>3894</v>
      </c>
      <c r="B3555" s="6" t="s">
        <v>3892</v>
      </c>
      <c r="C3555" s="6" t="s">
        <v>3893</v>
      </c>
      <c r="D3555" s="6">
        <f t="shared" si="436"/>
        <v>0.5</v>
      </c>
      <c r="E3555" s="6" t="s">
        <v>19</v>
      </c>
      <c r="F3555" s="6" t="str">
        <f>MID(A3555,19,1)</f>
        <v>N</v>
      </c>
      <c r="G3555" s="6">
        <v>-22.566468118619088</v>
      </c>
      <c r="H3555" s="6">
        <v>-47.457492588196217</v>
      </c>
      <c r="I3555" s="9">
        <v>2105.94</v>
      </c>
      <c r="K3555" s="6">
        <v>3.47</v>
      </c>
      <c r="L3555" s="6">
        <v>70</v>
      </c>
      <c r="N3555" s="1">
        <f t="shared" si="433"/>
        <v>0</v>
      </c>
      <c r="O3555" s="6" t="s">
        <v>20</v>
      </c>
      <c r="Q3555" s="6" t="s">
        <v>21</v>
      </c>
      <c r="R3555" s="6" t="s">
        <v>21</v>
      </c>
      <c r="S3555" s="6" t="s">
        <v>21</v>
      </c>
      <c r="T3555" s="6" t="s">
        <v>21</v>
      </c>
      <c r="U3555" s="6">
        <f t="shared" si="434"/>
        <v>1474.1579999999999</v>
      </c>
      <c r="V3555" s="6">
        <f t="shared" si="431"/>
        <v>1474.1579999999999</v>
      </c>
    </row>
    <row r="3556" spans="1:22" hidden="1" x14ac:dyDescent="0.35">
      <c r="A3556" s="6" t="s">
        <v>3895</v>
      </c>
      <c r="B3556" s="6" t="s">
        <v>3892</v>
      </c>
      <c r="C3556" s="6" t="s">
        <v>3893</v>
      </c>
      <c r="D3556" s="6">
        <f t="shared" si="436"/>
        <v>0.5</v>
      </c>
      <c r="E3556" s="6" t="s">
        <v>19</v>
      </c>
      <c r="F3556" s="6" t="str">
        <f>MID(A3556,19,1)</f>
        <v>S</v>
      </c>
      <c r="G3556" s="6">
        <v>-22.462458457853181</v>
      </c>
      <c r="H3556" s="6">
        <v>-47.398569542945843</v>
      </c>
      <c r="I3556" s="9">
        <v>42.1</v>
      </c>
      <c r="K3556" s="6">
        <v>2.64</v>
      </c>
      <c r="L3556" s="6">
        <v>50</v>
      </c>
      <c r="N3556" s="1">
        <f t="shared" si="433"/>
        <v>0</v>
      </c>
      <c r="O3556" s="6" t="s">
        <v>20</v>
      </c>
      <c r="Q3556" s="6" t="s">
        <v>21</v>
      </c>
      <c r="R3556" s="6" t="s">
        <v>21</v>
      </c>
      <c r="S3556" s="6" t="s">
        <v>21</v>
      </c>
      <c r="T3556" s="6" t="s">
        <v>21</v>
      </c>
      <c r="U3556" s="6">
        <f t="shared" si="434"/>
        <v>21.05</v>
      </c>
      <c r="V3556" s="6">
        <f t="shared" si="431"/>
        <v>21.05</v>
      </c>
    </row>
    <row r="3557" spans="1:22" hidden="1" x14ac:dyDescent="0.35">
      <c r="A3557" s="6" t="s">
        <v>3896</v>
      </c>
      <c r="B3557" s="6" t="s">
        <v>3892</v>
      </c>
      <c r="C3557" s="6" t="s">
        <v>3893</v>
      </c>
      <c r="D3557" s="6">
        <f t="shared" si="436"/>
        <v>0.5</v>
      </c>
      <c r="E3557" s="6" t="s">
        <v>19</v>
      </c>
      <c r="F3557" s="6" t="str">
        <f>MID(A3557,19,1)</f>
        <v>S</v>
      </c>
      <c r="G3557" s="6">
        <v>-22.566511955993271</v>
      </c>
      <c r="H3557" s="6">
        <v>-47.457857740179378</v>
      </c>
      <c r="I3557" s="9">
        <v>1971.42</v>
      </c>
      <c r="K3557" s="6">
        <v>3.14</v>
      </c>
      <c r="L3557" s="6">
        <v>70</v>
      </c>
      <c r="N3557" s="1">
        <f t="shared" si="433"/>
        <v>0</v>
      </c>
      <c r="O3557" s="6" t="s">
        <v>20</v>
      </c>
      <c r="Q3557" s="6" t="s">
        <v>21</v>
      </c>
      <c r="R3557" s="6" t="s">
        <v>21</v>
      </c>
      <c r="S3557" s="6" t="s">
        <v>21</v>
      </c>
      <c r="T3557" s="6" t="s">
        <v>21</v>
      </c>
      <c r="U3557" s="6">
        <f t="shared" si="434"/>
        <v>1379.9939999999999</v>
      </c>
      <c r="V3557" s="6">
        <f t="shared" si="431"/>
        <v>1379.9939999999999</v>
      </c>
    </row>
    <row r="3558" spans="1:22" hidden="1" x14ac:dyDescent="0.35">
      <c r="A3558" s="6" t="s">
        <v>3897</v>
      </c>
      <c r="B3558" s="6" t="s">
        <v>3892</v>
      </c>
      <c r="C3558" s="6" t="s">
        <v>3893</v>
      </c>
      <c r="D3558" s="6">
        <f t="shared" si="436"/>
        <v>0.5</v>
      </c>
      <c r="E3558" s="6" t="s">
        <v>23</v>
      </c>
      <c r="F3558" s="6" t="str">
        <f>MID(A3558,19,1)</f>
        <v>C</v>
      </c>
      <c r="G3558" s="6">
        <v>-22.56974502040222</v>
      </c>
      <c r="H3558" s="6">
        <v>-47.457255630209879</v>
      </c>
      <c r="I3558" s="9">
        <v>2089.59</v>
      </c>
      <c r="J3558" s="9">
        <f t="shared" ref="J3558:J3559" si="438">I3558/500</f>
        <v>4.1791800000000006</v>
      </c>
      <c r="K3558" s="6">
        <v>3.04</v>
      </c>
      <c r="L3558" s="6">
        <v>80</v>
      </c>
      <c r="N3558" s="1">
        <f t="shared" si="433"/>
        <v>0</v>
      </c>
      <c r="O3558" s="6" t="s">
        <v>20</v>
      </c>
      <c r="Q3558" s="6" t="s">
        <v>21</v>
      </c>
      <c r="R3558" s="6" t="s">
        <v>21</v>
      </c>
      <c r="S3558" s="6" t="s">
        <v>21</v>
      </c>
      <c r="T3558" s="6" t="s">
        <v>21</v>
      </c>
      <c r="U3558" s="6">
        <f t="shared" si="434"/>
        <v>1671.6720000000003</v>
      </c>
      <c r="V3558" s="6">
        <f t="shared" si="431"/>
        <v>1671.6720000000003</v>
      </c>
    </row>
    <row r="3559" spans="1:22" hidden="1" x14ac:dyDescent="0.35">
      <c r="A3559" s="6" t="s">
        <v>3898</v>
      </c>
      <c r="B3559" s="6" t="s">
        <v>3892</v>
      </c>
      <c r="C3559" s="6" t="s">
        <v>3893</v>
      </c>
      <c r="D3559" s="6">
        <f t="shared" si="436"/>
        <v>0.5</v>
      </c>
      <c r="E3559" s="6" t="s">
        <v>23</v>
      </c>
      <c r="F3559" s="6" t="str">
        <f>MID(A3559,19,1)</f>
        <v>C</v>
      </c>
      <c r="G3559" s="6">
        <v>-22.566487906138601</v>
      </c>
      <c r="H3559" s="6">
        <v>-47.457677091616368</v>
      </c>
      <c r="I3559" s="9">
        <v>6498.01</v>
      </c>
      <c r="J3559" s="9">
        <f t="shared" si="438"/>
        <v>12.99602</v>
      </c>
      <c r="K3559" s="6">
        <v>3.28</v>
      </c>
      <c r="L3559" s="6">
        <v>80</v>
      </c>
      <c r="N3559" s="1">
        <f t="shared" si="433"/>
        <v>0</v>
      </c>
      <c r="O3559" s="6" t="s">
        <v>20</v>
      </c>
      <c r="Q3559" s="6" t="s">
        <v>21</v>
      </c>
      <c r="R3559" s="6" t="s">
        <v>21</v>
      </c>
      <c r="S3559" s="6" t="s">
        <v>21</v>
      </c>
      <c r="T3559" s="6" t="s">
        <v>21</v>
      </c>
      <c r="U3559" s="6">
        <f t="shared" si="434"/>
        <v>5198.4080000000004</v>
      </c>
      <c r="V3559" s="6">
        <f t="shared" si="431"/>
        <v>5198.4080000000004</v>
      </c>
    </row>
    <row r="3560" spans="1:22" x14ac:dyDescent="0.35">
      <c r="A3560" s="6" t="s">
        <v>3899</v>
      </c>
      <c r="B3560" s="6" t="s">
        <v>3892</v>
      </c>
      <c r="C3560" s="6" t="s">
        <v>3893</v>
      </c>
      <c r="D3560" s="6">
        <f t="shared" si="436"/>
        <v>0.5</v>
      </c>
      <c r="E3560" s="6" t="s">
        <v>19</v>
      </c>
      <c r="F3560" s="6" t="str">
        <f>MID(A3560,19,1)</f>
        <v>N</v>
      </c>
      <c r="G3560" s="6">
        <v>-22.56975889297194</v>
      </c>
      <c r="H3560" s="6">
        <v>-47.457074307933702</v>
      </c>
      <c r="I3560" s="9">
        <v>622.76</v>
      </c>
      <c r="K3560" s="6">
        <v>2.91</v>
      </c>
      <c r="L3560" s="6">
        <v>70</v>
      </c>
      <c r="N3560" s="1">
        <f t="shared" si="433"/>
        <v>0</v>
      </c>
      <c r="O3560" s="6" t="s">
        <v>20</v>
      </c>
      <c r="Q3560" s="6" t="s">
        <v>21</v>
      </c>
      <c r="R3560" s="6" t="s">
        <v>21</v>
      </c>
      <c r="S3560" s="6" t="s">
        <v>21</v>
      </c>
      <c r="T3560" s="6" t="s">
        <v>21</v>
      </c>
      <c r="U3560" s="6">
        <f t="shared" si="434"/>
        <v>435.93199999999996</v>
      </c>
      <c r="V3560" s="6">
        <f t="shared" si="431"/>
        <v>435.93199999999996</v>
      </c>
    </row>
    <row r="3561" spans="1:22" x14ac:dyDescent="0.35">
      <c r="A3561" s="6" t="s">
        <v>3900</v>
      </c>
      <c r="B3561" s="6" t="s">
        <v>3892</v>
      </c>
      <c r="C3561" s="6" t="s">
        <v>3893</v>
      </c>
      <c r="D3561" s="6">
        <f t="shared" si="436"/>
        <v>0.5</v>
      </c>
      <c r="E3561" s="6" t="s">
        <v>19</v>
      </c>
      <c r="F3561" s="6" t="str">
        <f>MID(A3561,19,1)</f>
        <v>N</v>
      </c>
      <c r="G3561" s="6">
        <v>-22.461159114635262</v>
      </c>
      <c r="H3561" s="6">
        <v>-47.399134932747813</v>
      </c>
      <c r="I3561" s="9">
        <v>786.61</v>
      </c>
      <c r="K3561" s="6">
        <v>4.6900000000000004</v>
      </c>
      <c r="L3561" s="6">
        <v>50</v>
      </c>
      <c r="N3561" s="1">
        <f t="shared" si="433"/>
        <v>0</v>
      </c>
      <c r="O3561" s="6" t="s">
        <v>20</v>
      </c>
      <c r="Q3561" s="6" t="s">
        <v>21</v>
      </c>
      <c r="R3561" s="6" t="s">
        <v>21</v>
      </c>
      <c r="S3561" s="6" t="s">
        <v>21</v>
      </c>
      <c r="T3561" s="6" t="s">
        <v>21</v>
      </c>
      <c r="U3561" s="6">
        <f t="shared" si="434"/>
        <v>393.30500000000001</v>
      </c>
      <c r="V3561" s="6">
        <f t="shared" si="431"/>
        <v>393.30500000000001</v>
      </c>
    </row>
    <row r="3562" spans="1:22" hidden="1" x14ac:dyDescent="0.35">
      <c r="A3562" s="6" t="s">
        <v>3901</v>
      </c>
      <c r="B3562" s="6" t="s">
        <v>3892</v>
      </c>
      <c r="C3562" s="6" t="s">
        <v>3893</v>
      </c>
      <c r="D3562" s="6">
        <f t="shared" si="436"/>
        <v>0.5</v>
      </c>
      <c r="E3562" s="6" t="s">
        <v>19</v>
      </c>
      <c r="F3562" s="6" t="str">
        <f>MID(A3562,19,1)</f>
        <v>S</v>
      </c>
      <c r="G3562" s="6">
        <v>-22.46355667750522</v>
      </c>
      <c r="H3562" s="6">
        <v>-47.398703472835223</v>
      </c>
      <c r="I3562" s="9">
        <v>858.44</v>
      </c>
      <c r="K3562" s="6">
        <v>3.14</v>
      </c>
      <c r="L3562" s="6">
        <v>50</v>
      </c>
      <c r="N3562" s="1">
        <f t="shared" si="433"/>
        <v>0</v>
      </c>
      <c r="O3562" s="6" t="s">
        <v>20</v>
      </c>
      <c r="Q3562" s="6" t="s">
        <v>21</v>
      </c>
      <c r="R3562" s="6" t="s">
        <v>21</v>
      </c>
      <c r="S3562" s="6" t="s">
        <v>21</v>
      </c>
      <c r="T3562" s="6" t="s">
        <v>21</v>
      </c>
      <c r="U3562" s="6">
        <f t="shared" si="434"/>
        <v>429.22</v>
      </c>
      <c r="V3562" s="6">
        <f t="shared" si="431"/>
        <v>429.22</v>
      </c>
    </row>
    <row r="3563" spans="1:22" hidden="1" x14ac:dyDescent="0.35">
      <c r="A3563" s="6" t="s">
        <v>3902</v>
      </c>
      <c r="B3563" s="6" t="s">
        <v>3892</v>
      </c>
      <c r="C3563" s="6" t="s">
        <v>3893</v>
      </c>
      <c r="D3563" s="6">
        <f t="shared" si="436"/>
        <v>0.5</v>
      </c>
      <c r="E3563" s="6" t="s">
        <v>19</v>
      </c>
      <c r="F3563" s="6" t="str">
        <f>MID(A3563,19,1)</f>
        <v>S</v>
      </c>
      <c r="G3563" s="6">
        <v>-22.46127938806826</v>
      </c>
      <c r="H3563" s="6">
        <v>-47.398675980638167</v>
      </c>
      <c r="I3563" s="9">
        <v>884.03</v>
      </c>
      <c r="K3563" s="6">
        <v>2.23</v>
      </c>
      <c r="L3563" s="6">
        <v>50</v>
      </c>
      <c r="N3563" s="1">
        <f t="shared" si="433"/>
        <v>0</v>
      </c>
      <c r="O3563" s="6" t="s">
        <v>20</v>
      </c>
      <c r="Q3563" s="6" t="s">
        <v>21</v>
      </c>
      <c r="R3563" s="6" t="s">
        <v>21</v>
      </c>
      <c r="S3563" s="6" t="s">
        <v>21</v>
      </c>
      <c r="T3563" s="6" t="s">
        <v>21</v>
      </c>
      <c r="U3563" s="6">
        <f t="shared" si="434"/>
        <v>442.01499999999999</v>
      </c>
      <c r="V3563" s="6">
        <f t="shared" si="431"/>
        <v>442.01499999999999</v>
      </c>
    </row>
    <row r="3564" spans="1:22" x14ac:dyDescent="0.35">
      <c r="A3564" s="6" t="s">
        <v>3903</v>
      </c>
      <c r="B3564" s="6" t="s">
        <v>3892</v>
      </c>
      <c r="C3564" s="6" t="s">
        <v>3893</v>
      </c>
      <c r="D3564" s="6">
        <f t="shared" si="436"/>
        <v>0.5</v>
      </c>
      <c r="E3564" s="6" t="s">
        <v>19</v>
      </c>
      <c r="F3564" s="6" t="str">
        <f>MID(A3564,19,1)</f>
        <v>N</v>
      </c>
      <c r="G3564" s="6">
        <v>-22.458085037317421</v>
      </c>
      <c r="H3564" s="6">
        <v>-47.39908450582471</v>
      </c>
      <c r="I3564" s="9">
        <v>1734.86</v>
      </c>
      <c r="K3564" s="6">
        <v>2.0299999999999998</v>
      </c>
      <c r="L3564" s="6">
        <v>50</v>
      </c>
      <c r="N3564" s="1">
        <f t="shared" si="433"/>
        <v>0</v>
      </c>
      <c r="O3564" s="6" t="s">
        <v>20</v>
      </c>
      <c r="Q3564" s="6" t="s">
        <v>21</v>
      </c>
      <c r="R3564" s="6" t="s">
        <v>21</v>
      </c>
      <c r="S3564" s="6" t="s">
        <v>21</v>
      </c>
      <c r="T3564" s="6" t="s">
        <v>21</v>
      </c>
      <c r="U3564" s="6">
        <f t="shared" si="434"/>
        <v>867.43</v>
      </c>
      <c r="V3564" s="6">
        <f t="shared" si="431"/>
        <v>867.43</v>
      </c>
    </row>
    <row r="3565" spans="1:22" x14ac:dyDescent="0.35">
      <c r="A3565" s="6" t="s">
        <v>3904</v>
      </c>
      <c r="B3565" s="6" t="s">
        <v>3892</v>
      </c>
      <c r="C3565" s="6" t="s">
        <v>3893</v>
      </c>
      <c r="D3565" s="6">
        <f t="shared" si="436"/>
        <v>0.5</v>
      </c>
      <c r="E3565" s="6" t="s">
        <v>19</v>
      </c>
      <c r="F3565" s="6" t="str">
        <f>MID(A3565,19,1)</f>
        <v>N</v>
      </c>
      <c r="G3565" s="6">
        <v>-22.462963755839208</v>
      </c>
      <c r="H3565" s="6">
        <v>-47.399172242477512</v>
      </c>
      <c r="I3565" s="9">
        <v>808.98</v>
      </c>
      <c r="K3565" s="6">
        <v>2.4900000000000002</v>
      </c>
      <c r="L3565" s="6">
        <v>50</v>
      </c>
      <c r="N3565" s="1">
        <f t="shared" si="433"/>
        <v>0</v>
      </c>
      <c r="O3565" s="6" t="s">
        <v>20</v>
      </c>
      <c r="Q3565" s="6" t="s">
        <v>21</v>
      </c>
      <c r="R3565" s="6" t="s">
        <v>21</v>
      </c>
      <c r="S3565" s="6" t="s">
        <v>21</v>
      </c>
      <c r="T3565" s="6" t="s">
        <v>21</v>
      </c>
      <c r="U3565" s="6">
        <f t="shared" si="434"/>
        <v>404.49</v>
      </c>
      <c r="V3565" s="6">
        <f t="shared" si="431"/>
        <v>404.49</v>
      </c>
    </row>
    <row r="3566" spans="1:22" hidden="1" x14ac:dyDescent="0.35">
      <c r="A3566" s="6" t="s">
        <v>3905</v>
      </c>
      <c r="B3566" s="6" t="s">
        <v>3892</v>
      </c>
      <c r="C3566" s="6" t="s">
        <v>3893</v>
      </c>
      <c r="D3566" s="6">
        <f t="shared" si="436"/>
        <v>0.5</v>
      </c>
      <c r="E3566" s="6" t="s">
        <v>23</v>
      </c>
      <c r="F3566" s="6" t="str">
        <f>MID(A3566,19,1)</f>
        <v>C</v>
      </c>
      <c r="G3566" s="6">
        <v>-22.458095715801861</v>
      </c>
      <c r="H3566" s="6">
        <v>-47.398870168619048</v>
      </c>
      <c r="I3566" s="9">
        <v>8737.89</v>
      </c>
      <c r="J3566" s="9">
        <f>I3566/500</f>
        <v>17.47578</v>
      </c>
      <c r="K3566" s="6">
        <v>2.2200000000000002</v>
      </c>
      <c r="L3566" s="6">
        <v>50</v>
      </c>
      <c r="N3566" s="1">
        <f t="shared" si="433"/>
        <v>0</v>
      </c>
      <c r="O3566" s="6" t="s">
        <v>20</v>
      </c>
      <c r="Q3566" s="6" t="s">
        <v>21</v>
      </c>
      <c r="R3566" s="6" t="s">
        <v>21</v>
      </c>
      <c r="S3566" s="6" t="s">
        <v>21</v>
      </c>
      <c r="T3566" s="6" t="s">
        <v>21</v>
      </c>
      <c r="U3566" s="6">
        <f t="shared" si="434"/>
        <v>4368.9449999999997</v>
      </c>
      <c r="V3566" s="6">
        <f t="shared" si="431"/>
        <v>4368.9449999999997</v>
      </c>
    </row>
    <row r="3567" spans="1:22" hidden="1" x14ac:dyDescent="0.35">
      <c r="A3567" s="6" t="s">
        <v>3906</v>
      </c>
      <c r="B3567" s="6" t="s">
        <v>3892</v>
      </c>
      <c r="C3567" s="6" t="s">
        <v>3893</v>
      </c>
      <c r="D3567" s="6">
        <f t="shared" si="436"/>
        <v>0.5</v>
      </c>
      <c r="E3567" s="6" t="s">
        <v>19</v>
      </c>
      <c r="F3567" s="6" t="str">
        <f>MID(A3567,19,1)</f>
        <v>S</v>
      </c>
      <c r="G3567" s="6">
        <v>-22.45808619765624</v>
      </c>
      <c r="H3567" s="6">
        <v>-47.398652481944858</v>
      </c>
      <c r="I3567" s="9">
        <v>1734.92</v>
      </c>
      <c r="K3567" s="6">
        <v>1.69</v>
      </c>
      <c r="L3567" s="6">
        <v>50</v>
      </c>
      <c r="N3567" s="1">
        <f t="shared" si="433"/>
        <v>0</v>
      </c>
      <c r="O3567" s="6" t="s">
        <v>20</v>
      </c>
      <c r="Q3567" s="6" t="s">
        <v>21</v>
      </c>
      <c r="R3567" s="6" t="s">
        <v>21</v>
      </c>
      <c r="S3567" s="6" t="s">
        <v>21</v>
      </c>
      <c r="T3567" s="6" t="s">
        <v>21</v>
      </c>
      <c r="U3567" s="6">
        <f t="shared" si="434"/>
        <v>867.46</v>
      </c>
      <c r="V3567" s="6">
        <f t="shared" si="431"/>
        <v>867.46</v>
      </c>
    </row>
    <row r="3568" spans="1:22" hidden="1" x14ac:dyDescent="0.35">
      <c r="A3568" s="6" t="s">
        <v>3907</v>
      </c>
      <c r="B3568" s="6" t="s">
        <v>3892</v>
      </c>
      <c r="C3568" s="6" t="s">
        <v>3893</v>
      </c>
      <c r="D3568" s="6">
        <f t="shared" si="436"/>
        <v>0.5</v>
      </c>
      <c r="E3568" s="6" t="s">
        <v>23</v>
      </c>
      <c r="F3568" s="6" t="str">
        <f>MID(A3568,19,1)</f>
        <v>C</v>
      </c>
      <c r="G3568" s="6">
        <v>-22.46234281908287</v>
      </c>
      <c r="H3568" s="6">
        <v>-47.398920803094882</v>
      </c>
      <c r="I3568" s="9">
        <v>8979.99</v>
      </c>
      <c r="J3568" s="9">
        <f t="shared" ref="J3568:J3569" si="439">I3568/500</f>
        <v>17.959979999999998</v>
      </c>
      <c r="K3568" s="6">
        <v>3.22</v>
      </c>
      <c r="L3568" s="6">
        <v>50</v>
      </c>
      <c r="N3568" s="1">
        <f t="shared" si="433"/>
        <v>0</v>
      </c>
      <c r="O3568" s="6" t="s">
        <v>20</v>
      </c>
      <c r="Q3568" s="6" t="s">
        <v>21</v>
      </c>
      <c r="R3568" s="6" t="s">
        <v>21</v>
      </c>
      <c r="S3568" s="6" t="s">
        <v>21</v>
      </c>
      <c r="T3568" s="6" t="s">
        <v>21</v>
      </c>
      <c r="U3568" s="6">
        <f t="shared" si="434"/>
        <v>4489.9949999999999</v>
      </c>
      <c r="V3568" s="6">
        <f t="shared" si="431"/>
        <v>4489.9949999999999</v>
      </c>
    </row>
    <row r="3569" spans="1:22" hidden="1" x14ac:dyDescent="0.35">
      <c r="A3569" s="6" t="s">
        <v>3908</v>
      </c>
      <c r="B3569" s="6" t="s">
        <v>3892</v>
      </c>
      <c r="C3569" s="6" t="s">
        <v>3893</v>
      </c>
      <c r="D3569" s="6">
        <f t="shared" si="436"/>
        <v>0.5</v>
      </c>
      <c r="E3569" s="6" t="s">
        <v>23</v>
      </c>
      <c r="F3569" s="6" t="str">
        <f>MID(A3569,19,1)</f>
        <v>C</v>
      </c>
      <c r="G3569" s="6">
        <v>-22.57187461801259</v>
      </c>
      <c r="H3569" s="6">
        <v>-47.457632540275171</v>
      </c>
      <c r="I3569" s="9">
        <v>3189.15</v>
      </c>
      <c r="J3569" s="9">
        <f t="shared" si="439"/>
        <v>6.3783000000000003</v>
      </c>
      <c r="K3569" s="6">
        <v>3.15</v>
      </c>
      <c r="L3569" s="6">
        <v>80</v>
      </c>
      <c r="N3569" s="1">
        <f t="shared" si="433"/>
        <v>0</v>
      </c>
      <c r="O3569" s="6" t="s">
        <v>20</v>
      </c>
      <c r="Q3569" s="6" t="s">
        <v>21</v>
      </c>
      <c r="R3569" s="6" t="s">
        <v>21</v>
      </c>
      <c r="S3569" s="6" t="s">
        <v>21</v>
      </c>
      <c r="T3569" s="6" t="s">
        <v>21</v>
      </c>
      <c r="U3569" s="6">
        <f t="shared" si="434"/>
        <v>2551.3200000000002</v>
      </c>
      <c r="V3569" s="6">
        <f t="shared" ref="V3569:V3632" si="440">(I3569*(L3569/100))</f>
        <v>2551.3200000000002</v>
      </c>
    </row>
    <row r="3570" spans="1:22" x14ac:dyDescent="0.35">
      <c r="A3570" s="6" t="s">
        <v>3909</v>
      </c>
      <c r="B3570" s="6" t="s">
        <v>3892</v>
      </c>
      <c r="C3570" s="6" t="s">
        <v>3893</v>
      </c>
      <c r="D3570" s="6">
        <f t="shared" si="436"/>
        <v>0.5</v>
      </c>
      <c r="E3570" s="6" t="s">
        <v>19</v>
      </c>
      <c r="F3570" s="6" t="str">
        <f>MID(A3570,19,1)</f>
        <v>N</v>
      </c>
      <c r="G3570" s="6">
        <v>-22.464041850537519</v>
      </c>
      <c r="H3570" s="6">
        <v>-47.399177377735391</v>
      </c>
      <c r="I3570" s="9">
        <v>562.04999999999995</v>
      </c>
      <c r="K3570" s="6">
        <v>1.1599999999999999</v>
      </c>
      <c r="L3570" s="6">
        <v>50</v>
      </c>
      <c r="N3570" s="1">
        <f t="shared" si="433"/>
        <v>0</v>
      </c>
      <c r="O3570" s="6" t="s">
        <v>20</v>
      </c>
      <c r="Q3570" s="6" t="s">
        <v>21</v>
      </c>
      <c r="R3570" s="6" t="s">
        <v>21</v>
      </c>
      <c r="S3570" s="6" t="s">
        <v>21</v>
      </c>
      <c r="T3570" s="6" t="s">
        <v>21</v>
      </c>
      <c r="U3570" s="6">
        <f t="shared" si="434"/>
        <v>281.02499999999998</v>
      </c>
      <c r="V3570" s="6">
        <f t="shared" si="440"/>
        <v>281.02499999999998</v>
      </c>
    </row>
    <row r="3571" spans="1:22" hidden="1" x14ac:dyDescent="0.35">
      <c r="A3571" s="6" t="s">
        <v>3910</v>
      </c>
      <c r="B3571" s="6" t="s">
        <v>3892</v>
      </c>
      <c r="C3571" s="6" t="s">
        <v>3893</v>
      </c>
      <c r="D3571" s="6">
        <f t="shared" si="436"/>
        <v>0.5</v>
      </c>
      <c r="E3571" s="6" t="s">
        <v>19</v>
      </c>
      <c r="F3571" s="6" t="str">
        <f>MID(A3571,19,1)</f>
        <v>S</v>
      </c>
      <c r="G3571" s="6">
        <v>-22.462353843521779</v>
      </c>
      <c r="H3571" s="6">
        <v>-47.39871269718423</v>
      </c>
      <c r="I3571" s="9">
        <v>124.94</v>
      </c>
      <c r="K3571" s="6">
        <v>2.48</v>
      </c>
      <c r="L3571" s="6">
        <v>50</v>
      </c>
      <c r="N3571" s="1">
        <f t="shared" si="433"/>
        <v>0</v>
      </c>
      <c r="O3571" s="6" t="s">
        <v>20</v>
      </c>
      <c r="Q3571" s="6" t="s">
        <v>21</v>
      </c>
      <c r="R3571" s="6" t="s">
        <v>21</v>
      </c>
      <c r="S3571" s="6" t="s">
        <v>21</v>
      </c>
      <c r="T3571" s="6" t="s">
        <v>21</v>
      </c>
      <c r="U3571" s="6">
        <f t="shared" si="434"/>
        <v>62.47</v>
      </c>
      <c r="V3571" s="6">
        <f t="shared" si="440"/>
        <v>62.47</v>
      </c>
    </row>
    <row r="3572" spans="1:22" x14ac:dyDescent="0.35">
      <c r="A3572" s="6" t="s">
        <v>3911</v>
      </c>
      <c r="B3572" s="6" t="s">
        <v>3892</v>
      </c>
      <c r="C3572" s="6" t="s">
        <v>3893</v>
      </c>
      <c r="D3572" s="6">
        <f t="shared" si="436"/>
        <v>0.5</v>
      </c>
      <c r="E3572" s="6" t="s">
        <v>19</v>
      </c>
      <c r="F3572" s="6" t="str">
        <f>MID(A3572,19,1)</f>
        <v>N</v>
      </c>
      <c r="G3572" s="6">
        <v>-22.571858453616681</v>
      </c>
      <c r="H3572" s="6">
        <v>-47.45744123169046</v>
      </c>
      <c r="I3572" s="9">
        <v>1007.6</v>
      </c>
      <c r="K3572" s="6">
        <v>3.41</v>
      </c>
      <c r="L3572" s="6">
        <v>70</v>
      </c>
      <c r="N3572" s="1">
        <f t="shared" si="433"/>
        <v>0</v>
      </c>
      <c r="O3572" s="6" t="s">
        <v>20</v>
      </c>
      <c r="Q3572" s="6" t="s">
        <v>21</v>
      </c>
      <c r="R3572" s="6" t="s">
        <v>21</v>
      </c>
      <c r="S3572" s="6" t="s">
        <v>21</v>
      </c>
      <c r="T3572" s="6" t="s">
        <v>21</v>
      </c>
      <c r="U3572" s="6">
        <f t="shared" si="434"/>
        <v>705.31999999999994</v>
      </c>
      <c r="V3572" s="6">
        <f t="shared" si="440"/>
        <v>705.31999999999994</v>
      </c>
    </row>
    <row r="3573" spans="1:22" x14ac:dyDescent="0.35">
      <c r="A3573" s="6" t="s">
        <v>3912</v>
      </c>
      <c r="B3573" s="6" t="s">
        <v>3892</v>
      </c>
      <c r="C3573" s="6" t="s">
        <v>3893</v>
      </c>
      <c r="D3573" s="6">
        <f t="shared" si="436"/>
        <v>0.5</v>
      </c>
      <c r="E3573" s="6" t="s">
        <v>19</v>
      </c>
      <c r="F3573" s="6" t="str">
        <f>MID(A3573,19,1)</f>
        <v>N</v>
      </c>
      <c r="G3573" s="6">
        <v>-22.4621312882268</v>
      </c>
      <c r="H3573" s="6">
        <v>-47.399176603631624</v>
      </c>
      <c r="I3573" s="9">
        <v>227.65</v>
      </c>
      <c r="K3573" s="6">
        <v>2.7</v>
      </c>
      <c r="L3573" s="6">
        <v>50</v>
      </c>
      <c r="N3573" s="1">
        <f t="shared" si="433"/>
        <v>0</v>
      </c>
      <c r="O3573" s="6" t="s">
        <v>20</v>
      </c>
      <c r="Q3573" s="6" t="s">
        <v>21</v>
      </c>
      <c r="R3573" s="6" t="s">
        <v>21</v>
      </c>
      <c r="S3573" s="6" t="s">
        <v>21</v>
      </c>
      <c r="T3573" s="6" t="s">
        <v>21</v>
      </c>
      <c r="U3573" s="6">
        <f t="shared" si="434"/>
        <v>113.825</v>
      </c>
      <c r="V3573" s="6">
        <f t="shared" si="440"/>
        <v>113.825</v>
      </c>
    </row>
    <row r="3574" spans="1:22" hidden="1" x14ac:dyDescent="0.35">
      <c r="A3574" s="6" t="s">
        <v>3913</v>
      </c>
      <c r="B3574" s="6" t="s">
        <v>3892</v>
      </c>
      <c r="C3574" s="6" t="s">
        <v>3893</v>
      </c>
      <c r="D3574" s="6">
        <f t="shared" si="436"/>
        <v>0.5</v>
      </c>
      <c r="E3574" s="6" t="s">
        <v>19</v>
      </c>
      <c r="F3574" s="6" t="str">
        <f>MID(A3574,19,1)</f>
        <v>S</v>
      </c>
      <c r="G3574" s="6">
        <v>-22.56971776321117</v>
      </c>
      <c r="H3574" s="6">
        <v>-47.457440423572628</v>
      </c>
      <c r="I3574" s="9">
        <v>687.57</v>
      </c>
      <c r="K3574" s="6">
        <v>3.51</v>
      </c>
      <c r="L3574" s="6">
        <v>70</v>
      </c>
      <c r="N3574" s="1">
        <f t="shared" si="433"/>
        <v>0</v>
      </c>
      <c r="O3574" s="6" t="s">
        <v>20</v>
      </c>
      <c r="Q3574" s="6" t="s">
        <v>21</v>
      </c>
      <c r="R3574" s="6" t="s">
        <v>21</v>
      </c>
      <c r="S3574" s="6" t="s">
        <v>21</v>
      </c>
      <c r="T3574" s="6" t="s">
        <v>21</v>
      </c>
      <c r="U3574" s="6">
        <f t="shared" si="434"/>
        <v>481.29899999999998</v>
      </c>
      <c r="V3574" s="6">
        <f t="shared" si="440"/>
        <v>481.29899999999998</v>
      </c>
    </row>
    <row r="3575" spans="1:22" x14ac:dyDescent="0.35">
      <c r="A3575" s="6" t="s">
        <v>3914</v>
      </c>
      <c r="B3575" s="6" t="s">
        <v>3915</v>
      </c>
      <c r="C3575" s="6" t="s">
        <v>3916</v>
      </c>
      <c r="D3575" s="6">
        <f t="shared" si="436"/>
        <v>0.5</v>
      </c>
      <c r="E3575" s="6" t="s">
        <v>19</v>
      </c>
      <c r="F3575" s="6" t="str">
        <f>MID(A3575,19,1)</f>
        <v>N</v>
      </c>
      <c r="G3575" s="6">
        <v>-22.562261896443061</v>
      </c>
      <c r="H3575" s="6">
        <v>-47.458569869812763</v>
      </c>
      <c r="I3575" s="9">
        <v>1436.06</v>
      </c>
      <c r="K3575" s="6">
        <v>3.69</v>
      </c>
      <c r="L3575" s="6">
        <v>70</v>
      </c>
      <c r="N3575" s="1">
        <f t="shared" si="433"/>
        <v>0</v>
      </c>
      <c r="O3575" s="6" t="s">
        <v>20</v>
      </c>
      <c r="Q3575" s="6" t="s">
        <v>21</v>
      </c>
      <c r="R3575" s="6" t="s">
        <v>21</v>
      </c>
      <c r="S3575" s="6" t="s">
        <v>21</v>
      </c>
      <c r="T3575" s="6" t="s">
        <v>21</v>
      </c>
      <c r="U3575" s="6">
        <f t="shared" si="434"/>
        <v>1005.2419999999998</v>
      </c>
      <c r="V3575" s="6">
        <f t="shared" si="440"/>
        <v>1005.2419999999998</v>
      </c>
    </row>
    <row r="3576" spans="1:22" hidden="1" x14ac:dyDescent="0.35">
      <c r="A3576" s="6" t="s">
        <v>3917</v>
      </c>
      <c r="B3576" s="6" t="s">
        <v>3915</v>
      </c>
      <c r="C3576" s="6" t="s">
        <v>3916</v>
      </c>
      <c r="D3576" s="6">
        <f t="shared" si="436"/>
        <v>0.5</v>
      </c>
      <c r="E3576" s="6" t="s">
        <v>23</v>
      </c>
      <c r="F3576" s="6" t="str">
        <f>MID(A3576,19,1)</f>
        <v>C</v>
      </c>
      <c r="G3576" s="6">
        <v>-22.562336754068902</v>
      </c>
      <c r="H3576" s="6">
        <v>-47.458744646071629</v>
      </c>
      <c r="I3576" s="9">
        <v>4808.1899999999996</v>
      </c>
      <c r="J3576" s="9">
        <f t="shared" ref="J3576:J3577" si="441">I3576/500</f>
        <v>9.6163799999999995</v>
      </c>
      <c r="K3576" s="6">
        <v>4.17</v>
      </c>
      <c r="L3576" s="6">
        <v>80</v>
      </c>
      <c r="N3576" s="1">
        <f t="shared" si="433"/>
        <v>0</v>
      </c>
      <c r="O3576" s="6" t="s">
        <v>20</v>
      </c>
      <c r="Q3576" s="6" t="s">
        <v>21</v>
      </c>
      <c r="R3576" s="6" t="s">
        <v>21</v>
      </c>
      <c r="S3576" s="6" t="s">
        <v>21</v>
      </c>
      <c r="T3576" s="6" t="s">
        <v>21</v>
      </c>
      <c r="U3576" s="6">
        <f t="shared" si="434"/>
        <v>3846.5519999999997</v>
      </c>
      <c r="V3576" s="6">
        <f t="shared" si="440"/>
        <v>3846.5519999999997</v>
      </c>
    </row>
    <row r="3577" spans="1:22" hidden="1" x14ac:dyDescent="0.35">
      <c r="A3577" s="6" t="s">
        <v>3918</v>
      </c>
      <c r="B3577" s="6" t="s">
        <v>3915</v>
      </c>
      <c r="C3577" s="6" t="s">
        <v>3916</v>
      </c>
      <c r="D3577" s="6">
        <f t="shared" si="436"/>
        <v>0.5</v>
      </c>
      <c r="E3577" s="6" t="s">
        <v>23</v>
      </c>
      <c r="F3577" s="6" t="str">
        <f>MID(A3577,19,1)</f>
        <v>C</v>
      </c>
      <c r="G3577" s="6">
        <v>-22.55852262888839</v>
      </c>
      <c r="H3577" s="6">
        <v>-47.459765526752953</v>
      </c>
      <c r="I3577" s="9">
        <v>5338.9</v>
      </c>
      <c r="J3577" s="9">
        <f t="shared" si="441"/>
        <v>10.6778</v>
      </c>
      <c r="K3577" s="6">
        <v>5.09</v>
      </c>
      <c r="L3577" s="6">
        <v>80</v>
      </c>
      <c r="N3577" s="1">
        <f t="shared" si="433"/>
        <v>0</v>
      </c>
      <c r="O3577" s="6" t="s">
        <v>20</v>
      </c>
      <c r="Q3577" s="6" t="s">
        <v>21</v>
      </c>
      <c r="R3577" s="6" t="s">
        <v>21</v>
      </c>
      <c r="S3577" s="6" t="s">
        <v>21</v>
      </c>
      <c r="T3577" s="6" t="s">
        <v>21</v>
      </c>
      <c r="U3577" s="6">
        <f t="shared" si="434"/>
        <v>4271.12</v>
      </c>
      <c r="V3577" s="6">
        <f t="shared" si="440"/>
        <v>4271.12</v>
      </c>
    </row>
    <row r="3578" spans="1:22" x14ac:dyDescent="0.35">
      <c r="A3578" s="6" t="s">
        <v>3919</v>
      </c>
      <c r="B3578" s="6" t="s">
        <v>3915</v>
      </c>
      <c r="C3578" s="6" t="s">
        <v>3916</v>
      </c>
      <c r="D3578" s="6">
        <f t="shared" si="436"/>
        <v>0.5</v>
      </c>
      <c r="E3578" s="6" t="s">
        <v>19</v>
      </c>
      <c r="F3578" s="6" t="str">
        <f>MID(A3578,19,1)</f>
        <v>N</v>
      </c>
      <c r="G3578" s="6">
        <v>-22.557931679879911</v>
      </c>
      <c r="H3578" s="6">
        <v>-47.459577294613041</v>
      </c>
      <c r="I3578" s="9">
        <v>2226.4299999999998</v>
      </c>
      <c r="K3578" s="6">
        <v>3.8</v>
      </c>
      <c r="L3578" s="6">
        <v>70</v>
      </c>
      <c r="N3578" s="1">
        <f t="shared" si="433"/>
        <v>0</v>
      </c>
      <c r="O3578" s="6" t="s">
        <v>20</v>
      </c>
      <c r="Q3578" s="6" t="s">
        <v>21</v>
      </c>
      <c r="R3578" s="6" t="s">
        <v>21</v>
      </c>
      <c r="S3578" s="6" t="s">
        <v>21</v>
      </c>
      <c r="T3578" s="6" t="s">
        <v>21</v>
      </c>
      <c r="U3578" s="6">
        <f t="shared" si="434"/>
        <v>1558.5009999999997</v>
      </c>
      <c r="V3578" s="6">
        <f t="shared" si="440"/>
        <v>1558.5009999999997</v>
      </c>
    </row>
    <row r="3579" spans="1:22" hidden="1" x14ac:dyDescent="0.35">
      <c r="A3579" s="6" t="s">
        <v>3920</v>
      </c>
      <c r="B3579" s="6" t="s">
        <v>3915</v>
      </c>
      <c r="C3579" s="6" t="s">
        <v>3916</v>
      </c>
      <c r="D3579" s="6">
        <f t="shared" si="436"/>
        <v>0.5</v>
      </c>
      <c r="E3579" s="6" t="s">
        <v>19</v>
      </c>
      <c r="F3579" s="6" t="str">
        <f>MID(A3579,19,1)</f>
        <v>S</v>
      </c>
      <c r="G3579" s="6">
        <v>-22.558185471378341</v>
      </c>
      <c r="H3579" s="6">
        <v>-47.460172535827809</v>
      </c>
      <c r="I3579" s="9">
        <v>2107.46</v>
      </c>
      <c r="K3579" s="6">
        <v>5.04</v>
      </c>
      <c r="L3579" s="6">
        <v>70</v>
      </c>
      <c r="N3579" s="1">
        <f t="shared" si="433"/>
        <v>0</v>
      </c>
      <c r="O3579" s="6" t="s">
        <v>20</v>
      </c>
      <c r="Q3579" s="6" t="s">
        <v>21</v>
      </c>
      <c r="R3579" s="6" t="s">
        <v>21</v>
      </c>
      <c r="S3579" s="6" t="s">
        <v>21</v>
      </c>
      <c r="T3579" s="6" t="s">
        <v>21</v>
      </c>
      <c r="U3579" s="6">
        <f t="shared" si="434"/>
        <v>1475.222</v>
      </c>
      <c r="V3579" s="6">
        <f t="shared" si="440"/>
        <v>1475.222</v>
      </c>
    </row>
    <row r="3580" spans="1:22" hidden="1" x14ac:dyDescent="0.35">
      <c r="A3580" s="6" t="s">
        <v>3921</v>
      </c>
      <c r="B3580" s="6" t="s">
        <v>3915</v>
      </c>
      <c r="C3580" s="6" t="s">
        <v>3916</v>
      </c>
      <c r="D3580" s="6">
        <f t="shared" si="436"/>
        <v>0.5</v>
      </c>
      <c r="E3580" s="6" t="s">
        <v>19</v>
      </c>
      <c r="F3580" s="6" t="str">
        <f>MID(A3580,19,1)</f>
        <v>S</v>
      </c>
      <c r="G3580" s="6">
        <v>-22.5624071520851</v>
      </c>
      <c r="H3580" s="6">
        <v>-47.458920334654081</v>
      </c>
      <c r="I3580" s="9">
        <v>1487.07</v>
      </c>
      <c r="K3580" s="6">
        <v>4.71</v>
      </c>
      <c r="L3580" s="6">
        <v>70</v>
      </c>
      <c r="N3580" s="1">
        <f t="shared" si="433"/>
        <v>0</v>
      </c>
      <c r="O3580" s="6" t="s">
        <v>20</v>
      </c>
      <c r="Q3580" s="6" t="s">
        <v>21</v>
      </c>
      <c r="R3580" s="6" t="s">
        <v>21</v>
      </c>
      <c r="S3580" s="6" t="s">
        <v>21</v>
      </c>
      <c r="T3580" s="6" t="s">
        <v>21</v>
      </c>
      <c r="U3580" s="6">
        <f t="shared" si="434"/>
        <v>1040.9489999999998</v>
      </c>
      <c r="V3580" s="6">
        <f t="shared" si="440"/>
        <v>1040.9489999999998</v>
      </c>
    </row>
    <row r="3581" spans="1:22" x14ac:dyDescent="0.35">
      <c r="A3581" s="6" t="s">
        <v>3922</v>
      </c>
      <c r="B3581" s="6" t="s">
        <v>3923</v>
      </c>
      <c r="C3581" s="6" t="s">
        <v>3924</v>
      </c>
      <c r="D3581" s="6">
        <f t="shared" si="436"/>
        <v>0.5</v>
      </c>
      <c r="E3581" s="6" t="s">
        <v>19</v>
      </c>
      <c r="F3581" s="6" t="str">
        <f>MID(A3581,19,1)</f>
        <v>N</v>
      </c>
      <c r="G3581" s="6">
        <v>-22.55332533292594</v>
      </c>
      <c r="H3581" s="6">
        <v>-47.460824188534509</v>
      </c>
      <c r="I3581" s="9">
        <v>2060.56</v>
      </c>
      <c r="K3581" s="6">
        <v>2.93</v>
      </c>
      <c r="L3581" s="6">
        <v>70</v>
      </c>
      <c r="N3581" s="1">
        <f t="shared" si="433"/>
        <v>0</v>
      </c>
      <c r="O3581" s="6" t="s">
        <v>20</v>
      </c>
      <c r="Q3581" s="6" t="s">
        <v>21</v>
      </c>
      <c r="R3581" s="6" t="s">
        <v>21</v>
      </c>
      <c r="S3581" s="6" t="s">
        <v>21</v>
      </c>
      <c r="T3581" s="6" t="s">
        <v>21</v>
      </c>
      <c r="U3581" s="6">
        <f t="shared" si="434"/>
        <v>1442.3919999999998</v>
      </c>
      <c r="V3581" s="6">
        <f t="shared" si="440"/>
        <v>1442.3919999999998</v>
      </c>
    </row>
    <row r="3582" spans="1:22" hidden="1" x14ac:dyDescent="0.35">
      <c r="A3582" s="6" t="s">
        <v>3925</v>
      </c>
      <c r="B3582" s="6" t="s">
        <v>3923</v>
      </c>
      <c r="C3582" s="6" t="s">
        <v>3924</v>
      </c>
      <c r="D3582" s="6">
        <f t="shared" si="436"/>
        <v>0.5</v>
      </c>
      <c r="E3582" s="6" t="s">
        <v>19</v>
      </c>
      <c r="F3582" s="6" t="str">
        <f>MID(A3582,19,1)</f>
        <v>S</v>
      </c>
      <c r="G3582" s="6">
        <v>-22.54819459609212</v>
      </c>
      <c r="H3582" s="6">
        <v>-47.462341870773848</v>
      </c>
      <c r="I3582" s="9">
        <v>2320.7199999999998</v>
      </c>
      <c r="K3582" s="6">
        <v>3.68</v>
      </c>
      <c r="L3582" s="6">
        <v>70</v>
      </c>
      <c r="N3582" s="1">
        <f t="shared" si="433"/>
        <v>0</v>
      </c>
      <c r="O3582" s="6" t="s">
        <v>20</v>
      </c>
      <c r="Q3582" s="6" t="s">
        <v>21</v>
      </c>
      <c r="R3582" s="6" t="s">
        <v>21</v>
      </c>
      <c r="S3582" s="6" t="s">
        <v>21</v>
      </c>
      <c r="T3582" s="6" t="s">
        <v>21</v>
      </c>
      <c r="U3582" s="6">
        <f t="shared" si="434"/>
        <v>1624.5039999999997</v>
      </c>
      <c r="V3582" s="6">
        <f t="shared" si="440"/>
        <v>1624.5039999999997</v>
      </c>
    </row>
    <row r="3583" spans="1:22" hidden="1" x14ac:dyDescent="0.35">
      <c r="A3583" s="6" t="s">
        <v>3926</v>
      </c>
      <c r="B3583" s="6" t="s">
        <v>3923</v>
      </c>
      <c r="C3583" s="6" t="s">
        <v>3924</v>
      </c>
      <c r="D3583" s="6">
        <f t="shared" si="436"/>
        <v>0.5</v>
      </c>
      <c r="E3583" s="6" t="s">
        <v>19</v>
      </c>
      <c r="F3583" s="6" t="str">
        <f>MID(A3583,19,1)</f>
        <v>S</v>
      </c>
      <c r="G3583" s="6">
        <v>-22.553350689439071</v>
      </c>
      <c r="H3583" s="6">
        <v>-47.461449550661079</v>
      </c>
      <c r="I3583" s="9">
        <v>1983.64</v>
      </c>
      <c r="K3583" s="6">
        <v>3.64</v>
      </c>
      <c r="L3583" s="6">
        <v>70</v>
      </c>
      <c r="N3583" s="1">
        <f t="shared" si="433"/>
        <v>0</v>
      </c>
      <c r="O3583" s="6" t="s">
        <v>20</v>
      </c>
      <c r="Q3583" s="6" t="s">
        <v>21</v>
      </c>
      <c r="R3583" s="6" t="s">
        <v>21</v>
      </c>
      <c r="S3583" s="6" t="s">
        <v>21</v>
      </c>
      <c r="T3583" s="6" t="s">
        <v>21</v>
      </c>
      <c r="U3583" s="6">
        <f t="shared" si="434"/>
        <v>1388.548</v>
      </c>
      <c r="V3583" s="6">
        <f t="shared" si="440"/>
        <v>1388.548</v>
      </c>
    </row>
    <row r="3584" spans="1:22" hidden="1" x14ac:dyDescent="0.35">
      <c r="A3584" s="6" t="s">
        <v>3927</v>
      </c>
      <c r="B3584" s="6" t="s">
        <v>3923</v>
      </c>
      <c r="C3584" s="6" t="s">
        <v>3924</v>
      </c>
      <c r="D3584" s="6">
        <f t="shared" si="436"/>
        <v>0.5</v>
      </c>
      <c r="E3584" s="6" t="s">
        <v>23</v>
      </c>
      <c r="F3584" s="6" t="str">
        <f>MID(A3584,19,1)</f>
        <v>C</v>
      </c>
      <c r="G3584" s="6">
        <v>-22.55085129379955</v>
      </c>
      <c r="H3584" s="6">
        <v>-47.461800298062727</v>
      </c>
      <c r="I3584" s="9">
        <v>274.95</v>
      </c>
      <c r="J3584" s="9">
        <f>I3584/500</f>
        <v>0.54989999999999994</v>
      </c>
      <c r="K3584" s="6">
        <v>2.99</v>
      </c>
      <c r="L3584" s="6">
        <v>0</v>
      </c>
      <c r="N3584" s="1">
        <f t="shared" si="433"/>
        <v>0</v>
      </c>
      <c r="Q3584" s="6" t="s">
        <v>21</v>
      </c>
      <c r="R3584" s="6" t="s">
        <v>21</v>
      </c>
      <c r="S3584" s="6" t="s">
        <v>21</v>
      </c>
      <c r="T3584" s="6" t="s">
        <v>21</v>
      </c>
      <c r="U3584" s="6">
        <f t="shared" si="434"/>
        <v>0</v>
      </c>
      <c r="V3584" s="6">
        <f t="shared" si="440"/>
        <v>0</v>
      </c>
    </row>
    <row r="3585" spans="1:22" hidden="1" x14ac:dyDescent="0.35">
      <c r="A3585" s="6" t="s">
        <v>3928</v>
      </c>
      <c r="B3585" s="6" t="s">
        <v>3923</v>
      </c>
      <c r="C3585" s="6" t="s">
        <v>3924</v>
      </c>
      <c r="D3585" s="6">
        <f t="shared" si="436"/>
        <v>0.5</v>
      </c>
      <c r="E3585" s="6" t="s">
        <v>19</v>
      </c>
      <c r="F3585" s="6" t="str">
        <f>MID(A3585,19,1)</f>
        <v>S</v>
      </c>
      <c r="G3585" s="6">
        <v>-22.555647523705261</v>
      </c>
      <c r="H3585" s="6">
        <v>-47.460554663609109</v>
      </c>
      <c r="I3585" s="9">
        <v>32.6</v>
      </c>
      <c r="K3585" s="6">
        <v>5.4</v>
      </c>
      <c r="L3585" s="6">
        <v>0</v>
      </c>
      <c r="N3585" s="1">
        <f t="shared" si="433"/>
        <v>0</v>
      </c>
      <c r="Q3585" s="6" t="s">
        <v>21</v>
      </c>
      <c r="R3585" s="6" t="s">
        <v>21</v>
      </c>
      <c r="S3585" s="6" t="s">
        <v>21</v>
      </c>
      <c r="T3585" s="6" t="s">
        <v>21</v>
      </c>
      <c r="U3585" s="6">
        <f t="shared" si="434"/>
        <v>0</v>
      </c>
      <c r="V3585" s="6">
        <f t="shared" si="440"/>
        <v>0</v>
      </c>
    </row>
    <row r="3586" spans="1:22" hidden="1" x14ac:dyDescent="0.35">
      <c r="A3586" s="6" t="s">
        <v>3929</v>
      </c>
      <c r="B3586" s="6" t="s">
        <v>3923</v>
      </c>
      <c r="C3586" s="6" t="s">
        <v>3924</v>
      </c>
      <c r="D3586" s="6">
        <f t="shared" si="436"/>
        <v>0.5</v>
      </c>
      <c r="E3586" s="6" t="s">
        <v>23</v>
      </c>
      <c r="F3586" s="6" t="str">
        <f>MID(A3586,19,1)</f>
        <v>C</v>
      </c>
      <c r="G3586" s="6">
        <v>-22.548059158464518</v>
      </c>
      <c r="H3586" s="6">
        <v>-47.462175206260092</v>
      </c>
      <c r="I3586" s="9">
        <v>7057.7</v>
      </c>
      <c r="J3586" s="9">
        <f>I3586/500</f>
        <v>14.115399999999999</v>
      </c>
      <c r="K3586" s="6">
        <v>3.41</v>
      </c>
      <c r="L3586" s="6">
        <v>80</v>
      </c>
      <c r="N3586" s="1">
        <f t="shared" ref="N3586:N3649" si="442">IF(OR(R3586="Sim",S3586="Sim",T3586="Sim"),(L3586/100)*I3586,0)</f>
        <v>0</v>
      </c>
      <c r="O3586" s="6" t="s">
        <v>20</v>
      </c>
      <c r="Q3586" s="6" t="s">
        <v>21</v>
      </c>
      <c r="R3586" s="6" t="s">
        <v>21</v>
      </c>
      <c r="S3586" s="6" t="s">
        <v>21</v>
      </c>
      <c r="T3586" s="6" t="s">
        <v>21</v>
      </c>
      <c r="U3586" s="6">
        <f t="shared" si="434"/>
        <v>5646.16</v>
      </c>
      <c r="V3586" s="6">
        <f t="shared" si="440"/>
        <v>5646.16</v>
      </c>
    </row>
    <row r="3587" spans="1:22" x14ac:dyDescent="0.35">
      <c r="A3587" s="6" t="s">
        <v>3930</v>
      </c>
      <c r="B3587" s="6" t="s">
        <v>3923</v>
      </c>
      <c r="C3587" s="6" t="s">
        <v>3924</v>
      </c>
      <c r="D3587" s="6">
        <f t="shared" si="436"/>
        <v>0.5</v>
      </c>
      <c r="E3587" s="6" t="s">
        <v>19</v>
      </c>
      <c r="F3587" s="6" t="str">
        <f>MID(A3587,19,1)</f>
        <v>N</v>
      </c>
      <c r="G3587" s="6">
        <v>-22.550813112858169</v>
      </c>
      <c r="H3587" s="6">
        <v>-47.461612463982632</v>
      </c>
      <c r="I3587" s="9">
        <v>115.47</v>
      </c>
      <c r="K3587" s="6">
        <v>3.74</v>
      </c>
      <c r="L3587" s="6">
        <v>70</v>
      </c>
      <c r="N3587" s="1">
        <f t="shared" si="442"/>
        <v>0</v>
      </c>
      <c r="O3587" s="6" t="s">
        <v>20</v>
      </c>
      <c r="Q3587" s="6" t="s">
        <v>21</v>
      </c>
      <c r="R3587" s="6" t="s">
        <v>21</v>
      </c>
      <c r="S3587" s="6" t="s">
        <v>21</v>
      </c>
      <c r="T3587" s="6" t="s">
        <v>21</v>
      </c>
      <c r="U3587" s="6">
        <f t="shared" ref="U3587:U3650" si="443">IF(N3587=0,(I3587*(L3587/100)),0)</f>
        <v>80.828999999999994</v>
      </c>
      <c r="V3587" s="6">
        <f t="shared" si="440"/>
        <v>80.828999999999994</v>
      </c>
    </row>
    <row r="3588" spans="1:22" x14ac:dyDescent="0.35">
      <c r="A3588" s="6" t="s">
        <v>3931</v>
      </c>
      <c r="B3588" s="6" t="s">
        <v>3923</v>
      </c>
      <c r="C3588" s="6" t="s">
        <v>3924</v>
      </c>
      <c r="D3588" s="6">
        <f t="shared" si="436"/>
        <v>0.5</v>
      </c>
      <c r="E3588" s="6" t="s">
        <v>19</v>
      </c>
      <c r="F3588" s="6" t="str">
        <f>MID(A3588,19,1)</f>
        <v>N</v>
      </c>
      <c r="G3588" s="6">
        <v>-22.555223679572659</v>
      </c>
      <c r="H3588" s="6">
        <v>-47.460062470644409</v>
      </c>
      <c r="I3588" s="9">
        <v>621.32000000000005</v>
      </c>
      <c r="K3588" s="6">
        <v>3.61</v>
      </c>
      <c r="L3588" s="6">
        <v>0</v>
      </c>
      <c r="N3588" s="1">
        <f t="shared" si="442"/>
        <v>0</v>
      </c>
      <c r="Q3588" s="6" t="s">
        <v>21</v>
      </c>
      <c r="R3588" s="6" t="s">
        <v>21</v>
      </c>
      <c r="S3588" s="6" t="s">
        <v>21</v>
      </c>
      <c r="T3588" s="6" t="s">
        <v>21</v>
      </c>
      <c r="U3588" s="6">
        <f t="shared" si="443"/>
        <v>0</v>
      </c>
      <c r="V3588" s="6">
        <f t="shared" si="440"/>
        <v>0</v>
      </c>
    </row>
    <row r="3589" spans="1:22" hidden="1" x14ac:dyDescent="0.35">
      <c r="A3589" s="6" t="s">
        <v>3932</v>
      </c>
      <c r="B3589" s="6" t="s">
        <v>3923</v>
      </c>
      <c r="C3589" s="6" t="s">
        <v>3924</v>
      </c>
      <c r="D3589" s="6">
        <f t="shared" si="436"/>
        <v>0.5</v>
      </c>
      <c r="E3589" s="6" t="s">
        <v>19</v>
      </c>
      <c r="F3589" s="6" t="str">
        <f>MID(A3589,19,1)</f>
        <v>S</v>
      </c>
      <c r="G3589" s="6">
        <v>-22.555751152700481</v>
      </c>
      <c r="H3589" s="6">
        <v>-47.461055542950092</v>
      </c>
      <c r="I3589" s="9">
        <v>26.03</v>
      </c>
      <c r="K3589" s="6">
        <v>3.23</v>
      </c>
      <c r="L3589" s="6">
        <v>0</v>
      </c>
      <c r="N3589" s="1">
        <f t="shared" si="442"/>
        <v>0</v>
      </c>
      <c r="Q3589" s="6" t="s">
        <v>21</v>
      </c>
      <c r="R3589" s="6" t="s">
        <v>21</v>
      </c>
      <c r="S3589" s="6" t="s">
        <v>21</v>
      </c>
      <c r="T3589" s="6" t="s">
        <v>21</v>
      </c>
      <c r="U3589" s="6">
        <f t="shared" si="443"/>
        <v>0</v>
      </c>
      <c r="V3589" s="6">
        <f t="shared" si="440"/>
        <v>0</v>
      </c>
    </row>
    <row r="3590" spans="1:22" hidden="1" x14ac:dyDescent="0.35">
      <c r="A3590" s="6" t="s">
        <v>3933</v>
      </c>
      <c r="B3590" s="6" t="s">
        <v>3923</v>
      </c>
      <c r="C3590" s="6" t="s">
        <v>3924</v>
      </c>
      <c r="D3590" s="6">
        <f t="shared" si="436"/>
        <v>0.5</v>
      </c>
      <c r="E3590" s="6" t="s">
        <v>23</v>
      </c>
      <c r="F3590" s="6" t="str">
        <f>MID(A3590,19,1)</f>
        <v>C</v>
      </c>
      <c r="G3590" s="6">
        <v>-22.55304277174136</v>
      </c>
      <c r="H3590" s="6">
        <v>-47.461218714422706</v>
      </c>
      <c r="I3590" s="9">
        <v>5568.64</v>
      </c>
      <c r="J3590" s="9">
        <f>I3590/500</f>
        <v>11.137280000000001</v>
      </c>
      <c r="K3590" s="6">
        <v>3.1</v>
      </c>
      <c r="L3590" s="6">
        <v>80</v>
      </c>
      <c r="N3590" s="1">
        <f t="shared" si="442"/>
        <v>0</v>
      </c>
      <c r="O3590" s="6" t="s">
        <v>20</v>
      </c>
      <c r="Q3590" s="6" t="s">
        <v>21</v>
      </c>
      <c r="R3590" s="6" t="s">
        <v>21</v>
      </c>
      <c r="S3590" s="6" t="s">
        <v>21</v>
      </c>
      <c r="T3590" s="6" t="s">
        <v>21</v>
      </c>
      <c r="U3590" s="6">
        <f t="shared" si="443"/>
        <v>4454.9120000000003</v>
      </c>
      <c r="V3590" s="6">
        <f t="shared" si="440"/>
        <v>4454.9120000000003</v>
      </c>
    </row>
    <row r="3591" spans="1:22" x14ac:dyDescent="0.35">
      <c r="A3591" s="6" t="s">
        <v>3934</v>
      </c>
      <c r="B3591" s="6" t="s">
        <v>3923</v>
      </c>
      <c r="C3591" s="6" t="s">
        <v>3924</v>
      </c>
      <c r="D3591" s="6">
        <f t="shared" si="436"/>
        <v>0.5</v>
      </c>
      <c r="E3591" s="6" t="s">
        <v>19</v>
      </c>
      <c r="F3591" s="6" t="str">
        <f>MID(A3591,19,1)</f>
        <v>N</v>
      </c>
      <c r="G3591" s="6">
        <v>-22.548127460187398</v>
      </c>
      <c r="H3591" s="6">
        <v>-47.461981363604167</v>
      </c>
      <c r="I3591" s="9">
        <v>2241</v>
      </c>
      <c r="K3591" s="6">
        <v>3.38</v>
      </c>
      <c r="L3591" s="6">
        <v>70</v>
      </c>
      <c r="N3591" s="1">
        <f t="shared" si="442"/>
        <v>0</v>
      </c>
      <c r="O3591" s="6" t="s">
        <v>20</v>
      </c>
      <c r="Q3591" s="6" t="s">
        <v>21</v>
      </c>
      <c r="R3591" s="6" t="s">
        <v>21</v>
      </c>
      <c r="S3591" s="6" t="s">
        <v>21</v>
      </c>
      <c r="T3591" s="6" t="s">
        <v>21</v>
      </c>
      <c r="U3591" s="6">
        <f t="shared" si="443"/>
        <v>1568.6999999999998</v>
      </c>
      <c r="V3591" s="6">
        <f t="shared" si="440"/>
        <v>1568.6999999999998</v>
      </c>
    </row>
    <row r="3592" spans="1:22" hidden="1" x14ac:dyDescent="0.35">
      <c r="A3592" s="6" t="s">
        <v>3935</v>
      </c>
      <c r="B3592" s="6" t="s">
        <v>3936</v>
      </c>
      <c r="C3592" s="6" t="s">
        <v>3937</v>
      </c>
      <c r="D3592" s="6">
        <f t="shared" si="436"/>
        <v>0.5</v>
      </c>
      <c r="E3592" s="6" t="s">
        <v>23</v>
      </c>
      <c r="F3592" s="6" t="str">
        <f>MID(A3592,19,1)</f>
        <v>C</v>
      </c>
      <c r="G3592" s="6">
        <v>-22.543728193234159</v>
      </c>
      <c r="H3592" s="6">
        <v>-47.461032302396191</v>
      </c>
      <c r="I3592" s="9">
        <v>5050.57</v>
      </c>
      <c r="J3592" s="9">
        <f>I3592/500</f>
        <v>10.101139999999999</v>
      </c>
      <c r="K3592" s="6">
        <v>3.73</v>
      </c>
      <c r="L3592" s="6">
        <v>80</v>
      </c>
      <c r="N3592" s="1">
        <f t="shared" si="442"/>
        <v>0</v>
      </c>
      <c r="O3592" s="6" t="s">
        <v>20</v>
      </c>
      <c r="Q3592" s="6" t="s">
        <v>21</v>
      </c>
      <c r="R3592" s="6" t="s">
        <v>21</v>
      </c>
      <c r="S3592" s="6" t="s">
        <v>21</v>
      </c>
      <c r="T3592" s="6" t="s">
        <v>21</v>
      </c>
      <c r="U3592" s="6">
        <f t="shared" si="443"/>
        <v>4040.4560000000001</v>
      </c>
      <c r="V3592" s="6">
        <f t="shared" si="440"/>
        <v>4040.4560000000001</v>
      </c>
    </row>
    <row r="3593" spans="1:22" hidden="1" x14ac:dyDescent="0.35">
      <c r="A3593" s="6" t="s">
        <v>3938</v>
      </c>
      <c r="B3593" s="6" t="s">
        <v>3936</v>
      </c>
      <c r="C3593" s="6" t="s">
        <v>3937</v>
      </c>
      <c r="D3593" s="6">
        <f t="shared" si="436"/>
        <v>0.5</v>
      </c>
      <c r="E3593" s="6" t="s">
        <v>19</v>
      </c>
      <c r="F3593" s="6" t="str">
        <f>MID(A3593,19,1)</f>
        <v>S</v>
      </c>
      <c r="G3593" s="6">
        <v>-22.54087271207257</v>
      </c>
      <c r="H3593" s="6">
        <v>-47.458254461014967</v>
      </c>
      <c r="I3593" s="9">
        <v>1693.44</v>
      </c>
      <c r="K3593" s="6">
        <v>11.63</v>
      </c>
      <c r="L3593" s="6">
        <v>70</v>
      </c>
      <c r="N3593" s="1">
        <f t="shared" si="442"/>
        <v>0</v>
      </c>
      <c r="O3593" s="6" t="s">
        <v>20</v>
      </c>
      <c r="Q3593" s="6" t="s">
        <v>21</v>
      </c>
      <c r="R3593" s="6" t="s">
        <v>21</v>
      </c>
      <c r="S3593" s="6" t="s">
        <v>21</v>
      </c>
      <c r="T3593" s="6" t="s">
        <v>21</v>
      </c>
      <c r="U3593" s="6">
        <f t="shared" si="443"/>
        <v>1185.4079999999999</v>
      </c>
      <c r="V3593" s="6">
        <f t="shared" si="440"/>
        <v>1185.4079999999999</v>
      </c>
    </row>
    <row r="3594" spans="1:22" x14ac:dyDescent="0.35">
      <c r="A3594" s="6" t="s">
        <v>3939</v>
      </c>
      <c r="B3594" s="6" t="s">
        <v>3936</v>
      </c>
      <c r="C3594" s="6" t="s">
        <v>3937</v>
      </c>
      <c r="D3594" s="6">
        <f t="shared" si="436"/>
        <v>0.5</v>
      </c>
      <c r="E3594" s="6" t="s">
        <v>19</v>
      </c>
      <c r="F3594" s="6" t="str">
        <f>MID(A3594,19,1)</f>
        <v>N</v>
      </c>
      <c r="G3594" s="6">
        <v>-22.54377055712046</v>
      </c>
      <c r="H3594" s="6">
        <v>-47.460847336312007</v>
      </c>
      <c r="I3594" s="9">
        <v>1536.67</v>
      </c>
      <c r="K3594" s="6">
        <v>3.86</v>
      </c>
      <c r="L3594" s="6">
        <v>70</v>
      </c>
      <c r="N3594" s="1">
        <f t="shared" si="442"/>
        <v>0</v>
      </c>
      <c r="O3594" s="6" t="s">
        <v>20</v>
      </c>
      <c r="Q3594" s="6" t="s">
        <v>21</v>
      </c>
      <c r="R3594" s="6" t="s">
        <v>21</v>
      </c>
      <c r="S3594" s="6" t="s">
        <v>21</v>
      </c>
      <c r="T3594" s="6" t="s">
        <v>21</v>
      </c>
      <c r="U3594" s="6">
        <f t="shared" si="443"/>
        <v>1075.6689999999999</v>
      </c>
      <c r="V3594" s="6">
        <f t="shared" si="440"/>
        <v>1075.6689999999999</v>
      </c>
    </row>
    <row r="3595" spans="1:22" hidden="1" x14ac:dyDescent="0.35">
      <c r="A3595" s="6" t="s">
        <v>3940</v>
      </c>
      <c r="B3595" s="6" t="s">
        <v>3936</v>
      </c>
      <c r="C3595" s="6" t="s">
        <v>3937</v>
      </c>
      <c r="D3595" s="6">
        <f t="shared" si="436"/>
        <v>0.5</v>
      </c>
      <c r="E3595" s="6" t="s">
        <v>23</v>
      </c>
      <c r="F3595" s="6" t="str">
        <f>MID(A3595,19,1)</f>
        <v>C</v>
      </c>
      <c r="G3595" s="6">
        <v>-22.540991115240001</v>
      </c>
      <c r="H3595" s="6">
        <v>-47.458121915243161</v>
      </c>
      <c r="I3595" s="9">
        <v>5269.39</v>
      </c>
      <c r="J3595" s="9">
        <f>I3595/500</f>
        <v>10.538780000000001</v>
      </c>
      <c r="K3595" s="6">
        <v>11.35</v>
      </c>
      <c r="L3595" s="6">
        <v>80</v>
      </c>
      <c r="N3595" s="1">
        <f t="shared" si="442"/>
        <v>0</v>
      </c>
      <c r="O3595" s="6" t="s">
        <v>20</v>
      </c>
      <c r="Q3595" s="6" t="s">
        <v>21</v>
      </c>
      <c r="R3595" s="6" t="s">
        <v>21</v>
      </c>
      <c r="S3595" s="6" t="s">
        <v>21</v>
      </c>
      <c r="T3595" s="6" t="s">
        <v>21</v>
      </c>
      <c r="U3595" s="6">
        <f t="shared" si="443"/>
        <v>4215.5120000000006</v>
      </c>
      <c r="V3595" s="6">
        <f t="shared" si="440"/>
        <v>4215.5120000000006</v>
      </c>
    </row>
    <row r="3596" spans="1:22" x14ac:dyDescent="0.35">
      <c r="A3596" s="6" t="s">
        <v>3941</v>
      </c>
      <c r="B3596" s="6" t="s">
        <v>3936</v>
      </c>
      <c r="C3596" s="6" t="s">
        <v>3937</v>
      </c>
      <c r="D3596" s="6">
        <f t="shared" si="436"/>
        <v>0.5</v>
      </c>
      <c r="E3596" s="6" t="s">
        <v>19</v>
      </c>
      <c r="F3596" s="6" t="str">
        <f>MID(A3596,19,1)</f>
        <v>N</v>
      </c>
      <c r="G3596" s="6">
        <v>-22.541107607872139</v>
      </c>
      <c r="H3596" s="6">
        <v>-47.457975572449257</v>
      </c>
      <c r="I3596" s="9">
        <v>1601.36</v>
      </c>
      <c r="K3596" s="6">
        <v>11.23</v>
      </c>
      <c r="L3596" s="6">
        <v>70</v>
      </c>
      <c r="N3596" s="1">
        <f t="shared" si="442"/>
        <v>0</v>
      </c>
      <c r="O3596" s="6" t="s">
        <v>20</v>
      </c>
      <c r="Q3596" s="6" t="s">
        <v>21</v>
      </c>
      <c r="R3596" s="6" t="s">
        <v>21</v>
      </c>
      <c r="S3596" s="6" t="s">
        <v>21</v>
      </c>
      <c r="T3596" s="6" t="s">
        <v>21</v>
      </c>
      <c r="U3596" s="6">
        <f t="shared" si="443"/>
        <v>1120.9519999999998</v>
      </c>
      <c r="V3596" s="6">
        <f t="shared" si="440"/>
        <v>1120.9519999999998</v>
      </c>
    </row>
    <row r="3597" spans="1:22" hidden="1" x14ac:dyDescent="0.35">
      <c r="A3597" s="6" t="s">
        <v>3942</v>
      </c>
      <c r="B3597" s="6" t="s">
        <v>3936</v>
      </c>
      <c r="C3597" s="6" t="s">
        <v>3937</v>
      </c>
      <c r="D3597" s="6">
        <f t="shared" si="436"/>
        <v>0.5</v>
      </c>
      <c r="E3597" s="6" t="s">
        <v>19</v>
      </c>
      <c r="F3597" s="6" t="str">
        <f>MID(A3597,19,1)</f>
        <v>S</v>
      </c>
      <c r="G3597" s="6">
        <v>-22.543678713301968</v>
      </c>
      <c r="H3597" s="6">
        <v>-47.461215021944213</v>
      </c>
      <c r="I3597" s="9">
        <v>1579.6</v>
      </c>
      <c r="K3597" s="6">
        <v>3.45</v>
      </c>
      <c r="L3597" s="6">
        <v>70</v>
      </c>
      <c r="N3597" s="1">
        <f t="shared" si="442"/>
        <v>0</v>
      </c>
      <c r="O3597" s="6" t="s">
        <v>20</v>
      </c>
      <c r="Q3597" s="6" t="s">
        <v>21</v>
      </c>
      <c r="R3597" s="6" t="s">
        <v>21</v>
      </c>
      <c r="S3597" s="6" t="s">
        <v>21</v>
      </c>
      <c r="T3597" s="6" t="s">
        <v>21</v>
      </c>
      <c r="U3597" s="6">
        <f t="shared" si="443"/>
        <v>1105.7199999999998</v>
      </c>
      <c r="V3597" s="6">
        <f t="shared" si="440"/>
        <v>1105.7199999999998</v>
      </c>
    </row>
    <row r="3598" spans="1:22" x14ac:dyDescent="0.35">
      <c r="A3598" s="6" t="s">
        <v>3943</v>
      </c>
      <c r="B3598" s="6" t="s">
        <v>3944</v>
      </c>
      <c r="C3598" s="6" t="s">
        <v>3945</v>
      </c>
      <c r="D3598" s="6">
        <f t="shared" ref="D3598:D3661" si="444">C3598-B3598</f>
        <v>0.5</v>
      </c>
      <c r="E3598" s="6" t="s">
        <v>19</v>
      </c>
      <c r="F3598" s="6" t="str">
        <f>MID(A3598,19,1)</f>
        <v>N</v>
      </c>
      <c r="G3598" s="6">
        <v>-22.537015148752431</v>
      </c>
      <c r="H3598" s="6">
        <v>-47.45049949673728</v>
      </c>
      <c r="I3598" s="9">
        <v>778.58</v>
      </c>
      <c r="K3598" s="6">
        <v>2</v>
      </c>
      <c r="L3598" s="6">
        <v>70</v>
      </c>
      <c r="N3598" s="1">
        <f t="shared" si="442"/>
        <v>0</v>
      </c>
      <c r="O3598" s="6" t="s">
        <v>20</v>
      </c>
      <c r="Q3598" s="6" t="s">
        <v>21</v>
      </c>
      <c r="R3598" s="6" t="s">
        <v>21</v>
      </c>
      <c r="S3598" s="6" t="s">
        <v>21</v>
      </c>
      <c r="T3598" s="6" t="s">
        <v>21</v>
      </c>
      <c r="U3598" s="6">
        <f t="shared" si="443"/>
        <v>545.00599999999997</v>
      </c>
      <c r="V3598" s="6">
        <f t="shared" si="440"/>
        <v>545.00599999999997</v>
      </c>
    </row>
    <row r="3599" spans="1:22" x14ac:dyDescent="0.35">
      <c r="A3599" s="6" t="s">
        <v>3946</v>
      </c>
      <c r="B3599" s="6" t="s">
        <v>3944</v>
      </c>
      <c r="C3599" s="6" t="s">
        <v>3945</v>
      </c>
      <c r="D3599" s="6">
        <f t="shared" si="444"/>
        <v>0.5</v>
      </c>
      <c r="E3599" s="6" t="s">
        <v>19</v>
      </c>
      <c r="F3599" s="6" t="str">
        <f>MID(A3599,19,1)</f>
        <v>N</v>
      </c>
      <c r="G3599" s="6">
        <v>-22.53904504474637</v>
      </c>
      <c r="H3599" s="6">
        <v>-47.453605778573753</v>
      </c>
      <c r="I3599" s="9">
        <v>2123.19</v>
      </c>
      <c r="K3599" s="6">
        <v>7.39</v>
      </c>
      <c r="L3599" s="6">
        <v>70</v>
      </c>
      <c r="N3599" s="1">
        <f t="shared" si="442"/>
        <v>0</v>
      </c>
      <c r="O3599" s="6" t="s">
        <v>20</v>
      </c>
      <c r="Q3599" s="6" t="s">
        <v>21</v>
      </c>
      <c r="R3599" s="6" t="s">
        <v>21</v>
      </c>
      <c r="S3599" s="6" t="s">
        <v>21</v>
      </c>
      <c r="T3599" s="6" t="s">
        <v>21</v>
      </c>
      <c r="U3599" s="6">
        <f t="shared" si="443"/>
        <v>1486.2329999999999</v>
      </c>
      <c r="V3599" s="6">
        <f t="shared" si="440"/>
        <v>1486.2329999999999</v>
      </c>
    </row>
    <row r="3600" spans="1:22" hidden="1" x14ac:dyDescent="0.35">
      <c r="A3600" s="6" t="s">
        <v>3947</v>
      </c>
      <c r="B3600" s="6" t="s">
        <v>3944</v>
      </c>
      <c r="C3600" s="6" t="s">
        <v>3945</v>
      </c>
      <c r="D3600" s="6">
        <f t="shared" si="444"/>
        <v>0.5</v>
      </c>
      <c r="E3600" s="6" t="s">
        <v>23</v>
      </c>
      <c r="F3600" s="6" t="str">
        <f>MID(A3600,19,1)</f>
        <v>C</v>
      </c>
      <c r="G3600" s="6">
        <v>-22.53889583345665</v>
      </c>
      <c r="H3600" s="6">
        <v>-47.453692549400529</v>
      </c>
      <c r="I3600" s="9">
        <v>6664.14</v>
      </c>
      <c r="J3600" s="9">
        <f>I3600/500</f>
        <v>13.328280000000001</v>
      </c>
      <c r="K3600" s="6">
        <v>7.18</v>
      </c>
      <c r="L3600" s="6">
        <v>80</v>
      </c>
      <c r="N3600" s="1">
        <f t="shared" si="442"/>
        <v>0</v>
      </c>
      <c r="O3600" s="6" t="s">
        <v>20</v>
      </c>
      <c r="Q3600" s="6" t="s">
        <v>21</v>
      </c>
      <c r="R3600" s="6" t="s">
        <v>21</v>
      </c>
      <c r="S3600" s="6" t="s">
        <v>21</v>
      </c>
      <c r="T3600" s="6" t="s">
        <v>21</v>
      </c>
      <c r="U3600" s="6">
        <f t="shared" si="443"/>
        <v>5331.3120000000008</v>
      </c>
      <c r="V3600" s="6">
        <f t="shared" si="440"/>
        <v>5331.3120000000008</v>
      </c>
    </row>
    <row r="3601" spans="1:22" hidden="1" x14ac:dyDescent="0.35">
      <c r="A3601" s="6" t="s">
        <v>3948</v>
      </c>
      <c r="B3601" s="6" t="s">
        <v>3944</v>
      </c>
      <c r="C3601" s="6" t="s">
        <v>3945</v>
      </c>
      <c r="D3601" s="6">
        <f t="shared" si="444"/>
        <v>0.5</v>
      </c>
      <c r="E3601" s="6" t="s">
        <v>19</v>
      </c>
      <c r="F3601" s="6" t="str">
        <f>MID(A3601,19,1)</f>
        <v>S</v>
      </c>
      <c r="G3601" s="6">
        <v>-22.538748090394719</v>
      </c>
      <c r="H3601" s="6">
        <v>-47.453783418006452</v>
      </c>
      <c r="I3601" s="9">
        <v>2124.5100000000002</v>
      </c>
      <c r="K3601" s="6">
        <v>6.71</v>
      </c>
      <c r="L3601" s="6">
        <v>70</v>
      </c>
      <c r="N3601" s="1">
        <f t="shared" si="442"/>
        <v>0</v>
      </c>
      <c r="O3601" s="6" t="s">
        <v>20</v>
      </c>
      <c r="Q3601" s="6" t="s">
        <v>21</v>
      </c>
      <c r="R3601" s="6" t="s">
        <v>21</v>
      </c>
      <c r="S3601" s="6" t="s">
        <v>21</v>
      </c>
      <c r="T3601" s="6" t="s">
        <v>21</v>
      </c>
      <c r="U3601" s="6">
        <f t="shared" si="443"/>
        <v>1487.1570000000002</v>
      </c>
      <c r="V3601" s="6">
        <f t="shared" si="440"/>
        <v>1487.1570000000002</v>
      </c>
    </row>
    <row r="3602" spans="1:22" hidden="1" x14ac:dyDescent="0.35">
      <c r="A3602" s="6" t="s">
        <v>3949</v>
      </c>
      <c r="B3602" s="6" t="s">
        <v>3944</v>
      </c>
      <c r="C3602" s="6" t="s">
        <v>3945</v>
      </c>
      <c r="D3602" s="6">
        <f t="shared" si="444"/>
        <v>0.5</v>
      </c>
      <c r="E3602" s="6" t="s">
        <v>19</v>
      </c>
      <c r="F3602" s="6" t="str">
        <f>MID(A3602,19,1)</f>
        <v>S</v>
      </c>
      <c r="G3602" s="6">
        <v>-22.534717647325621</v>
      </c>
      <c r="H3602" s="6">
        <v>-47.449139897501382</v>
      </c>
      <c r="I3602" s="9">
        <v>1486.42</v>
      </c>
      <c r="K3602" s="6">
        <v>2.29</v>
      </c>
      <c r="L3602" s="6">
        <v>70</v>
      </c>
      <c r="N3602" s="1">
        <f t="shared" si="442"/>
        <v>0</v>
      </c>
      <c r="O3602" s="6" t="s">
        <v>20</v>
      </c>
      <c r="Q3602" s="6" t="s">
        <v>21</v>
      </c>
      <c r="R3602" s="6" t="s">
        <v>21</v>
      </c>
      <c r="S3602" s="6" t="s">
        <v>21</v>
      </c>
      <c r="T3602" s="6" t="s">
        <v>21</v>
      </c>
      <c r="U3602" s="6">
        <f t="shared" si="443"/>
        <v>1040.4939999999999</v>
      </c>
      <c r="V3602" s="6">
        <f t="shared" si="440"/>
        <v>1040.4939999999999</v>
      </c>
    </row>
    <row r="3603" spans="1:22" x14ac:dyDescent="0.35">
      <c r="A3603" s="6" t="s">
        <v>3950</v>
      </c>
      <c r="B3603" s="6" t="s">
        <v>3944</v>
      </c>
      <c r="C3603" s="6" t="s">
        <v>3945</v>
      </c>
      <c r="D3603" s="6">
        <f t="shared" si="444"/>
        <v>0.5</v>
      </c>
      <c r="E3603" s="6" t="s">
        <v>19</v>
      </c>
      <c r="F3603" s="6" t="str">
        <f>MID(A3603,19,1)</f>
        <v>N</v>
      </c>
      <c r="G3603" s="6">
        <v>-22.534935535272862</v>
      </c>
      <c r="H3603" s="6">
        <v>-47.44876996674477</v>
      </c>
      <c r="I3603" s="9">
        <v>1296.1099999999999</v>
      </c>
      <c r="K3603" s="6">
        <v>2.12</v>
      </c>
      <c r="L3603" s="6">
        <v>70</v>
      </c>
      <c r="N3603" s="1">
        <f t="shared" si="442"/>
        <v>0</v>
      </c>
      <c r="O3603" s="6" t="s">
        <v>20</v>
      </c>
      <c r="Q3603" s="6" t="s">
        <v>21</v>
      </c>
      <c r="R3603" s="6" t="s">
        <v>21</v>
      </c>
      <c r="S3603" s="6" t="s">
        <v>21</v>
      </c>
      <c r="T3603" s="6" t="s">
        <v>21</v>
      </c>
      <c r="U3603" s="6">
        <f t="shared" si="443"/>
        <v>907.27699999999982</v>
      </c>
      <c r="V3603" s="6">
        <f t="shared" si="440"/>
        <v>907.27699999999982</v>
      </c>
    </row>
    <row r="3604" spans="1:22" hidden="1" x14ac:dyDescent="0.35">
      <c r="A3604" s="6" t="s">
        <v>3951</v>
      </c>
      <c r="B3604" s="6" t="s">
        <v>3944</v>
      </c>
      <c r="C3604" s="6" t="s">
        <v>3945</v>
      </c>
      <c r="D3604" s="6">
        <f t="shared" si="444"/>
        <v>0.5</v>
      </c>
      <c r="E3604" s="6" t="s">
        <v>19</v>
      </c>
      <c r="F3604" s="6" t="str">
        <f>MID(A3604,19,1)</f>
        <v>S</v>
      </c>
      <c r="G3604" s="6">
        <v>-22.536738001782389</v>
      </c>
      <c r="H3604" s="6">
        <v>-47.45071710938042</v>
      </c>
      <c r="I3604" s="9">
        <v>745.86</v>
      </c>
      <c r="K3604" s="6">
        <v>1.61</v>
      </c>
      <c r="L3604" s="6">
        <v>70</v>
      </c>
      <c r="N3604" s="1">
        <f t="shared" si="442"/>
        <v>0</v>
      </c>
      <c r="O3604" s="6" t="s">
        <v>20</v>
      </c>
      <c r="Q3604" s="6" t="s">
        <v>21</v>
      </c>
      <c r="R3604" s="6" t="s">
        <v>21</v>
      </c>
      <c r="S3604" s="6" t="s">
        <v>21</v>
      </c>
      <c r="T3604" s="6" t="s">
        <v>21</v>
      </c>
      <c r="U3604" s="6">
        <f t="shared" si="443"/>
        <v>522.10199999999998</v>
      </c>
      <c r="V3604" s="6">
        <f t="shared" si="440"/>
        <v>522.10199999999998</v>
      </c>
    </row>
    <row r="3605" spans="1:22" hidden="1" x14ac:dyDescent="0.35">
      <c r="A3605" s="6" t="s">
        <v>3952</v>
      </c>
      <c r="B3605" s="6" t="s">
        <v>3944</v>
      </c>
      <c r="C3605" s="6" t="s">
        <v>3945</v>
      </c>
      <c r="D3605" s="6">
        <f t="shared" si="444"/>
        <v>0.5</v>
      </c>
      <c r="E3605" s="6" t="s">
        <v>19</v>
      </c>
      <c r="F3605" s="6" t="str">
        <f>MID(A3605,19,1)</f>
        <v>S</v>
      </c>
      <c r="G3605" s="6">
        <v>-22.536883472216559</v>
      </c>
      <c r="H3605" s="6">
        <v>-47.450612297259369</v>
      </c>
      <c r="I3605" s="9">
        <v>2453.69</v>
      </c>
      <c r="K3605" s="6">
        <v>1.6</v>
      </c>
      <c r="L3605" s="6">
        <v>80</v>
      </c>
      <c r="N3605" s="1">
        <f t="shared" si="442"/>
        <v>0</v>
      </c>
      <c r="O3605" s="6" t="s">
        <v>20</v>
      </c>
      <c r="Q3605" s="6" t="s">
        <v>21</v>
      </c>
      <c r="R3605" s="6" t="s">
        <v>21</v>
      </c>
      <c r="S3605" s="6" t="s">
        <v>21</v>
      </c>
      <c r="T3605" s="6" t="s">
        <v>21</v>
      </c>
      <c r="U3605" s="6">
        <f t="shared" si="443"/>
        <v>1962.9520000000002</v>
      </c>
      <c r="V3605" s="6">
        <f t="shared" si="440"/>
        <v>1962.9520000000002</v>
      </c>
    </row>
    <row r="3606" spans="1:22" hidden="1" x14ac:dyDescent="0.35">
      <c r="A3606" s="6" t="s">
        <v>3953</v>
      </c>
      <c r="B3606" s="6" t="s">
        <v>3944</v>
      </c>
      <c r="C3606" s="6" t="s">
        <v>3945</v>
      </c>
      <c r="D3606" s="6">
        <f t="shared" si="444"/>
        <v>0.5</v>
      </c>
      <c r="E3606" s="6" t="s">
        <v>23</v>
      </c>
      <c r="F3606" s="6" t="str">
        <f>MID(A3606,19,1)</f>
        <v>C</v>
      </c>
      <c r="G3606" s="6">
        <v>-22.534831867973601</v>
      </c>
      <c r="H3606" s="6">
        <v>-47.448914765656838</v>
      </c>
      <c r="I3606" s="9">
        <v>4125.68</v>
      </c>
      <c r="J3606" s="9">
        <f>I3606/500</f>
        <v>8.25136</v>
      </c>
      <c r="K3606" s="6">
        <v>2</v>
      </c>
      <c r="L3606" s="6">
        <v>80</v>
      </c>
      <c r="N3606" s="1">
        <f t="shared" si="442"/>
        <v>0</v>
      </c>
      <c r="O3606" s="6" t="s">
        <v>20</v>
      </c>
      <c r="Q3606" s="6" t="s">
        <v>21</v>
      </c>
      <c r="R3606" s="6" t="s">
        <v>21</v>
      </c>
      <c r="S3606" s="6" t="s">
        <v>21</v>
      </c>
      <c r="T3606" s="6" t="s">
        <v>21</v>
      </c>
      <c r="U3606" s="6">
        <f t="shared" si="443"/>
        <v>3300.5440000000003</v>
      </c>
      <c r="V3606" s="6">
        <f t="shared" si="440"/>
        <v>3300.5440000000003</v>
      </c>
    </row>
    <row r="3607" spans="1:22" hidden="1" x14ac:dyDescent="0.35">
      <c r="A3607" s="6" t="s">
        <v>3954</v>
      </c>
      <c r="B3607" s="6" t="s">
        <v>3955</v>
      </c>
      <c r="C3607" s="6" t="s">
        <v>3956</v>
      </c>
      <c r="D3607" s="6">
        <f t="shared" si="444"/>
        <v>0.5</v>
      </c>
      <c r="E3607" s="6" t="s">
        <v>19</v>
      </c>
      <c r="F3607" s="6" t="str">
        <f>MID(A3607,19,1)</f>
        <v>S</v>
      </c>
      <c r="G3607" s="6">
        <v>-22.528918408068591</v>
      </c>
      <c r="H3607" s="6">
        <v>-47.443889715735857</v>
      </c>
      <c r="I3607" s="9">
        <v>1863.54</v>
      </c>
      <c r="K3607" s="6">
        <v>3.59</v>
      </c>
      <c r="L3607" s="6">
        <v>70</v>
      </c>
      <c r="N3607" s="1">
        <f t="shared" si="442"/>
        <v>0</v>
      </c>
      <c r="O3607" s="6" t="s">
        <v>20</v>
      </c>
      <c r="Q3607" s="6" t="s">
        <v>21</v>
      </c>
      <c r="R3607" s="6" t="s">
        <v>21</v>
      </c>
      <c r="S3607" s="6" t="s">
        <v>21</v>
      </c>
      <c r="T3607" s="6" t="s">
        <v>21</v>
      </c>
      <c r="U3607" s="6">
        <f t="shared" si="443"/>
        <v>1304.4779999999998</v>
      </c>
      <c r="V3607" s="6">
        <f t="shared" si="440"/>
        <v>1304.4779999999998</v>
      </c>
    </row>
    <row r="3608" spans="1:22" hidden="1" x14ac:dyDescent="0.35">
      <c r="A3608" s="6" t="s">
        <v>3957</v>
      </c>
      <c r="B3608" s="6" t="s">
        <v>3955</v>
      </c>
      <c r="C3608" s="6" t="s">
        <v>3956</v>
      </c>
      <c r="D3608" s="6">
        <f t="shared" si="444"/>
        <v>0.5</v>
      </c>
      <c r="E3608" s="6" t="s">
        <v>19</v>
      </c>
      <c r="F3608" s="6" t="str">
        <f>MID(A3608,19,1)</f>
        <v>S</v>
      </c>
      <c r="G3608" s="6">
        <v>-22.531808342582259</v>
      </c>
      <c r="H3608" s="6">
        <v>-47.447068307414639</v>
      </c>
      <c r="I3608" s="9">
        <v>1553.03</v>
      </c>
      <c r="K3608" s="6">
        <v>3.16</v>
      </c>
      <c r="L3608" s="6">
        <v>70</v>
      </c>
      <c r="N3608" s="1">
        <f t="shared" si="442"/>
        <v>0</v>
      </c>
      <c r="O3608" s="6" t="s">
        <v>20</v>
      </c>
      <c r="Q3608" s="6" t="s">
        <v>21</v>
      </c>
      <c r="R3608" s="6" t="s">
        <v>21</v>
      </c>
      <c r="S3608" s="6" t="s">
        <v>21</v>
      </c>
      <c r="T3608" s="6" t="s">
        <v>21</v>
      </c>
      <c r="U3608" s="6">
        <f t="shared" si="443"/>
        <v>1087.1209999999999</v>
      </c>
      <c r="V3608" s="6">
        <f t="shared" si="440"/>
        <v>1087.1209999999999</v>
      </c>
    </row>
    <row r="3609" spans="1:22" x14ac:dyDescent="0.35">
      <c r="A3609" s="6" t="s">
        <v>3958</v>
      </c>
      <c r="B3609" s="6" t="s">
        <v>3955</v>
      </c>
      <c r="C3609" s="6" t="s">
        <v>3956</v>
      </c>
      <c r="D3609" s="6">
        <f t="shared" si="444"/>
        <v>0.5</v>
      </c>
      <c r="E3609" s="6" t="s">
        <v>19</v>
      </c>
      <c r="F3609" s="6" t="str">
        <f>MID(A3609,19,1)</f>
        <v>N</v>
      </c>
      <c r="G3609" s="6">
        <v>-22.529178276511601</v>
      </c>
      <c r="H3609" s="6">
        <v>-47.443626291433411</v>
      </c>
      <c r="I3609" s="9">
        <v>1817.15</v>
      </c>
      <c r="K3609" s="6">
        <v>2.72</v>
      </c>
      <c r="L3609" s="6">
        <v>70</v>
      </c>
      <c r="N3609" s="1">
        <f t="shared" si="442"/>
        <v>0</v>
      </c>
      <c r="O3609" s="6" t="s">
        <v>20</v>
      </c>
      <c r="Q3609" s="6" t="s">
        <v>21</v>
      </c>
      <c r="R3609" s="6" t="s">
        <v>21</v>
      </c>
      <c r="S3609" s="6" t="s">
        <v>21</v>
      </c>
      <c r="T3609" s="6" t="s">
        <v>21</v>
      </c>
      <c r="U3609" s="6">
        <f t="shared" si="443"/>
        <v>1272.0049999999999</v>
      </c>
      <c r="V3609" s="6">
        <f t="shared" si="440"/>
        <v>1272.0049999999999</v>
      </c>
    </row>
    <row r="3610" spans="1:22" hidden="1" x14ac:dyDescent="0.35">
      <c r="A3610" s="6" t="s">
        <v>3959</v>
      </c>
      <c r="B3610" s="6" t="s">
        <v>3955</v>
      </c>
      <c r="C3610" s="6" t="s">
        <v>3956</v>
      </c>
      <c r="D3610" s="6">
        <f t="shared" si="444"/>
        <v>0.5</v>
      </c>
      <c r="E3610" s="6" t="s">
        <v>23</v>
      </c>
      <c r="F3610" s="6" t="str">
        <f>MID(A3610,19,1)</f>
        <v>C</v>
      </c>
      <c r="G3610" s="6">
        <v>-22.53190653620733</v>
      </c>
      <c r="H3610" s="6">
        <v>-47.446916471050038</v>
      </c>
      <c r="I3610" s="9">
        <v>4984.18</v>
      </c>
      <c r="J3610" s="9">
        <f t="shared" ref="J3610:J3611" si="445">I3610/500</f>
        <v>9.9683600000000006</v>
      </c>
      <c r="K3610" s="6">
        <v>3.08</v>
      </c>
      <c r="L3610" s="6">
        <v>80</v>
      </c>
      <c r="N3610" s="1">
        <f t="shared" si="442"/>
        <v>0</v>
      </c>
      <c r="O3610" s="6" t="s">
        <v>20</v>
      </c>
      <c r="Q3610" s="6" t="s">
        <v>21</v>
      </c>
      <c r="R3610" s="6" t="s">
        <v>21</v>
      </c>
      <c r="S3610" s="6" t="s">
        <v>21</v>
      </c>
      <c r="T3610" s="6" t="s">
        <v>21</v>
      </c>
      <c r="U3610" s="6">
        <f t="shared" si="443"/>
        <v>3987.3440000000005</v>
      </c>
      <c r="V3610" s="6">
        <f t="shared" si="440"/>
        <v>3987.3440000000005</v>
      </c>
    </row>
    <row r="3611" spans="1:22" hidden="1" x14ac:dyDescent="0.35">
      <c r="A3611" s="6" t="s">
        <v>3960</v>
      </c>
      <c r="B3611" s="6" t="s">
        <v>3955</v>
      </c>
      <c r="C3611" s="6" t="s">
        <v>3956</v>
      </c>
      <c r="D3611" s="6">
        <f t="shared" si="444"/>
        <v>0.5</v>
      </c>
      <c r="E3611" s="6" t="s">
        <v>23</v>
      </c>
      <c r="F3611" s="6" t="str">
        <f>MID(A3611,19,1)</f>
        <v>C</v>
      </c>
      <c r="G3611" s="6">
        <v>-22.529060074350809</v>
      </c>
      <c r="H3611" s="6">
        <v>-47.443762960149712</v>
      </c>
      <c r="I3611" s="9">
        <v>5785.12</v>
      </c>
      <c r="J3611" s="9">
        <f t="shared" si="445"/>
        <v>11.57024</v>
      </c>
      <c r="K3611" s="6">
        <v>3.14</v>
      </c>
      <c r="L3611" s="6">
        <v>80</v>
      </c>
      <c r="N3611" s="1">
        <f t="shared" si="442"/>
        <v>0</v>
      </c>
      <c r="O3611" s="6" t="s">
        <v>20</v>
      </c>
      <c r="Q3611" s="6" t="s">
        <v>21</v>
      </c>
      <c r="R3611" s="6" t="s">
        <v>21</v>
      </c>
      <c r="S3611" s="6" t="s">
        <v>21</v>
      </c>
      <c r="T3611" s="6" t="s">
        <v>21</v>
      </c>
      <c r="U3611" s="6">
        <f t="shared" si="443"/>
        <v>4628.0960000000005</v>
      </c>
      <c r="V3611" s="6">
        <f t="shared" si="440"/>
        <v>4628.0960000000005</v>
      </c>
    </row>
    <row r="3612" spans="1:22" x14ac:dyDescent="0.35">
      <c r="A3612" s="6" t="s">
        <v>3961</v>
      </c>
      <c r="B3612" s="6" t="s">
        <v>3955</v>
      </c>
      <c r="C3612" s="6" t="s">
        <v>3956</v>
      </c>
      <c r="D3612" s="6">
        <f t="shared" si="444"/>
        <v>0.5</v>
      </c>
      <c r="E3612" s="6" t="s">
        <v>19</v>
      </c>
      <c r="F3612" s="6" t="str">
        <f>MID(A3612,19,1)</f>
        <v>N</v>
      </c>
      <c r="G3612" s="6">
        <v>-22.532008914817681</v>
      </c>
      <c r="H3612" s="6">
        <v>-47.446770437175722</v>
      </c>
      <c r="I3612" s="9">
        <v>1542.54</v>
      </c>
      <c r="K3612" s="6">
        <v>3</v>
      </c>
      <c r="L3612" s="6">
        <v>70</v>
      </c>
      <c r="N3612" s="1">
        <f t="shared" si="442"/>
        <v>0</v>
      </c>
      <c r="O3612" s="6" t="s">
        <v>20</v>
      </c>
      <c r="Q3612" s="6" t="s">
        <v>21</v>
      </c>
      <c r="R3612" s="6" t="s">
        <v>21</v>
      </c>
      <c r="S3612" s="6" t="s">
        <v>21</v>
      </c>
      <c r="T3612" s="6" t="s">
        <v>21</v>
      </c>
      <c r="U3612" s="6">
        <f t="shared" si="443"/>
        <v>1079.7779999999998</v>
      </c>
      <c r="V3612" s="6">
        <f t="shared" si="440"/>
        <v>1079.7779999999998</v>
      </c>
    </row>
    <row r="3613" spans="1:22" hidden="1" x14ac:dyDescent="0.35">
      <c r="A3613" s="6" t="s">
        <v>3962</v>
      </c>
      <c r="B3613" s="6" t="s">
        <v>3963</v>
      </c>
      <c r="C3613" s="6" t="s">
        <v>3964</v>
      </c>
      <c r="D3613" s="6">
        <f t="shared" si="444"/>
        <v>0.5</v>
      </c>
      <c r="E3613" s="6" t="s">
        <v>23</v>
      </c>
      <c r="F3613" s="6" t="str">
        <f>MID(A3613,19,1)</f>
        <v>C</v>
      </c>
      <c r="G3613" s="6">
        <v>-22.527337088848562</v>
      </c>
      <c r="H3613" s="6">
        <v>-47.440385061348302</v>
      </c>
      <c r="I3613" s="9">
        <v>3439.9</v>
      </c>
      <c r="J3613" s="9">
        <f>I3613/500</f>
        <v>6.8798000000000004</v>
      </c>
      <c r="K3613" s="6">
        <v>9.42</v>
      </c>
      <c r="L3613" s="6">
        <v>80</v>
      </c>
      <c r="N3613" s="1">
        <f t="shared" si="442"/>
        <v>0</v>
      </c>
      <c r="O3613" s="6" t="s">
        <v>20</v>
      </c>
      <c r="Q3613" s="6" t="s">
        <v>21</v>
      </c>
      <c r="R3613" s="6" t="s">
        <v>21</v>
      </c>
      <c r="S3613" s="6" t="s">
        <v>21</v>
      </c>
      <c r="T3613" s="6" t="s">
        <v>21</v>
      </c>
      <c r="U3613" s="6">
        <f t="shared" si="443"/>
        <v>2751.92</v>
      </c>
      <c r="V3613" s="6">
        <f t="shared" si="440"/>
        <v>2751.92</v>
      </c>
    </row>
    <row r="3614" spans="1:22" hidden="1" x14ac:dyDescent="0.35">
      <c r="A3614" s="6" t="s">
        <v>3965</v>
      </c>
      <c r="B3614" s="6" t="s">
        <v>3963</v>
      </c>
      <c r="C3614" s="6" t="s">
        <v>3964</v>
      </c>
      <c r="D3614" s="6">
        <f t="shared" si="444"/>
        <v>0.5</v>
      </c>
      <c r="E3614" s="6" t="s">
        <v>19</v>
      </c>
      <c r="F3614" s="6" t="str">
        <f>MID(A3614,19,1)</f>
        <v>S</v>
      </c>
      <c r="G3614" s="6">
        <v>-22.52639409998833</v>
      </c>
      <c r="H3614" s="6">
        <v>-47.438815740447467</v>
      </c>
      <c r="I3614" s="9">
        <v>275.82</v>
      </c>
      <c r="K3614" s="6">
        <v>8.33</v>
      </c>
      <c r="L3614" s="6">
        <v>70</v>
      </c>
      <c r="N3614" s="1">
        <f t="shared" si="442"/>
        <v>0</v>
      </c>
      <c r="O3614" s="6" t="s">
        <v>20</v>
      </c>
      <c r="Q3614" s="6" t="s">
        <v>21</v>
      </c>
      <c r="R3614" s="6" t="s">
        <v>21</v>
      </c>
      <c r="S3614" s="6" t="s">
        <v>21</v>
      </c>
      <c r="T3614" s="6" t="s">
        <v>21</v>
      </c>
      <c r="U3614" s="6">
        <f t="shared" si="443"/>
        <v>193.07399999999998</v>
      </c>
      <c r="V3614" s="6">
        <f t="shared" si="440"/>
        <v>193.07399999999998</v>
      </c>
    </row>
    <row r="3615" spans="1:22" hidden="1" x14ac:dyDescent="0.35">
      <c r="A3615" s="6" t="s">
        <v>3966</v>
      </c>
      <c r="B3615" s="6" t="s">
        <v>3963</v>
      </c>
      <c r="C3615" s="6" t="s">
        <v>3964</v>
      </c>
      <c r="D3615" s="6">
        <f t="shared" si="444"/>
        <v>0.5</v>
      </c>
      <c r="E3615" s="6" t="s">
        <v>23</v>
      </c>
      <c r="F3615" s="6" t="str">
        <f>MID(A3615,19,1)</f>
        <v>C</v>
      </c>
      <c r="G3615" s="6">
        <v>-22.526527643372411</v>
      </c>
      <c r="H3615" s="6">
        <v>-47.438577520689613</v>
      </c>
      <c r="I3615" s="9">
        <v>321.3</v>
      </c>
      <c r="J3615" s="9">
        <f>I3615/500</f>
        <v>0.64260000000000006</v>
      </c>
      <c r="K3615" s="6">
        <v>7.75</v>
      </c>
      <c r="L3615" s="6">
        <v>80</v>
      </c>
      <c r="N3615" s="1">
        <f t="shared" si="442"/>
        <v>0</v>
      </c>
      <c r="O3615" s="6" t="s">
        <v>20</v>
      </c>
      <c r="Q3615" s="6" t="s">
        <v>21</v>
      </c>
      <c r="R3615" s="6" t="s">
        <v>21</v>
      </c>
      <c r="S3615" s="6" t="s">
        <v>21</v>
      </c>
      <c r="T3615" s="6" t="s">
        <v>21</v>
      </c>
      <c r="U3615" s="6">
        <f t="shared" si="443"/>
        <v>257.04000000000002</v>
      </c>
      <c r="V3615" s="6">
        <f t="shared" si="440"/>
        <v>257.04000000000002</v>
      </c>
    </row>
    <row r="3616" spans="1:22" hidden="1" x14ac:dyDescent="0.35">
      <c r="A3616" s="6" t="s">
        <v>3967</v>
      </c>
      <c r="B3616" s="6" t="s">
        <v>3963</v>
      </c>
      <c r="C3616" s="6" t="s">
        <v>3964</v>
      </c>
      <c r="D3616" s="6">
        <f t="shared" si="444"/>
        <v>0.5</v>
      </c>
      <c r="E3616" s="6" t="s">
        <v>19</v>
      </c>
      <c r="F3616" s="6" t="str">
        <f>MID(A3616,19,1)</f>
        <v>S</v>
      </c>
      <c r="G3616" s="6">
        <v>-22.524646131397141</v>
      </c>
      <c r="H3616" s="6">
        <v>-47.43588119559152</v>
      </c>
      <c r="I3616" s="9">
        <v>2414.5300000000002</v>
      </c>
      <c r="K3616" s="6">
        <v>4.01</v>
      </c>
      <c r="L3616" s="6">
        <v>70</v>
      </c>
      <c r="N3616" s="1">
        <f t="shared" si="442"/>
        <v>0</v>
      </c>
      <c r="O3616" s="6" t="s">
        <v>20</v>
      </c>
      <c r="Q3616" s="6" t="s">
        <v>21</v>
      </c>
      <c r="R3616" s="6" t="s">
        <v>21</v>
      </c>
      <c r="S3616" s="6" t="s">
        <v>21</v>
      </c>
      <c r="T3616" s="6" t="s">
        <v>21</v>
      </c>
      <c r="U3616" s="6">
        <f t="shared" si="443"/>
        <v>1690.171</v>
      </c>
      <c r="V3616" s="6">
        <f t="shared" si="440"/>
        <v>1690.171</v>
      </c>
    </row>
    <row r="3617" spans="1:22" hidden="1" x14ac:dyDescent="0.35">
      <c r="A3617" s="6" t="s">
        <v>3968</v>
      </c>
      <c r="B3617" s="6" t="s">
        <v>3963</v>
      </c>
      <c r="C3617" s="6" t="s">
        <v>3964</v>
      </c>
      <c r="D3617" s="6">
        <f t="shared" si="444"/>
        <v>0.5</v>
      </c>
      <c r="E3617" s="6" t="s">
        <v>23</v>
      </c>
      <c r="F3617" s="6" t="str">
        <f>MID(A3617,19,1)</f>
        <v>C</v>
      </c>
      <c r="G3617" s="6">
        <v>-22.52477658660403</v>
      </c>
      <c r="H3617" s="6">
        <v>-47.435783824878882</v>
      </c>
      <c r="I3617" s="9">
        <v>6007.68</v>
      </c>
      <c r="J3617" s="9">
        <f>I3617/500</f>
        <v>12.015360000000001</v>
      </c>
      <c r="K3617" s="6">
        <v>3.64</v>
      </c>
      <c r="L3617" s="6">
        <v>80</v>
      </c>
      <c r="N3617" s="1">
        <f t="shared" si="442"/>
        <v>0</v>
      </c>
      <c r="O3617" s="6" t="s">
        <v>20</v>
      </c>
      <c r="Q3617" s="6" t="s">
        <v>21</v>
      </c>
      <c r="R3617" s="6" t="s">
        <v>21</v>
      </c>
      <c r="S3617" s="6" t="s">
        <v>21</v>
      </c>
      <c r="T3617" s="6" t="s">
        <v>21</v>
      </c>
      <c r="U3617" s="6">
        <f t="shared" si="443"/>
        <v>4806.1440000000002</v>
      </c>
      <c r="V3617" s="6">
        <f t="shared" si="440"/>
        <v>4806.1440000000002</v>
      </c>
    </row>
    <row r="3618" spans="1:22" x14ac:dyDescent="0.35">
      <c r="A3618" s="6" t="s">
        <v>3969</v>
      </c>
      <c r="B3618" s="6" t="s">
        <v>3963</v>
      </c>
      <c r="C3618" s="6" t="s">
        <v>3964</v>
      </c>
      <c r="D3618" s="6">
        <f t="shared" si="444"/>
        <v>0.5</v>
      </c>
      <c r="E3618" s="6" t="s">
        <v>19</v>
      </c>
      <c r="F3618" s="6" t="str">
        <f>MID(A3618,19,1)</f>
        <v>N</v>
      </c>
      <c r="G3618" s="6">
        <v>-22.526670174023842</v>
      </c>
      <c r="H3618" s="6">
        <v>-47.438455539047297</v>
      </c>
      <c r="I3618" s="9">
        <v>65.53</v>
      </c>
      <c r="K3618" s="6">
        <v>6.99</v>
      </c>
      <c r="L3618" s="6">
        <v>0</v>
      </c>
      <c r="N3618" s="1">
        <f t="shared" si="442"/>
        <v>0</v>
      </c>
      <c r="Q3618" s="6" t="s">
        <v>21</v>
      </c>
      <c r="R3618" s="6" t="s">
        <v>21</v>
      </c>
      <c r="S3618" s="6" t="s">
        <v>21</v>
      </c>
      <c r="T3618" s="6" t="s">
        <v>21</v>
      </c>
      <c r="U3618" s="6">
        <f t="shared" si="443"/>
        <v>0</v>
      </c>
      <c r="V3618" s="6">
        <f t="shared" si="440"/>
        <v>0</v>
      </c>
    </row>
    <row r="3619" spans="1:22" x14ac:dyDescent="0.35">
      <c r="A3619" s="6" t="s">
        <v>3970</v>
      </c>
      <c r="B3619" s="6" t="s">
        <v>3963</v>
      </c>
      <c r="C3619" s="6" t="s">
        <v>3964</v>
      </c>
      <c r="D3619" s="6">
        <f t="shared" si="444"/>
        <v>0.5</v>
      </c>
      <c r="E3619" s="6" t="s">
        <v>19</v>
      </c>
      <c r="F3619" s="6" t="str">
        <f>MID(A3619,19,1)</f>
        <v>N</v>
      </c>
      <c r="G3619" s="6">
        <v>-22.5274036740322</v>
      </c>
      <c r="H3619" s="6">
        <v>-47.440109845814753</v>
      </c>
      <c r="I3619" s="9">
        <v>1224.94</v>
      </c>
      <c r="K3619" s="6">
        <v>8.35</v>
      </c>
      <c r="L3619" s="6">
        <v>70</v>
      </c>
      <c r="N3619" s="1">
        <f t="shared" si="442"/>
        <v>0</v>
      </c>
      <c r="O3619" s="6" t="s">
        <v>20</v>
      </c>
      <c r="Q3619" s="6" t="s">
        <v>21</v>
      </c>
      <c r="R3619" s="6" t="s">
        <v>21</v>
      </c>
      <c r="S3619" s="6" t="s">
        <v>21</v>
      </c>
      <c r="T3619" s="6" t="s">
        <v>21</v>
      </c>
      <c r="U3619" s="6">
        <f t="shared" si="443"/>
        <v>857.45799999999997</v>
      </c>
      <c r="V3619" s="6">
        <f t="shared" si="440"/>
        <v>857.45799999999997</v>
      </c>
    </row>
    <row r="3620" spans="1:22" hidden="1" x14ac:dyDescent="0.35">
      <c r="A3620" s="6" t="s">
        <v>3971</v>
      </c>
      <c r="B3620" s="6" t="s">
        <v>3963</v>
      </c>
      <c r="C3620" s="6" t="s">
        <v>3964</v>
      </c>
      <c r="D3620" s="6">
        <f t="shared" si="444"/>
        <v>0.5</v>
      </c>
      <c r="E3620" s="6" t="s">
        <v>23</v>
      </c>
      <c r="F3620" s="6" t="str">
        <f>MID(A3620,19,1)</f>
        <v>C</v>
      </c>
      <c r="G3620" s="6">
        <v>-22.526659657264119</v>
      </c>
      <c r="H3620" s="6">
        <v>-47.438876796991359</v>
      </c>
      <c r="I3620" s="9">
        <v>104.95</v>
      </c>
      <c r="J3620" s="9">
        <f>I3620/500</f>
        <v>0.2099</v>
      </c>
      <c r="K3620" s="6">
        <v>10.1</v>
      </c>
      <c r="L3620" s="6">
        <v>0</v>
      </c>
      <c r="N3620" s="1">
        <f t="shared" si="442"/>
        <v>0</v>
      </c>
      <c r="Q3620" s="6" t="s">
        <v>21</v>
      </c>
      <c r="R3620" s="6" t="s">
        <v>21</v>
      </c>
      <c r="S3620" s="6" t="s">
        <v>21</v>
      </c>
      <c r="T3620" s="6" t="s">
        <v>21</v>
      </c>
      <c r="U3620" s="6">
        <f t="shared" si="443"/>
        <v>0</v>
      </c>
      <c r="V3620" s="6">
        <f t="shared" si="440"/>
        <v>0</v>
      </c>
    </row>
    <row r="3621" spans="1:22" hidden="1" x14ac:dyDescent="0.35">
      <c r="A3621" s="6" t="s">
        <v>3972</v>
      </c>
      <c r="B3621" s="6" t="s">
        <v>3963</v>
      </c>
      <c r="C3621" s="6" t="s">
        <v>3964</v>
      </c>
      <c r="D3621" s="6">
        <f t="shared" si="444"/>
        <v>0.5</v>
      </c>
      <c r="E3621" s="6" t="s">
        <v>19</v>
      </c>
      <c r="F3621" s="6" t="str">
        <f>MID(A3621,19,1)</f>
        <v>S</v>
      </c>
      <c r="G3621" s="6">
        <v>-22.527104570294469</v>
      </c>
      <c r="H3621" s="6">
        <v>-47.440326290225151</v>
      </c>
      <c r="I3621" s="9">
        <v>1240.74</v>
      </c>
      <c r="K3621" s="6">
        <v>9.4</v>
      </c>
      <c r="L3621" s="6">
        <v>70</v>
      </c>
      <c r="N3621" s="1">
        <f t="shared" si="442"/>
        <v>0</v>
      </c>
      <c r="O3621" s="6" t="s">
        <v>20</v>
      </c>
      <c r="Q3621" s="6" t="s">
        <v>21</v>
      </c>
      <c r="R3621" s="6" t="s">
        <v>21</v>
      </c>
      <c r="S3621" s="6" t="s">
        <v>21</v>
      </c>
      <c r="T3621" s="6" t="s">
        <v>21</v>
      </c>
      <c r="U3621" s="6">
        <f t="shared" si="443"/>
        <v>868.51799999999992</v>
      </c>
      <c r="V3621" s="6">
        <f t="shared" si="440"/>
        <v>868.51799999999992</v>
      </c>
    </row>
    <row r="3622" spans="1:22" x14ac:dyDescent="0.35">
      <c r="A3622" s="6" t="s">
        <v>3973</v>
      </c>
      <c r="B3622" s="6" t="s">
        <v>3963</v>
      </c>
      <c r="C3622" s="6" t="s">
        <v>3964</v>
      </c>
      <c r="D3622" s="6">
        <f t="shared" si="444"/>
        <v>0.5</v>
      </c>
      <c r="E3622" s="6" t="s">
        <v>19</v>
      </c>
      <c r="F3622" s="6" t="str">
        <f>MID(A3622,19,1)</f>
        <v>N</v>
      </c>
      <c r="G3622" s="6">
        <v>-22.524935223967201</v>
      </c>
      <c r="H3622" s="6">
        <v>-47.435675500250092</v>
      </c>
      <c r="I3622" s="9">
        <v>2493.5100000000002</v>
      </c>
      <c r="K3622" s="6">
        <v>3.72</v>
      </c>
      <c r="L3622" s="6">
        <v>70</v>
      </c>
      <c r="N3622" s="1">
        <f t="shared" si="442"/>
        <v>0</v>
      </c>
      <c r="O3622" s="6" t="s">
        <v>20</v>
      </c>
      <c r="Q3622" s="6" t="s">
        <v>21</v>
      </c>
      <c r="R3622" s="6" t="s">
        <v>21</v>
      </c>
      <c r="S3622" s="6" t="s">
        <v>21</v>
      </c>
      <c r="T3622" s="6" t="s">
        <v>21</v>
      </c>
      <c r="U3622" s="6">
        <f t="shared" si="443"/>
        <v>1745.4570000000001</v>
      </c>
      <c r="V3622" s="6">
        <f t="shared" si="440"/>
        <v>1745.4570000000001</v>
      </c>
    </row>
    <row r="3623" spans="1:22" hidden="1" x14ac:dyDescent="0.35">
      <c r="A3623" s="6" t="s">
        <v>3974</v>
      </c>
      <c r="B3623" s="6" t="s">
        <v>3975</v>
      </c>
      <c r="C3623" s="6" t="s">
        <v>3976</v>
      </c>
      <c r="D3623" s="6">
        <f t="shared" si="444"/>
        <v>0.5</v>
      </c>
      <c r="E3623" s="6" t="s">
        <v>23</v>
      </c>
      <c r="F3623" s="6" t="str">
        <f>MID(A3623,19,1)</f>
        <v>C</v>
      </c>
      <c r="G3623" s="6">
        <v>-22.522531640543381</v>
      </c>
      <c r="H3623" s="6">
        <v>-47.43334606977735</v>
      </c>
      <c r="I3623" s="9">
        <v>461.2</v>
      </c>
      <c r="J3623" s="9">
        <f>I3623/500</f>
        <v>0.9224</v>
      </c>
      <c r="K3623" s="6">
        <v>6.2</v>
      </c>
      <c r="L3623" s="6">
        <v>80</v>
      </c>
      <c r="N3623" s="1">
        <f t="shared" si="442"/>
        <v>0</v>
      </c>
      <c r="O3623" s="6" t="s">
        <v>20</v>
      </c>
      <c r="Q3623" s="6" t="s">
        <v>21</v>
      </c>
      <c r="R3623" s="6" t="s">
        <v>21</v>
      </c>
      <c r="S3623" s="6" t="s">
        <v>21</v>
      </c>
      <c r="T3623" s="6" t="s">
        <v>21</v>
      </c>
      <c r="U3623" s="6">
        <f t="shared" si="443"/>
        <v>368.96000000000004</v>
      </c>
      <c r="V3623" s="6">
        <f t="shared" si="440"/>
        <v>368.96000000000004</v>
      </c>
    </row>
    <row r="3624" spans="1:22" x14ac:dyDescent="0.35">
      <c r="A3624" s="6" t="s">
        <v>3977</v>
      </c>
      <c r="B3624" s="6" t="s">
        <v>3975</v>
      </c>
      <c r="C3624" s="6" t="s">
        <v>3976</v>
      </c>
      <c r="D3624" s="6">
        <f t="shared" si="444"/>
        <v>0.5</v>
      </c>
      <c r="E3624" s="6" t="s">
        <v>19</v>
      </c>
      <c r="F3624" s="6" t="str">
        <f>MID(A3624,19,1)</f>
        <v>N</v>
      </c>
      <c r="G3624" s="6">
        <v>-22.522640670322041</v>
      </c>
      <c r="H3624" s="6">
        <v>-47.433192922799449</v>
      </c>
      <c r="I3624" s="9">
        <v>187.17</v>
      </c>
      <c r="K3624" s="6">
        <v>6.8</v>
      </c>
      <c r="L3624" s="6">
        <v>70</v>
      </c>
      <c r="N3624" s="1">
        <f t="shared" si="442"/>
        <v>0</v>
      </c>
      <c r="O3624" s="6" t="s">
        <v>20</v>
      </c>
      <c r="Q3624" s="6" t="s">
        <v>21</v>
      </c>
      <c r="R3624" s="6" t="s">
        <v>21</v>
      </c>
      <c r="S3624" s="6" t="s">
        <v>21</v>
      </c>
      <c r="T3624" s="6" t="s">
        <v>21</v>
      </c>
      <c r="U3624" s="6">
        <f t="shared" si="443"/>
        <v>131.01899999999998</v>
      </c>
      <c r="V3624" s="6">
        <f t="shared" si="440"/>
        <v>131.01899999999998</v>
      </c>
    </row>
    <row r="3625" spans="1:22" x14ac:dyDescent="0.35">
      <c r="A3625" s="6" t="s">
        <v>3978</v>
      </c>
      <c r="B3625" s="6" t="s">
        <v>3975</v>
      </c>
      <c r="C3625" s="6" t="s">
        <v>3976</v>
      </c>
      <c r="D3625" s="6">
        <f t="shared" si="444"/>
        <v>0.5</v>
      </c>
      <c r="E3625" s="6" t="s">
        <v>19</v>
      </c>
      <c r="F3625" s="6" t="str">
        <f>MID(A3625,19,1)</f>
        <v>N</v>
      </c>
      <c r="G3625" s="6">
        <v>-22.51912782732736</v>
      </c>
      <c r="H3625" s="6">
        <v>-47.431448601687229</v>
      </c>
      <c r="I3625" s="9">
        <v>266.66000000000003</v>
      </c>
      <c r="K3625" s="6">
        <v>7.25</v>
      </c>
      <c r="L3625" s="6">
        <v>70</v>
      </c>
      <c r="N3625" s="1">
        <f t="shared" si="442"/>
        <v>0</v>
      </c>
      <c r="O3625" s="6" t="s">
        <v>20</v>
      </c>
      <c r="Q3625" s="6" t="s">
        <v>21</v>
      </c>
      <c r="R3625" s="6" t="s">
        <v>21</v>
      </c>
      <c r="S3625" s="6" t="s">
        <v>21</v>
      </c>
      <c r="T3625" s="6" t="s">
        <v>21</v>
      </c>
      <c r="U3625" s="6">
        <f t="shared" si="443"/>
        <v>186.66200000000001</v>
      </c>
      <c r="V3625" s="6">
        <f t="shared" si="440"/>
        <v>186.66200000000001</v>
      </c>
    </row>
    <row r="3626" spans="1:22" hidden="1" x14ac:dyDescent="0.35">
      <c r="A3626" s="6" t="s">
        <v>3979</v>
      </c>
      <c r="B3626" s="6" t="s">
        <v>3975</v>
      </c>
      <c r="C3626" s="6" t="s">
        <v>3976</v>
      </c>
      <c r="D3626" s="6">
        <f t="shared" si="444"/>
        <v>0.5</v>
      </c>
      <c r="E3626" s="6" t="s">
        <v>19</v>
      </c>
      <c r="F3626" s="6" t="str">
        <f>MID(A3626,19,1)</f>
        <v>S</v>
      </c>
      <c r="G3626" s="6">
        <v>-22.52242380546144</v>
      </c>
      <c r="H3626" s="6">
        <v>-47.433495374826208</v>
      </c>
      <c r="I3626" s="9">
        <v>171.91</v>
      </c>
      <c r="K3626" s="6">
        <v>6.38</v>
      </c>
      <c r="L3626" s="6">
        <v>70</v>
      </c>
      <c r="N3626" s="1">
        <f t="shared" si="442"/>
        <v>0</v>
      </c>
      <c r="O3626" s="6" t="s">
        <v>20</v>
      </c>
      <c r="Q3626" s="6" t="s">
        <v>21</v>
      </c>
      <c r="R3626" s="6" t="s">
        <v>21</v>
      </c>
      <c r="S3626" s="6" t="s">
        <v>21</v>
      </c>
      <c r="T3626" s="6" t="s">
        <v>21</v>
      </c>
      <c r="U3626" s="6">
        <f t="shared" si="443"/>
        <v>120.33699999999999</v>
      </c>
      <c r="V3626" s="6">
        <f t="shared" si="440"/>
        <v>120.33699999999999</v>
      </c>
    </row>
    <row r="3627" spans="1:22" hidden="1" x14ac:dyDescent="0.35">
      <c r="A3627" s="6" t="s">
        <v>3980</v>
      </c>
      <c r="B3627" s="6" t="s">
        <v>3975</v>
      </c>
      <c r="C3627" s="6" t="s">
        <v>3976</v>
      </c>
      <c r="D3627" s="6">
        <f t="shared" si="444"/>
        <v>0.5</v>
      </c>
      <c r="E3627" s="6" t="s">
        <v>19</v>
      </c>
      <c r="F3627" s="6" t="str">
        <f>MID(A3627,19,1)</f>
        <v>S</v>
      </c>
      <c r="G3627" s="6">
        <v>-22.518993715613799</v>
      </c>
      <c r="H3627" s="6">
        <v>-47.43180135454341</v>
      </c>
      <c r="I3627" s="9">
        <v>277.94</v>
      </c>
      <c r="K3627" s="6">
        <v>7.72</v>
      </c>
      <c r="L3627" s="6">
        <v>70</v>
      </c>
      <c r="N3627" s="1">
        <f t="shared" si="442"/>
        <v>0</v>
      </c>
      <c r="O3627" s="6" t="s">
        <v>20</v>
      </c>
      <c r="Q3627" s="6" t="s">
        <v>21</v>
      </c>
      <c r="R3627" s="6" t="s">
        <v>21</v>
      </c>
      <c r="S3627" s="6" t="s">
        <v>21</v>
      </c>
      <c r="T3627" s="6" t="s">
        <v>21</v>
      </c>
      <c r="U3627" s="6">
        <f t="shared" si="443"/>
        <v>194.55799999999999</v>
      </c>
      <c r="V3627" s="6">
        <f t="shared" si="440"/>
        <v>194.55799999999999</v>
      </c>
    </row>
    <row r="3628" spans="1:22" x14ac:dyDescent="0.35">
      <c r="A3628" s="6" t="s">
        <v>3981</v>
      </c>
      <c r="B3628" s="6" t="s">
        <v>3975</v>
      </c>
      <c r="C3628" s="6" t="s">
        <v>3976</v>
      </c>
      <c r="D3628" s="6">
        <f t="shared" si="444"/>
        <v>0.5</v>
      </c>
      <c r="E3628" s="6" t="s">
        <v>19</v>
      </c>
      <c r="F3628" s="6" t="str">
        <f>MID(A3628,19,1)</f>
        <v>N</v>
      </c>
      <c r="G3628" s="6">
        <v>-22.516581830668422</v>
      </c>
      <c r="H3628" s="6">
        <v>-47.430993649952413</v>
      </c>
      <c r="I3628" s="9">
        <v>1850.04</v>
      </c>
      <c r="K3628" s="6">
        <v>4.75</v>
      </c>
      <c r="L3628" s="6">
        <v>70</v>
      </c>
      <c r="N3628" s="1">
        <f t="shared" si="442"/>
        <v>0</v>
      </c>
      <c r="O3628" s="6" t="s">
        <v>20</v>
      </c>
      <c r="Q3628" s="6" t="s">
        <v>21</v>
      </c>
      <c r="R3628" s="6" t="s">
        <v>21</v>
      </c>
      <c r="S3628" s="6" t="s">
        <v>21</v>
      </c>
      <c r="T3628" s="6" t="s">
        <v>21</v>
      </c>
      <c r="U3628" s="6">
        <f t="shared" si="443"/>
        <v>1295.0279999999998</v>
      </c>
      <c r="V3628" s="6">
        <f t="shared" si="440"/>
        <v>1295.0279999999998</v>
      </c>
    </row>
    <row r="3629" spans="1:22" hidden="1" x14ac:dyDescent="0.35">
      <c r="A3629" s="6" t="s">
        <v>3982</v>
      </c>
      <c r="B3629" s="6" t="s">
        <v>3975</v>
      </c>
      <c r="C3629" s="6" t="s">
        <v>3976</v>
      </c>
      <c r="D3629" s="6">
        <f t="shared" si="444"/>
        <v>0.5</v>
      </c>
      <c r="E3629" s="6" t="s">
        <v>23</v>
      </c>
      <c r="F3629" s="6" t="str">
        <f>MID(A3629,19,1)</f>
        <v>C</v>
      </c>
      <c r="G3629" s="6">
        <v>-22.519051938234281</v>
      </c>
      <c r="H3629" s="6">
        <v>-47.431622227952097</v>
      </c>
      <c r="I3629" s="9">
        <v>852.47</v>
      </c>
      <c r="J3629" s="9">
        <f t="shared" ref="J3629:J3630" si="446">I3629/500</f>
        <v>1.7049400000000001</v>
      </c>
      <c r="K3629" s="6">
        <v>7.35</v>
      </c>
      <c r="L3629" s="6">
        <v>80</v>
      </c>
      <c r="N3629" s="1">
        <f t="shared" si="442"/>
        <v>0</v>
      </c>
      <c r="O3629" s="6" t="s">
        <v>20</v>
      </c>
      <c r="Q3629" s="6" t="s">
        <v>21</v>
      </c>
      <c r="R3629" s="6" t="s">
        <v>21</v>
      </c>
      <c r="S3629" s="6" t="s">
        <v>21</v>
      </c>
      <c r="T3629" s="6" t="s">
        <v>21</v>
      </c>
      <c r="U3629" s="6">
        <f t="shared" si="443"/>
        <v>681.97600000000011</v>
      </c>
      <c r="V3629" s="6">
        <f t="shared" si="440"/>
        <v>681.97600000000011</v>
      </c>
    </row>
    <row r="3630" spans="1:22" hidden="1" x14ac:dyDescent="0.35">
      <c r="A3630" s="6" t="s">
        <v>3983</v>
      </c>
      <c r="B3630" s="6" t="s">
        <v>3975</v>
      </c>
      <c r="C3630" s="6" t="s">
        <v>3976</v>
      </c>
      <c r="D3630" s="6">
        <f t="shared" si="444"/>
        <v>0.5</v>
      </c>
      <c r="E3630" s="6" t="s">
        <v>23</v>
      </c>
      <c r="F3630" s="6" t="str">
        <f>MID(A3630,19,1)</f>
        <v>C</v>
      </c>
      <c r="G3630" s="6">
        <v>-22.51654064128671</v>
      </c>
      <c r="H3630" s="6">
        <v>-47.431174534251397</v>
      </c>
      <c r="I3630" s="9">
        <v>5840.05</v>
      </c>
      <c r="J3630" s="9">
        <f t="shared" si="446"/>
        <v>11.680099999999999</v>
      </c>
      <c r="K3630" s="6">
        <v>4.63</v>
      </c>
      <c r="L3630" s="6">
        <v>80</v>
      </c>
      <c r="N3630" s="1">
        <f t="shared" si="442"/>
        <v>0</v>
      </c>
      <c r="O3630" s="6" t="s">
        <v>20</v>
      </c>
      <c r="Q3630" s="6" t="s">
        <v>21</v>
      </c>
      <c r="R3630" s="6" t="s">
        <v>21</v>
      </c>
      <c r="S3630" s="6" t="s">
        <v>21</v>
      </c>
      <c r="T3630" s="6" t="s">
        <v>21</v>
      </c>
      <c r="U3630" s="6">
        <f t="shared" si="443"/>
        <v>4672.04</v>
      </c>
      <c r="V3630" s="6">
        <f t="shared" si="440"/>
        <v>4672.04</v>
      </c>
    </row>
    <row r="3631" spans="1:22" hidden="1" x14ac:dyDescent="0.35">
      <c r="A3631" s="6" t="s">
        <v>3984</v>
      </c>
      <c r="B3631" s="6" t="s">
        <v>3975</v>
      </c>
      <c r="C3631" s="6" t="s">
        <v>3976</v>
      </c>
      <c r="D3631" s="6">
        <f t="shared" si="444"/>
        <v>0.5</v>
      </c>
      <c r="E3631" s="6" t="s">
        <v>19</v>
      </c>
      <c r="F3631" s="6" t="str">
        <f>MID(A3631,19,1)</f>
        <v>S</v>
      </c>
      <c r="G3631" s="6">
        <v>-22.51648771050705</v>
      </c>
      <c r="H3631" s="6">
        <v>-47.431359977695116</v>
      </c>
      <c r="I3631" s="9">
        <v>1804.41</v>
      </c>
      <c r="K3631" s="6">
        <v>4.13</v>
      </c>
      <c r="L3631" s="6">
        <v>70</v>
      </c>
      <c r="N3631" s="1">
        <f t="shared" si="442"/>
        <v>0</v>
      </c>
      <c r="O3631" s="6" t="s">
        <v>20</v>
      </c>
      <c r="Q3631" s="6" t="s">
        <v>21</v>
      </c>
      <c r="R3631" s="6" t="s">
        <v>21</v>
      </c>
      <c r="S3631" s="6" t="s">
        <v>21</v>
      </c>
      <c r="T3631" s="6" t="s">
        <v>21</v>
      </c>
      <c r="U3631" s="6">
        <f t="shared" si="443"/>
        <v>1263.087</v>
      </c>
      <c r="V3631" s="6">
        <f t="shared" si="440"/>
        <v>1263.087</v>
      </c>
    </row>
    <row r="3632" spans="1:22" x14ac:dyDescent="0.35">
      <c r="A3632" s="6" t="s">
        <v>3985</v>
      </c>
      <c r="B3632" s="6" t="s">
        <v>3986</v>
      </c>
      <c r="C3632" s="6" t="s">
        <v>3987</v>
      </c>
      <c r="D3632" s="6">
        <f t="shared" si="444"/>
        <v>0.5</v>
      </c>
      <c r="E3632" s="6" t="s">
        <v>19</v>
      </c>
      <c r="F3632" s="6" t="str">
        <f>MID(A3632,19,1)</f>
        <v>N</v>
      </c>
      <c r="G3632" s="6">
        <v>-22.512418820189641</v>
      </c>
      <c r="H3632" s="6">
        <v>-47.430431969733959</v>
      </c>
      <c r="I3632" s="9">
        <v>1587.68</v>
      </c>
      <c r="K3632" s="6">
        <v>6.08</v>
      </c>
      <c r="L3632" s="6">
        <v>70</v>
      </c>
      <c r="N3632" s="1">
        <f t="shared" si="442"/>
        <v>0</v>
      </c>
      <c r="O3632" s="6" t="s">
        <v>20</v>
      </c>
      <c r="Q3632" s="6" t="s">
        <v>21</v>
      </c>
      <c r="R3632" s="6" t="s">
        <v>21</v>
      </c>
      <c r="S3632" s="6" t="s">
        <v>21</v>
      </c>
      <c r="T3632" s="6" t="s">
        <v>21</v>
      </c>
      <c r="U3632" s="6">
        <f t="shared" si="443"/>
        <v>1111.376</v>
      </c>
      <c r="V3632" s="6">
        <f t="shared" si="440"/>
        <v>1111.376</v>
      </c>
    </row>
    <row r="3633" spans="1:22" hidden="1" x14ac:dyDescent="0.35">
      <c r="A3633" s="6" t="s">
        <v>3988</v>
      </c>
      <c r="B3633" s="6" t="s">
        <v>3986</v>
      </c>
      <c r="C3633" s="6" t="s">
        <v>3987</v>
      </c>
      <c r="D3633" s="6">
        <f t="shared" si="444"/>
        <v>0.5</v>
      </c>
      <c r="E3633" s="6" t="s">
        <v>19</v>
      </c>
      <c r="F3633" s="6" t="str">
        <f>MID(A3633,19,1)</f>
        <v>S</v>
      </c>
      <c r="G3633" s="6">
        <v>-22.506393081691719</v>
      </c>
      <c r="H3633" s="6">
        <v>-47.430135237281164</v>
      </c>
      <c r="I3633" s="9">
        <v>3516.37</v>
      </c>
      <c r="K3633" s="6">
        <v>1.65</v>
      </c>
      <c r="L3633" s="6">
        <v>70</v>
      </c>
      <c r="N3633" s="1">
        <f t="shared" si="442"/>
        <v>0</v>
      </c>
      <c r="O3633" s="6" t="s">
        <v>20</v>
      </c>
      <c r="Q3633" s="6" t="s">
        <v>21</v>
      </c>
      <c r="R3633" s="6" t="s">
        <v>21</v>
      </c>
      <c r="S3633" s="6" t="s">
        <v>21</v>
      </c>
      <c r="T3633" s="6" t="s">
        <v>21</v>
      </c>
      <c r="U3633" s="6">
        <f t="shared" si="443"/>
        <v>2461.4589999999998</v>
      </c>
      <c r="V3633" s="6">
        <f t="shared" ref="V3633:V3683" si="447">(I3633*(L3633/100))</f>
        <v>2461.4589999999998</v>
      </c>
    </row>
    <row r="3634" spans="1:22" hidden="1" x14ac:dyDescent="0.35">
      <c r="A3634" s="6" t="s">
        <v>3989</v>
      </c>
      <c r="B3634" s="6" t="s">
        <v>3986</v>
      </c>
      <c r="C3634" s="6" t="s">
        <v>3987</v>
      </c>
      <c r="D3634" s="6">
        <f t="shared" si="444"/>
        <v>0.5</v>
      </c>
      <c r="E3634" s="6" t="s">
        <v>19</v>
      </c>
      <c r="F3634" s="6" t="str">
        <f>MID(A3634,19,1)</f>
        <v>S</v>
      </c>
      <c r="G3634" s="6">
        <v>-22.512381584662901</v>
      </c>
      <c r="H3634" s="6">
        <v>-47.430793249360967</v>
      </c>
      <c r="I3634" s="9">
        <v>1588.18</v>
      </c>
      <c r="K3634" s="6">
        <v>5.64</v>
      </c>
      <c r="L3634" s="6">
        <v>70</v>
      </c>
      <c r="N3634" s="1">
        <f t="shared" si="442"/>
        <v>0</v>
      </c>
      <c r="O3634" s="6" t="s">
        <v>20</v>
      </c>
      <c r="Q3634" s="6" t="s">
        <v>21</v>
      </c>
      <c r="R3634" s="6" t="s">
        <v>21</v>
      </c>
      <c r="S3634" s="6" t="s">
        <v>21</v>
      </c>
      <c r="T3634" s="6" t="s">
        <v>21</v>
      </c>
      <c r="U3634" s="6">
        <f t="shared" si="443"/>
        <v>1111.7259999999999</v>
      </c>
      <c r="V3634" s="6">
        <f t="shared" si="447"/>
        <v>1111.7259999999999</v>
      </c>
    </row>
    <row r="3635" spans="1:22" hidden="1" x14ac:dyDescent="0.35">
      <c r="A3635" s="6" t="s">
        <v>3990</v>
      </c>
      <c r="B3635" s="6" t="s">
        <v>3986</v>
      </c>
      <c r="C3635" s="6" t="s">
        <v>3987</v>
      </c>
      <c r="D3635" s="6">
        <f t="shared" si="444"/>
        <v>0.5</v>
      </c>
      <c r="E3635" s="6" t="s">
        <v>23</v>
      </c>
      <c r="F3635" s="6" t="str">
        <f>MID(A3635,19,1)</f>
        <v>C</v>
      </c>
      <c r="G3635" s="6">
        <v>-22.512416641418309</v>
      </c>
      <c r="H3635" s="6">
        <v>-47.430615880570173</v>
      </c>
      <c r="I3635" s="9">
        <v>5019.05</v>
      </c>
      <c r="J3635" s="9">
        <f>I3635/500</f>
        <v>10.0381</v>
      </c>
      <c r="K3635" s="6">
        <v>6.09</v>
      </c>
      <c r="L3635" s="6">
        <v>80</v>
      </c>
      <c r="N3635" s="1">
        <f t="shared" si="442"/>
        <v>0</v>
      </c>
      <c r="O3635" s="6" t="s">
        <v>20</v>
      </c>
      <c r="Q3635" s="6" t="s">
        <v>21</v>
      </c>
      <c r="R3635" s="6" t="s">
        <v>21</v>
      </c>
      <c r="S3635" s="6" t="s">
        <v>21</v>
      </c>
      <c r="T3635" s="6" t="s">
        <v>21</v>
      </c>
      <c r="U3635" s="6">
        <f t="shared" si="443"/>
        <v>4015.2400000000002</v>
      </c>
      <c r="V3635" s="6">
        <f t="shared" si="447"/>
        <v>4015.2400000000002</v>
      </c>
    </row>
    <row r="3636" spans="1:22" x14ac:dyDescent="0.35">
      <c r="A3636" s="6" t="s">
        <v>3991</v>
      </c>
      <c r="B3636" s="6" t="s">
        <v>3986</v>
      </c>
      <c r="C3636" s="6" t="s">
        <v>3987</v>
      </c>
      <c r="D3636" s="6">
        <f t="shared" si="444"/>
        <v>0.5</v>
      </c>
      <c r="E3636" s="6" t="s">
        <v>19</v>
      </c>
      <c r="F3636" s="6" t="str">
        <f>MID(A3636,19,1)</f>
        <v>N</v>
      </c>
      <c r="G3636" s="6">
        <v>-22.506459880770549</v>
      </c>
      <c r="H3636" s="6">
        <v>-47.429497968914717</v>
      </c>
      <c r="I3636" s="9">
        <v>3541.25</v>
      </c>
      <c r="K3636" s="6">
        <v>1.0900000000000001</v>
      </c>
      <c r="L3636" s="6">
        <v>70</v>
      </c>
      <c r="N3636" s="1">
        <f t="shared" si="442"/>
        <v>0</v>
      </c>
      <c r="O3636" s="6" t="s">
        <v>20</v>
      </c>
      <c r="Q3636" s="6" t="s">
        <v>21</v>
      </c>
      <c r="R3636" s="6" t="s">
        <v>21</v>
      </c>
      <c r="S3636" s="6" t="s">
        <v>21</v>
      </c>
      <c r="T3636" s="6" t="s">
        <v>21</v>
      </c>
      <c r="U3636" s="6">
        <f t="shared" si="443"/>
        <v>2478.875</v>
      </c>
      <c r="V3636" s="6">
        <f t="shared" si="447"/>
        <v>2478.875</v>
      </c>
    </row>
    <row r="3637" spans="1:22" hidden="1" x14ac:dyDescent="0.35">
      <c r="A3637" s="6" t="s">
        <v>3992</v>
      </c>
      <c r="B3637" s="6" t="s">
        <v>3986</v>
      </c>
      <c r="C3637" s="6" t="s">
        <v>3987</v>
      </c>
      <c r="D3637" s="6">
        <f t="shared" si="444"/>
        <v>0.5</v>
      </c>
      <c r="E3637" s="6" t="s">
        <v>23</v>
      </c>
      <c r="F3637" s="6" t="str">
        <f>MID(A3637,19,1)</f>
        <v>C</v>
      </c>
      <c r="G3637" s="6">
        <v>-22.50638136120542</v>
      </c>
      <c r="H3637" s="6">
        <v>-47.429809553416071</v>
      </c>
      <c r="I3637" s="9">
        <v>1379.94</v>
      </c>
      <c r="J3637" s="9">
        <f>I3637/500</f>
        <v>2.7598799999999999</v>
      </c>
      <c r="K3637" s="6">
        <v>1.44</v>
      </c>
      <c r="L3637" s="6">
        <v>80</v>
      </c>
      <c r="N3637" s="1">
        <f t="shared" si="442"/>
        <v>0</v>
      </c>
      <c r="O3637" s="6" t="s">
        <v>20</v>
      </c>
      <c r="Q3637" s="6" t="s">
        <v>21</v>
      </c>
      <c r="R3637" s="6" t="s">
        <v>21</v>
      </c>
      <c r="S3637" s="6" t="s">
        <v>21</v>
      </c>
      <c r="T3637" s="6" t="s">
        <v>21</v>
      </c>
      <c r="U3637" s="6">
        <f t="shared" si="443"/>
        <v>1103.952</v>
      </c>
      <c r="V3637" s="6">
        <f t="shared" si="447"/>
        <v>1103.952</v>
      </c>
    </row>
    <row r="3638" spans="1:22" hidden="1" x14ac:dyDescent="0.35">
      <c r="A3638" s="6" t="s">
        <v>3993</v>
      </c>
      <c r="B3638" s="6" t="s">
        <v>3986</v>
      </c>
      <c r="C3638" s="6" t="s">
        <v>3987</v>
      </c>
      <c r="D3638" s="6">
        <f t="shared" si="444"/>
        <v>0.5</v>
      </c>
      <c r="E3638" s="6" t="s">
        <v>19</v>
      </c>
      <c r="F3638" s="6" t="str">
        <f>MID(A3638,19,1)</f>
        <v>S</v>
      </c>
      <c r="G3638" s="6">
        <v>-22.508120232646231</v>
      </c>
      <c r="H3638" s="6">
        <v>-47.430313232267537</v>
      </c>
      <c r="I3638" s="9">
        <v>1951.25</v>
      </c>
      <c r="K3638" s="6">
        <v>3.28</v>
      </c>
      <c r="L3638" s="6">
        <v>70</v>
      </c>
      <c r="N3638" s="1">
        <f t="shared" si="442"/>
        <v>0</v>
      </c>
      <c r="O3638" s="6" t="s">
        <v>20</v>
      </c>
      <c r="Q3638" s="6" t="s">
        <v>21</v>
      </c>
      <c r="R3638" s="6" t="s">
        <v>21</v>
      </c>
      <c r="S3638" s="6" t="s">
        <v>21</v>
      </c>
      <c r="T3638" s="6" t="s">
        <v>21</v>
      </c>
      <c r="U3638" s="6">
        <f t="shared" si="443"/>
        <v>1365.875</v>
      </c>
      <c r="V3638" s="6">
        <f t="shared" si="447"/>
        <v>1365.875</v>
      </c>
    </row>
    <row r="3639" spans="1:22" x14ac:dyDescent="0.35">
      <c r="A3639" s="6" t="s">
        <v>3994</v>
      </c>
      <c r="B3639" s="6" t="s">
        <v>3986</v>
      </c>
      <c r="C3639" s="6" t="s">
        <v>3987</v>
      </c>
      <c r="D3639" s="6">
        <f t="shared" si="444"/>
        <v>0.5</v>
      </c>
      <c r="E3639" s="6" t="s">
        <v>19</v>
      </c>
      <c r="F3639" s="6" t="str">
        <f>MID(A3639,19,1)</f>
        <v>N</v>
      </c>
      <c r="G3639" s="6">
        <v>-22.50874523522592</v>
      </c>
      <c r="H3639" s="6">
        <v>-47.42993784800602</v>
      </c>
      <c r="I3639" s="9">
        <v>1446.16</v>
      </c>
      <c r="K3639" s="6">
        <v>4.32</v>
      </c>
      <c r="L3639" s="6">
        <v>70</v>
      </c>
      <c r="N3639" s="1">
        <f t="shared" si="442"/>
        <v>0</v>
      </c>
      <c r="O3639" s="6" t="s">
        <v>20</v>
      </c>
      <c r="Q3639" s="6" t="s">
        <v>21</v>
      </c>
      <c r="R3639" s="6" t="s">
        <v>21</v>
      </c>
      <c r="S3639" s="6" t="s">
        <v>21</v>
      </c>
      <c r="T3639" s="6" t="s">
        <v>21</v>
      </c>
      <c r="U3639" s="6">
        <f t="shared" si="443"/>
        <v>1012.312</v>
      </c>
      <c r="V3639" s="6">
        <f t="shared" si="447"/>
        <v>1012.312</v>
      </c>
    </row>
    <row r="3640" spans="1:22" hidden="1" x14ac:dyDescent="0.35">
      <c r="A3640" s="6" t="s">
        <v>3995</v>
      </c>
      <c r="B3640" s="6" t="s">
        <v>3986</v>
      </c>
      <c r="C3640" s="6" t="s">
        <v>3987</v>
      </c>
      <c r="D3640" s="6">
        <f t="shared" si="444"/>
        <v>0.5</v>
      </c>
      <c r="E3640" s="6" t="s">
        <v>23</v>
      </c>
      <c r="F3640" s="6" t="str">
        <f>MID(A3640,19,1)</f>
        <v>C</v>
      </c>
      <c r="G3640" s="6">
        <v>-22.508748216633979</v>
      </c>
      <c r="H3640" s="6">
        <v>-47.43012640077886</v>
      </c>
      <c r="I3640" s="9">
        <v>4436.47</v>
      </c>
      <c r="J3640" s="9">
        <f>I3640/500</f>
        <v>8.8729399999999998</v>
      </c>
      <c r="K3640" s="6">
        <v>4.1399999999999997</v>
      </c>
      <c r="L3640" s="6">
        <v>80</v>
      </c>
      <c r="N3640" s="1">
        <f t="shared" si="442"/>
        <v>0</v>
      </c>
      <c r="O3640" s="6" t="s">
        <v>20</v>
      </c>
      <c r="Q3640" s="6" t="s">
        <v>21</v>
      </c>
      <c r="R3640" s="6" t="s">
        <v>21</v>
      </c>
      <c r="S3640" s="6" t="s">
        <v>21</v>
      </c>
      <c r="T3640" s="6" t="s">
        <v>21</v>
      </c>
      <c r="U3640" s="6">
        <f t="shared" si="443"/>
        <v>3549.1760000000004</v>
      </c>
      <c r="V3640" s="6">
        <f t="shared" si="447"/>
        <v>3549.1760000000004</v>
      </c>
    </row>
    <row r="3641" spans="1:22" x14ac:dyDescent="0.35">
      <c r="A3641" s="6" t="s">
        <v>3996</v>
      </c>
      <c r="B3641" s="6" t="s">
        <v>3986</v>
      </c>
      <c r="C3641" s="6" t="s">
        <v>3987</v>
      </c>
      <c r="D3641" s="6">
        <f t="shared" si="444"/>
        <v>0.5</v>
      </c>
      <c r="E3641" s="6" t="s">
        <v>19</v>
      </c>
      <c r="F3641" s="6" t="str">
        <f>MID(A3641,19,1)</f>
        <v>N</v>
      </c>
      <c r="G3641" s="6">
        <v>-22.506587164963861</v>
      </c>
      <c r="H3641" s="6">
        <v>-47.429309136957293</v>
      </c>
      <c r="I3641" s="9">
        <v>594.13</v>
      </c>
      <c r="K3641" s="6">
        <v>1.34</v>
      </c>
      <c r="L3641" s="6">
        <v>70</v>
      </c>
      <c r="N3641" s="1">
        <f t="shared" si="442"/>
        <v>0</v>
      </c>
      <c r="O3641" s="6" t="s">
        <v>20</v>
      </c>
      <c r="Q3641" s="6" t="s">
        <v>21</v>
      </c>
      <c r="R3641" s="6" t="s">
        <v>21</v>
      </c>
      <c r="S3641" s="6" t="s">
        <v>21</v>
      </c>
      <c r="T3641" s="6" t="s">
        <v>21</v>
      </c>
      <c r="U3641" s="6">
        <f t="shared" si="443"/>
        <v>415.89099999999996</v>
      </c>
      <c r="V3641" s="6">
        <f t="shared" si="447"/>
        <v>415.89099999999996</v>
      </c>
    </row>
    <row r="3642" spans="1:22" hidden="1" x14ac:dyDescent="0.35">
      <c r="A3642" s="6" t="s">
        <v>3997</v>
      </c>
      <c r="B3642" s="6" t="s">
        <v>3998</v>
      </c>
      <c r="C3642" s="6" t="s">
        <v>3999</v>
      </c>
      <c r="D3642" s="6">
        <f t="shared" si="444"/>
        <v>0.5</v>
      </c>
      <c r="E3642" s="6" t="s">
        <v>19</v>
      </c>
      <c r="F3642" s="6" t="str">
        <f>MID(A3642,19,1)</f>
        <v>S</v>
      </c>
      <c r="G3642" s="6">
        <v>-22.504224268857879</v>
      </c>
      <c r="H3642" s="6">
        <v>-47.429736333316413</v>
      </c>
      <c r="I3642" s="9">
        <v>1422.65</v>
      </c>
      <c r="K3642" s="6">
        <v>1.51</v>
      </c>
      <c r="L3642" s="6">
        <v>70</v>
      </c>
      <c r="N3642" s="1">
        <f t="shared" si="442"/>
        <v>0</v>
      </c>
      <c r="O3642" s="6" t="s">
        <v>20</v>
      </c>
      <c r="Q3642" s="6" t="s">
        <v>21</v>
      </c>
      <c r="R3642" s="6" t="s">
        <v>21</v>
      </c>
      <c r="S3642" s="6" t="s">
        <v>21</v>
      </c>
      <c r="T3642" s="6" t="s">
        <v>21</v>
      </c>
      <c r="U3642" s="6">
        <f t="shared" si="443"/>
        <v>995.85500000000002</v>
      </c>
      <c r="V3642" s="6">
        <f t="shared" si="447"/>
        <v>995.85500000000002</v>
      </c>
    </row>
    <row r="3643" spans="1:22" hidden="1" x14ac:dyDescent="0.35">
      <c r="A3643" s="6" t="s">
        <v>4000</v>
      </c>
      <c r="B3643" s="6" t="s">
        <v>3998</v>
      </c>
      <c r="C3643" s="6" t="s">
        <v>3999</v>
      </c>
      <c r="D3643" s="6">
        <f t="shared" si="444"/>
        <v>0.5</v>
      </c>
      <c r="E3643" s="6" t="s">
        <v>19</v>
      </c>
      <c r="F3643" s="6" t="str">
        <f>MID(A3643,19,1)</f>
        <v>S</v>
      </c>
      <c r="G3643" s="6">
        <v>-22.502116185280709</v>
      </c>
      <c r="H3643" s="6">
        <v>-47.429458247028613</v>
      </c>
      <c r="I3643" s="9">
        <v>263.64999999999998</v>
      </c>
      <c r="K3643" s="6">
        <v>2.16</v>
      </c>
      <c r="L3643" s="6">
        <v>70</v>
      </c>
      <c r="N3643" s="1">
        <f t="shared" si="442"/>
        <v>0</v>
      </c>
      <c r="O3643" s="6" t="s">
        <v>20</v>
      </c>
      <c r="Q3643" s="6" t="s">
        <v>21</v>
      </c>
      <c r="R3643" s="6" t="s">
        <v>21</v>
      </c>
      <c r="S3643" s="6" t="s">
        <v>21</v>
      </c>
      <c r="T3643" s="6" t="s">
        <v>21</v>
      </c>
      <c r="U3643" s="6">
        <f t="shared" si="443"/>
        <v>184.55499999999998</v>
      </c>
      <c r="V3643" s="6">
        <f t="shared" si="447"/>
        <v>184.55499999999998</v>
      </c>
    </row>
    <row r="3644" spans="1:22" hidden="1" x14ac:dyDescent="0.35">
      <c r="A3644" s="6" t="s">
        <v>4001</v>
      </c>
      <c r="B3644" s="6" t="s">
        <v>3998</v>
      </c>
      <c r="C3644" s="6" t="s">
        <v>3999</v>
      </c>
      <c r="D3644" s="6">
        <f t="shared" si="444"/>
        <v>0.5</v>
      </c>
      <c r="E3644" s="6" t="s">
        <v>19</v>
      </c>
      <c r="F3644" s="6" t="str">
        <f>MID(A3644,19,1)</f>
        <v>S</v>
      </c>
      <c r="G3644" s="6">
        <v>-22.497062465694011</v>
      </c>
      <c r="H3644" s="6">
        <v>-47.42874066155273</v>
      </c>
      <c r="I3644" s="9">
        <v>1005.45</v>
      </c>
      <c r="K3644" s="6">
        <v>3.41</v>
      </c>
      <c r="L3644" s="6">
        <v>70</v>
      </c>
      <c r="N3644" s="1">
        <f t="shared" si="442"/>
        <v>0</v>
      </c>
      <c r="O3644" s="6" t="s">
        <v>20</v>
      </c>
      <c r="Q3644" s="6" t="s">
        <v>21</v>
      </c>
      <c r="R3644" s="6" t="s">
        <v>21</v>
      </c>
      <c r="S3644" s="6" t="s">
        <v>21</v>
      </c>
      <c r="T3644" s="6" t="s">
        <v>21</v>
      </c>
      <c r="U3644" s="6">
        <f t="shared" si="443"/>
        <v>703.81499999999994</v>
      </c>
      <c r="V3644" s="6">
        <f t="shared" si="447"/>
        <v>703.81499999999994</v>
      </c>
    </row>
    <row r="3645" spans="1:22" x14ac:dyDescent="0.35">
      <c r="A3645" s="6" t="s">
        <v>4002</v>
      </c>
      <c r="B3645" s="6" t="s">
        <v>3998</v>
      </c>
      <c r="C3645" s="6" t="s">
        <v>3999</v>
      </c>
      <c r="D3645" s="6">
        <f t="shared" si="444"/>
        <v>0.5</v>
      </c>
      <c r="E3645" s="6" t="s">
        <v>19</v>
      </c>
      <c r="F3645" s="6" t="str">
        <f>MID(A3645,19,1)</f>
        <v>N</v>
      </c>
      <c r="G3645" s="6">
        <v>-22.49931589932816</v>
      </c>
      <c r="H3645" s="6">
        <v>-47.428663656661058</v>
      </c>
      <c r="I3645" s="9">
        <v>2086.39</v>
      </c>
      <c r="K3645" s="6">
        <v>3.13</v>
      </c>
      <c r="L3645" s="6">
        <v>70</v>
      </c>
      <c r="N3645" s="1">
        <f t="shared" si="442"/>
        <v>0</v>
      </c>
      <c r="O3645" s="6" t="s">
        <v>20</v>
      </c>
      <c r="Q3645" s="6" t="s">
        <v>21</v>
      </c>
      <c r="R3645" s="6" t="s">
        <v>21</v>
      </c>
      <c r="S3645" s="6" t="s">
        <v>21</v>
      </c>
      <c r="T3645" s="6" t="s">
        <v>21</v>
      </c>
      <c r="U3645" s="6">
        <f t="shared" si="443"/>
        <v>1460.4729999999997</v>
      </c>
      <c r="V3645" s="6">
        <f t="shared" si="447"/>
        <v>1460.4729999999997</v>
      </c>
    </row>
    <row r="3646" spans="1:22" hidden="1" x14ac:dyDescent="0.35">
      <c r="A3646" s="6" t="s">
        <v>4003</v>
      </c>
      <c r="B3646" s="6" t="s">
        <v>3998</v>
      </c>
      <c r="C3646" s="6" t="s">
        <v>3999</v>
      </c>
      <c r="D3646" s="6">
        <f t="shared" si="444"/>
        <v>0.5</v>
      </c>
      <c r="E3646" s="6" t="s">
        <v>23</v>
      </c>
      <c r="F3646" s="6" t="str">
        <f>MID(A3646,19,1)</f>
        <v>C</v>
      </c>
      <c r="G3646" s="6">
        <v>-22.499263522836941</v>
      </c>
      <c r="H3646" s="6">
        <v>-47.428850980367969</v>
      </c>
      <c r="I3646" s="9">
        <v>6578.71</v>
      </c>
      <c r="J3646" s="9">
        <f t="shared" ref="J3646:J3647" si="448">I3646/500</f>
        <v>13.15742</v>
      </c>
      <c r="K3646" s="6">
        <v>2.74</v>
      </c>
      <c r="L3646" s="6">
        <v>80</v>
      </c>
      <c r="N3646" s="1">
        <f t="shared" si="442"/>
        <v>0</v>
      </c>
      <c r="O3646" s="6" t="s">
        <v>20</v>
      </c>
      <c r="Q3646" s="6" t="s">
        <v>21</v>
      </c>
      <c r="R3646" s="6" t="s">
        <v>21</v>
      </c>
      <c r="S3646" s="6" t="s">
        <v>21</v>
      </c>
      <c r="T3646" s="6" t="s">
        <v>21</v>
      </c>
      <c r="U3646" s="6">
        <f t="shared" si="443"/>
        <v>5262.9680000000008</v>
      </c>
      <c r="V3646" s="6">
        <f t="shared" si="447"/>
        <v>5262.9680000000008</v>
      </c>
    </row>
    <row r="3647" spans="1:22" hidden="1" x14ac:dyDescent="0.35">
      <c r="A3647" s="6" t="s">
        <v>4004</v>
      </c>
      <c r="B3647" s="6" t="s">
        <v>3998</v>
      </c>
      <c r="C3647" s="6" t="s">
        <v>3999</v>
      </c>
      <c r="D3647" s="6">
        <f t="shared" si="444"/>
        <v>0.5</v>
      </c>
      <c r="E3647" s="6" t="s">
        <v>23</v>
      </c>
      <c r="F3647" s="6" t="str">
        <f>MID(A3647,19,1)</f>
        <v>C</v>
      </c>
      <c r="G3647" s="6">
        <v>-22.504186469060489</v>
      </c>
      <c r="H3647" s="6">
        <v>-47.429516639727296</v>
      </c>
      <c r="I3647" s="9">
        <v>4378.5</v>
      </c>
      <c r="J3647" s="9">
        <f t="shared" si="448"/>
        <v>8.7569999999999997</v>
      </c>
      <c r="K3647" s="6">
        <v>1.71</v>
      </c>
      <c r="L3647" s="6">
        <v>80</v>
      </c>
      <c r="N3647" s="1">
        <f t="shared" si="442"/>
        <v>0</v>
      </c>
      <c r="O3647" s="6" t="s">
        <v>20</v>
      </c>
      <c r="Q3647" s="6" t="s">
        <v>21</v>
      </c>
      <c r="R3647" s="6" t="s">
        <v>21</v>
      </c>
      <c r="S3647" s="6" t="s">
        <v>21</v>
      </c>
      <c r="T3647" s="6" t="s">
        <v>21</v>
      </c>
      <c r="U3647" s="6">
        <f t="shared" si="443"/>
        <v>3502.8</v>
      </c>
      <c r="V3647" s="6">
        <f t="shared" si="447"/>
        <v>3502.8</v>
      </c>
    </row>
    <row r="3648" spans="1:22" hidden="1" x14ac:dyDescent="0.35">
      <c r="A3648" s="6" t="s">
        <v>4005</v>
      </c>
      <c r="B3648" s="6" t="s">
        <v>3998</v>
      </c>
      <c r="C3648" s="6" t="s">
        <v>3999</v>
      </c>
      <c r="D3648" s="6">
        <f t="shared" si="444"/>
        <v>0.5</v>
      </c>
      <c r="E3648" s="6" t="s">
        <v>19</v>
      </c>
      <c r="F3648" s="6" t="str">
        <f>MID(A3648,19,1)</f>
        <v>S</v>
      </c>
      <c r="G3648" s="6">
        <v>-22.499242829617369</v>
      </c>
      <c r="H3648" s="6">
        <v>-47.429094462844091</v>
      </c>
      <c r="I3648" s="9">
        <v>2108.9699999999998</v>
      </c>
      <c r="K3648" s="6">
        <v>2.2599999999999998</v>
      </c>
      <c r="L3648" s="6">
        <v>70</v>
      </c>
      <c r="N3648" s="1">
        <f t="shared" si="442"/>
        <v>0</v>
      </c>
      <c r="O3648" s="6" t="s">
        <v>20</v>
      </c>
      <c r="Q3648" s="6" t="s">
        <v>21</v>
      </c>
      <c r="R3648" s="6" t="s">
        <v>21</v>
      </c>
      <c r="S3648" s="6" t="s">
        <v>21</v>
      </c>
      <c r="T3648" s="6" t="s">
        <v>21</v>
      </c>
      <c r="U3648" s="6">
        <f t="shared" si="443"/>
        <v>1476.2789999999998</v>
      </c>
      <c r="V3648" s="6">
        <f t="shared" si="447"/>
        <v>1476.2789999999998</v>
      </c>
    </row>
    <row r="3649" spans="1:22" x14ac:dyDescent="0.35">
      <c r="A3649" s="6" t="s">
        <v>4006</v>
      </c>
      <c r="B3649" s="6" t="s">
        <v>3998</v>
      </c>
      <c r="C3649" s="6" t="s">
        <v>3999</v>
      </c>
      <c r="D3649" s="6">
        <f t="shared" si="444"/>
        <v>0.5</v>
      </c>
      <c r="E3649" s="6" t="s">
        <v>19</v>
      </c>
      <c r="F3649" s="6" t="str">
        <f>MID(A3649,19,1)</f>
        <v>N</v>
      </c>
      <c r="G3649" s="6">
        <v>-22.502143009372421</v>
      </c>
      <c r="H3649" s="6">
        <v>-47.429073888111283</v>
      </c>
      <c r="I3649" s="9">
        <v>254.83</v>
      </c>
      <c r="K3649" s="6">
        <v>3.49</v>
      </c>
      <c r="L3649" s="6">
        <v>70</v>
      </c>
      <c r="N3649" s="1">
        <f t="shared" si="442"/>
        <v>0</v>
      </c>
      <c r="O3649" s="6" t="s">
        <v>20</v>
      </c>
      <c r="Q3649" s="6" t="s">
        <v>21</v>
      </c>
      <c r="R3649" s="6" t="s">
        <v>21</v>
      </c>
      <c r="S3649" s="6" t="s">
        <v>21</v>
      </c>
      <c r="T3649" s="6" t="s">
        <v>21</v>
      </c>
      <c r="U3649" s="6">
        <f t="shared" si="443"/>
        <v>178.381</v>
      </c>
      <c r="V3649" s="6">
        <f t="shared" si="447"/>
        <v>178.381</v>
      </c>
    </row>
    <row r="3650" spans="1:22" hidden="1" x14ac:dyDescent="0.35">
      <c r="A3650" s="6" t="s">
        <v>4007</v>
      </c>
      <c r="B3650" s="6" t="s">
        <v>3998</v>
      </c>
      <c r="C3650" s="6" t="s">
        <v>3999</v>
      </c>
      <c r="D3650" s="6">
        <f t="shared" si="444"/>
        <v>0.5</v>
      </c>
      <c r="E3650" s="6" t="s">
        <v>19</v>
      </c>
      <c r="F3650" s="6" t="str">
        <f>MID(A3650,19,1)</f>
        <v>S</v>
      </c>
      <c r="G3650" s="6">
        <v>-22.505799656961219</v>
      </c>
      <c r="H3650" s="6">
        <v>-47.43004208931054</v>
      </c>
      <c r="I3650" s="9">
        <v>30.72</v>
      </c>
      <c r="K3650" s="6">
        <v>1.77</v>
      </c>
      <c r="N3650" s="1">
        <f t="shared" ref="N3650:N3683" si="449">IF(OR(R3650="Sim",S3650="Sim",T3650="Sim"),(L3650/100)*I3650,0)</f>
        <v>0</v>
      </c>
      <c r="Q3650" s="6" t="s">
        <v>21</v>
      </c>
      <c r="R3650" s="6" t="s">
        <v>21</v>
      </c>
      <c r="S3650" s="6" t="s">
        <v>21</v>
      </c>
      <c r="T3650" s="6" t="s">
        <v>21</v>
      </c>
      <c r="U3650" s="6">
        <f t="shared" si="443"/>
        <v>0</v>
      </c>
      <c r="V3650" s="6">
        <f t="shared" si="447"/>
        <v>0</v>
      </c>
    </row>
    <row r="3651" spans="1:22" hidden="1" x14ac:dyDescent="0.35">
      <c r="A3651" s="6" t="s">
        <v>4008</v>
      </c>
      <c r="B3651" s="6" t="s">
        <v>3998</v>
      </c>
      <c r="C3651" s="6" t="s">
        <v>3999</v>
      </c>
      <c r="D3651" s="6">
        <f t="shared" si="444"/>
        <v>0.5</v>
      </c>
      <c r="E3651" s="6" t="s">
        <v>23</v>
      </c>
      <c r="F3651" s="6" t="str">
        <f>MID(A3651,19,1)</f>
        <v>C</v>
      </c>
      <c r="G3651" s="6">
        <v>-22.504259299646719</v>
      </c>
      <c r="H3651" s="6">
        <v>-47.429325211096597</v>
      </c>
      <c r="I3651" s="9">
        <v>1416.57</v>
      </c>
      <c r="J3651" s="9">
        <f t="shared" ref="J3651:J3652" si="450">I3651/500</f>
        <v>2.8331399999999998</v>
      </c>
      <c r="K3651" s="6">
        <v>1.87</v>
      </c>
      <c r="L3651" s="6">
        <v>70</v>
      </c>
      <c r="N3651" s="1">
        <f t="shared" si="449"/>
        <v>0</v>
      </c>
      <c r="O3651" s="6" t="s">
        <v>20</v>
      </c>
      <c r="Q3651" s="6" t="s">
        <v>21</v>
      </c>
      <c r="R3651" s="6" t="s">
        <v>21</v>
      </c>
      <c r="S3651" s="6" t="s">
        <v>21</v>
      </c>
      <c r="T3651" s="6" t="s">
        <v>21</v>
      </c>
      <c r="U3651" s="6">
        <f t="shared" ref="U3651:U3683" si="451">IF(N3651=0,(I3651*(L3651/100)),0)</f>
        <v>991.59899999999993</v>
      </c>
      <c r="V3651" s="6">
        <f t="shared" si="447"/>
        <v>991.59899999999993</v>
      </c>
    </row>
    <row r="3652" spans="1:22" hidden="1" x14ac:dyDescent="0.35">
      <c r="A3652" s="6" t="s">
        <v>4009</v>
      </c>
      <c r="B3652" s="6" t="s">
        <v>3998</v>
      </c>
      <c r="C3652" s="6" t="s">
        <v>3999</v>
      </c>
      <c r="D3652" s="6">
        <f t="shared" si="444"/>
        <v>0.5</v>
      </c>
      <c r="E3652" s="6" t="s">
        <v>23</v>
      </c>
      <c r="F3652" s="6" t="str">
        <f>MID(A3652,19,1)</f>
        <v>C</v>
      </c>
      <c r="G3652" s="6">
        <v>-22.502125049349122</v>
      </c>
      <c r="H3652" s="6">
        <v>-47.429237658446901</v>
      </c>
      <c r="I3652" s="9">
        <v>768.04</v>
      </c>
      <c r="J3652" s="9">
        <f t="shared" si="450"/>
        <v>1.5360799999999999</v>
      </c>
      <c r="K3652" s="6">
        <v>2.4300000000000002</v>
      </c>
      <c r="L3652" s="6">
        <v>80</v>
      </c>
      <c r="N3652" s="1">
        <f t="shared" si="449"/>
        <v>0</v>
      </c>
      <c r="O3652" s="6" t="s">
        <v>20</v>
      </c>
      <c r="Q3652" s="6" t="s">
        <v>21</v>
      </c>
      <c r="R3652" s="6" t="s">
        <v>21</v>
      </c>
      <c r="S3652" s="6" t="s">
        <v>21</v>
      </c>
      <c r="T3652" s="6" t="s">
        <v>21</v>
      </c>
      <c r="U3652" s="6">
        <f t="shared" si="451"/>
        <v>614.43200000000002</v>
      </c>
      <c r="V3652" s="6">
        <f t="shared" si="447"/>
        <v>614.43200000000002</v>
      </c>
    </row>
    <row r="3653" spans="1:22" x14ac:dyDescent="0.35">
      <c r="A3653" s="6" t="s">
        <v>4010</v>
      </c>
      <c r="B3653" s="6" t="s">
        <v>3998</v>
      </c>
      <c r="C3653" s="6" t="s">
        <v>3999</v>
      </c>
      <c r="D3653" s="6">
        <f t="shared" si="444"/>
        <v>0.5</v>
      </c>
      <c r="E3653" s="6" t="s">
        <v>19</v>
      </c>
      <c r="F3653" s="6" t="str">
        <f>MID(A3653,19,1)</f>
        <v>N</v>
      </c>
      <c r="G3653" s="6">
        <v>-22.505863211739609</v>
      </c>
      <c r="H3653" s="6">
        <v>-47.429431979740308</v>
      </c>
      <c r="I3653" s="9">
        <v>20.03</v>
      </c>
      <c r="K3653" s="6">
        <v>0.98</v>
      </c>
      <c r="N3653" s="1">
        <f t="shared" si="449"/>
        <v>0</v>
      </c>
      <c r="Q3653" s="6" t="s">
        <v>21</v>
      </c>
      <c r="R3653" s="6" t="s">
        <v>21</v>
      </c>
      <c r="S3653" s="6" t="s">
        <v>21</v>
      </c>
      <c r="T3653" s="6" t="s">
        <v>21</v>
      </c>
      <c r="U3653" s="6">
        <f t="shared" si="451"/>
        <v>0</v>
      </c>
      <c r="V3653" s="6">
        <f t="shared" si="447"/>
        <v>0</v>
      </c>
    </row>
    <row r="3654" spans="1:22" hidden="1" x14ac:dyDescent="0.35">
      <c r="A3654" s="6" t="s">
        <v>4011</v>
      </c>
      <c r="B3654" s="6" t="s">
        <v>4012</v>
      </c>
      <c r="C3654" s="6" t="s">
        <v>4013</v>
      </c>
      <c r="D3654" s="6">
        <f t="shared" si="444"/>
        <v>0.5</v>
      </c>
      <c r="E3654" s="6" t="s">
        <v>23</v>
      </c>
      <c r="F3654" s="6" t="str">
        <f>MID(A3654,19,1)</f>
        <v>C</v>
      </c>
      <c r="G3654" s="6">
        <v>-22.49330053065669</v>
      </c>
      <c r="H3654" s="6">
        <v>-47.424967489259281</v>
      </c>
      <c r="I3654" s="9">
        <v>53498.05</v>
      </c>
      <c r="J3654" s="9">
        <f t="shared" ref="J3654:J3655" si="452">I3654/500</f>
        <v>106.99610000000001</v>
      </c>
      <c r="K3654" s="6">
        <v>1.52</v>
      </c>
      <c r="L3654" s="6">
        <v>70</v>
      </c>
      <c r="N3654" s="1">
        <f t="shared" si="449"/>
        <v>0</v>
      </c>
      <c r="O3654" s="6" t="s">
        <v>20</v>
      </c>
      <c r="Q3654" s="6" t="s">
        <v>21</v>
      </c>
      <c r="R3654" s="6" t="s">
        <v>21</v>
      </c>
      <c r="S3654" s="6" t="s">
        <v>21</v>
      </c>
      <c r="T3654" s="6" t="s">
        <v>21</v>
      </c>
      <c r="U3654" s="6">
        <f t="shared" si="451"/>
        <v>37448.635000000002</v>
      </c>
      <c r="V3654" s="6">
        <f t="shared" si="447"/>
        <v>37448.635000000002</v>
      </c>
    </row>
    <row r="3655" spans="1:22" hidden="1" x14ac:dyDescent="0.35">
      <c r="A3655" s="6" t="s">
        <v>4014</v>
      </c>
      <c r="B3655" s="6" t="s">
        <v>4012</v>
      </c>
      <c r="C3655" s="6" t="s">
        <v>4013</v>
      </c>
      <c r="D3655" s="6">
        <f t="shared" si="444"/>
        <v>0.5</v>
      </c>
      <c r="E3655" s="6" t="s">
        <v>23</v>
      </c>
      <c r="F3655" s="6" t="str">
        <f>MID(A3655,19,1)</f>
        <v>C</v>
      </c>
      <c r="G3655" s="6">
        <v>-22.49213376941962</v>
      </c>
      <c r="H3655" s="6">
        <v>-47.424290926997116</v>
      </c>
      <c r="I3655" s="9">
        <v>3621.43</v>
      </c>
      <c r="J3655" s="9">
        <f t="shared" si="452"/>
        <v>7.2428599999999994</v>
      </c>
      <c r="K3655" s="6">
        <v>1.6</v>
      </c>
      <c r="L3655" s="6">
        <v>70</v>
      </c>
      <c r="N3655" s="1">
        <f t="shared" si="449"/>
        <v>0</v>
      </c>
      <c r="O3655" s="6" t="s">
        <v>20</v>
      </c>
      <c r="Q3655" s="6" t="s">
        <v>21</v>
      </c>
      <c r="R3655" s="6" t="s">
        <v>21</v>
      </c>
      <c r="S3655" s="6" t="s">
        <v>21</v>
      </c>
      <c r="T3655" s="6" t="s">
        <v>21</v>
      </c>
      <c r="U3655" s="6">
        <f t="shared" si="451"/>
        <v>2535.0009999999997</v>
      </c>
      <c r="V3655" s="6">
        <f t="shared" si="447"/>
        <v>2535.0009999999997</v>
      </c>
    </row>
    <row r="3656" spans="1:22" hidden="1" x14ac:dyDescent="0.35">
      <c r="A3656" s="6" t="s">
        <v>4015</v>
      </c>
      <c r="B3656" s="6" t="s">
        <v>4012</v>
      </c>
      <c r="C3656" s="6" t="s">
        <v>4013</v>
      </c>
      <c r="D3656" s="6">
        <f t="shared" si="444"/>
        <v>0.5</v>
      </c>
      <c r="E3656" s="6" t="s">
        <v>19</v>
      </c>
      <c r="F3656" s="6" t="str">
        <f>MID(A3656,19,1)</f>
        <v>S</v>
      </c>
      <c r="G3656" s="6">
        <v>-22.49495940191736</v>
      </c>
      <c r="H3656" s="6">
        <v>-47.429528560144959</v>
      </c>
      <c r="I3656" s="9">
        <v>1611.1</v>
      </c>
      <c r="K3656" s="6">
        <v>2.5</v>
      </c>
      <c r="L3656" s="6">
        <v>70</v>
      </c>
      <c r="N3656" s="1">
        <f t="shared" si="449"/>
        <v>0</v>
      </c>
      <c r="O3656" s="6" t="s">
        <v>20</v>
      </c>
      <c r="Q3656" s="6" t="s">
        <v>21</v>
      </c>
      <c r="R3656" s="6" t="s">
        <v>21</v>
      </c>
      <c r="S3656" s="6" t="s">
        <v>21</v>
      </c>
      <c r="T3656" s="6" t="s">
        <v>21</v>
      </c>
      <c r="U3656" s="6">
        <f t="shared" si="451"/>
        <v>1127.7699999999998</v>
      </c>
      <c r="V3656" s="6">
        <f t="shared" si="447"/>
        <v>1127.7699999999998</v>
      </c>
    </row>
    <row r="3657" spans="1:22" hidden="1" x14ac:dyDescent="0.35">
      <c r="A3657" s="6" t="s">
        <v>4016</v>
      </c>
      <c r="B3657" s="6" t="s">
        <v>4012</v>
      </c>
      <c r="C3657" s="6" t="s">
        <v>4013</v>
      </c>
      <c r="D3657" s="6">
        <f t="shared" si="444"/>
        <v>0.5</v>
      </c>
      <c r="E3657" s="6" t="s">
        <v>19</v>
      </c>
      <c r="F3657" s="6" t="str">
        <f>MID(A3657,19,1)</f>
        <v>S</v>
      </c>
      <c r="G3657" s="6">
        <v>-22.491162821593509</v>
      </c>
      <c r="H3657" s="6">
        <v>-47.425002372625009</v>
      </c>
      <c r="I3657" s="9">
        <v>2073.34</v>
      </c>
      <c r="K3657" s="6">
        <v>1.9</v>
      </c>
      <c r="L3657" s="6">
        <v>70</v>
      </c>
      <c r="N3657" s="1">
        <f t="shared" si="449"/>
        <v>0</v>
      </c>
      <c r="O3657" s="6" t="s">
        <v>20</v>
      </c>
      <c r="Q3657" s="6" t="s">
        <v>21</v>
      </c>
      <c r="R3657" s="6" t="s">
        <v>21</v>
      </c>
      <c r="S3657" s="6" t="s">
        <v>21</v>
      </c>
      <c r="T3657" s="6" t="s">
        <v>21</v>
      </c>
      <c r="U3657" s="6">
        <f t="shared" si="451"/>
        <v>1451.338</v>
      </c>
      <c r="V3657" s="6">
        <f t="shared" si="447"/>
        <v>1451.338</v>
      </c>
    </row>
    <row r="3658" spans="1:22" hidden="1" x14ac:dyDescent="0.35">
      <c r="A3658" s="6" t="s">
        <v>4017</v>
      </c>
      <c r="B3658" s="6" t="s">
        <v>4012</v>
      </c>
      <c r="C3658" s="6" t="s">
        <v>4013</v>
      </c>
      <c r="D3658" s="6">
        <f t="shared" si="444"/>
        <v>0.5</v>
      </c>
      <c r="E3658" s="6" t="s">
        <v>19</v>
      </c>
      <c r="F3658" s="6" t="str">
        <f>MID(A3658,19,1)</f>
        <v>S</v>
      </c>
      <c r="G3658" s="6">
        <v>-22.493392983351889</v>
      </c>
      <c r="H3658" s="6">
        <v>-47.427101929984367</v>
      </c>
      <c r="I3658" s="9">
        <v>365.18</v>
      </c>
      <c r="K3658" s="6">
        <v>2.84</v>
      </c>
      <c r="L3658" s="6">
        <v>70</v>
      </c>
      <c r="N3658" s="1">
        <f t="shared" si="449"/>
        <v>0</v>
      </c>
      <c r="O3658" s="6" t="s">
        <v>20</v>
      </c>
      <c r="Q3658" s="6" t="s">
        <v>21</v>
      </c>
      <c r="R3658" s="6" t="s">
        <v>21</v>
      </c>
      <c r="S3658" s="6" t="s">
        <v>21</v>
      </c>
      <c r="T3658" s="6" t="s">
        <v>21</v>
      </c>
      <c r="U3658" s="6">
        <f t="shared" si="451"/>
        <v>255.62599999999998</v>
      </c>
      <c r="V3658" s="6">
        <f t="shared" si="447"/>
        <v>255.62599999999998</v>
      </c>
    </row>
    <row r="3659" spans="1:22" hidden="1" x14ac:dyDescent="0.35">
      <c r="A3659" s="6" t="s">
        <v>4018</v>
      </c>
      <c r="B3659" s="6" t="s">
        <v>4012</v>
      </c>
      <c r="C3659" s="6" t="s">
        <v>4013</v>
      </c>
      <c r="D3659" s="6">
        <f t="shared" si="444"/>
        <v>0.5</v>
      </c>
      <c r="E3659" s="6" t="s">
        <v>23</v>
      </c>
      <c r="F3659" s="6" t="str">
        <f>MID(A3659,19,1)</f>
        <v>C</v>
      </c>
      <c r="G3659" s="6">
        <v>-22.494929108006041</v>
      </c>
      <c r="H3659" s="6">
        <v>-47.428775449044771</v>
      </c>
      <c r="I3659" s="9">
        <v>28281.29</v>
      </c>
      <c r="J3659" s="9">
        <f t="shared" ref="J3659:J3663" si="453">I3659/500</f>
        <v>56.562580000000004</v>
      </c>
      <c r="K3659" s="6">
        <v>3.05</v>
      </c>
      <c r="L3659" s="6">
        <v>70</v>
      </c>
      <c r="N3659" s="1">
        <f t="shared" si="449"/>
        <v>0</v>
      </c>
      <c r="O3659" s="6" t="s">
        <v>20</v>
      </c>
      <c r="Q3659" s="6" t="s">
        <v>21</v>
      </c>
      <c r="R3659" s="6" t="s">
        <v>21</v>
      </c>
      <c r="S3659" s="6" t="s">
        <v>21</v>
      </c>
      <c r="T3659" s="6" t="s">
        <v>21</v>
      </c>
      <c r="U3659" s="6">
        <f t="shared" si="451"/>
        <v>19796.902999999998</v>
      </c>
      <c r="V3659" s="6">
        <f t="shared" si="447"/>
        <v>19796.902999999998</v>
      </c>
    </row>
    <row r="3660" spans="1:22" hidden="1" x14ac:dyDescent="0.35">
      <c r="A3660" s="6" t="s">
        <v>4019</v>
      </c>
      <c r="B3660" s="6" t="s">
        <v>4012</v>
      </c>
      <c r="C3660" s="6" t="s">
        <v>4013</v>
      </c>
      <c r="D3660" s="6">
        <f t="shared" si="444"/>
        <v>0.5</v>
      </c>
      <c r="E3660" s="6" t="s">
        <v>23</v>
      </c>
      <c r="F3660" s="6" t="str">
        <f>MID(A3660,19,1)</f>
        <v>C</v>
      </c>
      <c r="G3660" s="6">
        <v>-22.495629825008901</v>
      </c>
      <c r="H3660" s="6">
        <v>-47.42804601039434</v>
      </c>
      <c r="I3660" s="9">
        <v>3163.57</v>
      </c>
      <c r="J3660" s="9">
        <f t="shared" si="453"/>
        <v>6.32714</v>
      </c>
      <c r="K3660" s="6">
        <v>3.61</v>
      </c>
      <c r="L3660" s="6">
        <v>80</v>
      </c>
      <c r="N3660" s="1">
        <f t="shared" si="449"/>
        <v>0</v>
      </c>
      <c r="O3660" s="6" t="s">
        <v>20</v>
      </c>
      <c r="Q3660" s="6" t="s">
        <v>21</v>
      </c>
      <c r="R3660" s="6" t="s">
        <v>21</v>
      </c>
      <c r="S3660" s="6" t="s">
        <v>21</v>
      </c>
      <c r="T3660" s="6" t="s">
        <v>21</v>
      </c>
      <c r="U3660" s="6">
        <f t="shared" si="451"/>
        <v>2530.8560000000002</v>
      </c>
      <c r="V3660" s="6">
        <f t="shared" si="447"/>
        <v>2530.8560000000002</v>
      </c>
    </row>
    <row r="3661" spans="1:22" hidden="1" x14ac:dyDescent="0.35">
      <c r="A3661" s="6" t="s">
        <v>4020</v>
      </c>
      <c r="B3661" s="6" t="s">
        <v>4012</v>
      </c>
      <c r="C3661" s="6" t="s">
        <v>4013</v>
      </c>
      <c r="D3661" s="6">
        <f t="shared" si="444"/>
        <v>0.5</v>
      </c>
      <c r="E3661" s="6" t="s">
        <v>23</v>
      </c>
      <c r="F3661" s="6" t="str">
        <f>MID(A3661,19,1)</f>
        <v>C</v>
      </c>
      <c r="G3661" s="6">
        <v>-22.4934692546496</v>
      </c>
      <c r="H3661" s="6">
        <v>-47.426940622199162</v>
      </c>
      <c r="I3661" s="9">
        <v>1028.5899999999999</v>
      </c>
      <c r="J3661" s="9">
        <f t="shared" si="453"/>
        <v>2.0571799999999998</v>
      </c>
      <c r="K3661" s="6">
        <v>2.16</v>
      </c>
      <c r="L3661" s="6">
        <v>80</v>
      </c>
      <c r="N3661" s="1">
        <f t="shared" si="449"/>
        <v>0</v>
      </c>
      <c r="O3661" s="6" t="s">
        <v>20</v>
      </c>
      <c r="Q3661" s="6" t="s">
        <v>21</v>
      </c>
      <c r="R3661" s="6" t="s">
        <v>21</v>
      </c>
      <c r="S3661" s="6" t="s">
        <v>21</v>
      </c>
      <c r="T3661" s="6" t="s">
        <v>21</v>
      </c>
      <c r="U3661" s="6">
        <f t="shared" si="451"/>
        <v>822.87199999999996</v>
      </c>
      <c r="V3661" s="6">
        <f t="shared" si="447"/>
        <v>822.87199999999996</v>
      </c>
    </row>
    <row r="3662" spans="1:22" hidden="1" x14ac:dyDescent="0.35">
      <c r="A3662" s="6" t="s">
        <v>4021</v>
      </c>
      <c r="B3662" s="6" t="s">
        <v>4012</v>
      </c>
      <c r="C3662" s="6" t="s">
        <v>4013</v>
      </c>
      <c r="D3662" s="6">
        <f t="shared" ref="D3662:D3683" si="454">C3662-B3662</f>
        <v>0.5</v>
      </c>
      <c r="E3662" s="6" t="s">
        <v>23</v>
      </c>
      <c r="F3662" s="6" t="str">
        <f>MID(A3662,19,1)</f>
        <v>C</v>
      </c>
      <c r="G3662" s="6">
        <v>-22.493832574665479</v>
      </c>
      <c r="H3662" s="6">
        <v>-47.426315824767499</v>
      </c>
      <c r="I3662" s="9">
        <v>6491.15</v>
      </c>
      <c r="J3662" s="9">
        <f t="shared" si="453"/>
        <v>12.982299999999999</v>
      </c>
      <c r="K3662" s="6">
        <v>1.34</v>
      </c>
      <c r="L3662" s="6">
        <v>70</v>
      </c>
      <c r="N3662" s="1">
        <f t="shared" si="449"/>
        <v>0</v>
      </c>
      <c r="O3662" s="6" t="s">
        <v>20</v>
      </c>
      <c r="Q3662" s="6" t="s">
        <v>21</v>
      </c>
      <c r="R3662" s="6" t="s">
        <v>21</v>
      </c>
      <c r="S3662" s="6" t="s">
        <v>21</v>
      </c>
      <c r="T3662" s="6" t="s">
        <v>21</v>
      </c>
      <c r="U3662" s="6">
        <f t="shared" si="451"/>
        <v>4543.8049999999994</v>
      </c>
      <c r="V3662" s="6">
        <f t="shared" si="447"/>
        <v>4543.8049999999994</v>
      </c>
    </row>
    <row r="3663" spans="1:22" hidden="1" x14ac:dyDescent="0.35">
      <c r="A3663" s="6" t="s">
        <v>4022</v>
      </c>
      <c r="B3663" s="6" t="s">
        <v>4012</v>
      </c>
      <c r="C3663" s="6" t="s">
        <v>4013</v>
      </c>
      <c r="D3663" s="6">
        <f t="shared" si="454"/>
        <v>0.5</v>
      </c>
      <c r="E3663" s="6" t="s">
        <v>23</v>
      </c>
      <c r="F3663" s="6" t="str">
        <f>MID(A3663,19,1)</f>
        <v>C</v>
      </c>
      <c r="G3663" s="6">
        <v>-22.491346174053731</v>
      </c>
      <c r="H3663" s="6">
        <v>-47.424945551538833</v>
      </c>
      <c r="I3663" s="9">
        <v>6262.28</v>
      </c>
      <c r="J3663" s="9">
        <f t="shared" si="453"/>
        <v>12.524559999999999</v>
      </c>
      <c r="K3663" s="6">
        <v>1.7</v>
      </c>
      <c r="L3663" s="6">
        <v>80</v>
      </c>
      <c r="N3663" s="1">
        <f t="shared" si="449"/>
        <v>0</v>
      </c>
      <c r="O3663" s="6" t="s">
        <v>20</v>
      </c>
      <c r="Q3663" s="6" t="s">
        <v>21</v>
      </c>
      <c r="R3663" s="6" t="s">
        <v>21</v>
      </c>
      <c r="S3663" s="6" t="s">
        <v>21</v>
      </c>
      <c r="T3663" s="6" t="s">
        <v>21</v>
      </c>
      <c r="U3663" s="6">
        <f t="shared" si="451"/>
        <v>5009.8240000000005</v>
      </c>
      <c r="V3663" s="6">
        <f t="shared" si="447"/>
        <v>5009.8240000000005</v>
      </c>
    </row>
    <row r="3664" spans="1:22" x14ac:dyDescent="0.35">
      <c r="A3664" s="6" t="s">
        <v>4023</v>
      </c>
      <c r="B3664" s="6" t="s">
        <v>4012</v>
      </c>
      <c r="C3664" s="6" t="s">
        <v>4013</v>
      </c>
      <c r="D3664" s="6">
        <f t="shared" si="454"/>
        <v>0.5</v>
      </c>
      <c r="E3664" s="6" t="s">
        <v>19</v>
      </c>
      <c r="F3664" s="6" t="str">
        <f>MID(A3664,19,1)</f>
        <v>N</v>
      </c>
      <c r="G3664" s="6">
        <v>-22.495673172028241</v>
      </c>
      <c r="H3664" s="6">
        <v>-47.427828320908581</v>
      </c>
      <c r="I3664" s="9">
        <v>975.28</v>
      </c>
      <c r="K3664" s="6">
        <v>4.17</v>
      </c>
      <c r="L3664" s="6">
        <v>70</v>
      </c>
      <c r="N3664" s="1">
        <f t="shared" si="449"/>
        <v>0</v>
      </c>
      <c r="O3664" s="6" t="s">
        <v>20</v>
      </c>
      <c r="Q3664" s="6" t="s">
        <v>21</v>
      </c>
      <c r="R3664" s="6" t="s">
        <v>21</v>
      </c>
      <c r="S3664" s="6" t="s">
        <v>21</v>
      </c>
      <c r="T3664" s="6" t="s">
        <v>21</v>
      </c>
      <c r="U3664" s="6">
        <f t="shared" si="451"/>
        <v>682.69599999999991</v>
      </c>
      <c r="V3664" s="6">
        <f t="shared" si="447"/>
        <v>682.69599999999991</v>
      </c>
    </row>
    <row r="3665" spans="1:22" hidden="1" x14ac:dyDescent="0.35">
      <c r="A3665" s="6" t="s">
        <v>4024</v>
      </c>
      <c r="B3665" s="6" t="s">
        <v>4025</v>
      </c>
      <c r="C3665" s="6" t="s">
        <v>4026</v>
      </c>
      <c r="D3665" s="6">
        <f t="shared" si="454"/>
        <v>0.5</v>
      </c>
      <c r="E3665" s="6" t="s">
        <v>19</v>
      </c>
      <c r="F3665" s="6" t="str">
        <f>MID(A3665,19,1)</f>
        <v>S</v>
      </c>
      <c r="G3665" s="6">
        <v>-22.48759430452127</v>
      </c>
      <c r="H3665" s="6">
        <v>-47.416354482477679</v>
      </c>
      <c r="I3665" s="9">
        <v>1839.22</v>
      </c>
      <c r="K3665" s="6">
        <v>2.4700000000000002</v>
      </c>
      <c r="L3665" s="6">
        <v>70</v>
      </c>
      <c r="N3665" s="1">
        <f t="shared" si="449"/>
        <v>0</v>
      </c>
      <c r="O3665" s="6" t="s">
        <v>20</v>
      </c>
      <c r="Q3665" s="6" t="s">
        <v>21</v>
      </c>
      <c r="R3665" s="6" t="s">
        <v>21</v>
      </c>
      <c r="S3665" s="6" t="s">
        <v>21</v>
      </c>
      <c r="T3665" s="6" t="s">
        <v>21</v>
      </c>
      <c r="U3665" s="6">
        <f t="shared" si="451"/>
        <v>1287.454</v>
      </c>
      <c r="V3665" s="6">
        <f t="shared" si="447"/>
        <v>1287.454</v>
      </c>
    </row>
    <row r="3666" spans="1:22" x14ac:dyDescent="0.35">
      <c r="A3666" s="6" t="s">
        <v>4027</v>
      </c>
      <c r="B3666" s="6" t="s">
        <v>4025</v>
      </c>
      <c r="C3666" s="6" t="s">
        <v>4026</v>
      </c>
      <c r="D3666" s="6">
        <f t="shared" si="454"/>
        <v>0.5</v>
      </c>
      <c r="E3666" s="6" t="s">
        <v>19</v>
      </c>
      <c r="F3666" s="6" t="str">
        <f>MID(A3666,19,1)</f>
        <v>N</v>
      </c>
      <c r="G3666" s="6">
        <v>-22.487941320317059</v>
      </c>
      <c r="H3666" s="6">
        <v>-47.416284543449073</v>
      </c>
      <c r="I3666" s="9">
        <v>1997.3</v>
      </c>
      <c r="K3666" s="6">
        <v>3.01</v>
      </c>
      <c r="L3666" s="6">
        <v>70</v>
      </c>
      <c r="N3666" s="1">
        <f t="shared" si="449"/>
        <v>0</v>
      </c>
      <c r="O3666" s="6" t="s">
        <v>20</v>
      </c>
      <c r="Q3666" s="6" t="s">
        <v>21</v>
      </c>
      <c r="R3666" s="6" t="s">
        <v>21</v>
      </c>
      <c r="S3666" s="6" t="s">
        <v>21</v>
      </c>
      <c r="T3666" s="6" t="s">
        <v>21</v>
      </c>
      <c r="U3666" s="6">
        <f t="shared" si="451"/>
        <v>1398.11</v>
      </c>
      <c r="V3666" s="6">
        <f t="shared" si="447"/>
        <v>1398.11</v>
      </c>
    </row>
    <row r="3667" spans="1:22" x14ac:dyDescent="0.35">
      <c r="A3667" s="6" t="s">
        <v>4028</v>
      </c>
      <c r="B3667" s="6" t="s">
        <v>4025</v>
      </c>
      <c r="C3667" s="6" t="s">
        <v>4026</v>
      </c>
      <c r="D3667" s="6">
        <f t="shared" si="454"/>
        <v>0.5</v>
      </c>
      <c r="E3667" s="6" t="s">
        <v>19</v>
      </c>
      <c r="F3667" s="6" t="str">
        <f>MID(A3667,19,1)</f>
        <v>N</v>
      </c>
      <c r="G3667" s="6">
        <v>-22.489100472120171</v>
      </c>
      <c r="H3667" s="6">
        <v>-47.42077257209246</v>
      </c>
      <c r="I3667" s="9">
        <v>1846.29</v>
      </c>
      <c r="K3667" s="6">
        <v>2.17</v>
      </c>
      <c r="L3667" s="6">
        <v>70</v>
      </c>
      <c r="N3667" s="1">
        <f t="shared" si="449"/>
        <v>0</v>
      </c>
      <c r="O3667" s="6" t="s">
        <v>20</v>
      </c>
      <c r="Q3667" s="6" t="s">
        <v>21</v>
      </c>
      <c r="R3667" s="6" t="s">
        <v>21</v>
      </c>
      <c r="S3667" s="6" t="s">
        <v>21</v>
      </c>
      <c r="T3667" s="6" t="s">
        <v>21</v>
      </c>
      <c r="U3667" s="6">
        <f t="shared" si="451"/>
        <v>1292.4029999999998</v>
      </c>
      <c r="V3667" s="6">
        <f t="shared" si="447"/>
        <v>1292.4029999999998</v>
      </c>
    </row>
    <row r="3668" spans="1:22" hidden="1" x14ac:dyDescent="0.35">
      <c r="A3668" s="6" t="s">
        <v>4029</v>
      </c>
      <c r="B3668" s="6" t="s">
        <v>4025</v>
      </c>
      <c r="C3668" s="6" t="s">
        <v>4026</v>
      </c>
      <c r="D3668" s="6">
        <f t="shared" si="454"/>
        <v>0.5</v>
      </c>
      <c r="E3668" s="6" t="s">
        <v>23</v>
      </c>
      <c r="F3668" s="6" t="str">
        <f>MID(A3668,19,1)</f>
        <v>C</v>
      </c>
      <c r="G3668" s="6">
        <v>-22.48776348659808</v>
      </c>
      <c r="H3668" s="6">
        <v>-47.416300829013338</v>
      </c>
      <c r="I3668" s="9">
        <v>5572.23</v>
      </c>
      <c r="J3668" s="9">
        <f>I3668/500</f>
        <v>11.144459999999999</v>
      </c>
      <c r="K3668" s="6">
        <v>2.93</v>
      </c>
      <c r="L3668" s="6">
        <v>80</v>
      </c>
      <c r="N3668" s="1">
        <f t="shared" si="449"/>
        <v>0</v>
      </c>
      <c r="O3668" s="6" t="s">
        <v>20</v>
      </c>
      <c r="Q3668" s="6" t="s">
        <v>21</v>
      </c>
      <c r="R3668" s="6" t="s">
        <v>21</v>
      </c>
      <c r="S3668" s="6" t="s">
        <v>21</v>
      </c>
      <c r="T3668" s="6" t="s">
        <v>21</v>
      </c>
      <c r="U3668" s="6">
        <f t="shared" si="451"/>
        <v>4457.7839999999997</v>
      </c>
      <c r="V3668" s="6">
        <f t="shared" si="447"/>
        <v>4457.7839999999997</v>
      </c>
    </row>
    <row r="3669" spans="1:22" hidden="1" x14ac:dyDescent="0.35">
      <c r="A3669" s="6" t="s">
        <v>4030</v>
      </c>
      <c r="B3669" s="6" t="s">
        <v>4025</v>
      </c>
      <c r="C3669" s="6" t="s">
        <v>4026</v>
      </c>
      <c r="D3669" s="6">
        <f t="shared" si="454"/>
        <v>0.5</v>
      </c>
      <c r="E3669" s="6" t="s">
        <v>19</v>
      </c>
      <c r="F3669" s="6" t="str">
        <f>MID(A3669,19,1)</f>
        <v>S</v>
      </c>
      <c r="G3669" s="6">
        <v>-22.488749965189299</v>
      </c>
      <c r="H3669" s="6">
        <v>-47.420843268546953</v>
      </c>
      <c r="I3669" s="9">
        <v>1695.62</v>
      </c>
      <c r="K3669" s="6">
        <v>1.95</v>
      </c>
      <c r="L3669" s="6">
        <v>70</v>
      </c>
      <c r="N3669" s="1">
        <f t="shared" si="449"/>
        <v>0</v>
      </c>
      <c r="O3669" s="6" t="s">
        <v>20</v>
      </c>
      <c r="Q3669" s="6" t="s">
        <v>21</v>
      </c>
      <c r="R3669" s="6" t="s">
        <v>21</v>
      </c>
      <c r="S3669" s="6" t="s">
        <v>21</v>
      </c>
      <c r="T3669" s="6" t="s">
        <v>21</v>
      </c>
      <c r="U3669" s="6">
        <f t="shared" si="451"/>
        <v>1186.9339999999997</v>
      </c>
      <c r="V3669" s="6">
        <f t="shared" si="447"/>
        <v>1186.9339999999997</v>
      </c>
    </row>
    <row r="3670" spans="1:22" hidden="1" x14ac:dyDescent="0.35">
      <c r="A3670" s="6" t="s">
        <v>4031</v>
      </c>
      <c r="B3670" s="6" t="s">
        <v>4025</v>
      </c>
      <c r="C3670" s="6" t="s">
        <v>4026</v>
      </c>
      <c r="D3670" s="6">
        <f t="shared" si="454"/>
        <v>0.5</v>
      </c>
      <c r="E3670" s="6" t="s">
        <v>23</v>
      </c>
      <c r="F3670" s="6" t="str">
        <f>MID(A3670,19,1)</f>
        <v>C</v>
      </c>
      <c r="G3670" s="6">
        <v>-22.488922915798881</v>
      </c>
      <c r="H3670" s="6">
        <v>-47.420806600350573</v>
      </c>
      <c r="I3670" s="9">
        <v>5330.94</v>
      </c>
      <c r="J3670" s="9">
        <f t="shared" ref="J3670:J3671" si="455">I3670/500</f>
        <v>10.66188</v>
      </c>
      <c r="K3670" s="6">
        <v>2.17</v>
      </c>
      <c r="L3670" s="6">
        <v>80</v>
      </c>
      <c r="N3670" s="1">
        <f t="shared" si="449"/>
        <v>0</v>
      </c>
      <c r="O3670" s="6" t="s">
        <v>20</v>
      </c>
      <c r="Q3670" s="6" t="s">
        <v>21</v>
      </c>
      <c r="R3670" s="6" t="s">
        <v>21</v>
      </c>
      <c r="S3670" s="6" t="s">
        <v>21</v>
      </c>
      <c r="T3670" s="6" t="s">
        <v>21</v>
      </c>
      <c r="U3670" s="6">
        <f t="shared" si="451"/>
        <v>4264.7519999999995</v>
      </c>
      <c r="V3670" s="6">
        <f t="shared" si="447"/>
        <v>4264.7519999999995</v>
      </c>
    </row>
    <row r="3671" spans="1:22" hidden="1" x14ac:dyDescent="0.35">
      <c r="A3671" s="6" t="s">
        <v>4032</v>
      </c>
      <c r="B3671" s="6" t="s">
        <v>4033</v>
      </c>
      <c r="C3671" s="6" t="s">
        <v>4034</v>
      </c>
      <c r="D3671" s="6">
        <f t="shared" si="454"/>
        <v>0.5</v>
      </c>
      <c r="E3671" s="6" t="s">
        <v>23</v>
      </c>
      <c r="F3671" s="6" t="str">
        <f>MID(A3671,19,1)</f>
        <v>C</v>
      </c>
      <c r="G3671" s="6">
        <v>-22.48579997408936</v>
      </c>
      <c r="H3671" s="6">
        <v>-47.407592480445793</v>
      </c>
      <c r="I3671" s="9">
        <v>4501.12</v>
      </c>
      <c r="J3671" s="9">
        <f t="shared" si="455"/>
        <v>9.0022400000000005</v>
      </c>
      <c r="K3671" s="6">
        <v>1.53</v>
      </c>
      <c r="L3671" s="6">
        <v>80</v>
      </c>
      <c r="N3671" s="1">
        <f t="shared" si="449"/>
        <v>0</v>
      </c>
      <c r="O3671" s="6" t="s">
        <v>20</v>
      </c>
      <c r="Q3671" s="6" t="s">
        <v>21</v>
      </c>
      <c r="R3671" s="6" t="s">
        <v>21</v>
      </c>
      <c r="S3671" s="6" t="s">
        <v>21</v>
      </c>
      <c r="T3671" s="6" t="s">
        <v>21</v>
      </c>
      <c r="U3671" s="6">
        <f t="shared" si="451"/>
        <v>3600.8960000000002</v>
      </c>
      <c r="V3671" s="6">
        <f t="shared" si="447"/>
        <v>3600.8960000000002</v>
      </c>
    </row>
    <row r="3672" spans="1:22" hidden="1" x14ac:dyDescent="0.35">
      <c r="A3672" s="6" t="s">
        <v>4035</v>
      </c>
      <c r="B3672" s="6" t="s">
        <v>4033</v>
      </c>
      <c r="C3672" s="6" t="s">
        <v>4034</v>
      </c>
      <c r="D3672" s="6">
        <f t="shared" si="454"/>
        <v>0.5</v>
      </c>
      <c r="E3672" s="6" t="s">
        <v>19</v>
      </c>
      <c r="F3672" s="6" t="str">
        <f>MID(A3672,19,1)</f>
        <v>S</v>
      </c>
      <c r="G3672" s="6">
        <v>-22.48592200965323</v>
      </c>
      <c r="H3672" s="6">
        <v>-47.408916273829028</v>
      </c>
      <c r="I3672" s="9">
        <v>545.64</v>
      </c>
      <c r="K3672" s="6">
        <v>1.45</v>
      </c>
      <c r="L3672" s="6">
        <v>70</v>
      </c>
      <c r="N3672" s="1">
        <f t="shared" si="449"/>
        <v>0</v>
      </c>
      <c r="O3672" s="6" t="s">
        <v>20</v>
      </c>
      <c r="Q3672" s="6" t="s">
        <v>21</v>
      </c>
      <c r="R3672" s="6" t="s">
        <v>21</v>
      </c>
      <c r="S3672" s="6" t="s">
        <v>21</v>
      </c>
      <c r="T3672" s="6" t="s">
        <v>21</v>
      </c>
      <c r="U3672" s="6">
        <f t="shared" si="451"/>
        <v>381.94799999999998</v>
      </c>
      <c r="V3672" s="6">
        <f t="shared" si="447"/>
        <v>381.94799999999998</v>
      </c>
    </row>
    <row r="3673" spans="1:22" hidden="1" x14ac:dyDescent="0.35">
      <c r="A3673" s="6" t="s">
        <v>4036</v>
      </c>
      <c r="B3673" s="6" t="s">
        <v>4033</v>
      </c>
      <c r="C3673" s="6" t="s">
        <v>4034</v>
      </c>
      <c r="D3673" s="6">
        <f t="shared" si="454"/>
        <v>0.5</v>
      </c>
      <c r="E3673" s="6" t="s">
        <v>19</v>
      </c>
      <c r="F3673" s="6" t="str">
        <f>MID(A3673,19,1)</f>
        <v>S</v>
      </c>
      <c r="G3673" s="6">
        <v>-22.48657535413745</v>
      </c>
      <c r="H3673" s="6">
        <v>-47.411804512168878</v>
      </c>
      <c r="I3673" s="9">
        <v>1706.24</v>
      </c>
      <c r="K3673" s="6">
        <v>2.83</v>
      </c>
      <c r="L3673" s="6">
        <v>70</v>
      </c>
      <c r="N3673" s="1">
        <f t="shared" si="449"/>
        <v>0</v>
      </c>
      <c r="O3673" s="6" t="s">
        <v>20</v>
      </c>
      <c r="Q3673" s="6" t="s">
        <v>21</v>
      </c>
      <c r="R3673" s="6" t="s">
        <v>21</v>
      </c>
      <c r="S3673" s="6" t="s">
        <v>21</v>
      </c>
      <c r="T3673" s="6" t="s">
        <v>21</v>
      </c>
      <c r="U3673" s="6">
        <f t="shared" si="451"/>
        <v>1194.3679999999999</v>
      </c>
      <c r="V3673" s="6">
        <f t="shared" si="447"/>
        <v>1194.3679999999999</v>
      </c>
    </row>
    <row r="3674" spans="1:22" x14ac:dyDescent="0.35">
      <c r="A3674" s="6" t="s">
        <v>4037</v>
      </c>
      <c r="B3674" s="6" t="s">
        <v>4033</v>
      </c>
      <c r="C3674" s="6" t="s">
        <v>4034</v>
      </c>
      <c r="D3674" s="6">
        <f t="shared" si="454"/>
        <v>0.5</v>
      </c>
      <c r="E3674" s="6" t="s">
        <v>19</v>
      </c>
      <c r="F3674" s="6" t="str">
        <f>MID(A3674,19,1)</f>
        <v>N</v>
      </c>
      <c r="G3674" s="6">
        <v>-22.486909051786771</v>
      </c>
      <c r="H3674" s="6">
        <v>-47.411689208781688</v>
      </c>
      <c r="I3674" s="9">
        <v>1896.17</v>
      </c>
      <c r="K3674" s="6">
        <v>3.41</v>
      </c>
      <c r="L3674" s="6">
        <v>70</v>
      </c>
      <c r="N3674" s="1">
        <f t="shared" si="449"/>
        <v>0</v>
      </c>
      <c r="O3674" s="6" t="s">
        <v>20</v>
      </c>
      <c r="Q3674" s="6" t="s">
        <v>21</v>
      </c>
      <c r="R3674" s="6" t="s">
        <v>21</v>
      </c>
      <c r="S3674" s="6" t="s">
        <v>21</v>
      </c>
      <c r="T3674" s="6" t="s">
        <v>21</v>
      </c>
      <c r="U3674" s="6">
        <f t="shared" si="451"/>
        <v>1327.319</v>
      </c>
      <c r="V3674" s="6">
        <f t="shared" si="447"/>
        <v>1327.319</v>
      </c>
    </row>
    <row r="3675" spans="1:22" hidden="1" x14ac:dyDescent="0.35">
      <c r="A3675" s="6" t="s">
        <v>4038</v>
      </c>
      <c r="B3675" s="6" t="s">
        <v>4033</v>
      </c>
      <c r="C3675" s="6" t="s">
        <v>4034</v>
      </c>
      <c r="D3675" s="6">
        <f t="shared" si="454"/>
        <v>0.5</v>
      </c>
      <c r="E3675" s="6" t="s">
        <v>19</v>
      </c>
      <c r="F3675" s="6" t="str">
        <f>MID(A3675,19,1)</f>
        <v>S</v>
      </c>
      <c r="G3675" s="6">
        <v>-22.485474643018691</v>
      </c>
      <c r="H3675" s="6">
        <v>-47.406923221275122</v>
      </c>
      <c r="I3675" s="9">
        <v>988.58</v>
      </c>
      <c r="K3675" s="6">
        <v>1.32</v>
      </c>
      <c r="L3675" s="6">
        <v>70</v>
      </c>
      <c r="N3675" s="1">
        <f t="shared" si="449"/>
        <v>0</v>
      </c>
      <c r="O3675" s="6" t="s">
        <v>20</v>
      </c>
      <c r="Q3675" s="6" t="s">
        <v>21</v>
      </c>
      <c r="R3675" s="6" t="s">
        <v>21</v>
      </c>
      <c r="S3675" s="6" t="s">
        <v>21</v>
      </c>
      <c r="T3675" s="6" t="s">
        <v>21</v>
      </c>
      <c r="U3675" s="6">
        <f t="shared" si="451"/>
        <v>692.00599999999997</v>
      </c>
      <c r="V3675" s="6">
        <f t="shared" si="447"/>
        <v>692.00599999999997</v>
      </c>
    </row>
    <row r="3676" spans="1:22" hidden="1" x14ac:dyDescent="0.35">
      <c r="A3676" s="6" t="s">
        <v>4039</v>
      </c>
      <c r="B3676" s="6" t="s">
        <v>4033</v>
      </c>
      <c r="C3676" s="6" t="s">
        <v>4034</v>
      </c>
      <c r="D3676" s="6">
        <f t="shared" si="454"/>
        <v>0.5</v>
      </c>
      <c r="E3676" s="6" t="s">
        <v>23</v>
      </c>
      <c r="F3676" s="6" t="str">
        <f>MID(A3676,19,1)</f>
        <v>C</v>
      </c>
      <c r="G3676" s="6">
        <v>-22.485966787063489</v>
      </c>
      <c r="H3676" s="6">
        <v>-47.40752920401097</v>
      </c>
      <c r="I3676" s="9">
        <v>1630.09</v>
      </c>
      <c r="J3676" s="9">
        <f t="shared" ref="J3676:J3678" si="456">I3676/500</f>
        <v>3.2601799999999996</v>
      </c>
      <c r="K3676" s="6">
        <v>1.65</v>
      </c>
      <c r="L3676" s="6">
        <v>70</v>
      </c>
      <c r="N3676" s="1">
        <f t="shared" si="449"/>
        <v>0</v>
      </c>
      <c r="O3676" s="6" t="s">
        <v>20</v>
      </c>
      <c r="Q3676" s="6" t="s">
        <v>21</v>
      </c>
      <c r="R3676" s="6" t="s">
        <v>21</v>
      </c>
      <c r="S3676" s="6" t="s">
        <v>21</v>
      </c>
      <c r="T3676" s="6" t="s">
        <v>21</v>
      </c>
      <c r="U3676" s="6">
        <f t="shared" si="451"/>
        <v>1141.0629999999999</v>
      </c>
      <c r="V3676" s="6">
        <f t="shared" si="447"/>
        <v>1141.0629999999999</v>
      </c>
    </row>
    <row r="3677" spans="1:22" hidden="1" x14ac:dyDescent="0.35">
      <c r="A3677" s="6" t="s">
        <v>4040</v>
      </c>
      <c r="B3677" s="6" t="s">
        <v>4033</v>
      </c>
      <c r="C3677" s="6" t="s">
        <v>4034</v>
      </c>
      <c r="D3677" s="6">
        <f t="shared" si="454"/>
        <v>0.5</v>
      </c>
      <c r="E3677" s="6" t="s">
        <v>23</v>
      </c>
      <c r="F3677" s="6" t="str">
        <f>MID(A3677,19,1)</f>
        <v>C</v>
      </c>
      <c r="G3677" s="6">
        <v>-22.486740331002459</v>
      </c>
      <c r="H3677" s="6">
        <v>-47.41175736281955</v>
      </c>
      <c r="I3677" s="9">
        <v>5175.4399999999996</v>
      </c>
      <c r="J3677" s="9">
        <f t="shared" si="456"/>
        <v>10.35088</v>
      </c>
      <c r="K3677" s="6">
        <v>3.06</v>
      </c>
      <c r="L3677" s="6">
        <v>80</v>
      </c>
      <c r="N3677" s="1">
        <f t="shared" si="449"/>
        <v>0</v>
      </c>
      <c r="O3677" s="6" t="s">
        <v>20</v>
      </c>
      <c r="Q3677" s="6" t="s">
        <v>21</v>
      </c>
      <c r="R3677" s="6" t="s">
        <v>21</v>
      </c>
      <c r="S3677" s="6" t="s">
        <v>21</v>
      </c>
      <c r="T3677" s="6" t="s">
        <v>21</v>
      </c>
      <c r="U3677" s="6">
        <f t="shared" si="451"/>
        <v>4140.3519999999999</v>
      </c>
      <c r="V3677" s="6">
        <f t="shared" si="447"/>
        <v>4140.3519999999999</v>
      </c>
    </row>
    <row r="3678" spans="1:22" hidden="1" x14ac:dyDescent="0.35">
      <c r="A3678" s="6" t="s">
        <v>4041</v>
      </c>
      <c r="B3678" s="6" t="s">
        <v>4042</v>
      </c>
      <c r="C3678" s="6" t="s">
        <v>4043</v>
      </c>
      <c r="D3678" s="6">
        <f t="shared" si="454"/>
        <v>0.5</v>
      </c>
      <c r="E3678" s="6" t="s">
        <v>23</v>
      </c>
      <c r="F3678" s="6" t="str">
        <f>MID(A3678,19,1)</f>
        <v>C</v>
      </c>
      <c r="G3678" s="6">
        <v>-22.483363879097261</v>
      </c>
      <c r="H3678" s="6">
        <v>-47.401760097276188</v>
      </c>
      <c r="I3678" s="9">
        <v>28371.53</v>
      </c>
      <c r="J3678" s="9">
        <f t="shared" si="456"/>
        <v>56.74306</v>
      </c>
      <c r="K3678" s="6">
        <v>1.99</v>
      </c>
      <c r="L3678" s="6">
        <v>80</v>
      </c>
      <c r="N3678" s="1">
        <f t="shared" si="449"/>
        <v>0</v>
      </c>
      <c r="O3678" s="6" t="s">
        <v>20</v>
      </c>
      <c r="Q3678" s="6" t="s">
        <v>21</v>
      </c>
      <c r="R3678" s="6" t="s">
        <v>21</v>
      </c>
      <c r="S3678" s="6" t="s">
        <v>21</v>
      </c>
      <c r="T3678" s="6" t="s">
        <v>21</v>
      </c>
      <c r="U3678" s="6">
        <f t="shared" si="451"/>
        <v>22697.224000000002</v>
      </c>
      <c r="V3678" s="6">
        <f t="shared" si="447"/>
        <v>22697.224000000002</v>
      </c>
    </row>
    <row r="3679" spans="1:22" x14ac:dyDescent="0.35">
      <c r="A3679" s="6" t="s">
        <v>4044</v>
      </c>
      <c r="B3679" s="6" t="s">
        <v>4042</v>
      </c>
      <c r="C3679" s="6" t="s">
        <v>4043</v>
      </c>
      <c r="D3679" s="6">
        <f t="shared" si="454"/>
        <v>0.5</v>
      </c>
      <c r="E3679" s="6" t="s">
        <v>19</v>
      </c>
      <c r="F3679" s="6" t="str">
        <f>MID(A3679,19,1)</f>
        <v>N</v>
      </c>
      <c r="G3679" s="6">
        <v>-22.485312457254249</v>
      </c>
      <c r="H3679" s="6">
        <v>-47.404676224230002</v>
      </c>
      <c r="I3679" s="9">
        <v>630.70000000000005</v>
      </c>
      <c r="K3679" s="6">
        <v>1.99</v>
      </c>
      <c r="L3679" s="6">
        <v>70</v>
      </c>
      <c r="N3679" s="1">
        <f t="shared" si="449"/>
        <v>0</v>
      </c>
      <c r="O3679" s="6" t="s">
        <v>20</v>
      </c>
      <c r="Q3679" s="6" t="s">
        <v>21</v>
      </c>
      <c r="R3679" s="6" t="s">
        <v>21</v>
      </c>
      <c r="S3679" s="6" t="s">
        <v>21</v>
      </c>
      <c r="T3679" s="6" t="s">
        <v>21</v>
      </c>
      <c r="U3679" s="6">
        <f t="shared" si="451"/>
        <v>441.49</v>
      </c>
      <c r="V3679" s="6">
        <f t="shared" si="447"/>
        <v>441.49</v>
      </c>
    </row>
    <row r="3680" spans="1:22" hidden="1" x14ac:dyDescent="0.35">
      <c r="A3680" s="6" t="s">
        <v>4045</v>
      </c>
      <c r="B3680" s="6" t="s">
        <v>4042</v>
      </c>
      <c r="C3680" s="6" t="s">
        <v>4043</v>
      </c>
      <c r="D3680" s="6">
        <f t="shared" si="454"/>
        <v>0.5</v>
      </c>
      <c r="E3680" s="6" t="s">
        <v>19</v>
      </c>
      <c r="F3680" s="6" t="str">
        <f>MID(A3680,19,1)</f>
        <v>S</v>
      </c>
      <c r="G3680" s="6">
        <v>-22.484945528446939</v>
      </c>
      <c r="H3680" s="6">
        <v>-47.40482711981111</v>
      </c>
      <c r="I3680" s="9">
        <v>598.91999999999996</v>
      </c>
      <c r="K3680" s="6">
        <v>1.21</v>
      </c>
      <c r="L3680" s="6">
        <v>70</v>
      </c>
      <c r="N3680" s="1">
        <f t="shared" si="449"/>
        <v>0</v>
      </c>
      <c r="O3680" s="6" t="s">
        <v>20</v>
      </c>
      <c r="Q3680" s="6" t="s">
        <v>21</v>
      </c>
      <c r="R3680" s="6" t="s">
        <v>21</v>
      </c>
      <c r="S3680" s="6" t="s">
        <v>21</v>
      </c>
      <c r="T3680" s="6" t="s">
        <v>21</v>
      </c>
      <c r="U3680" s="6">
        <f t="shared" si="451"/>
        <v>419.24399999999997</v>
      </c>
      <c r="V3680" s="6">
        <f t="shared" si="447"/>
        <v>419.24399999999997</v>
      </c>
    </row>
    <row r="3681" spans="1:22" hidden="1" x14ac:dyDescent="0.35">
      <c r="A3681" s="6" t="s">
        <v>4046</v>
      </c>
      <c r="B3681" s="6" t="s">
        <v>4042</v>
      </c>
      <c r="C3681" s="6" t="s">
        <v>4043</v>
      </c>
      <c r="D3681" s="6">
        <f t="shared" si="454"/>
        <v>0.5</v>
      </c>
      <c r="E3681" s="6" t="s">
        <v>23</v>
      </c>
      <c r="F3681" s="6" t="str">
        <f>MID(A3681,19,1)</f>
        <v>C</v>
      </c>
      <c r="G3681" s="6">
        <v>-22.485093545486361</v>
      </c>
      <c r="H3681" s="6">
        <v>-47.404629550586492</v>
      </c>
      <c r="I3681" s="9">
        <v>2767.71</v>
      </c>
      <c r="J3681" s="9">
        <f>I3681/500</f>
        <v>5.5354200000000002</v>
      </c>
      <c r="K3681" s="6">
        <v>1.56</v>
      </c>
      <c r="L3681" s="6">
        <v>80</v>
      </c>
      <c r="N3681" s="1">
        <f t="shared" si="449"/>
        <v>0</v>
      </c>
      <c r="O3681" s="6" t="s">
        <v>20</v>
      </c>
      <c r="Q3681" s="6" t="s">
        <v>21</v>
      </c>
      <c r="R3681" s="6" t="s">
        <v>21</v>
      </c>
      <c r="S3681" s="6" t="s">
        <v>21</v>
      </c>
      <c r="T3681" s="6" t="s">
        <v>21</v>
      </c>
      <c r="U3681" s="6">
        <f t="shared" si="451"/>
        <v>2214.1680000000001</v>
      </c>
      <c r="V3681" s="6">
        <f t="shared" si="447"/>
        <v>2214.1680000000001</v>
      </c>
    </row>
    <row r="3682" spans="1:22" x14ac:dyDescent="0.35">
      <c r="A3682" s="6" t="s">
        <v>4047</v>
      </c>
      <c r="B3682" s="6" t="s">
        <v>4042</v>
      </c>
      <c r="C3682" s="6" t="s">
        <v>4043</v>
      </c>
      <c r="D3682" s="6">
        <f t="shared" si="454"/>
        <v>0.5</v>
      </c>
      <c r="E3682" s="6" t="s">
        <v>19</v>
      </c>
      <c r="F3682" s="6" t="str">
        <f>MID(A3682,19,1)</f>
        <v>N</v>
      </c>
      <c r="G3682" s="6">
        <v>-22.483858986192551</v>
      </c>
      <c r="H3682" s="6">
        <v>-47.401761126239997</v>
      </c>
      <c r="I3682" s="9">
        <v>1927.22</v>
      </c>
      <c r="K3682" s="6">
        <v>1.74</v>
      </c>
      <c r="L3682" s="6">
        <v>70</v>
      </c>
      <c r="N3682" s="1">
        <f t="shared" si="449"/>
        <v>0</v>
      </c>
      <c r="O3682" s="6" t="s">
        <v>20</v>
      </c>
      <c r="Q3682" s="6" t="s">
        <v>21</v>
      </c>
      <c r="R3682" s="6" t="s">
        <v>21</v>
      </c>
      <c r="S3682" s="6" t="s">
        <v>21</v>
      </c>
      <c r="T3682" s="6" t="s">
        <v>21</v>
      </c>
      <c r="U3682" s="6">
        <f t="shared" si="451"/>
        <v>1349.0539999999999</v>
      </c>
      <c r="V3682" s="6">
        <f t="shared" si="447"/>
        <v>1349.0539999999999</v>
      </c>
    </row>
    <row r="3683" spans="1:22" hidden="1" x14ac:dyDescent="0.35">
      <c r="A3683" s="6" t="s">
        <v>4048</v>
      </c>
      <c r="B3683" s="6" t="s">
        <v>4042</v>
      </c>
      <c r="C3683" s="6" t="s">
        <v>4043</v>
      </c>
      <c r="D3683" s="6">
        <f t="shared" si="454"/>
        <v>0.5</v>
      </c>
      <c r="E3683" s="6" t="s">
        <v>19</v>
      </c>
      <c r="F3683" s="6" t="str">
        <f>MID(A3683,19,1)</f>
        <v>S</v>
      </c>
      <c r="G3683" s="6">
        <v>-22.483422473891469</v>
      </c>
      <c r="H3683" s="6">
        <v>-47.402417718547163</v>
      </c>
      <c r="I3683" s="9">
        <v>1652.35</v>
      </c>
      <c r="K3683" s="6">
        <v>1.67</v>
      </c>
      <c r="L3683" s="6">
        <v>70</v>
      </c>
      <c r="N3683" s="1">
        <f t="shared" si="449"/>
        <v>0</v>
      </c>
      <c r="O3683" s="6" t="s">
        <v>20</v>
      </c>
      <c r="Q3683" s="6" t="s">
        <v>21</v>
      </c>
      <c r="R3683" s="6" t="s">
        <v>21</v>
      </c>
      <c r="S3683" s="6" t="s">
        <v>21</v>
      </c>
      <c r="T3683" s="6" t="s">
        <v>21</v>
      </c>
      <c r="U3683" s="6">
        <f t="shared" si="451"/>
        <v>1156.6449999999998</v>
      </c>
      <c r="V3683" s="6">
        <f t="shared" si="447"/>
        <v>1156.6449999999998</v>
      </c>
    </row>
    <row r="3684" spans="1:22" hidden="1" x14ac:dyDescent="0.35">
      <c r="K3684" s="10">
        <f>SUM(I2:I3683)</f>
        <v>9640313.2399999946</v>
      </c>
      <c r="N3684" s="10"/>
      <c r="U3684" s="26">
        <f>SUM(U2:U3683)</f>
        <v>4971911.2394999955</v>
      </c>
      <c r="V3684" s="26">
        <f>SUM(V2:V3683)</f>
        <v>4971911.2394999955</v>
      </c>
    </row>
  </sheetData>
  <autoFilter ref="E1:F3684" xr:uid="{00000000-0001-0000-0000-000000000000}">
    <filterColumn colId="0">
      <filters>
        <filter val="CL"/>
      </filters>
    </filterColumn>
    <filterColumn colId="1">
      <filters>
        <filter val="N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46AD-FCDE-475E-80C5-B09F083CAB7C}">
  <dimension ref="B3:Q90"/>
  <sheetViews>
    <sheetView showGridLines="0" topLeftCell="L1" zoomScale="70" zoomScaleNormal="70" workbookViewId="0">
      <selection activeCell="N20" sqref="N20"/>
    </sheetView>
  </sheetViews>
  <sheetFormatPr defaultColWidth="9.1796875" defaultRowHeight="14.5" x14ac:dyDescent="0.35"/>
  <cols>
    <col min="1" max="3" width="9.1796875" style="6"/>
    <col min="4" max="4" width="10" style="6" customWidth="1"/>
    <col min="5" max="7" width="9.1796875" style="6"/>
    <col min="8" max="8" width="25.54296875" style="6" customWidth="1"/>
    <col min="9" max="9" width="39.81640625" style="6" customWidth="1"/>
    <col min="10" max="10" width="30.7265625" style="6" customWidth="1"/>
    <col min="11" max="11" width="98" style="6" customWidth="1"/>
    <col min="12" max="12" width="9.1796875" style="6"/>
    <col min="13" max="13" width="88.1796875" style="6" customWidth="1"/>
    <col min="14" max="14" width="64.453125" style="6" bestFit="1" customWidth="1"/>
    <col min="15" max="15" width="41.54296875" style="6" bestFit="1" customWidth="1"/>
    <col min="16" max="16" width="38.26953125" style="6" bestFit="1" customWidth="1"/>
    <col min="17" max="17" width="29.1796875" style="6" bestFit="1" customWidth="1"/>
    <col min="18" max="16384" width="9.1796875" style="6"/>
  </cols>
  <sheetData>
    <row r="3" spans="2:17" x14ac:dyDescent="0.35">
      <c r="B3" s="16" t="s">
        <v>4050</v>
      </c>
      <c r="C3" s="16" t="s">
        <v>4053</v>
      </c>
      <c r="D3" s="16" t="s">
        <v>4</v>
      </c>
      <c r="E3" s="16" t="s">
        <v>4057</v>
      </c>
      <c r="F3" s="16" t="s">
        <v>4051</v>
      </c>
      <c r="G3" s="16" t="s">
        <v>4052</v>
      </c>
      <c r="H3" s="16" t="s">
        <v>7</v>
      </c>
      <c r="I3" s="16" t="s">
        <v>10</v>
      </c>
      <c r="J3" s="16" t="s">
        <v>4059</v>
      </c>
      <c r="K3" s="16" t="s">
        <v>4061</v>
      </c>
    </row>
    <row r="4" spans="2:17" x14ac:dyDescent="0.35">
      <c r="B4" s="13">
        <v>1</v>
      </c>
      <c r="C4" s="12" t="s">
        <v>4054</v>
      </c>
      <c r="D4" s="12" t="s">
        <v>4056</v>
      </c>
      <c r="E4" s="12" t="s">
        <v>19</v>
      </c>
      <c r="F4" s="14">
        <v>1</v>
      </c>
      <c r="G4" s="14">
        <v>4.5</v>
      </c>
      <c r="H4" s="15">
        <f>SUM('AB '!N8:N36)</f>
        <v>8717.1885000000002</v>
      </c>
      <c r="I4" s="12" t="s">
        <v>4055</v>
      </c>
      <c r="J4" s="13" t="s">
        <v>4060</v>
      </c>
      <c r="K4" s="13" t="s">
        <v>4062</v>
      </c>
    </row>
    <row r="5" spans="2:17" x14ac:dyDescent="0.35">
      <c r="B5" s="13">
        <v>2</v>
      </c>
      <c r="C5" s="12" t="s">
        <v>4058</v>
      </c>
      <c r="D5" s="12" t="s">
        <v>4056</v>
      </c>
      <c r="E5" s="12" t="s">
        <v>19</v>
      </c>
      <c r="F5" s="14" t="str">
        <f>'AB '!B65</f>
        <v>12,000</v>
      </c>
      <c r="G5" s="14" t="str">
        <f>'AB '!C65</f>
        <v>12,500</v>
      </c>
      <c r="H5" s="15">
        <f>'AB '!N65</f>
        <v>1970.2049999999999</v>
      </c>
      <c r="I5" s="12" t="s">
        <v>71</v>
      </c>
      <c r="J5" s="13" t="s">
        <v>13</v>
      </c>
      <c r="K5" s="13" t="s">
        <v>4063</v>
      </c>
    </row>
    <row r="6" spans="2:17" x14ac:dyDescent="0.35">
      <c r="B6" s="13">
        <v>3</v>
      </c>
      <c r="C6" s="12" t="s">
        <v>4058</v>
      </c>
      <c r="D6" s="12" t="s">
        <v>4056</v>
      </c>
      <c r="E6" s="12" t="s">
        <v>19</v>
      </c>
      <c r="F6" s="14" t="str">
        <f>'AB '!B87</f>
        <v>12,000</v>
      </c>
      <c r="G6" s="14" t="str">
        <f>'AB '!C87</f>
        <v>12,500</v>
      </c>
      <c r="H6" s="15">
        <f>'AB '!N87</f>
        <v>1315.258</v>
      </c>
      <c r="I6" s="12" t="s">
        <v>71</v>
      </c>
      <c r="J6" s="13" t="s">
        <v>13</v>
      </c>
      <c r="K6" s="13" t="s">
        <v>4063</v>
      </c>
    </row>
    <row r="7" spans="2:17" x14ac:dyDescent="0.35">
      <c r="B7" s="13">
        <v>4</v>
      </c>
      <c r="C7" s="12" t="s">
        <v>4058</v>
      </c>
      <c r="D7" s="12" t="s">
        <v>4056</v>
      </c>
      <c r="E7" s="12" t="s">
        <v>19</v>
      </c>
      <c r="F7" s="14" t="str">
        <f>'AB '!B227</f>
        <v>17,000</v>
      </c>
      <c r="G7" s="14" t="str">
        <f>'AB '!C227</f>
        <v>17,500</v>
      </c>
      <c r="H7" s="15">
        <f>'AB '!N227</f>
        <v>1315.8039999999999</v>
      </c>
      <c r="I7" s="12" t="s">
        <v>71</v>
      </c>
      <c r="J7" s="13" t="s">
        <v>13</v>
      </c>
      <c r="K7" s="13" t="s">
        <v>4063</v>
      </c>
    </row>
    <row r="8" spans="2:17" x14ac:dyDescent="0.35">
      <c r="B8" s="13">
        <v>5</v>
      </c>
      <c r="C8" s="12" t="s">
        <v>4058</v>
      </c>
      <c r="D8" s="12" t="s">
        <v>4056</v>
      </c>
      <c r="E8" s="12" t="s">
        <v>19</v>
      </c>
      <c r="F8" s="14" t="str">
        <f>'AB '!B261</f>
        <v>18,000</v>
      </c>
      <c r="G8" s="14" t="str">
        <f>'AB '!C261</f>
        <v>18,500</v>
      </c>
      <c r="H8" s="15">
        <f>'AB '!N261</f>
        <v>2716.0740000000001</v>
      </c>
      <c r="I8" s="12" t="s">
        <v>71</v>
      </c>
      <c r="J8" s="13" t="s">
        <v>13</v>
      </c>
      <c r="K8" s="13" t="s">
        <v>4063</v>
      </c>
    </row>
    <row r="9" spans="2:17" x14ac:dyDescent="0.35">
      <c r="B9" s="13">
        <v>6</v>
      </c>
      <c r="C9" s="12" t="s">
        <v>4058</v>
      </c>
      <c r="D9" s="12" t="s">
        <v>4056</v>
      </c>
      <c r="E9" s="12" t="s">
        <v>19</v>
      </c>
      <c r="F9" s="14" t="str">
        <f>'AB '!B273</f>
        <v>18,000</v>
      </c>
      <c r="G9" s="14" t="str">
        <f>'AB '!C273</f>
        <v>18,500</v>
      </c>
      <c r="H9" s="15">
        <f>'AB '!N273</f>
        <v>970.50099999999998</v>
      </c>
      <c r="I9" s="12" t="s">
        <v>71</v>
      </c>
      <c r="J9" s="13" t="s">
        <v>4060</v>
      </c>
      <c r="K9" s="13" t="s">
        <v>4062</v>
      </c>
      <c r="M9" s="19" t="s">
        <v>4085</v>
      </c>
    </row>
    <row r="10" spans="2:17" x14ac:dyDescent="0.35">
      <c r="B10" s="13">
        <v>7</v>
      </c>
      <c r="C10" s="12" t="s">
        <v>4058</v>
      </c>
      <c r="D10" s="12" t="s">
        <v>4056</v>
      </c>
      <c r="E10" s="12" t="s">
        <v>19</v>
      </c>
      <c r="F10" s="14" t="str">
        <f>'AB '!B532</f>
        <v>28,000</v>
      </c>
      <c r="G10" s="14" t="str">
        <f>'AB '!C538</f>
        <v>28,500</v>
      </c>
      <c r="H10" s="15">
        <f>SUM('AB '!N532,'AB '!N538)</f>
        <v>2517.8710000000001</v>
      </c>
      <c r="I10" s="13" t="s">
        <v>4055</v>
      </c>
      <c r="J10" s="13" t="s">
        <v>4060</v>
      </c>
      <c r="K10" s="13" t="s">
        <v>4062</v>
      </c>
      <c r="M10" s="16" t="s">
        <v>4084</v>
      </c>
      <c r="N10" s="16" t="s">
        <v>4086</v>
      </c>
      <c r="O10" s="16" t="s">
        <v>4087</v>
      </c>
      <c r="P10" s="16" t="s">
        <v>4088</v>
      </c>
      <c r="Q10" s="16" t="s">
        <v>4089</v>
      </c>
    </row>
    <row r="11" spans="2:17" x14ac:dyDescent="0.35">
      <c r="B11" s="13">
        <v>8</v>
      </c>
      <c r="C11" s="12" t="s">
        <v>4058</v>
      </c>
      <c r="D11" s="12" t="s">
        <v>4056</v>
      </c>
      <c r="E11" s="12" t="s">
        <v>19</v>
      </c>
      <c r="F11" s="14" t="str">
        <f>'AB '!B622</f>
        <v>33,000</v>
      </c>
      <c r="G11" s="14" t="str">
        <f>'AB '!C641</f>
        <v>34,500</v>
      </c>
      <c r="H11" s="15">
        <f>SUM('AB '!N622,'AB '!N638,'AB '!N641)</f>
        <v>8119.3260000000009</v>
      </c>
      <c r="I11" s="13" t="s">
        <v>4055</v>
      </c>
      <c r="J11" s="13" t="s">
        <v>4060</v>
      </c>
      <c r="K11" s="13" t="s">
        <v>4062</v>
      </c>
      <c r="M11" s="15">
        <f>SUM('AB '!N4:N3440)</f>
        <v>186844.30799999996</v>
      </c>
      <c r="N11" s="15">
        <v>76230.963500000013</v>
      </c>
      <c r="O11" s="15">
        <f>SUM('AB '!N87,'AB '!N113,'AB '!N535)</f>
        <v>8500.1539999999986</v>
      </c>
      <c r="P11" s="15">
        <v>105374.77299999997</v>
      </c>
      <c r="Q11" s="15">
        <f>SUM('AB '!N498:N505)</f>
        <v>3216.9690000000001</v>
      </c>
    </row>
    <row r="12" spans="2:17" x14ac:dyDescent="0.35">
      <c r="B12" s="13">
        <v>9</v>
      </c>
      <c r="C12" s="12" t="s">
        <v>4058</v>
      </c>
      <c r="D12" s="12" t="s">
        <v>4056</v>
      </c>
      <c r="E12" s="12" t="s">
        <v>19</v>
      </c>
      <c r="F12" s="14" t="str">
        <f>'AB '!B765</f>
        <v>40,000</v>
      </c>
      <c r="G12" s="14" t="str">
        <f>'AB '!C907</f>
        <v>48,500</v>
      </c>
      <c r="H12" s="15">
        <f>SUM('AB '!N765,'AB '!N766,'AB '!N780,'AB '!N786,'AB '!N800,'AB '!N817,'AB '!N834,'AB '!N849,'AB '!N876,'AB '!N907+'AB '!N807+'AB '!N822+'AB '!N828)</f>
        <v>15206.309499999999</v>
      </c>
      <c r="I12" s="13" t="s">
        <v>4055</v>
      </c>
      <c r="J12" s="13" t="s">
        <v>4060</v>
      </c>
      <c r="K12" s="13" t="s">
        <v>4062</v>
      </c>
      <c r="M12" s="20">
        <v>1</v>
      </c>
      <c r="N12" s="18">
        <f>N11/$M$11</f>
        <v>0.40799189611920117</v>
      </c>
      <c r="O12" s="18">
        <f>O11/$M$11</f>
        <v>4.5493245638502405E-2</v>
      </c>
      <c r="P12" s="18">
        <f>P11/$M$11</f>
        <v>0.56397100948881995</v>
      </c>
      <c r="Q12" s="18">
        <f>Q11/$M$11</f>
        <v>1.7217377582623501E-2</v>
      </c>
    </row>
    <row r="13" spans="2:17" x14ac:dyDescent="0.35">
      <c r="B13" s="13">
        <v>10</v>
      </c>
      <c r="C13" s="12" t="s">
        <v>4058</v>
      </c>
      <c r="D13" s="12" t="s">
        <v>4056</v>
      </c>
      <c r="E13" s="12" t="s">
        <v>19</v>
      </c>
      <c r="F13" s="13" t="str">
        <f>'AB '!B1523</f>
        <v>73,000</v>
      </c>
      <c r="G13" s="13" t="str">
        <f>'AB '!C1523</f>
        <v>73,500</v>
      </c>
      <c r="H13" s="15">
        <f>'AB '!N1523</f>
        <v>1130.5450000000001</v>
      </c>
      <c r="I13" s="13" t="str">
        <f>'AB '!O1523</f>
        <v>Trator com braço articulado</v>
      </c>
      <c r="J13" s="13" t="s">
        <v>4060</v>
      </c>
      <c r="K13" s="13" t="s">
        <v>4062</v>
      </c>
    </row>
    <row r="14" spans="2:17" x14ac:dyDescent="0.35">
      <c r="B14" s="13">
        <v>11</v>
      </c>
      <c r="C14" s="12" t="s">
        <v>4058</v>
      </c>
      <c r="D14" s="12" t="s">
        <v>4056</v>
      </c>
      <c r="E14" s="12" t="s">
        <v>19</v>
      </c>
      <c r="F14" s="13" t="str">
        <f>'AB '!B1542</f>
        <v>74,000</v>
      </c>
      <c r="G14" s="13" t="str">
        <f>'AB '!C1542</f>
        <v>74,500</v>
      </c>
      <c r="H14" s="15">
        <f>'AB '!N1542</f>
        <v>1521.1885</v>
      </c>
      <c r="I14" s="13" t="str">
        <f>'AB '!O1542</f>
        <v>Trator com braço articulado</v>
      </c>
      <c r="J14" s="13" t="s">
        <v>4060</v>
      </c>
      <c r="K14" s="13" t="s">
        <v>4062</v>
      </c>
    </row>
    <row r="15" spans="2:17" x14ac:dyDescent="0.35">
      <c r="B15" s="13">
        <v>12</v>
      </c>
      <c r="C15" s="12" t="s">
        <v>4058</v>
      </c>
      <c r="D15" s="12" t="s">
        <v>4056</v>
      </c>
      <c r="E15" s="12" t="s">
        <v>19</v>
      </c>
      <c r="F15" s="13" t="str">
        <f>'AB '!B1553</f>
        <v>75,000</v>
      </c>
      <c r="G15" s="13" t="str">
        <f>'AB '!C1553</f>
        <v>75,500</v>
      </c>
      <c r="H15" s="15">
        <f>'AB '!N1553</f>
        <v>1216.5725</v>
      </c>
      <c r="I15" s="13" t="str">
        <f>'AB '!O1553</f>
        <v>Trator com braço articulado</v>
      </c>
      <c r="J15" s="13" t="s">
        <v>13</v>
      </c>
      <c r="K15" s="13" t="s">
        <v>4063</v>
      </c>
    </row>
    <row r="16" spans="2:17" x14ac:dyDescent="0.35">
      <c r="B16" s="13">
        <v>13</v>
      </c>
      <c r="C16" s="12" t="s">
        <v>4058</v>
      </c>
      <c r="D16" s="12" t="s">
        <v>4056</v>
      </c>
      <c r="E16" s="12" t="s">
        <v>19</v>
      </c>
      <c r="F16" s="13" t="str">
        <f>'AB '!B1622</f>
        <v>78,000</v>
      </c>
      <c r="G16" s="13" t="str">
        <f>'AB '!C1622</f>
        <v>78,500</v>
      </c>
      <c r="H16" s="15">
        <f>'AB '!N1622</f>
        <v>554.82000000000005</v>
      </c>
      <c r="I16" s="13" t="str">
        <f>'AB '!O1622</f>
        <v>Trator com braço articulado</v>
      </c>
      <c r="J16" s="13" t="s">
        <v>4060</v>
      </c>
      <c r="K16" s="13" t="s">
        <v>4062</v>
      </c>
      <c r="M16" s="24" t="s">
        <v>4093</v>
      </c>
      <c r="N16" s="25" t="s">
        <v>4094</v>
      </c>
      <c r="O16" s="25" t="s">
        <v>4095</v>
      </c>
    </row>
    <row r="17" spans="2:15" x14ac:dyDescent="0.35">
      <c r="B17" s="13">
        <v>14</v>
      </c>
      <c r="C17" s="12" t="s">
        <v>4058</v>
      </c>
      <c r="D17" s="12" t="s">
        <v>4056</v>
      </c>
      <c r="E17" s="12" t="s">
        <v>19</v>
      </c>
      <c r="F17" s="13" t="str">
        <f>'AB '!B1637</f>
        <v>79,000</v>
      </c>
      <c r="G17" s="13" t="str">
        <f>'AB '!C1641</f>
        <v>80,500</v>
      </c>
      <c r="H17" s="15">
        <f>SUM('AB '!N1637:N1641)</f>
        <v>4565.9060000000009</v>
      </c>
      <c r="I17" s="13" t="s">
        <v>4055</v>
      </c>
      <c r="J17" s="13" t="s">
        <v>4067</v>
      </c>
      <c r="K17" s="13" t="s">
        <v>4064</v>
      </c>
      <c r="M17" s="21"/>
      <c r="N17" s="22">
        <f>M11</f>
        <v>186844.30799999996</v>
      </c>
      <c r="O17" s="23">
        <v>1</v>
      </c>
    </row>
    <row r="18" spans="2:15" x14ac:dyDescent="0.35">
      <c r="B18" s="13">
        <v>15</v>
      </c>
      <c r="C18" s="12" t="s">
        <v>4065</v>
      </c>
      <c r="D18" s="12" t="s">
        <v>4056</v>
      </c>
      <c r="E18" s="12" t="s">
        <v>19</v>
      </c>
      <c r="F18" s="13" t="str">
        <f>'AB '!B1951</f>
        <v>92,000</v>
      </c>
      <c r="G18" s="13" t="str">
        <f>'AB '!C1951</f>
        <v>92,500</v>
      </c>
      <c r="H18" s="15">
        <f>'AB '!N1951</f>
        <v>2800.4480000000003</v>
      </c>
      <c r="I18" s="13" t="str">
        <f>'AB '!O1951</f>
        <v>Spider</v>
      </c>
      <c r="J18" s="13" t="s">
        <v>4060</v>
      </c>
      <c r="K18" s="13" t="s">
        <v>4062</v>
      </c>
      <c r="M18" s="13" t="s">
        <v>4090</v>
      </c>
      <c r="N18" s="15">
        <f>M11</f>
        <v>186844.30799999996</v>
      </c>
      <c r="O18" s="18">
        <v>1</v>
      </c>
    </row>
    <row r="19" spans="2:15" x14ac:dyDescent="0.35">
      <c r="B19" s="13">
        <v>16</v>
      </c>
      <c r="C19" s="12" t="s">
        <v>4065</v>
      </c>
      <c r="D19" s="12" t="s">
        <v>4056</v>
      </c>
      <c r="E19" s="12" t="s">
        <v>19</v>
      </c>
      <c r="F19" s="13" t="str">
        <f>'AB '!B2416</f>
        <v>108,000</v>
      </c>
      <c r="G19" s="13" t="str">
        <f>'AB '!C2439</f>
        <v>109,500</v>
      </c>
      <c r="H19" s="15">
        <f>'AB '!N2416+'AB '!N2439</f>
        <v>1665.8880000000001</v>
      </c>
      <c r="I19" s="13" t="str">
        <f>'AB '!O2416</f>
        <v>Trator com braço articulado</v>
      </c>
      <c r="J19" s="13" t="s">
        <v>13</v>
      </c>
      <c r="K19" s="13" t="s">
        <v>4063</v>
      </c>
      <c r="M19" s="13" t="s">
        <v>4091</v>
      </c>
      <c r="N19" s="15">
        <f>O11</f>
        <v>8500.1539999999986</v>
      </c>
      <c r="O19" s="18">
        <v>0.05</v>
      </c>
    </row>
    <row r="20" spans="2:15" x14ac:dyDescent="0.35">
      <c r="B20" s="13">
        <v>17</v>
      </c>
      <c r="C20" s="12" t="s">
        <v>4065</v>
      </c>
      <c r="D20" s="12" t="s">
        <v>4056</v>
      </c>
      <c r="E20" s="12" t="s">
        <v>19</v>
      </c>
      <c r="F20" s="13" t="str">
        <f>'AB '!B2557</f>
        <v>112,000</v>
      </c>
      <c r="G20" s="13" t="str">
        <f>'AB '!C2572</f>
        <v>112,500</v>
      </c>
      <c r="H20" s="15">
        <f>'AB '!N2557+'AB '!N2572</f>
        <v>1359.0320000000002</v>
      </c>
      <c r="I20" s="13" t="str">
        <f>'AB '!O2557</f>
        <v>Trator com braço articulado</v>
      </c>
      <c r="J20" s="13" t="s">
        <v>4060</v>
      </c>
      <c r="K20" s="13" t="s">
        <v>4062</v>
      </c>
      <c r="M20" s="13" t="s">
        <v>25</v>
      </c>
      <c r="N20" s="15">
        <f>P11</f>
        <v>105374.77299999997</v>
      </c>
      <c r="O20" s="18">
        <f>N20/N17</f>
        <v>0.56397100948881995</v>
      </c>
    </row>
    <row r="21" spans="2:15" x14ac:dyDescent="0.35">
      <c r="B21" s="13">
        <v>18</v>
      </c>
      <c r="C21" s="12" t="s">
        <v>4065</v>
      </c>
      <c r="D21" s="12" t="s">
        <v>4056</v>
      </c>
      <c r="E21" s="12" t="s">
        <v>19</v>
      </c>
      <c r="F21" s="15" t="str">
        <f>'AB '!B2568</f>
        <v>112,000</v>
      </c>
      <c r="G21" s="15" t="str">
        <f>'AB '!C2568</f>
        <v>112,500</v>
      </c>
      <c r="H21" s="15">
        <f>'AB '!N2568</f>
        <v>1088.3835000000001</v>
      </c>
      <c r="I21" s="13" t="str">
        <f>'AB '!O2568</f>
        <v>Trator com braço articulado</v>
      </c>
      <c r="J21" s="13" t="s">
        <v>13</v>
      </c>
      <c r="K21" s="13" t="s">
        <v>4063</v>
      </c>
      <c r="M21" s="13" t="s">
        <v>4092</v>
      </c>
      <c r="N21" s="15">
        <f>Q11</f>
        <v>3216.9690000000001</v>
      </c>
      <c r="O21" s="18">
        <f>Q12</f>
        <v>1.7217377582623501E-2</v>
      </c>
    </row>
    <row r="22" spans="2:15" x14ac:dyDescent="0.35">
      <c r="B22" s="13">
        <v>19</v>
      </c>
      <c r="C22" s="12" t="s">
        <v>4065</v>
      </c>
      <c r="D22" s="12" t="s">
        <v>4056</v>
      </c>
      <c r="E22" s="12" t="s">
        <v>19</v>
      </c>
      <c r="F22" s="13" t="str">
        <f>'AB '!B2794</f>
        <v>121,000</v>
      </c>
      <c r="G22" s="13" t="str">
        <f>'AB '!C2801</f>
        <v>121,500</v>
      </c>
      <c r="H22" s="15">
        <f>'AB '!N2794+'AB '!N2801</f>
        <v>2705.2865000000002</v>
      </c>
      <c r="I22" s="13" t="str">
        <f>'AB '!O2794</f>
        <v>Trator com braço articulado</v>
      </c>
      <c r="J22" s="13" t="s">
        <v>13</v>
      </c>
      <c r="K22" s="13" t="s">
        <v>4063</v>
      </c>
    </row>
    <row r="23" spans="2:15" x14ac:dyDescent="0.35">
      <c r="B23" s="13">
        <v>20</v>
      </c>
      <c r="C23" s="12" t="s">
        <v>4065</v>
      </c>
      <c r="D23" s="12" t="s">
        <v>4056</v>
      </c>
      <c r="E23" s="12" t="s">
        <v>19</v>
      </c>
      <c r="F23" s="13" t="str">
        <f>'AB '!B3081</f>
        <v>135,000</v>
      </c>
      <c r="G23" s="13" t="str">
        <f>'AB '!C3189</f>
        <v>141,500</v>
      </c>
      <c r="H23" s="15">
        <f>SUM('AB '!N3081,'AB '!N3131,'AB '!N3144,'AB '!N3159,'AB '!N3189)</f>
        <v>5797.2929999999997</v>
      </c>
      <c r="I23" s="13" t="str">
        <f>'AB '!O3131</f>
        <v>Trator com braço articulado</v>
      </c>
      <c r="J23" s="13" t="s">
        <v>13</v>
      </c>
      <c r="K23" s="13" t="s">
        <v>4063</v>
      </c>
    </row>
    <row r="24" spans="2:15" x14ac:dyDescent="0.35">
      <c r="B24" s="13">
        <v>21</v>
      </c>
      <c r="C24" s="12" t="s">
        <v>4065</v>
      </c>
      <c r="D24" s="12" t="s">
        <v>4056</v>
      </c>
      <c r="E24" s="12" t="s">
        <v>19</v>
      </c>
      <c r="F24" s="13" t="str">
        <f>'AB '!B3244</f>
        <v>144,000</v>
      </c>
      <c r="G24" s="13" t="str">
        <f>'AB '!C3253</f>
        <v>144,500</v>
      </c>
      <c r="H24" s="15">
        <f>'AB '!N3244+'AB '!N3253</f>
        <v>1931.1824999999999</v>
      </c>
      <c r="I24" s="13" t="str">
        <f>'AB '!O3244</f>
        <v>Trator com braço articulado</v>
      </c>
      <c r="J24" s="13" t="s">
        <v>13</v>
      </c>
      <c r="K24" s="13" t="s">
        <v>4063</v>
      </c>
      <c r="M24" s="25" t="s">
        <v>4097</v>
      </c>
      <c r="N24" s="25" t="s">
        <v>4098</v>
      </c>
      <c r="O24" s="25" t="s">
        <v>4099</v>
      </c>
    </row>
    <row r="25" spans="2:15" x14ac:dyDescent="0.35">
      <c r="B25" s="13">
        <v>22</v>
      </c>
      <c r="C25" s="12" t="s">
        <v>4054</v>
      </c>
      <c r="D25" s="13" t="s">
        <v>4066</v>
      </c>
      <c r="E25" s="13" t="s">
        <v>19</v>
      </c>
      <c r="F25" s="13" t="str">
        <f>'AB '!B4</f>
        <v>1,000</v>
      </c>
      <c r="G25" s="13" t="str">
        <f>'AB '!C51</f>
        <v>6,500</v>
      </c>
      <c r="H25" s="15">
        <f>SUM('AB '!N4,'AB '!N7,'AB '!N40,'AB '!N51)</f>
        <v>4556.2330000000002</v>
      </c>
      <c r="I25" s="13" t="str">
        <f>'AB '!O4</f>
        <v>Trator com braço articulado</v>
      </c>
      <c r="J25" s="13" t="s">
        <v>4068</v>
      </c>
      <c r="K25" s="13" t="s">
        <v>4069</v>
      </c>
      <c r="M25" s="15">
        <f>'AB '!K3684</f>
        <v>9640313.2399999946</v>
      </c>
      <c r="N25" s="15">
        <f>M25-O25</f>
        <v>4668402.0004999992</v>
      </c>
      <c r="O25" s="15">
        <f>'AB '!U3684</f>
        <v>4971911.2394999955</v>
      </c>
    </row>
    <row r="26" spans="2:15" x14ac:dyDescent="0.35">
      <c r="B26" s="13">
        <v>23</v>
      </c>
      <c r="C26" s="12" t="s">
        <v>4054</v>
      </c>
      <c r="D26" s="13" t="s">
        <v>4066</v>
      </c>
      <c r="E26" s="13" t="s">
        <v>19</v>
      </c>
      <c r="F26" s="13" t="str">
        <f>'AB '!B39</f>
        <v>5,000</v>
      </c>
      <c r="G26" s="13" t="str">
        <f>'AB '!C39</f>
        <v>5,500</v>
      </c>
      <c r="H26" s="15">
        <f>'AB '!N39</f>
        <v>1406.6779999999999</v>
      </c>
      <c r="I26" s="13" t="str">
        <f>'AB '!O39</f>
        <v>Spider</v>
      </c>
      <c r="J26" s="13" t="s">
        <v>4060</v>
      </c>
      <c r="K26" s="13" t="s">
        <v>4062</v>
      </c>
      <c r="M26" s="13"/>
      <c r="N26" s="18">
        <f>N25/M25</f>
        <v>0.48425833106020544</v>
      </c>
      <c r="O26" s="18">
        <f>O25/M25</f>
        <v>0.51574166893979456</v>
      </c>
    </row>
    <row r="27" spans="2:15" x14ac:dyDescent="0.35">
      <c r="B27" s="13">
        <v>24</v>
      </c>
      <c r="C27" s="12" t="s">
        <v>4058</v>
      </c>
      <c r="D27" s="13" t="s">
        <v>4066</v>
      </c>
      <c r="E27" s="12" t="s">
        <v>19</v>
      </c>
      <c r="F27" s="13" t="str">
        <f>'AB '!B257</f>
        <v>18,000</v>
      </c>
      <c r="G27" s="13" t="str">
        <f>'AB '!C288</f>
        <v>19,500</v>
      </c>
      <c r="H27" s="15">
        <f>SUM('AB '!N257,'AB '!N262,'AB '!N282,'AB '!N288)</f>
        <v>9592.2710000000006</v>
      </c>
      <c r="I27" s="13" t="s">
        <v>71</v>
      </c>
      <c r="J27" s="13" t="s">
        <v>13</v>
      </c>
      <c r="K27" s="13" t="s">
        <v>4063</v>
      </c>
    </row>
    <row r="28" spans="2:15" x14ac:dyDescent="0.35">
      <c r="B28" s="13">
        <v>25</v>
      </c>
      <c r="C28" s="12" t="s">
        <v>4058</v>
      </c>
      <c r="D28" s="13" t="s">
        <v>4066</v>
      </c>
      <c r="E28" s="12" t="s">
        <v>19</v>
      </c>
      <c r="F28" s="13" t="str">
        <f>'AB '!B390</f>
        <v>23,000</v>
      </c>
      <c r="G28" s="13" t="str">
        <f>'AB '!C390</f>
        <v>23,500</v>
      </c>
      <c r="H28" s="15">
        <f>'AB '!N390</f>
        <v>1444.73</v>
      </c>
      <c r="I28" s="13" t="str">
        <f>'AB '!O390</f>
        <v>Spider</v>
      </c>
      <c r="J28" s="13" t="s">
        <v>4060</v>
      </c>
      <c r="K28" s="13" t="s">
        <v>4062</v>
      </c>
      <c r="M28" s="25" t="s">
        <v>4105</v>
      </c>
      <c r="N28"/>
      <c r="O28"/>
    </row>
    <row r="29" spans="2:15" x14ac:dyDescent="0.35">
      <c r="B29" s="13">
        <v>26</v>
      </c>
      <c r="C29" s="12" t="s">
        <v>4058</v>
      </c>
      <c r="D29" s="13" t="s">
        <v>4066</v>
      </c>
      <c r="E29" s="12" t="s">
        <v>19</v>
      </c>
      <c r="F29" s="13" t="str">
        <f>'AB '!B530</f>
        <v>28,000</v>
      </c>
      <c r="G29" s="13" t="str">
        <f>'AB '!C555</f>
        <v>29,500</v>
      </c>
      <c r="H29" s="15">
        <f>SUM('AB '!N530,'AB '!N536,'AB '!N555)</f>
        <v>3703.9399999999996</v>
      </c>
      <c r="I29" s="13" t="str">
        <f>'AB '!O530</f>
        <v>Trator com braço articulado</v>
      </c>
      <c r="J29" s="13" t="s">
        <v>4070</v>
      </c>
      <c r="K29" s="13" t="s">
        <v>4071</v>
      </c>
      <c r="M29" s="21"/>
      <c r="N29"/>
      <c r="O29"/>
    </row>
    <row r="30" spans="2:15" x14ac:dyDescent="0.35">
      <c r="B30" s="13">
        <v>27</v>
      </c>
      <c r="C30" s="12" t="s">
        <v>4058</v>
      </c>
      <c r="D30" s="13" t="s">
        <v>4066</v>
      </c>
      <c r="E30" s="12" t="s">
        <v>19</v>
      </c>
      <c r="F30" s="13" t="str">
        <f>'AB '!B587</f>
        <v>31,000</v>
      </c>
      <c r="G30" s="13" t="str">
        <f>'AB '!C654</f>
        <v>35,500</v>
      </c>
      <c r="H30" s="15">
        <f>SUM('AB '!N587,'AB '!N614,'AB '!N640,'AB '!N646,'AB '!N654)</f>
        <v>5404.6394999999993</v>
      </c>
      <c r="I30" s="13" t="s">
        <v>4055</v>
      </c>
      <c r="J30" s="13" t="s">
        <v>4070</v>
      </c>
      <c r="K30" s="13" t="s">
        <v>4071</v>
      </c>
      <c r="M30" s="27" t="s">
        <v>4103</v>
      </c>
      <c r="N30"/>
      <c r="O30"/>
    </row>
    <row r="31" spans="2:15" x14ac:dyDescent="0.35">
      <c r="B31" s="13">
        <v>28</v>
      </c>
      <c r="C31" s="12" t="s">
        <v>4058</v>
      </c>
      <c r="D31" s="13" t="s">
        <v>4066</v>
      </c>
      <c r="E31" s="12" t="s">
        <v>19</v>
      </c>
      <c r="F31" s="13" t="str">
        <f>'AB '!B601</f>
        <v>32,000</v>
      </c>
      <c r="G31" s="13" t="str">
        <f>'AB '!C632</f>
        <v>33,500</v>
      </c>
      <c r="H31" s="15">
        <f>SUM('AB '!N601,'AB '!N632)</f>
        <v>1175.7330000000002</v>
      </c>
      <c r="I31" s="13" t="str">
        <f>'AB '!O601</f>
        <v>Spider</v>
      </c>
      <c r="J31" s="13" t="s">
        <v>4060</v>
      </c>
      <c r="K31" s="13" t="s">
        <v>4062</v>
      </c>
      <c r="M31" s="27" t="s">
        <v>4101</v>
      </c>
      <c r="N31"/>
      <c r="O31"/>
    </row>
    <row r="32" spans="2:15" x14ac:dyDescent="0.35">
      <c r="B32" s="13">
        <v>29</v>
      </c>
      <c r="C32" s="12" t="s">
        <v>4058</v>
      </c>
      <c r="D32" s="13" t="s">
        <v>4066</v>
      </c>
      <c r="E32" s="12" t="s">
        <v>19</v>
      </c>
      <c r="F32" s="13" t="str">
        <f>'AB '!B716</f>
        <v>38,000</v>
      </c>
      <c r="G32" s="13" t="str">
        <f>'AB '!C716</f>
        <v>38,500</v>
      </c>
      <c r="H32" s="15">
        <f>'AB '!N716</f>
        <v>1549.827</v>
      </c>
      <c r="I32" s="13" t="str">
        <f>'AB '!O716</f>
        <v>Spider</v>
      </c>
      <c r="J32" s="13" t="s">
        <v>4060</v>
      </c>
      <c r="K32" s="13" t="s">
        <v>4062</v>
      </c>
      <c r="M32" s="27" t="s">
        <v>4102</v>
      </c>
      <c r="N32"/>
      <c r="O32"/>
    </row>
    <row r="33" spans="2:15" x14ac:dyDescent="0.35">
      <c r="B33" s="13">
        <v>30</v>
      </c>
      <c r="C33" s="12" t="s">
        <v>4058</v>
      </c>
      <c r="D33" s="13" t="s">
        <v>4066</v>
      </c>
      <c r="E33" s="12" t="s">
        <v>19</v>
      </c>
      <c r="F33" s="13" t="str">
        <f>'AB '!B763</f>
        <v>40,000</v>
      </c>
      <c r="G33" s="13" t="str">
        <f>'AB '!C899</f>
        <v>48,500</v>
      </c>
      <c r="H33" s="15">
        <f>SUM('AB '!N763,'AB '!N769,'AB '!N778,'AB '!N790,'AB '!N811,'AB '!N824,'AB '!N841,'AB '!N863,'AB '!N899)</f>
        <v>8531.6305000000011</v>
      </c>
      <c r="I33" s="13" t="str">
        <f>'AB '!O763</f>
        <v>Trator com braço articulado</v>
      </c>
      <c r="J33" s="13" t="s">
        <v>4060</v>
      </c>
      <c r="K33" s="13" t="s">
        <v>4062</v>
      </c>
      <c r="M33" s="28" t="s">
        <v>4104</v>
      </c>
      <c r="N33"/>
      <c r="O33"/>
    </row>
    <row r="34" spans="2:15" x14ac:dyDescent="0.35">
      <c r="B34" s="13">
        <v>31</v>
      </c>
      <c r="C34" s="12" t="s">
        <v>4065</v>
      </c>
      <c r="D34" s="13" t="s">
        <v>4066</v>
      </c>
      <c r="E34" s="12" t="s">
        <v>19</v>
      </c>
      <c r="F34" s="13" t="str">
        <f>'AB '!B1798</f>
        <v>86,000</v>
      </c>
      <c r="G34" s="13" t="str">
        <f>'AB '!C1819</f>
        <v>87,500</v>
      </c>
      <c r="H34" s="15">
        <f>SUM('AB '!N1798,'AB '!N1819)</f>
        <v>1852.9110000000001</v>
      </c>
      <c r="I34" s="13" t="str">
        <f>'AB '!O1798</f>
        <v>Trator com braço articulado</v>
      </c>
      <c r="J34" s="13" t="s">
        <v>13</v>
      </c>
      <c r="K34" s="13" t="s">
        <v>4063</v>
      </c>
    </row>
    <row r="35" spans="2:15" x14ac:dyDescent="0.35">
      <c r="B35" s="13">
        <v>32</v>
      </c>
      <c r="C35" s="12" t="s">
        <v>4065</v>
      </c>
      <c r="D35" s="13" t="s">
        <v>4066</v>
      </c>
      <c r="E35" s="12" t="s">
        <v>19</v>
      </c>
      <c r="F35" s="13" t="str">
        <f>'AB '!B1963</f>
        <v>92,000</v>
      </c>
      <c r="G35" s="13" t="str">
        <f>'AB '!C1963</f>
        <v>92,500</v>
      </c>
      <c r="H35" s="15">
        <f>'AB '!N1963</f>
        <v>2117.7919999999999</v>
      </c>
      <c r="I35" s="13" t="str">
        <f>'AB '!O1963</f>
        <v>Spider</v>
      </c>
      <c r="J35" s="13" t="s">
        <v>4060</v>
      </c>
      <c r="K35" s="13" t="s">
        <v>4062</v>
      </c>
    </row>
    <row r="36" spans="2:15" x14ac:dyDescent="0.35">
      <c r="B36" s="13">
        <v>33</v>
      </c>
      <c r="C36" s="12" t="s">
        <v>4065</v>
      </c>
      <c r="D36" s="13" t="s">
        <v>4066</v>
      </c>
      <c r="E36" s="12" t="s">
        <v>19</v>
      </c>
      <c r="F36" s="13" t="str">
        <f>'AB '!B1959</f>
        <v>92,000</v>
      </c>
      <c r="G36" s="13" t="str">
        <f>'AB '!C1959</f>
        <v>92,500</v>
      </c>
      <c r="H36" s="15">
        <f>'AB '!N1959</f>
        <v>1303.9680000000001</v>
      </c>
      <c r="I36" s="13" t="str">
        <f>'AB '!O1959</f>
        <v>Trator com braço articulado</v>
      </c>
      <c r="J36" s="13" t="s">
        <v>13</v>
      </c>
      <c r="K36" s="13" t="s">
        <v>4063</v>
      </c>
    </row>
    <row r="37" spans="2:15" x14ac:dyDescent="0.35">
      <c r="B37" s="13">
        <v>34</v>
      </c>
      <c r="C37" s="12" t="s">
        <v>4065</v>
      </c>
      <c r="D37" s="13" t="s">
        <v>4066</v>
      </c>
      <c r="E37" s="12" t="s">
        <v>19</v>
      </c>
      <c r="F37" s="13" t="str">
        <f>'AB '!B2172</f>
        <v>99,000</v>
      </c>
      <c r="G37" s="13" t="str">
        <f>'AB '!C2172</f>
        <v>99,500</v>
      </c>
      <c r="H37" s="15">
        <f>'AB '!N2172</f>
        <v>2598.864</v>
      </c>
      <c r="I37" s="13" t="str">
        <f>'AB '!O2172</f>
        <v>Spider</v>
      </c>
      <c r="J37" s="13" t="s">
        <v>4060</v>
      </c>
      <c r="K37" s="13" t="s">
        <v>4062</v>
      </c>
    </row>
    <row r="38" spans="2:15" x14ac:dyDescent="0.35">
      <c r="B38" s="13">
        <v>35</v>
      </c>
      <c r="C38" s="12" t="s">
        <v>4065</v>
      </c>
      <c r="D38" s="13" t="s">
        <v>4066</v>
      </c>
      <c r="E38" s="12" t="s">
        <v>19</v>
      </c>
      <c r="F38" s="13" t="str">
        <f>'AB '!B2332</f>
        <v>104,000</v>
      </c>
      <c r="G38" s="13" t="str">
        <f>'AB '!C2332</f>
        <v>104,500</v>
      </c>
      <c r="H38" s="15">
        <f>'AB '!N2332</f>
        <v>1869.9360000000001</v>
      </c>
      <c r="I38" s="13" t="str">
        <f>'AB '!O2332</f>
        <v>Spider</v>
      </c>
      <c r="J38" s="13" t="s">
        <v>4060</v>
      </c>
      <c r="K38" s="13" t="s">
        <v>4062</v>
      </c>
    </row>
    <row r="39" spans="2:15" x14ac:dyDescent="0.35">
      <c r="B39" s="13">
        <v>36</v>
      </c>
      <c r="C39" s="12" t="s">
        <v>4065</v>
      </c>
      <c r="D39" s="13" t="s">
        <v>4066</v>
      </c>
      <c r="E39" s="12" t="s">
        <v>19</v>
      </c>
      <c r="F39" s="13" t="str">
        <f>'AB '!B2423</f>
        <v>108,000</v>
      </c>
      <c r="G39" s="13" t="str">
        <f>'AB '!C2450</f>
        <v>109,500</v>
      </c>
      <c r="H39" s="15">
        <f>'AB '!N2423+'AB '!N2450</f>
        <v>2397.8919999999998</v>
      </c>
      <c r="I39" s="13" t="str">
        <f>'AB '!O2423</f>
        <v>Trator com braço articulado</v>
      </c>
      <c r="J39" s="13" t="s">
        <v>13</v>
      </c>
      <c r="K39" s="13" t="s">
        <v>4063</v>
      </c>
    </row>
    <row r="40" spans="2:15" x14ac:dyDescent="0.35">
      <c r="B40" s="13">
        <v>37</v>
      </c>
      <c r="C40" s="12" t="s">
        <v>4065</v>
      </c>
      <c r="D40" s="13" t="s">
        <v>4066</v>
      </c>
      <c r="E40" s="12" t="s">
        <v>19</v>
      </c>
      <c r="F40" s="13" t="str">
        <f>'AB '!B2447</f>
        <v>109,000</v>
      </c>
      <c r="G40" s="13" t="str">
        <f>'AB '!C2447</f>
        <v>109,500</v>
      </c>
      <c r="H40" s="15">
        <f>'AB '!N2447</f>
        <v>275.29449999999997</v>
      </c>
      <c r="I40" s="13" t="str">
        <f>'AB '!O2447</f>
        <v>Spider</v>
      </c>
      <c r="J40" s="13" t="s">
        <v>13</v>
      </c>
      <c r="K40" s="13" t="s">
        <v>4063</v>
      </c>
    </row>
    <row r="41" spans="2:15" x14ac:dyDescent="0.35">
      <c r="B41" s="13">
        <v>38</v>
      </c>
      <c r="C41" s="12" t="s">
        <v>4065</v>
      </c>
      <c r="D41" s="13" t="s">
        <v>4066</v>
      </c>
      <c r="E41" s="12" t="s">
        <v>19</v>
      </c>
      <c r="F41" s="13" t="str">
        <f>'AB '!B2569</f>
        <v>112,000</v>
      </c>
      <c r="G41" s="13" t="str">
        <f>'AB '!C2573</f>
        <v>112,500</v>
      </c>
      <c r="H41" s="15">
        <f>SUM('AB '!N2569:N2573)</f>
        <v>3778.558</v>
      </c>
      <c r="I41" s="13" t="str">
        <f>'AB '!O2569</f>
        <v>Trator com braço articulado</v>
      </c>
      <c r="J41" s="13" t="s">
        <v>13</v>
      </c>
      <c r="K41" s="13" t="s">
        <v>4063</v>
      </c>
    </row>
    <row r="42" spans="2:15" x14ac:dyDescent="0.35">
      <c r="B42" s="13">
        <v>39</v>
      </c>
      <c r="C42" s="12" t="s">
        <v>4065</v>
      </c>
      <c r="D42" s="13" t="s">
        <v>4066</v>
      </c>
      <c r="E42" s="12" t="s">
        <v>19</v>
      </c>
      <c r="F42" s="13" t="str">
        <f>'AB '!B2688</f>
        <v>116,000</v>
      </c>
      <c r="G42" s="13" t="str">
        <f>'AB '!C2700</f>
        <v>117,500</v>
      </c>
      <c r="H42" s="15">
        <f>'AB '!N2688+'AB '!N2700</f>
        <v>2402.9639999999999</v>
      </c>
      <c r="I42" s="13" t="str">
        <f>'AB '!O2688</f>
        <v>Trator com braço articulado</v>
      </c>
      <c r="J42" s="13" t="s">
        <v>13</v>
      </c>
      <c r="K42" s="13" t="s">
        <v>4063</v>
      </c>
    </row>
    <row r="43" spans="2:15" x14ac:dyDescent="0.35">
      <c r="B43" s="13">
        <v>40</v>
      </c>
      <c r="C43" s="12" t="s">
        <v>4065</v>
      </c>
      <c r="D43" s="13" t="s">
        <v>4066</v>
      </c>
      <c r="E43" s="12" t="s">
        <v>19</v>
      </c>
      <c r="F43" s="13" t="str">
        <f>'AB '!B2771</f>
        <v>120,000</v>
      </c>
      <c r="G43" s="13" t="str">
        <f>'AB '!C2797</f>
        <v>121,500</v>
      </c>
      <c r="H43" s="15">
        <f>SUM('AB '!N2771,'AB '!N2777,'AB '!N2796,'AB '!N2797)</f>
        <v>6670.4479999999994</v>
      </c>
      <c r="I43" s="13" t="str">
        <f>'AB '!O2777</f>
        <v>Trator com braço articulado</v>
      </c>
      <c r="J43" s="13" t="s">
        <v>4067</v>
      </c>
      <c r="K43" s="13" t="s">
        <v>4073</v>
      </c>
    </row>
    <row r="44" spans="2:15" x14ac:dyDescent="0.35">
      <c r="B44" s="13">
        <v>41</v>
      </c>
      <c r="C44" s="12" t="s">
        <v>4065</v>
      </c>
      <c r="D44" s="13" t="s">
        <v>4066</v>
      </c>
      <c r="E44" s="12" t="s">
        <v>19</v>
      </c>
      <c r="F44" s="13" t="str">
        <f>'AB '!B3046</f>
        <v>134,000</v>
      </c>
      <c r="G44" s="13" t="str">
        <f>'AB '!C3050</f>
        <v>134,500</v>
      </c>
      <c r="H44" s="15">
        <f>'AB '!N3046+'AB '!N3050</f>
        <v>1523.2139999999999</v>
      </c>
      <c r="I44" s="13" t="str">
        <f>'AB '!O3046</f>
        <v>Trator com braço articulado</v>
      </c>
      <c r="J44" s="13" t="s">
        <v>13</v>
      </c>
      <c r="K44" s="13" t="s">
        <v>4063</v>
      </c>
    </row>
    <row r="45" spans="2:15" x14ac:dyDescent="0.35">
      <c r="B45" s="13">
        <v>42</v>
      </c>
      <c r="C45" s="12" t="s">
        <v>4065</v>
      </c>
      <c r="D45" s="13" t="s">
        <v>4066</v>
      </c>
      <c r="E45" s="12" t="s">
        <v>19</v>
      </c>
      <c r="F45" s="13" t="str">
        <f>'AB '!B3117</f>
        <v>137,000</v>
      </c>
      <c r="G45" s="13" t="str">
        <f>'AB '!C3138</f>
        <v>138,500</v>
      </c>
      <c r="H45" s="15">
        <f>SUM('AB '!N3117,'AB '!N3121,'AB '!N3135,'AB '!N3138)</f>
        <v>9775.1009999999987</v>
      </c>
      <c r="I45" s="13" t="str">
        <f>'AB '!O3117</f>
        <v>Spider</v>
      </c>
      <c r="J45" s="13" t="s">
        <v>13</v>
      </c>
      <c r="K45" s="13" t="s">
        <v>4063</v>
      </c>
    </row>
    <row r="46" spans="2:15" x14ac:dyDescent="0.35">
      <c r="B46" s="13">
        <v>43</v>
      </c>
      <c r="C46" s="12" t="s">
        <v>4065</v>
      </c>
      <c r="D46" s="13" t="s">
        <v>4066</v>
      </c>
      <c r="E46" s="12" t="s">
        <v>19</v>
      </c>
      <c r="F46" s="13" t="str">
        <f>'AB '!B3139</f>
        <v>139,000</v>
      </c>
      <c r="G46" s="13" t="str">
        <f>'AB '!C3139</f>
        <v>139,500</v>
      </c>
      <c r="H46" s="15">
        <f>'AB '!N3139</f>
        <v>1239.8119999999999</v>
      </c>
      <c r="I46" s="13" t="str">
        <f>'AB '!O3139</f>
        <v>Trator com braço articulado</v>
      </c>
      <c r="J46" s="13" t="s">
        <v>13</v>
      </c>
      <c r="K46" s="13" t="s">
        <v>4063</v>
      </c>
    </row>
    <row r="47" spans="2:15" x14ac:dyDescent="0.35">
      <c r="B47" s="13">
        <v>44</v>
      </c>
      <c r="C47" s="12" t="s">
        <v>4065</v>
      </c>
      <c r="D47" s="13" t="s">
        <v>4066</v>
      </c>
      <c r="E47" s="12" t="s">
        <v>19</v>
      </c>
      <c r="F47" s="13" t="str">
        <f>'AB '!B3440</f>
        <v>153,000</v>
      </c>
      <c r="G47" s="13" t="str">
        <f>'AB '!C3440</f>
        <v>153,500</v>
      </c>
      <c r="H47" s="15">
        <f>'AB '!N3440</f>
        <v>1347.3654999999999</v>
      </c>
      <c r="I47" s="13" t="str">
        <f>'AB '!O3440</f>
        <v>Trator com braço articulado</v>
      </c>
      <c r="J47" s="13" t="s">
        <v>13</v>
      </c>
      <c r="K47" s="13" t="s">
        <v>4063</v>
      </c>
    </row>
    <row r="48" spans="2:15" x14ac:dyDescent="0.35">
      <c r="B48" s="13">
        <v>45</v>
      </c>
      <c r="C48" s="12" t="s">
        <v>4058</v>
      </c>
      <c r="D48" s="13" t="s">
        <v>4076</v>
      </c>
      <c r="E48" s="12" t="s">
        <v>23</v>
      </c>
      <c r="F48" s="13" t="str">
        <f>'AB '!B703</f>
        <v>37,000</v>
      </c>
      <c r="G48" s="13" t="str">
        <f>'AB '!C704</f>
        <v>37,500</v>
      </c>
      <c r="H48" s="15">
        <f>'AB '!N703+'AB '!N704</f>
        <v>2629.8254999999999</v>
      </c>
      <c r="I48" s="13" t="str">
        <f>'AB '!O703</f>
        <v>Spider</v>
      </c>
      <c r="J48" s="13" t="s">
        <v>4060</v>
      </c>
      <c r="K48" s="13" t="s">
        <v>4062</v>
      </c>
    </row>
    <row r="49" spans="2:11" x14ac:dyDescent="0.35">
      <c r="B49" s="13">
        <v>46</v>
      </c>
      <c r="C49" s="12" t="s">
        <v>4058</v>
      </c>
      <c r="D49" s="13" t="s">
        <v>4076</v>
      </c>
      <c r="E49" s="12" t="s">
        <v>23</v>
      </c>
      <c r="F49" s="13" t="str">
        <f>'AB '!B2446</f>
        <v>109,000</v>
      </c>
      <c r="G49" s="13" t="str">
        <f>'AB '!C2451</f>
        <v>109,500</v>
      </c>
      <c r="H49" s="15">
        <f>'AB '!N2446+'AB '!N2451</f>
        <v>3889.27</v>
      </c>
      <c r="I49" s="13" t="str">
        <f>'AB '!O2446</f>
        <v>Spider</v>
      </c>
      <c r="J49" s="13" t="s">
        <v>4067</v>
      </c>
      <c r="K49" s="13" t="s">
        <v>4077</v>
      </c>
    </row>
    <row r="50" spans="2:11" x14ac:dyDescent="0.35">
      <c r="B50" s="13">
        <v>46</v>
      </c>
      <c r="C50" s="12" t="s">
        <v>4058</v>
      </c>
      <c r="D50" s="13" t="s">
        <v>4076</v>
      </c>
      <c r="E50" s="12" t="s">
        <v>23</v>
      </c>
      <c r="F50" s="13" t="str">
        <f>'AB '!B2979</f>
        <v>130,000</v>
      </c>
      <c r="G50" s="13" t="str">
        <f>'AB '!C3014</f>
        <v>133,500</v>
      </c>
      <c r="H50" s="15">
        <f>SUM('AB '!N2979,'AB '!N2987,'AB '!N3000,'AB '!N3002,'AB '!N3003,'AB '!N3014)</f>
        <v>18744.690999999999</v>
      </c>
      <c r="I50" s="13" t="str">
        <f>'AB '!O2979</f>
        <v>Spider</v>
      </c>
      <c r="J50" s="13" t="s">
        <v>13</v>
      </c>
      <c r="K50" s="13" t="s">
        <v>4063</v>
      </c>
    </row>
    <row r="51" spans="2:11" customFormat="1" x14ac:dyDescent="0.35"/>
    <row r="52" spans="2:11" customFormat="1" x14ac:dyDescent="0.35">
      <c r="B52" s="16" t="s">
        <v>4050</v>
      </c>
      <c r="C52" s="16" t="s">
        <v>4053</v>
      </c>
      <c r="D52" s="16" t="s">
        <v>4</v>
      </c>
      <c r="E52" s="16" t="s">
        <v>4057</v>
      </c>
      <c r="F52" s="16" t="s">
        <v>4051</v>
      </c>
      <c r="G52" s="16" t="s">
        <v>4052</v>
      </c>
      <c r="H52" s="16" t="s">
        <v>4078</v>
      </c>
      <c r="I52" s="16" t="s">
        <v>4079</v>
      </c>
      <c r="J52" s="16" t="s">
        <v>6</v>
      </c>
      <c r="K52" s="16" t="s">
        <v>4061</v>
      </c>
    </row>
    <row r="53" spans="2:11" customFormat="1" x14ac:dyDescent="0.35">
      <c r="B53" s="13">
        <v>1</v>
      </c>
      <c r="C53" s="12" t="s">
        <v>4058</v>
      </c>
      <c r="D53" s="12" t="s">
        <v>4075</v>
      </c>
      <c r="E53" s="12" t="s">
        <v>19</v>
      </c>
      <c r="F53" s="14" t="str">
        <f>'AB '!B107</f>
        <v>13,000</v>
      </c>
      <c r="G53" s="14" t="str">
        <f>'AB '!C107</f>
        <v>13,500</v>
      </c>
      <c r="H53" s="14">
        <f>'AB '!I107</f>
        <v>244.41</v>
      </c>
      <c r="I53" s="12">
        <f>'AB '!G107</f>
        <v>-23.507609938753269</v>
      </c>
      <c r="J53" s="12">
        <f>'AB '!H107</f>
        <v>-46.743488546560698</v>
      </c>
      <c r="K53" s="17" t="s">
        <v>4080</v>
      </c>
    </row>
    <row r="54" spans="2:11" x14ac:dyDescent="0.35">
      <c r="B54" s="13">
        <v>2</v>
      </c>
      <c r="C54" s="12" t="s">
        <v>4058</v>
      </c>
      <c r="D54" s="12" t="s">
        <v>4075</v>
      </c>
      <c r="E54" s="12" t="s">
        <v>19</v>
      </c>
      <c r="F54" s="14" t="str">
        <f>'AB '!B122</f>
        <v>14,000</v>
      </c>
      <c r="G54" s="14" t="str">
        <f>'AB '!C122</f>
        <v>14,500</v>
      </c>
      <c r="H54" s="15">
        <f>'AB '!I122</f>
        <v>440.01</v>
      </c>
      <c r="I54" s="12">
        <f>'AB '!G122</f>
        <v>-23.507478944991149</v>
      </c>
      <c r="J54" s="12">
        <f>'AB '!H122</f>
        <v>-46.745181307593917</v>
      </c>
      <c r="K54" s="17" t="s">
        <v>4080</v>
      </c>
    </row>
    <row r="55" spans="2:11" x14ac:dyDescent="0.35">
      <c r="B55" s="13">
        <v>3</v>
      </c>
      <c r="C55" s="12" t="s">
        <v>4058</v>
      </c>
      <c r="D55" s="12" t="s">
        <v>4075</v>
      </c>
      <c r="E55" s="12" t="s">
        <v>19</v>
      </c>
      <c r="F55" s="14" t="str">
        <f>'AB '!B142</f>
        <v>14,000</v>
      </c>
      <c r="G55" s="14" t="str">
        <f>'AB '!C142</f>
        <v>14,500</v>
      </c>
      <c r="H55" s="15">
        <f>'AB '!I142</f>
        <v>278.89</v>
      </c>
      <c r="I55" s="12">
        <f>'AB '!G142</f>
        <v>-23.507560322783078</v>
      </c>
      <c r="J55" s="12">
        <f>'AB '!H142</f>
        <v>-46.744226728505581</v>
      </c>
      <c r="K55" s="17" t="s">
        <v>4080</v>
      </c>
    </row>
    <row r="56" spans="2:11" x14ac:dyDescent="0.35">
      <c r="B56" s="13">
        <v>4</v>
      </c>
      <c r="C56" s="12" t="s">
        <v>4058</v>
      </c>
      <c r="D56" s="12" t="s">
        <v>4075</v>
      </c>
      <c r="E56" s="12" t="s">
        <v>19</v>
      </c>
      <c r="F56" s="14" t="str">
        <f>'AB '!B2482</f>
        <v>110,000</v>
      </c>
      <c r="G56" s="14" t="str">
        <f>'AB '!C2482</f>
        <v>110,500</v>
      </c>
      <c r="H56" s="15">
        <f>'AB '!I2482</f>
        <v>680.08</v>
      </c>
      <c r="I56" s="12">
        <f>'AB '!G2482</f>
        <v>-22.821093228503919</v>
      </c>
      <c r="J56" s="12">
        <f>'AB '!H2482</f>
        <v>-47.195382402426013</v>
      </c>
      <c r="K56" s="17" t="s">
        <v>4080</v>
      </c>
    </row>
    <row r="57" spans="2:11" x14ac:dyDescent="0.35">
      <c r="B57" s="13">
        <v>5</v>
      </c>
      <c r="C57" s="12" t="s">
        <v>4058</v>
      </c>
      <c r="D57" s="12" t="s">
        <v>4075</v>
      </c>
      <c r="E57" s="12" t="s">
        <v>19</v>
      </c>
      <c r="F57" s="14" t="str">
        <f>'AB '!B2483</f>
        <v>110,000</v>
      </c>
      <c r="G57" s="14" t="str">
        <f>'AB '!C2483</f>
        <v>110,500</v>
      </c>
      <c r="H57" s="15">
        <f>'AB '!I2483</f>
        <v>266.64</v>
      </c>
      <c r="I57" s="12">
        <f>'AB '!G2483</f>
        <v>-22.82432591671235</v>
      </c>
      <c r="J57" s="12">
        <f>'AB '!H2483</f>
        <v>-47.189325781201887</v>
      </c>
      <c r="K57" s="17" t="s">
        <v>4080</v>
      </c>
    </row>
    <row r="58" spans="2:11" x14ac:dyDescent="0.35">
      <c r="B58" s="13">
        <v>6</v>
      </c>
      <c r="C58" s="12" t="s">
        <v>4058</v>
      </c>
      <c r="D58" s="12" t="s">
        <v>4075</v>
      </c>
      <c r="E58" s="12" t="s">
        <v>19</v>
      </c>
      <c r="F58" s="14" t="str">
        <f>'AB '!B2497</f>
        <v>110,000</v>
      </c>
      <c r="G58" s="14" t="str">
        <f>'AB '!C2497</f>
        <v>110,500</v>
      </c>
      <c r="H58" s="15">
        <f>'AB '!I2497</f>
        <v>204.76</v>
      </c>
      <c r="I58" s="12">
        <f>'AB '!G2497</f>
        <v>-22.824629061769791</v>
      </c>
      <c r="J58" s="12">
        <f>'AB '!H2497</f>
        <v>-47.188750285899523</v>
      </c>
      <c r="K58" s="17" t="s">
        <v>4080</v>
      </c>
    </row>
    <row r="59" spans="2:11" x14ac:dyDescent="0.35">
      <c r="B59" s="13">
        <v>7</v>
      </c>
      <c r="C59" s="12" t="s">
        <v>4058</v>
      </c>
      <c r="D59" s="12" t="s">
        <v>4075</v>
      </c>
      <c r="E59" s="12" t="s">
        <v>19</v>
      </c>
      <c r="F59" s="14" t="str">
        <f>'AB '!B2509</f>
        <v>111,000</v>
      </c>
      <c r="G59" s="14" t="str">
        <f>'AB '!C2509</f>
        <v>111,500</v>
      </c>
      <c r="H59" s="15">
        <f>'AB '!I2509</f>
        <v>1074.23</v>
      </c>
      <c r="I59" s="13">
        <f>'AB '!G2509</f>
        <v>-22.816567744805599</v>
      </c>
      <c r="J59" s="13">
        <f>'AB '!H2509</f>
        <v>-47.203834509533372</v>
      </c>
      <c r="K59" s="17" t="s">
        <v>4080</v>
      </c>
    </row>
    <row r="60" spans="2:11" x14ac:dyDescent="0.35">
      <c r="B60" s="13">
        <v>8</v>
      </c>
      <c r="C60" s="12" t="s">
        <v>4058</v>
      </c>
      <c r="D60" s="12" t="s">
        <v>4075</v>
      </c>
      <c r="E60" s="12" t="s">
        <v>19</v>
      </c>
      <c r="F60" s="14" t="str">
        <f>'AB '!B2526</f>
        <v>111,000</v>
      </c>
      <c r="G60" s="14" t="str">
        <f>'AB '!C2526</f>
        <v>111,500</v>
      </c>
      <c r="H60" s="15">
        <f>'AB '!I2526</f>
        <v>548.01</v>
      </c>
      <c r="I60" s="13">
        <f>'AB '!G2526</f>
        <v>-22.817659939334071</v>
      </c>
      <c r="J60" s="13">
        <f>'AB '!H2526</f>
        <v>-47.201788752632197</v>
      </c>
      <c r="K60" s="17" t="s">
        <v>4080</v>
      </c>
    </row>
    <row r="61" spans="2:11" x14ac:dyDescent="0.35">
      <c r="B61" s="13">
        <v>9</v>
      </c>
      <c r="C61" s="12" t="s">
        <v>4058</v>
      </c>
      <c r="D61" s="12" t="s">
        <v>4075</v>
      </c>
      <c r="E61" s="12" t="s">
        <v>19</v>
      </c>
      <c r="F61" s="13" t="str">
        <f>'AB '!B2546</f>
        <v>112,000</v>
      </c>
      <c r="G61" s="13" t="str">
        <f>'AB '!C2546</f>
        <v>112,500</v>
      </c>
      <c r="H61" s="15">
        <f>'AB '!I2546</f>
        <v>2120.5300000000002</v>
      </c>
      <c r="I61" s="13">
        <f>'AB '!G2546</f>
        <v>-22.81475919846692</v>
      </c>
      <c r="J61" s="13">
        <f>'AB '!H2546</f>
        <v>-47.207069320725033</v>
      </c>
      <c r="K61" s="17" t="s">
        <v>4080</v>
      </c>
    </row>
    <row r="62" spans="2:11" x14ac:dyDescent="0.35">
      <c r="B62" s="13">
        <v>10</v>
      </c>
      <c r="C62" s="12" t="s">
        <v>4058</v>
      </c>
      <c r="D62" s="13" t="s">
        <v>4074</v>
      </c>
      <c r="E62" s="13" t="s">
        <v>19</v>
      </c>
      <c r="F62" s="13" t="s">
        <v>99</v>
      </c>
      <c r="G62" s="13" t="s">
        <v>100</v>
      </c>
      <c r="H62" s="13">
        <v>145.01</v>
      </c>
      <c r="I62" s="13">
        <v>-23.508778383276599</v>
      </c>
      <c r="J62" s="13">
        <v>-46.734098056658617</v>
      </c>
      <c r="K62" s="17" t="s">
        <v>4080</v>
      </c>
    </row>
    <row r="63" spans="2:11" x14ac:dyDescent="0.35">
      <c r="B63" s="13">
        <v>11</v>
      </c>
      <c r="C63" s="12" t="s">
        <v>4058</v>
      </c>
      <c r="D63" s="13" t="s">
        <v>4074</v>
      </c>
      <c r="E63" s="13" t="s">
        <v>19</v>
      </c>
      <c r="F63" s="13" t="s">
        <v>99</v>
      </c>
      <c r="G63" s="13" t="s">
        <v>100</v>
      </c>
      <c r="H63" s="13">
        <v>27.31</v>
      </c>
      <c r="I63" s="13">
        <v>-23.5088351862797</v>
      </c>
      <c r="J63" s="13">
        <v>-46.733670187883831</v>
      </c>
      <c r="K63" s="17" t="s">
        <v>4080</v>
      </c>
    </row>
    <row r="64" spans="2:11" x14ac:dyDescent="0.35">
      <c r="B64" s="13">
        <v>12</v>
      </c>
      <c r="C64" s="12" t="s">
        <v>4058</v>
      </c>
      <c r="D64" s="13" t="s">
        <v>4074</v>
      </c>
      <c r="E64" s="13" t="s">
        <v>19</v>
      </c>
      <c r="F64" s="13" t="s">
        <v>571</v>
      </c>
      <c r="G64" s="13" t="s">
        <v>572</v>
      </c>
      <c r="H64" s="13">
        <v>376.26</v>
      </c>
      <c r="I64" s="13">
        <v>-23.417318752881599</v>
      </c>
      <c r="J64" s="13">
        <v>-46.801234212047063</v>
      </c>
      <c r="K64" s="17" t="s">
        <v>4080</v>
      </c>
    </row>
    <row r="65" spans="2:14" x14ac:dyDescent="0.35">
      <c r="B65" s="13">
        <v>13</v>
      </c>
      <c r="C65" s="12" t="s">
        <v>4058</v>
      </c>
      <c r="D65" s="13" t="s">
        <v>4074</v>
      </c>
      <c r="E65" s="13" t="s">
        <v>19</v>
      </c>
      <c r="F65" s="13" t="s">
        <v>1965</v>
      </c>
      <c r="G65" s="13" t="s">
        <v>1966</v>
      </c>
      <c r="H65" s="13">
        <v>1671.29</v>
      </c>
      <c r="I65" s="13">
        <v>-22.979907817833581</v>
      </c>
      <c r="J65" s="13">
        <v>-47.045702907073313</v>
      </c>
      <c r="K65" s="17" t="s">
        <v>4080</v>
      </c>
    </row>
    <row r="66" spans="2:14" x14ac:dyDescent="0.35">
      <c r="B66" s="13">
        <v>14</v>
      </c>
      <c r="C66" s="12" t="s">
        <v>4058</v>
      </c>
      <c r="D66" s="13" t="s">
        <v>4074</v>
      </c>
      <c r="E66" s="13" t="s">
        <v>19</v>
      </c>
      <c r="F66" s="13" t="s">
        <v>1965</v>
      </c>
      <c r="G66" s="13" t="s">
        <v>1966</v>
      </c>
      <c r="H66" s="13">
        <v>1472.46</v>
      </c>
      <c r="I66" s="13">
        <v>-22.981987805703291</v>
      </c>
      <c r="J66" s="13">
        <v>-47.044400511401832</v>
      </c>
      <c r="K66" s="17" t="s">
        <v>4080</v>
      </c>
    </row>
    <row r="67" spans="2:14" x14ac:dyDescent="0.35">
      <c r="B67" s="13">
        <v>15</v>
      </c>
      <c r="C67" s="12" t="s">
        <v>4058</v>
      </c>
      <c r="D67" s="13" t="s">
        <v>4074</v>
      </c>
      <c r="E67" s="13" t="s">
        <v>19</v>
      </c>
      <c r="F67" s="13" t="s">
        <v>1965</v>
      </c>
      <c r="G67" s="13" t="s">
        <v>1966</v>
      </c>
      <c r="H67" s="13">
        <v>1415.18</v>
      </c>
      <c r="I67" s="13">
        <v>-22.983693864370519</v>
      </c>
      <c r="J67" s="13">
        <v>-47.043212582824331</v>
      </c>
      <c r="K67" s="17" t="s">
        <v>4080</v>
      </c>
    </row>
    <row r="68" spans="2:14" x14ac:dyDescent="0.35">
      <c r="B68" s="13">
        <v>16</v>
      </c>
      <c r="C68" s="12" t="s">
        <v>4058</v>
      </c>
      <c r="D68" s="13" t="s">
        <v>4074</v>
      </c>
      <c r="E68" s="13" t="s">
        <v>19</v>
      </c>
      <c r="F68" s="13" t="s">
        <v>2000</v>
      </c>
      <c r="G68" s="13" t="s">
        <v>2001</v>
      </c>
      <c r="H68" s="13">
        <v>4482.95</v>
      </c>
      <c r="I68" s="13">
        <v>-22.976859526474811</v>
      </c>
      <c r="J68" s="13">
        <v>-47.047450291673833</v>
      </c>
      <c r="K68" s="17" t="s">
        <v>4080</v>
      </c>
    </row>
    <row r="69" spans="2:14" x14ac:dyDescent="0.35">
      <c r="B69" s="13">
        <v>17</v>
      </c>
      <c r="C69" s="12" t="s">
        <v>4058</v>
      </c>
      <c r="D69" s="13" t="s">
        <v>4074</v>
      </c>
      <c r="E69" s="13" t="s">
        <v>19</v>
      </c>
      <c r="F69" s="13" t="s">
        <v>2000</v>
      </c>
      <c r="G69" s="13" t="s">
        <v>2001</v>
      </c>
      <c r="H69" s="13">
        <v>120.95</v>
      </c>
      <c r="I69" s="13">
        <v>-22.97076623285815</v>
      </c>
      <c r="J69" s="13">
        <v>-47.050902570258692</v>
      </c>
      <c r="K69" s="17" t="s">
        <v>4080</v>
      </c>
    </row>
    <row r="70" spans="2:14" x14ac:dyDescent="0.35">
      <c r="B70" s="13">
        <v>18</v>
      </c>
      <c r="C70" s="12" t="s">
        <v>4058</v>
      </c>
      <c r="D70" s="13" t="s">
        <v>4074</v>
      </c>
      <c r="E70" s="13" t="s">
        <v>19</v>
      </c>
      <c r="F70" s="13" t="s">
        <v>2000</v>
      </c>
      <c r="G70" s="13" t="s">
        <v>2001</v>
      </c>
      <c r="H70" s="13">
        <v>3085.18</v>
      </c>
      <c r="I70" s="13">
        <v>-22.972821325312911</v>
      </c>
      <c r="J70" s="13">
        <v>-47.04974112220448</v>
      </c>
      <c r="K70" s="17" t="s">
        <v>4080</v>
      </c>
    </row>
    <row r="71" spans="2:14" x14ac:dyDescent="0.35">
      <c r="B71" s="13">
        <v>19</v>
      </c>
      <c r="C71" s="12" t="s">
        <v>4058</v>
      </c>
      <c r="D71" s="13" t="s">
        <v>4074</v>
      </c>
      <c r="E71" s="13" t="s">
        <v>19</v>
      </c>
      <c r="F71" s="13" t="s">
        <v>2033</v>
      </c>
      <c r="G71" s="13" t="s">
        <v>2034</v>
      </c>
      <c r="H71" s="13">
        <v>3234.86</v>
      </c>
      <c r="I71" s="13">
        <v>-22.968839987326589</v>
      </c>
      <c r="J71" s="13">
        <v>-47.052033501340098</v>
      </c>
      <c r="K71" s="17" t="s">
        <v>4080</v>
      </c>
    </row>
    <row r="72" spans="2:14" x14ac:dyDescent="0.35">
      <c r="B72" s="13">
        <v>20</v>
      </c>
      <c r="C72" s="12" t="s">
        <v>4058</v>
      </c>
      <c r="D72" s="13" t="s">
        <v>4074</v>
      </c>
      <c r="E72" s="13" t="s">
        <v>19</v>
      </c>
      <c r="F72" s="13" t="s">
        <v>2033</v>
      </c>
      <c r="G72" s="13" t="s">
        <v>2034</v>
      </c>
      <c r="H72" s="13">
        <v>2267.7600000000002</v>
      </c>
      <c r="I72" s="13">
        <v>-22.964629737491649</v>
      </c>
      <c r="J72" s="13">
        <v>-47.054383082399347</v>
      </c>
      <c r="K72" s="17" t="s">
        <v>4080</v>
      </c>
    </row>
    <row r="73" spans="2:14" x14ac:dyDescent="0.35">
      <c r="B73" s="13">
        <v>21</v>
      </c>
      <c r="C73" s="12" t="s">
        <v>4058</v>
      </c>
      <c r="D73" s="13" t="s">
        <v>4074</v>
      </c>
      <c r="E73" s="13" t="s">
        <v>19</v>
      </c>
      <c r="F73" s="13" t="s">
        <v>2063</v>
      </c>
      <c r="G73" s="13" t="s">
        <v>2064</v>
      </c>
      <c r="H73" s="13">
        <v>2556.88</v>
      </c>
      <c r="I73" s="13">
        <v>-22.961094653236199</v>
      </c>
      <c r="J73" s="13">
        <v>-47.05640019305779</v>
      </c>
      <c r="K73" s="17" t="s">
        <v>4080</v>
      </c>
    </row>
    <row r="74" spans="2:14" x14ac:dyDescent="0.35">
      <c r="B74" s="13">
        <v>22</v>
      </c>
      <c r="C74" s="12" t="s">
        <v>4058</v>
      </c>
      <c r="D74" s="13" t="s">
        <v>4074</v>
      </c>
      <c r="E74" s="13" t="s">
        <v>19</v>
      </c>
      <c r="F74" s="13" t="s">
        <v>2283</v>
      </c>
      <c r="G74" s="13" t="s">
        <v>2284</v>
      </c>
      <c r="H74" s="13">
        <v>1172.08</v>
      </c>
      <c r="I74" s="13">
        <v>-22.903321876980989</v>
      </c>
      <c r="J74" s="13">
        <v>-47.108364579419103</v>
      </c>
      <c r="K74" s="17" t="s">
        <v>4080</v>
      </c>
    </row>
    <row r="75" spans="2:14" x14ac:dyDescent="0.35">
      <c r="B75" s="13">
        <v>23</v>
      </c>
      <c r="C75" s="12" t="s">
        <v>4058</v>
      </c>
      <c r="D75" s="13" t="s">
        <v>4074</v>
      </c>
      <c r="E75" s="13" t="s">
        <v>19</v>
      </c>
      <c r="F75" s="13" t="s">
        <v>2669</v>
      </c>
      <c r="G75" s="13" t="s">
        <v>2670</v>
      </c>
      <c r="H75" s="13">
        <v>105.66</v>
      </c>
      <c r="I75" s="13">
        <v>-22.825766750458211</v>
      </c>
      <c r="J75" s="13">
        <v>-47.187418909541883</v>
      </c>
      <c r="K75" s="17" t="s">
        <v>4080</v>
      </c>
    </row>
    <row r="76" spans="2:14" x14ac:dyDescent="0.35">
      <c r="B76" s="13">
        <v>24</v>
      </c>
      <c r="C76" s="12" t="s">
        <v>4058</v>
      </c>
      <c r="D76" s="13" t="s">
        <v>4074</v>
      </c>
      <c r="E76" s="13" t="s">
        <v>19</v>
      </c>
      <c r="F76" s="13" t="s">
        <v>2669</v>
      </c>
      <c r="G76" s="13" t="s">
        <v>2670</v>
      </c>
      <c r="H76" s="13">
        <v>757.68</v>
      </c>
      <c r="I76" s="13">
        <v>-22.82691789650961</v>
      </c>
      <c r="J76" s="13">
        <v>-47.185442018739067</v>
      </c>
      <c r="K76" s="17" t="s">
        <v>4080</v>
      </c>
    </row>
    <row r="77" spans="2:14" x14ac:dyDescent="0.35">
      <c r="B77" s="13">
        <v>25</v>
      </c>
      <c r="C77" s="12" t="s">
        <v>4058</v>
      </c>
      <c r="D77" s="13" t="s">
        <v>4074</v>
      </c>
      <c r="E77" s="13" t="s">
        <v>19</v>
      </c>
      <c r="F77" s="13" t="s">
        <v>2699</v>
      </c>
      <c r="G77" s="13" t="s">
        <v>2700</v>
      </c>
      <c r="H77" s="13">
        <v>101.65</v>
      </c>
      <c r="I77" s="13">
        <v>-22.825181814808531</v>
      </c>
      <c r="J77" s="13">
        <v>-47.188549323134808</v>
      </c>
      <c r="K77" s="17" t="s">
        <v>4080</v>
      </c>
    </row>
    <row r="78" spans="2:14" x14ac:dyDescent="0.35">
      <c r="B78" s="13">
        <v>26</v>
      </c>
      <c r="C78" s="12" t="s">
        <v>4058</v>
      </c>
      <c r="D78" s="13" t="s">
        <v>4074</v>
      </c>
      <c r="E78" s="13" t="s">
        <v>19</v>
      </c>
      <c r="F78" s="13" t="s">
        <v>2699</v>
      </c>
      <c r="G78" s="13" t="s">
        <v>2700</v>
      </c>
      <c r="H78" s="13">
        <v>154</v>
      </c>
      <c r="I78" s="13">
        <v>-22.824993659151151</v>
      </c>
      <c r="J78" s="13">
        <v>-47.188977572664001</v>
      </c>
      <c r="K78" s="17" t="s">
        <v>4080</v>
      </c>
    </row>
    <row r="79" spans="2:14" x14ac:dyDescent="0.35">
      <c r="B79" s="13">
        <v>27</v>
      </c>
      <c r="C79" s="12" t="s">
        <v>4058</v>
      </c>
      <c r="D79" s="13" t="s">
        <v>4074</v>
      </c>
      <c r="E79" s="13" t="s">
        <v>19</v>
      </c>
      <c r="F79" s="13" t="s">
        <v>2783</v>
      </c>
      <c r="G79" s="13" t="s">
        <v>2784</v>
      </c>
      <c r="H79" s="13">
        <v>403.56</v>
      </c>
      <c r="I79" s="13">
        <v>-22.814003692258741</v>
      </c>
      <c r="J79" s="13">
        <v>-47.209612633914233</v>
      </c>
      <c r="K79" s="17" t="s">
        <v>4080</v>
      </c>
      <c r="N79" s="6" t="s">
        <v>4082</v>
      </c>
    </row>
    <row r="80" spans="2:14" x14ac:dyDescent="0.35">
      <c r="B80" s="13">
        <v>28</v>
      </c>
      <c r="C80" s="12" t="s">
        <v>4058</v>
      </c>
      <c r="D80" s="13" t="s">
        <v>4074</v>
      </c>
      <c r="E80" s="13" t="s">
        <v>19</v>
      </c>
      <c r="F80" s="13" t="s">
        <v>2822</v>
      </c>
      <c r="G80" s="13" t="s">
        <v>2823</v>
      </c>
      <c r="H80" s="13">
        <v>947.79</v>
      </c>
      <c r="I80" s="13">
        <v>-22.81015186606253</v>
      </c>
      <c r="J80" s="13">
        <v>-47.213689776446742</v>
      </c>
      <c r="K80" s="17" t="s">
        <v>4080</v>
      </c>
    </row>
    <row r="81" spans="2:11" x14ac:dyDescent="0.35">
      <c r="B81" s="13">
        <v>29</v>
      </c>
      <c r="C81" s="12" t="s">
        <v>4058</v>
      </c>
      <c r="D81" s="13" t="s">
        <v>4074</v>
      </c>
      <c r="E81" s="13" t="s">
        <v>19</v>
      </c>
      <c r="F81" s="13" t="s">
        <v>2822</v>
      </c>
      <c r="G81" s="13" t="s">
        <v>2823</v>
      </c>
      <c r="H81" s="13">
        <v>489.3</v>
      </c>
      <c r="I81" s="13">
        <v>-22.804028325634452</v>
      </c>
      <c r="J81" s="13">
        <v>-47.219347883556608</v>
      </c>
      <c r="K81" s="17" t="s">
        <v>4080</v>
      </c>
    </row>
    <row r="82" spans="2:11" x14ac:dyDescent="0.35">
      <c r="B82" s="13">
        <v>30</v>
      </c>
      <c r="C82" s="12" t="s">
        <v>4058</v>
      </c>
      <c r="D82" s="13" t="s">
        <v>4074</v>
      </c>
      <c r="E82" s="13" t="s">
        <v>19</v>
      </c>
      <c r="F82" s="13" t="s">
        <v>2995</v>
      </c>
      <c r="G82" s="13" t="s">
        <v>2996</v>
      </c>
      <c r="H82" s="13">
        <v>480.25</v>
      </c>
      <c r="I82" s="13">
        <v>-22.763124262425521</v>
      </c>
      <c r="J82" s="13">
        <v>-47.24808031705561</v>
      </c>
      <c r="K82" s="17" t="s">
        <v>4080</v>
      </c>
    </row>
    <row r="83" spans="2:11" x14ac:dyDescent="0.35">
      <c r="B83" s="13">
        <v>31</v>
      </c>
      <c r="C83" s="12" t="s">
        <v>4058</v>
      </c>
      <c r="D83" s="13" t="s">
        <v>4074</v>
      </c>
      <c r="E83" s="13" t="s">
        <v>19</v>
      </c>
      <c r="F83" s="13" t="s">
        <v>2995</v>
      </c>
      <c r="G83" s="13" t="s">
        <v>2996</v>
      </c>
      <c r="H83" s="13">
        <v>410.34</v>
      </c>
      <c r="I83" s="13">
        <v>-22.760212999025502</v>
      </c>
      <c r="J83" s="13">
        <v>-47.251125046950648</v>
      </c>
      <c r="K83" s="17" t="s">
        <v>4080</v>
      </c>
    </row>
    <row r="84" spans="2:11" x14ac:dyDescent="0.35">
      <c r="B84" s="13">
        <v>32</v>
      </c>
      <c r="C84" s="12" t="s">
        <v>4058</v>
      </c>
      <c r="D84" s="13" t="s">
        <v>4074</v>
      </c>
      <c r="E84" s="13" t="s">
        <v>19</v>
      </c>
      <c r="F84" s="13" t="s">
        <v>3612</v>
      </c>
      <c r="G84" s="13" t="s">
        <v>3613</v>
      </c>
      <c r="H84" s="13">
        <v>725.75</v>
      </c>
      <c r="I84" s="13">
        <v>-22.553906316769481</v>
      </c>
      <c r="J84" s="13">
        <v>-47.369980016804391</v>
      </c>
      <c r="K84" s="17" t="s">
        <v>4080</v>
      </c>
    </row>
    <row r="85" spans="2:11" x14ac:dyDescent="0.35">
      <c r="B85" s="13">
        <v>33</v>
      </c>
      <c r="C85" s="12" t="s">
        <v>4058</v>
      </c>
      <c r="D85" s="13" t="s">
        <v>4074</v>
      </c>
      <c r="E85" s="13" t="s">
        <v>19</v>
      </c>
      <c r="F85" s="13" t="s">
        <v>3612</v>
      </c>
      <c r="G85" s="13" t="s">
        <v>3613</v>
      </c>
      <c r="H85" s="13">
        <v>629.95000000000005</v>
      </c>
      <c r="I85" s="13">
        <v>-22.551628475762211</v>
      </c>
      <c r="J85" s="13">
        <v>-47.371552117559958</v>
      </c>
      <c r="K85" s="17" t="s">
        <v>4080</v>
      </c>
    </row>
    <row r="86" spans="2:11" x14ac:dyDescent="0.35">
      <c r="B86" s="13">
        <v>34</v>
      </c>
      <c r="C86" s="12" t="s">
        <v>4058</v>
      </c>
      <c r="D86" s="13" t="s">
        <v>4081</v>
      </c>
      <c r="E86" s="13" t="s">
        <v>23</v>
      </c>
      <c r="F86" s="13" t="s">
        <v>2699</v>
      </c>
      <c r="G86" s="13" t="s">
        <v>2700</v>
      </c>
      <c r="H86" s="13">
        <v>1518.62</v>
      </c>
      <c r="I86" s="13">
        <v>-22.82205561991686</v>
      </c>
      <c r="J86" s="13">
        <v>-47.194355894120513</v>
      </c>
      <c r="K86" s="17" t="s">
        <v>4080</v>
      </c>
    </row>
    <row r="87" spans="2:11" x14ac:dyDescent="0.35">
      <c r="B87" s="13">
        <v>35</v>
      </c>
      <c r="C87" s="12" t="s">
        <v>4058</v>
      </c>
      <c r="D87" s="13" t="s">
        <v>4081</v>
      </c>
      <c r="E87" s="13" t="s">
        <v>23</v>
      </c>
      <c r="F87" s="13" t="s">
        <v>2822</v>
      </c>
      <c r="G87" s="13" t="s">
        <v>2823</v>
      </c>
      <c r="H87" s="13">
        <v>1605.11</v>
      </c>
      <c r="I87" s="13">
        <v>-22.80596089539349</v>
      </c>
      <c r="J87" s="13">
        <v>-47.217495146101648</v>
      </c>
      <c r="K87" s="17" t="s">
        <v>4080</v>
      </c>
    </row>
    <row r="88" spans="2:11" x14ac:dyDescent="0.35">
      <c r="B88" s="13">
        <v>36</v>
      </c>
      <c r="C88" s="12" t="s">
        <v>4058</v>
      </c>
      <c r="D88" s="13" t="s">
        <v>4081</v>
      </c>
      <c r="E88" s="13" t="s">
        <v>23</v>
      </c>
      <c r="F88" s="13" t="s">
        <v>2822</v>
      </c>
      <c r="G88" s="13" t="s">
        <v>2823</v>
      </c>
      <c r="H88" s="13">
        <v>295.08999999999997</v>
      </c>
      <c r="I88" s="13">
        <v>-22.804547994811799</v>
      </c>
      <c r="J88" s="13">
        <v>-47.21885071905249</v>
      </c>
      <c r="K88" s="17" t="s">
        <v>4080</v>
      </c>
    </row>
    <row r="89" spans="2:11" x14ac:dyDescent="0.35">
      <c r="B89" s="13">
        <v>37</v>
      </c>
      <c r="C89" s="12" t="s">
        <v>4058</v>
      </c>
      <c r="D89" s="13" t="s">
        <v>4081</v>
      </c>
      <c r="E89" s="13" t="s">
        <v>23</v>
      </c>
      <c r="F89" s="13" t="s">
        <v>2822</v>
      </c>
      <c r="G89" s="13" t="s">
        <v>2823</v>
      </c>
      <c r="H89" s="13">
        <v>940.74</v>
      </c>
      <c r="I89" s="13">
        <v>-22.807858594590851</v>
      </c>
      <c r="J89" s="13">
        <v>-47.21566667543096</v>
      </c>
      <c r="K89" s="17" t="s">
        <v>4080</v>
      </c>
    </row>
    <row r="90" spans="2:11" x14ac:dyDescent="0.35">
      <c r="B90" s="13">
        <v>38</v>
      </c>
      <c r="C90" s="12" t="s">
        <v>4058</v>
      </c>
      <c r="D90" s="13" t="s">
        <v>4081</v>
      </c>
      <c r="E90" s="13" t="s">
        <v>23</v>
      </c>
      <c r="F90" s="13" t="s">
        <v>3026</v>
      </c>
      <c r="G90" s="13" t="s">
        <v>3027</v>
      </c>
      <c r="H90" s="13">
        <v>1768.64</v>
      </c>
      <c r="I90" s="13">
        <v>-22.758364455108961</v>
      </c>
      <c r="J90" s="13">
        <v>-47.253052653337463</v>
      </c>
      <c r="K90" s="17" t="s">
        <v>4080</v>
      </c>
    </row>
  </sheetData>
  <phoneticPr fontId="3" type="noConversion"/>
  <pageMargins left="0.511811024" right="0.511811024" top="0.78740157499999996" bottom="0.78740157499999996" header="0.31496062000000002" footer="0.31496062000000002"/>
  <ignoredErrors>
    <ignoredError sqref="F62:G85 F86:G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Canteiro central</vt:lpstr>
      <vt:lpstr>AB 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Daniel de Sousa Mitoso</cp:lastModifiedBy>
  <dcterms:created xsi:type="dcterms:W3CDTF">2026-02-13T18:13:18Z</dcterms:created>
  <dcterms:modified xsi:type="dcterms:W3CDTF">2026-09-18T12:23:28Z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2026-02-19T18:40:02Z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16b6d5f3-5f20-4b4c-a185-1f34bbb20044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